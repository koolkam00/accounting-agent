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Offices" sheetId="1" state="visible" r:id="rId3"/>
    <sheet name="Brands" sheetId="2" state="visible" r:id="rId4"/>
    <sheet name="Daily view - Offices" sheetId="3" state="visible" r:id="rId5"/>
    <sheet name="Daily view - Brands" sheetId="4" state="visible" r:id="rId6"/>
    <sheet name="Dictionary" sheetId="5" state="visible" r:id="rId7"/>
    <sheet name="Scoring" sheetId="6" state="visible" r:id="rId8"/>
    <sheet name="Routine" sheetId="7" state="visible" r:id="rId9"/>
  </sheets>
  <definedNames>
    <definedName function="false" hidden="true" localSheetId="1" name="_xlnm._FilterDatabase" vbProcedure="false">Brands!$A$1:$ED$312</definedName>
    <definedName function="false" hidden="true" localSheetId="0" name="_xlnm._FilterDatabase" vbProcedure="false">Offices!$A$1:$EW$309</definedName>
    <definedName function="false" hidden="false" name="company_name" vbProcedure="false">Routine!$B$1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Live view: the 10 best-scored rows of Offices with status = new, do_not_contact = N, ready_for_outreach = Y, no opt-out and nobody in their company_group in flight; one row per group. It updates when you edit those columns. Uses SORT and FILTER (Google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10</xdr:row>
                <xdr:rowOff>19</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Live view: the 10 best-scored rows of Brands with status = new, do_not_contact = N, ready_for_outreach = Y, no opt-out and nobody in their company_group in flight; one row per group. It updates when you edit those columns. Uses SORT and FILTER (Google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10</xdr:row>
                <xdr:rowOff>19</xdr:rowOff>
              </xdr:to>
            </anchor>
          </commentPr>
        </mc:Choice>
        <mc:Fallback/>
      </mc:AlternateContent>
    </comment>
  </commentList>
</comments>
</file>

<file path=xl/sharedStrings.xml><?xml version="1.0" encoding="utf-8"?>
<sst xmlns="http://schemas.openxmlformats.org/spreadsheetml/2006/main" count="42265" uniqueCount="11289">
  <si>
    <t xml:space="preserve">row_id</t>
  </si>
  <si>
    <t xml:space="preserve">company</t>
  </si>
  <si>
    <t xml:space="preserve">first_name</t>
  </si>
  <si>
    <t xml:space="preserve">last_name</t>
  </si>
  <si>
    <t xml:space="preserve">title</t>
  </si>
  <si>
    <t xml:space="preserve">contact_linkedin_url</t>
  </si>
  <si>
    <t xml:space="preserve">work_email</t>
  </si>
  <si>
    <t xml:space="preserve">email_status</t>
  </si>
  <si>
    <t xml:space="preserve">channel</t>
  </si>
  <si>
    <t xml:space="preserve">score</t>
  </si>
  <si>
    <t xml:space="preserve">score_reason</t>
  </si>
  <si>
    <t xml:space="preserve">onsite_band</t>
  </si>
  <si>
    <t xml:space="preserve">nearest_stocked_retailer</t>
  </si>
  <si>
    <t xml:space="preserve">nearest_retailer_grade</t>
  </si>
  <si>
    <t xml:space="preserve">why_now</t>
  </si>
  <si>
    <t xml:space="preserve">why_now_url</t>
  </si>
  <si>
    <t xml:space="preserve">why_now_date</t>
  </si>
  <si>
    <t xml:space="preserve">known_to_founder</t>
  </si>
  <si>
    <t xml:space="preserve">startup_cpg_member</t>
  </si>
  <si>
    <t xml:space="preserve">do_not_contact</t>
  </si>
  <si>
    <t xml:space="preserve">status</t>
  </si>
  <si>
    <t xml:space="preserve">source_url</t>
  </si>
  <si>
    <t xml:space="preserve">found_date</t>
  </si>
  <si>
    <t xml:space="preserve">side</t>
  </si>
  <si>
    <t xml:space="preserve">daily_view_rank</t>
  </si>
  <si>
    <t xml:space="preserve">rank</t>
  </si>
  <si>
    <t xml:space="preserve">top50</t>
  </si>
  <si>
    <t xml:space="preserve">check_before_send</t>
  </si>
  <si>
    <t xml:space="preserve">contact_role</t>
  </si>
  <si>
    <t xml:space="preserve">contact_status</t>
  </si>
  <si>
    <t xml:space="preserve">contact_evidence</t>
  </si>
  <si>
    <t xml:space="preserve">contact_source_url</t>
  </si>
  <si>
    <t xml:space="preserve">contact_source_date</t>
  </si>
  <si>
    <t xml:space="preserve">title_match</t>
  </si>
  <si>
    <t xml:space="preserve">street_address</t>
  </si>
  <si>
    <t xml:space="preserve">floor</t>
  </si>
  <si>
    <t xml:space="preserve">lease_status</t>
  </si>
  <si>
    <t xml:space="preserve">onsite_low</t>
  </si>
  <si>
    <t xml:space="preserve">onsite_high</t>
  </si>
  <si>
    <t xml:space="preserve">onsite_confidence</t>
  </si>
  <si>
    <t xml:space="preserve">attendance_signal</t>
  </si>
  <si>
    <t xml:space="preserve">company_group</t>
  </si>
  <si>
    <t xml:space="preserve">hold_before_outreach</t>
  </si>
  <si>
    <t xml:space="preserve">hold_reason</t>
  </si>
  <si>
    <t xml:space="preserve">opt_out_date</t>
  </si>
  <si>
    <t xml:space="preserve">ready_for_outreach</t>
  </si>
  <si>
    <t xml:space="preserve">ready_reason</t>
  </si>
  <si>
    <t xml:space="preserve">founder_ok_to_queue</t>
  </si>
  <si>
    <t xml:space="preserve">onsite_founder_call</t>
  </si>
  <si>
    <t xml:space="preserve">gate_result</t>
  </si>
  <si>
    <t xml:space="preserve">gate_reason</t>
  </si>
  <si>
    <t xml:space="preserve">org_type</t>
  </si>
  <si>
    <t xml:space="preserve">b_id</t>
  </si>
  <si>
    <t xml:space="preserve">website</t>
  </si>
  <si>
    <t xml:space="preserve">industry</t>
  </si>
  <si>
    <t xml:space="preserve">employee_count</t>
  </si>
  <si>
    <t xml:space="preserve">employee_count_second</t>
  </si>
  <si>
    <t xml:space="preserve">headcount_band</t>
  </si>
  <si>
    <t xml:space="preserve">headcount_scope</t>
  </si>
  <si>
    <t xml:space="preserve">headcount_check</t>
  </si>
  <si>
    <t xml:space="preserve">headcount_source_url</t>
  </si>
  <si>
    <t xml:space="preserve">headcount_second_source_url</t>
  </si>
  <si>
    <t xml:space="preserve">size_class</t>
  </si>
  <si>
    <t xml:space="preserve">hq_city</t>
  </si>
  <si>
    <t xml:space="preserve">hq_in_nyc</t>
  </si>
  <si>
    <t xml:space="preserve">parent_company</t>
  </si>
  <si>
    <t xml:space="preserve">linkedin_company_url</t>
  </si>
  <si>
    <t xml:space="preserve">zip</t>
  </si>
  <si>
    <t xml:space="preserve">lat</t>
  </si>
  <si>
    <t xml:space="preserve">lon</t>
  </si>
  <si>
    <t xml:space="preserve">in_boundary</t>
  </si>
  <si>
    <t xml:space="preserve">blocks_outside</t>
  </si>
  <si>
    <t xml:space="preserve">building_id</t>
  </si>
  <si>
    <t xml:space="preserve">building_name</t>
  </si>
  <si>
    <t xml:space="preserve">address_source_url</t>
  </si>
  <si>
    <t xml:space="preserve">address_source_date</t>
  </si>
  <si>
    <t xml:space="preserve">address_source_type</t>
  </si>
  <si>
    <t xml:space="preserve">second_source_url</t>
  </si>
  <si>
    <t xml:space="preserve">second_source_date</t>
  </si>
  <si>
    <t xml:space="preserve">source_note</t>
  </si>
  <si>
    <t xml:space="preserve">confidence</t>
  </si>
  <si>
    <t xml:space="preserve">move_in_date</t>
  </si>
  <si>
    <t xml:space="preserve">in_coworking</t>
  </si>
  <si>
    <t xml:space="preserve">coworking_id</t>
  </si>
  <si>
    <t xml:space="preserve">pantry_control</t>
  </si>
  <si>
    <t xml:space="preserve">lobby_type</t>
  </si>
  <si>
    <t xml:space="preserve">lobby_source_url</t>
  </si>
  <si>
    <t xml:space="preserve">coi_required</t>
  </si>
  <si>
    <t xml:space="preserve">tuesday_named_in_policy</t>
  </si>
  <si>
    <t xml:space="preserve">attendance_evidence</t>
  </si>
  <si>
    <t xml:space="preserve">attendance_source_url</t>
  </si>
  <si>
    <t xml:space="preserve">attendance_source_date</t>
  </si>
  <si>
    <t xml:space="preserve">onsite_central</t>
  </si>
  <si>
    <t xml:space="preserve">onsite_flags</t>
  </si>
  <si>
    <t xml:space="preserve">onsite_basis</t>
  </si>
  <si>
    <t xml:space="preserve">onsite_label</t>
  </si>
  <si>
    <t xml:space="preserve">onsite_fit_share</t>
  </si>
  <si>
    <t xml:space="preserve">score_raw</t>
  </si>
  <si>
    <t xml:space="preserve">score_onsite</t>
  </si>
  <si>
    <t xml:space="preserve">score_size</t>
  </si>
  <si>
    <t xml:space="preserve">score_attendance</t>
  </si>
  <si>
    <t xml:space="preserve">score_address</t>
  </si>
  <si>
    <t xml:space="preserve">score_title</t>
  </si>
  <si>
    <t xml:space="preserve">score_known</t>
  </si>
  <si>
    <t xml:space="preserve">backup_first_name</t>
  </si>
  <si>
    <t xml:space="preserve">backup_last_name</t>
  </si>
  <si>
    <t xml:space="preserve">backup_title</t>
  </si>
  <si>
    <t xml:space="preserve">backup_linkedin_url</t>
  </si>
  <si>
    <t xml:space="preserve">backup_work_email</t>
  </si>
  <si>
    <t xml:space="preserve">backup_email_status</t>
  </si>
  <si>
    <t xml:space="preserve">b_candidate_status</t>
  </si>
  <si>
    <t xml:space="preserve">near_miss_class</t>
  </si>
  <si>
    <t xml:space="preserve">nyc_office_may_fit</t>
  </si>
  <si>
    <t xml:space="preserve">leased_sf_mentioned</t>
  </si>
  <si>
    <t xml:space="preserve">b_notes</t>
  </si>
  <si>
    <t xml:space="preserve">a_corrections</t>
  </si>
  <si>
    <t xml:space="preserve">contact_name_as_found</t>
  </si>
  <si>
    <t xml:space="preserve">contact_record_date</t>
  </si>
  <si>
    <t xml:space="preserve">contact_note</t>
  </si>
  <si>
    <t xml:space="preserve">linkedin_status</t>
  </si>
  <si>
    <t xml:space="preserve">backup_contact_role</t>
  </si>
  <si>
    <t xml:space="preserve">backup_contact_name_as_found</t>
  </si>
  <si>
    <t xml:space="preserve">backup_contact_status</t>
  </si>
  <si>
    <t xml:space="preserve">backup_contact_evidence</t>
  </si>
  <si>
    <t xml:space="preserve">backup_contact_source_url</t>
  </si>
  <si>
    <t xml:space="preserve">backup_contact_record_date</t>
  </si>
  <si>
    <t xml:space="preserve">backup_contact_note</t>
  </si>
  <si>
    <t xml:space="preserve">contacts_researched</t>
  </si>
  <si>
    <t xml:space="preserve">contact_ny_base</t>
  </si>
  <si>
    <t xml:space="preserve">company_group_reason</t>
  </si>
  <si>
    <t xml:space="preserve">sequence</t>
  </si>
  <si>
    <t xml:space="preserve">touch_1_date</t>
  </si>
  <si>
    <t xml:space="preserve">touch_2_date</t>
  </si>
  <si>
    <t xml:space="preserve">touch_3_date</t>
  </si>
  <si>
    <t xml:space="preserve">last_reply_date</t>
  </si>
  <si>
    <t xml:space="preserve">reply_type</t>
  </si>
  <si>
    <t xml:space="preserve">call_date</t>
  </si>
  <si>
    <t xml:space="preserve">call_notes</t>
  </si>
  <si>
    <t xml:space="preserve">yes_in_principle</t>
  </si>
  <si>
    <t xml:space="preserve">next_action</t>
  </si>
  <si>
    <t xml:space="preserve">next_action_date</t>
  </si>
  <si>
    <t xml:space="preserve">referral_from</t>
  </si>
  <si>
    <t xml:space="preserve">street_short</t>
  </si>
  <si>
    <t xml:space="preserve">why_now_hook</t>
  </si>
  <si>
    <t xml:space="preserve">call_note_hook</t>
  </si>
  <si>
    <t xml:space="preserve">how_we_know</t>
  </si>
  <si>
    <t xml:space="preserve">referrer_ok_to_name</t>
  </si>
  <si>
    <t xml:space="preserve">in_flight</t>
  </si>
  <si>
    <t xml:space="preserve">group_blocked</t>
  </si>
  <si>
    <t xml:space="preserve">eligible</t>
  </si>
  <si>
    <t xml:space="preserve">view_pick</t>
  </si>
  <si>
    <t xml:space="preserve">in_daily_view</t>
  </si>
  <si>
    <t xml:space="preserve">row_order</t>
  </si>
  <si>
    <t xml:space="preserve">AO-C-035</t>
  </si>
  <si>
    <t xml:space="preserve">Global Strategy Group</t>
  </si>
  <si>
    <t xml:space="preserve">Joan</t>
  </si>
  <si>
    <t xml:space="preserve">McHugh-Ward</t>
  </si>
  <si>
    <t xml:space="preserve">Manager, HQ-Office Services</t>
  </si>
  <si>
    <t xml:space="preserve">none</t>
  </si>
  <si>
    <t xml:space="preserve">linkedin</t>
  </si>
  <si>
    <t xml:space="preserve">Tuesday estimate 63 to 125 (low confidence), under 500 staff company-wide, on-site 5 days a week per its profile, occupied at a high-confidence address; contact in the target titles named (Manager, HQ-Office Services).</t>
  </si>
  <si>
    <t xml:space="preserve">76-150</t>
  </si>
  <si>
    <t xml:space="preserve">N</t>
  </si>
  <si>
    <t xml:space="preserve">unknown</t>
  </si>
  <si>
    <t xml:space="preserve">contacted</t>
  </si>
  <si>
    <t xml:space="preserve">https://www.globalstrategygroup.com/locations/</t>
  </si>
  <si>
    <t xml:space="preserve">2026-10-23</t>
  </si>
  <si>
    <t xml:space="preserve">office</t>
  </si>
  <si>
    <t xml:space="preserve">Y</t>
  </si>
  <si>
    <t xml:space="preserve">find Joan McHugh-Ward at Global Strategy Group on LinkedIn and paste the profile URL</t>
  </si>
  <si>
    <t xml:space="preserve">pantry or office lead (primary)</t>
  </si>
  <si>
    <t xml:space="preserve">verified-page</t>
  </si>
  <si>
    <t xml:space="preserve">employer's own site</t>
  </si>
  <si>
    <t xml:space="preserve">https://globalstrategygroup.com/team/</t>
  </si>
  <si>
    <t xml:space="preserve">2026-10-24</t>
  </si>
  <si>
    <t xml:space="preserve">exact</t>
  </si>
  <si>
    <t xml:space="preserve">215 Park Avenue South</t>
  </si>
  <si>
    <t xml:space="preserve">15</t>
  </si>
  <si>
    <t xml:space="preserve">occupied</t>
  </si>
  <si>
    <t xml:space="preserve">low</t>
  </si>
  <si>
    <t xml:space="preserve">in-office-5</t>
  </si>
  <si>
    <t xml:space="preserve">pass</t>
  </si>
  <si>
    <t xml:space="preserve">passes all hard gates</t>
  </si>
  <si>
    <t xml:space="preserve">B-C-035</t>
  </si>
  <si>
    <t xml:space="preserve">https://www.globalstrategygroup.com</t>
  </si>
  <si>
    <t xml:space="preserve">public affairs, research and communications consulting</t>
  </si>
  <si>
    <t xml:space="preserve">187</t>
  </si>
  <si>
    <t xml:space="preserve">151-250</t>
  </si>
  <si>
    <t xml:space="preserve">whole-company</t>
  </si>
  <si>
    <t xml:space="preserve">single-source</t>
  </si>
  <si>
    <t xml:space="preserve">https://www.builtinnyc.com/company/global-strategy-group</t>
  </si>
  <si>
    <t xml:space="preserve">le500</t>
  </si>
  <si>
    <t xml:space="preserve">New York</t>
  </si>
  <si>
    <t xml:space="preserve">10003</t>
  </si>
  <si>
    <t xml:space="preserve">B-B-016</t>
  </si>
  <si>
    <t xml:space="preserve">215 Park Avenue South (SL Green managed)</t>
  </si>
  <si>
    <t xml:space="preserve">company-site</t>
  </si>
  <si>
    <t xml:space="preserve">https://www.sec.gov/Archives/edgar/data/1013454/000153949726000704/n5676_x5-424h.htm</t>
  </si>
  <si>
    <t xml:space="preserve">2026-02</t>
  </si>
  <si>
    <t xml:space="preserve">cites a sec.gov filing: agents do not open it (EDGAR demands a contact email); the founder may open it in a browser</t>
  </si>
  <si>
    <t xml:space="preserve">high</t>
  </si>
  <si>
    <t xml:space="preserve">security desk</t>
  </si>
  <si>
    <t xml:space="preserve">https://www.metro-manhattan.com/buildings/215-park-avenue-south/</t>
  </si>
  <si>
    <t xml:space="preserve">Built In workplace type: OnSite Workplace; typical time on-site: 5 days a week; recent job tags: 1 Hybrid</t>
  </si>
  <si>
    <t xml:space="preserve">https://www.builtinnyc.com/company/global-strategy-group/offices</t>
  </si>
  <si>
    <t xml:space="preserve">187 (Built In) staff (whole-company count) x 50% to 100% of them in the New York office (HQ New York; share assumed) x 67% (Partnership for NYC, firms under 500) in on a weekday = 63 to 125, central 89; low confidence; estimate until intake replaces it.</t>
  </si>
  <si>
    <t xml:space="preserve">estimate until intake replaces it</t>
  </si>
  <si>
    <t xml:space="preserve">Liana</t>
  </si>
  <si>
    <t xml:space="preserve">Kane</t>
  </si>
  <si>
    <t xml:space="preserve">Senior Executive Assistant to the CEO</t>
  </si>
  <si>
    <t xml:space="preserve">https://www.linkedin.com/in/liana-kane-ba771b29/</t>
  </si>
  <si>
    <t xml:space="preserve">candidate</t>
  </si>
  <si>
    <t xml:space="preserve">21,974 sf</t>
  </si>
  <si>
    <t xml:space="preserve">Locations page: '215 Park Avenue South, 15th Floor'. SEC rent roll 2026-02-05: 21,974 sf, lease to 2032-08-31. Built In NYC: 187 total employees across 8 offices, HQ New York.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</si>
  <si>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Joan McHugh-Ward</t>
  </si>
  <si>
    <t xml:space="preserve">ny_base=confirmed; title_fit=family (office services manager). Company team page lists 'Manager, HQ-Office Services'; her profile page https://globalstrategygroup.com/team/joan-mchugh/ is titled 'HQ Office Services'. GSG HQ is New York (215 Park Avenue South). No LinkedIn URL on the company page.</t>
  </si>
  <si>
    <t xml:space="preserve">pantry or office lead (backup)</t>
  </si>
  <si>
    <t xml:space="preserve">Liana Kane</t>
  </si>
  <si>
    <t xml:space="preserve">https://globalstrategygroup.com/team/liana-kane/</t>
  </si>
  <si>
    <t xml:space="preserve">2026-09-07</t>
  </si>
  <si>
    <t xml:space="preserve">ny_base=confirmed; title_fit=family (EA to CEO). Company profile page gives the title and links this LinkedIn profile (LinkedIn not opened). The Org (https://theorg.com/org/global-strategy-group/person/liana-kane, updated 2026-09-07) attaches her to the New York HQ office. Bio lists office organization among her duties.</t>
  </si>
  <si>
    <t xml:space="preserve">confirmed</t>
  </si>
  <si>
    <t xml:space="preserve">AO-C-160</t>
  </si>
  <si>
    <t xml:space="preserve">K Health</t>
  </si>
  <si>
    <t xml:space="preserve">Naomy</t>
  </si>
  <si>
    <t xml:space="preserve">Ambroise</t>
  </si>
  <si>
    <t xml:space="preserve">People Operations Generalist</t>
  </si>
  <si>
    <t xml:space="preserve">Tuesday estimate 122 to 281 (low confidence), under 500 staff company-wide, on-site 5 days a week per its profile, occupied at a high-confidence address; contact in the target titles named (People Operations Generalist).</t>
  </si>
  <si>
    <t xml:space="preserve">new</t>
  </si>
  <si>
    <t xml:space="preserve">https://www.connectcre.com/stories/ai-native-hanover-park-leases-full-floor-at-387-park-ave-south/</t>
  </si>
  <si>
    <t xml:space="preserve">find Naomy Ambroise at K Health on LinkedIn and paste the profile URL (this also confirms the name: The Org is crowd-edited)</t>
  </si>
  <si>
    <t xml:space="preserve">The Org (crowd-edited org chart)</t>
  </si>
  <si>
    <t xml:space="preserve">https://theorg.com/org/k-health/person/naomy-ambroise</t>
  </si>
  <si>
    <t xml:space="preserve">387 Park Avenue South</t>
  </si>
  <si>
    <t xml:space="preserve">9</t>
  </si>
  <si>
    <t xml:space="preserve">B-C-160</t>
  </si>
  <si>
    <t xml:space="preserve">https://khealth.com</t>
  </si>
  <si>
    <t xml:space="preserve">healthtech (AI primary care)</t>
  </si>
  <si>
    <t xml:space="preserve">363</t>
  </si>
  <si>
    <t xml:space="preserve">419</t>
  </si>
  <si>
    <t xml:space="preserve">251-500</t>
  </si>
  <si>
    <t xml:space="preserve">agree</t>
  </si>
  <si>
    <t xml:space="preserve">https://www.builtinnyc.com/company/k-health/offices</t>
  </si>
  <si>
    <t xml:space="preserve">https://www.reveliolabs.com/companies/k-health/employees</t>
  </si>
  <si>
    <t xml:space="preserve">10016</t>
  </si>
  <si>
    <t xml:space="preserve">B-B-073</t>
  </si>
  <si>
    <t xml:space="preserve">387 Park Avenue South (TF Cornerstone)</t>
  </si>
  <si>
    <t xml:space="preserve">2026-08-14</t>
  </si>
  <si>
    <t xml:space="preserve">leasing-press</t>
  </si>
  <si>
    <t xml:space="preserve">https://khealth.com/terms-of-use/</t>
  </si>
  <si>
    <t xml:space="preserve">completed a long-term renewal at 387 PAS in late 2025. CONFLICT: Built In (363 employees, on-site 5 days) lists HQ at 298 5th Ave, 7th</t>
  </si>
  <si>
    <t xml:space="preserve">may exceed 250</t>
  </si>
  <si>
    <t xml:space="preserve">363 (Built In) and 419 (Revelio Labs) staff (whole-company count) x 50% to 100% of them in the New York office (HQ New York; share assumed) x 67% (Partnership for NYC, firms under 500) in on a weekday = 122 to 281, central 185; low confidence; estimate until intake replaces it.</t>
  </si>
  <si>
    <t xml:space="preserve">Ana</t>
  </si>
  <si>
    <t xml:space="preserve">Ramos</t>
  </si>
  <si>
    <t xml:space="preserve">VP of Operations</t>
  </si>
  <si>
    <t xml:space="preserve">Connect CRE says K Health completed a long-term renewal at 387 PAS in late 2025. CONFLICT: Built In (363 employees, on-site 5 days) lists HQ at 298 5th Ave, 7th Floor (30th-31st St, margin). Founder to confirm which office is current. | Assembly 2026-10-24: Conflict resolved at assembly: K Health's own terms of use (opened 2026-10-24) give 'Company's Legal Department, 387 Park Ave South, 9th Floor, NY, NY 10016', which agrees with the Connect CRE renewal at 387 PAS (late 2025). Built In's 298 Fifth Ave, 7th floor is stale. Upgraded to high. Review round 2: a second count agrees with the band: Revelio Labs (K Health, Inc., HQ New York City): about 419 employees worldwide as of March 2026. Review round 2: corner lot: the lot-centroid pin sat 24 m from E 27 ST but 34 m from PARK AVE S, so it was moved to the PARK AVE S frontage near the corner (13 m from the PARK AVE S centreline, 26 m from E 27 ST; 21 m from the old pin). Tax lot unchanged.</t>
  </si>
  <si>
    <t xml:space="preserve">Naomy Ambroise</t>
  </si>
  <si>
    <t xml:space="preserve">2026-02-14</t>
  </si>
  <si>
    <t xml:space="preserve">ny_base=likely (The Org gives a New York location, no office attached); title_fit=family (people operations). The Org updated 2026-02-14. Search results showed a temporary 'Executive Assistant and Office Manager' New York posting (2026-09-04, job boards, not opened); it no longer appears on K Health's Greenhouse board (opened 2026-10-24), so an office manager may have just joined: ask for them by name.</t>
  </si>
  <si>
    <t xml:space="preserve">Ana Ramos</t>
  </si>
  <si>
    <t xml:space="preserve">https://theorg.com/org/k-health/person/ana-ramos</t>
  </si>
  <si>
    <t xml:space="preserve">2026-01-19</t>
  </si>
  <si>
    <t xml:space="preserve">ny_base=confirmed (The Org attaches the role to K Health's New York HQ office); title_fit=adjacent (operations lead, team 'Finance and Operations'). The Org updated 2026-01-19.</t>
  </si>
  <si>
    <t xml:space="preserve">likely</t>
  </si>
  <si>
    <t xml:space="preserve">AO-C-037</t>
  </si>
  <si>
    <t xml:space="preserve">Nayya</t>
  </si>
  <si>
    <t xml:space="preserve">Phoebe</t>
  </si>
  <si>
    <t xml:space="preserve">Waxman</t>
  </si>
  <si>
    <t xml:space="preserve">Senior People Operations Analyst</t>
  </si>
  <si>
    <t xml:space="preserve">Tuesday estimate 50 to 134 (low confidence), under 500 staff company-wide, hybrid 3 days, occupied at a high-confidence address; contact in the target titles named (Senior People Operations Analyst).</t>
  </si>
  <si>
    <t xml:space="preserve">find Phoebe Waxman at Nayya on LinkedIn and paste the profile URL (this also confirms the name: The Org is crowd-edited)</t>
  </si>
  <si>
    <t xml:space="preserve">https://theorg.com/org/nayya/person/phoebe-waxman</t>
  </si>
  <si>
    <t xml:space="preserve">4</t>
  </si>
  <si>
    <t xml:space="preserve">hybrid-3</t>
  </si>
  <si>
    <t xml:space="preserve">B-C-037</t>
  </si>
  <si>
    <t xml:space="preserve">https://www.nayya.com</t>
  </si>
  <si>
    <t xml:space="preserve">benefits software (health tech)</t>
  </si>
  <si>
    <t xml:space="preserve">150</t>
  </si>
  <si>
    <t xml:space="preserve">200</t>
  </si>
  <si>
    <t xml:space="preserve">disagree</t>
  </si>
  <si>
    <t xml:space="preserve">https://www.builtinnyc.com/company/nayya</t>
  </si>
  <si>
    <t xml:space="preserve">https://www.reveliolabs.com/companies/nayya-health/employees</t>
  </si>
  <si>
    <t xml:space="preserve">other</t>
  </si>
  <si>
    <t xml:space="preserve">https://www.nyrej.com/sl-green-signs-29-915-s-f-lease-with-nayya-health-at-215-park-ave-south</t>
  </si>
  <si>
    <t xml:space="preserve">2024-12-10</t>
  </si>
  <si>
    <t xml:space="preserve">Built In workplace type: Hybrid Workplace; typical time on-site: 3 days a week; recent job tags: 3 Hybrid</t>
  </si>
  <si>
    <t xml:space="preserve">https://www.builtinnyc.com/company/nayya/offices</t>
  </si>
  <si>
    <t xml:space="preserve">150 (Built In) and 200 (Revelio Labs) staff (whole-company count) x 50% to 100% of them in the New York office (HQ New York; share assumed) x 67% (Partnership for NYC, firms under 500) in on a weekday = 50 to 134, central 82; low confidence; estimate until intake replaces it.</t>
  </si>
  <si>
    <t xml:space="preserve">Amber</t>
  </si>
  <si>
    <t xml:space="preserve">Hewko</t>
  </si>
  <si>
    <t xml:space="preserve">Executive Assistant</t>
  </si>
  <si>
    <t xml:space="preserve">29,915 sf;12,660 sf</t>
  </si>
  <si>
    <t xml:space="preserve">SEC CMBS prospectus (Benchmark 2026-B42), rent roll dated 2026-02-05: Nayya Health Inc. 29,915 sf, lease to 2029-12-31, subleases its 18th-floor part (12,660 sf) to BaseTen Labs. NYREJ 2024-12-10: entire 4th floor plus part of 18th. Built In NYC: 150 total employees, HQ New York. | Assembly 2026-10-24: SEC EDGAR source (sec.gov): this agent will not re-open it, because EDGAR serves only requests that carry a contact email and the project rule forbids sending one; the founder may open it in a browser. Review round 2: band changed from 76-150 to unknown. Sources disagree: Built In shows 150 (76-150) and Revelio Labs (Nayya Health, Inc., HQ New York City): about 200 employees worldwide as of March 2026 (151-250). Band left unknown; founder to confirm at intake. Review round 2: corner lot: the lot-centroid pin sat 20 m from E 18 ST but 39 m from PARK AVE S, so it was moved to the PARK AVE S frontage near the corner (14 m from the PARK AVE S centreline, 26 m from E 18 ST; 26 m from the old pin). Tax lot unchanged.</t>
  </si>
  <si>
    <t xml:space="preserve">Phoebe Waxman</t>
  </si>
  <si>
    <t xml:space="preserve">2026-01-24</t>
  </si>
  <si>
    <t xml:space="preserve">ny_base=likely (The Org gives a New York location, no office attached); title_fit=family (people operations). The Org updated 2026-01-24. Nayya has advertised a 5-days-in-office NYC Office Manager role (search results: builtinnyc.com/job/office-manager/297301, venturefizz, not opened); no name found for that seat.</t>
  </si>
  <si>
    <t xml:space="preserve">Amber Hewko</t>
  </si>
  <si>
    <t xml:space="preserve">https://theorg.com/org/nayya/person/amber-hewko</t>
  </si>
  <si>
    <t xml:space="preserve">2025-05-30</t>
  </si>
  <si>
    <t xml:space="preserve">ny_base=unconfirmed (no location or office on The Org); title_fit=variant (The Org shows her reporting to the CEO, Sarah Liebel). The Org updated 2025-05-30.</t>
  </si>
  <si>
    <t xml:space="preserve">AO-C-034</t>
  </si>
  <si>
    <t xml:space="preserve">Cognitiv</t>
  </si>
  <si>
    <t xml:space="preserve">Jason</t>
  </si>
  <si>
    <t xml:space="preserve">Pellegrino</t>
  </si>
  <si>
    <t xml:space="preserve">SVP, People</t>
  </si>
  <si>
    <t xml:space="preserve">Tuesday estimate 56 to 114 (low confidence), under 500 staff company-wide, hybrid 3 days with Tuesday named as an office day, occupied at a high-confidence address; adjacent contact named (SVP, People).</t>
  </si>
  <si>
    <t xml:space="preserve">https://cognitiv.ai/contact/</t>
  </si>
  <si>
    <t xml:space="preserve">find Jason Pellegrino at Cognitiv on LinkedIn and paste the profile URL; adjacent title: ask who runs the pantry</t>
  </si>
  <si>
    <t xml:space="preserve">https://cognitiv.ai/about-us</t>
  </si>
  <si>
    <t xml:space="preserve">adjacent</t>
  </si>
  <si>
    <t xml:space="preserve">16</t>
  </si>
  <si>
    <t xml:space="preserve">B-C-034</t>
  </si>
  <si>
    <t xml:space="preserve">https://cognitiv.ai</t>
  </si>
  <si>
    <t xml:space="preserve">adtech (AI advertising)</t>
  </si>
  <si>
    <t xml:space="preserve">170</t>
  </si>
  <si>
    <t xml:space="preserve">166</t>
  </si>
  <si>
    <t xml:space="preserve">https://www.builtinnyc.com/company/cognitiv</t>
  </si>
  <si>
    <t xml:space="preserve">https://www.reveliolabs.com/companies/cognitiv/employees</t>
  </si>
  <si>
    <t xml:space="preserve">https://www.builtinnyc.com/company/cognitiv/offices</t>
  </si>
  <si>
    <t xml:space="preserve">170 (Built In) and 166 (Revelio Labs) staff (whole-company count) x 50% to 100% of them in the New York office (HQ New York; share assumed) x 67% (Partnership for NYC, firms under 500) in on a weekday = 56 to 114, central 80; low confidence; estimate until intake replaces it.</t>
  </si>
  <si>
    <t xml:space="preserve">Rebecca</t>
  </si>
  <si>
    <t xml:space="preserve">Aliab D.</t>
  </si>
  <si>
    <t xml:space="preserve">Vice President, Business Operations</t>
  </si>
  <si>
    <t xml:space="preserve">16,612 sf</t>
  </si>
  <si>
    <t xml:space="preserve">Contact page: '215 Park Ave S, Floor 16 New York, NY 10003'. SEC prospectus: Cognitiv Corp. subleases Stellar Health's 16th floor (16,612 sf) through 2027-01-31, so the space may change after January 2027. Built In NYC: 170 total employees, 4 offices,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(Cognitiv Corp., HQ New York City): about 166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</si>
  <si>
    <t xml:space="preserve">Jason Pellegrino</t>
  </si>
  <si>
    <t xml:space="preserve">2026-03-04</t>
  </si>
  <si>
    <t xml:space="preserve">ny_base=confirmed; title_fit=variant (people lead). Listed on the company's Meet Our Team section. The Org (https://theorg.com/org/cognitiv/person/jason-pellegrino-phr, updated 2026-03-04) attaches him to Cognitiv's New York HQ office. No office manager found; Cognitiv's office-manager posting found in search was for Tel Aviv.</t>
  </si>
  <si>
    <t xml:space="preserve">Rebecca Aliab D.</t>
  </si>
  <si>
    <t xml:space="preserve">https://theorg.com/org/cognitiv/person/rebecca-aliab-d</t>
  </si>
  <si>
    <t xml:space="preserve">ny_base=confirmed; title_fit=adjacent (business operations lead). The Org attaches the role to Cognitiv's New York HQ office (updated 2026-01-19). Surname appears truncated on The Org ('Aliab D.'); founder to confirm the full name before outreach.</t>
  </si>
  <si>
    <t xml:space="preserve">AO-C-085</t>
  </si>
  <si>
    <t xml:space="preserve">Empathy</t>
  </si>
  <si>
    <t xml:space="preserve">Nafissatou</t>
  </si>
  <si>
    <t xml:space="preserve">Babylas Ndiaye</t>
  </si>
  <si>
    <t xml:space="preserve">Head of People, US</t>
  </si>
  <si>
    <t xml:space="preserve">Tuesday estimate 67 to 134 (low confidence), under 500 staff company-wide, hybrid 3 days with Tuesday named as an office day, occupied at a high-confidence address; adjacent contact named (Head of People, US).</t>
  </si>
  <si>
    <t xml:space="preserve">https://www.empathy.com/</t>
  </si>
  <si>
    <t xml:space="preserve">find Nafissatou Babylas Ndiaye at Empathy on LinkedIn and paste the profile URL (this also confirms the name: The Org is crowd-edited); adjacent title: ask who runs the pantry</t>
  </si>
  <si>
    <t xml:space="preserve">https://theorg.com/org/empathy/person/nafissatou-babylas-ndiaye</t>
  </si>
  <si>
    <t xml:space="preserve">56 West 22nd Street</t>
  </si>
  <si>
    <t xml:space="preserve">PH</t>
  </si>
  <si>
    <t xml:space="preserve">B-C-085</t>
  </si>
  <si>
    <t xml:space="preserve">https://www.empathy.com</t>
  </si>
  <si>
    <t xml:space="preserve">software and services (bereavement support, insurtech)</t>
  </si>
  <si>
    <t xml:space="preserve">https://www.builtinnyc.com/company/empathy</t>
  </si>
  <si>
    <t xml:space="preserve">10010</t>
  </si>
  <si>
    <t xml:space="preserve">B-B-039</t>
  </si>
  <si>
    <t xml:space="preserve">56 West 22nd Street (Kaufman Organization)</t>
  </si>
  <si>
    <t xml:space="preserve">https://commercialobserver.com/2024/03/nyu-langones-empathy-project-takes-6k-sf-in-flatiron-district/</t>
  </si>
  <si>
    <t xml:space="preserve">2024-03-06</t>
  </si>
  <si>
    <t xml:space="preserve">Built In workplace type: Hybrid Workplace; typical time on-site: 3 days a week; recent job tags: 2 Hybrid, 1 Remote</t>
  </si>
  <si>
    <t xml:space="preserve">https://www.builtinnyc.com/company/empathy/offices</t>
  </si>
  <si>
    <t xml:space="preserve">200 (Built In) staff (whole-company count) x 50% to 100% of them in the New York office (HQ New York; share assumed) x 67% (Partnership for NYC, firms under 500) in on a weekday = 67 to 134, central 95; low confidence; estimate until intake replaces it.</t>
  </si>
  <si>
    <t xml:space="preserve">5,508 sf</t>
  </si>
  <si>
    <t xml:space="preserve">Built In lists HQ at 56 W 22nd St; CO Mar 2024 reported the HQ move to the 5,508 sf penthouse. Built In shows 200 total employees. | Assembly 2026-10-24: Review round 1: Empathy's own homepage structured data (opened 2026-10-24) gives streetAddress '56 W 22nd Street', 10010, so the row stays high on its own page plus Built In. The CO 2024-03-06 lease is the older third source. Review round 3: Built In is an employer-editable profile, so it no longer counts as the independent confirmation of the company's own page. The independent source is now CO 2024-03-06 (opened 2026-10-24; headline 'Loss Support Organization Empathy Takes 6K SF in Flatiron District'): 'moving its headquarters to the top floor of Kaufman Organization's 56 West 22nd Street'. The row stays high.</t>
  </si>
  <si>
    <t xml:space="preserve">Nafissatou Babylas Ndiaye</t>
  </si>
  <si>
    <t xml:space="preserve">2026-09-01</t>
  </si>
  <si>
    <t xml:space="preserve">ny_base=confirmed; title_fit=variant (people lead). The Org attaches the role to Empathy's New York HQ office (updated 2026-09-01; The Org's office record shows 1178 Broadway, B's company-site address is 56 West 22nd Street). Empathy is hiring a 'Workplace Experience Associate, People Operations | New York' to own the NYC office experience, posted 2026-10-06 (opened https://jobs.generalcatalyst.com/companies/empathy/jobs/95904631-workplace-experience-associate and https://www.empathy.com/careers): the pantry seat is vacant, so the Head of People is the right first contact.</t>
  </si>
  <si>
    <t xml:space="preserve">AO-C-031</t>
  </si>
  <si>
    <t xml:space="preserve">Dashlane</t>
  </si>
  <si>
    <t xml:space="preserve">Caroline</t>
  </si>
  <si>
    <t xml:space="preserve">Lee</t>
  </si>
  <si>
    <t xml:space="preserve">Workplace Experience Specialist</t>
  </si>
  <si>
    <t xml:space="preserve">Tuesday estimate 95 to 214 (low confidence), under 500 staff company-wide, hybrid (days not stated), occupied at a high-confidence address; contact in the target titles named (Workplace Experience Specialist).</t>
  </si>
  <si>
    <t xml:space="preserve">https://www.dashlane.com/terms</t>
  </si>
  <si>
    <t xml:space="preserve">find Caroline Lee at Dashlane on LinkedIn and paste the profile URL (this also confirms the name: The Org is crowd-edited)</t>
  </si>
  <si>
    <t xml:space="preserve">https://theorg.com/org/dashlane/person/caroline-lee</t>
  </si>
  <si>
    <t xml:space="preserve">44 West 18th Street</t>
  </si>
  <si>
    <t xml:space="preserve">hybrid-unspecified</t>
  </si>
  <si>
    <t xml:space="preserve">B-C-031</t>
  </si>
  <si>
    <t xml:space="preserve">https://www.dashlane.com</t>
  </si>
  <si>
    <t xml:space="preserve">software (password management / security)</t>
  </si>
  <si>
    <t xml:space="preserve">284</t>
  </si>
  <si>
    <t xml:space="preserve">319</t>
  </si>
  <si>
    <t xml:space="preserve">https://www.builtinnyc.com/company/dashlane</t>
  </si>
  <si>
    <t xml:space="preserve">https://www.reveliolabs.com/companies/dashlane/employees</t>
  </si>
  <si>
    <t xml:space="preserve">10011</t>
  </si>
  <si>
    <t xml:space="preserve">B-B-013</t>
  </si>
  <si>
    <t xml:space="preserve">https://commercialobserver.com/2019/04/dashlane-lease-44-west-18th-street-forty-four-eighteen-associates/</t>
  </si>
  <si>
    <t xml:space="preserve">2019-04-22</t>
  </si>
  <si>
    <t xml:space="preserve">Built In workplace type: Hybrid Workplace; typical time on-site: Flexible; recent job tags: 3 Hybrid</t>
  </si>
  <si>
    <t xml:space="preserve">https://www.builtinnyc.com/company/dashlane/offices</t>
  </si>
  <si>
    <t xml:space="preserve">284 (Built In) and 319 (Revelio Labs) staff (whole-company count) x 50% to 100% of them in the New York office (HQ New York; share assumed) x 67% (Partnership for NYC, firms under 500) in on a weekday = 95 to 214, central 143; low confidence; estimate until intake replaces it.</t>
  </si>
  <si>
    <t xml:space="preserve">Terms and privacy pages give Dashlane USA, Inc., 44 West 18th Street, 4th Floor; Built In lists HQ at 44 W 18th Street. Built In shows 284 total employees (Paris and NYC). Same building Hex lists as its prior NYC office. | Assembly 2026-10-24: Review round 3: Built In is an employer-editable profile, so it no longer counts as the independent confirmation of the company's own page. The independent source is now CO 2019-04-22 (opened 2026-10-24): 'signed a 10-year lease for the entire fourth floor' of 44 West 18th Street; Mann Report 2019-10-03 adds the third floor on a second 10-year lease. The row stays high. Review round 2: a second count agrees with the band: Revelio Labs (Dashlane, Inc., HQ New York City): about 319 employees worldwide as of March 2026.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</si>
  <si>
    <t xml:space="preserve">Caroline Lee</t>
  </si>
  <si>
    <t xml:space="preserve">2026-01-17</t>
  </si>
  <si>
    <t xml:space="preserve">ny_base=likely (The Org gives a New York location, no office attached); title_fit=family (workplace experience). The Org updated 2026-01-17. One name search found no LinkedIn URL.</t>
  </si>
  <si>
    <t xml:space="preserve">AO-C-083</t>
  </si>
  <si>
    <t xml:space="preserve">CompStak</t>
  </si>
  <si>
    <t xml:space="preserve">Maxine</t>
  </si>
  <si>
    <t xml:space="preserve">Swick</t>
  </si>
  <si>
    <t xml:space="preserve">VP, Head of People</t>
  </si>
  <si>
    <t xml:space="preserve">Tuesday estimate 50 to 105 (low confidence), under 500 staff company-wide, hybrid 3 days, occupied at a high-confidence address; adjacent contact named (VP, Head of People).</t>
  </si>
  <si>
    <t xml:space="preserve">40-75</t>
  </si>
  <si>
    <t xml:space="preserve">https://compstak.com/about</t>
  </si>
  <si>
    <t xml:space="preserve">find Maxine Swick at CompStak on LinkedIn and paste the profile URL (this also confirms the name: The Org is crowd-edited); adjacent title: ask who runs the pantry</t>
  </si>
  <si>
    <t xml:space="preserve">https://theorg.com/org/compstak/person/maxine-swick</t>
  </si>
  <si>
    <t xml:space="preserve">675 Avenue of the Americas</t>
  </si>
  <si>
    <t xml:space="preserve">B-C-083</t>
  </si>
  <si>
    <t xml:space="preserve">https://compstak.com</t>
  </si>
  <si>
    <t xml:space="preserve">software (commercial real estate data)</t>
  </si>
  <si>
    <t xml:space="preserve">157</t>
  </si>
  <si>
    <t xml:space="preserve">https://www.builtinnyc.com/company/compstak</t>
  </si>
  <si>
    <t xml:space="preserve">https://www.reveliolabs.com/companies/compstak/employees</t>
  </si>
  <si>
    <t xml:space="preserve">B-B-038</t>
  </si>
  <si>
    <t xml:space="preserve">Adams Dry Goods / Mattel Building (GFP Real Estate)</t>
  </si>
  <si>
    <t xml:space="preserve">https://commercialobserver.com/2022/12/compstak-leases-27k-sf-at-675-avenue-of-the-americas/</t>
  </si>
  <si>
    <t xml:space="preserve">2022-12-20</t>
  </si>
  <si>
    <t xml:space="preserve">https://www.builtinnyc.com/company/compstak/offices</t>
  </si>
  <si>
    <t xml:space="preserve">150 (Built In) and 157 (Revelio Labs) staff (whole-company count) x 50% to 100% of them in the New York office (HQ New York; share assumed) x 67% (Partnership for NYC, firms under 500) in on a weekday = 50 to 105, central 72; low confidence; estimate until intake replaces it.</t>
  </si>
  <si>
    <t xml:space="preserve">Alyssa</t>
  </si>
  <si>
    <t xml:space="preserve">Murrett</t>
  </si>
  <si>
    <t xml:space="preserve">VP, Operations</t>
  </si>
  <si>
    <t xml:space="preserve">25,644 sf</t>
  </si>
  <si>
    <t xml:space="preserve">Built In lists HQ at 675 6th Ave, 4th Floor; CO Dec 2022 reported the five-year, 25,644 sf HQ lease (term runs to about 2027). Built In shows 150 total employees. | Assembly 2026-10-24: Review round 1: CompStak's own About page (opened 2026-10-24) prints '675 6th Ave, Floor 4, New York, NY 10010', so the row stays high on its own page plus Built In. The CO 2022-12-20 lease is the older third source. Review round 3: Built In is an employer-editable profile, so it no longer counts as the independent confirmation of the company's own page. The independent source is now CO 2022-12-20 (opened 2026-10-24): 'signed a five-year lease to relocate its global headquarters to 25,644 square feet at 675 Avenue of the Americas'. The row stays high. Review round 2: band changed from 76-150 to unknown. Sources disagree: Built In shows 150 (76-150) and Revelio Labs (CompStak, Inc., HQ New York City): about 157 employees worldwide as of March 2026 (151-250). Band left unknown; founder to confirm at intake. Review round 2: corner lot: the lot-centroid pin sat 39 m from W 21 ST but 46 m from AVE OF THE AMERICAS, so it was moved to the AVE OF THE AMERICAS frontage near the corner (18 m from the AVE OF THE AMERICAS centreline, 39 m from W 21 ST; 28 m from the old pin). Tax lot unchanged.</t>
  </si>
  <si>
    <t xml:space="preserve">Maxine Swick</t>
  </si>
  <si>
    <t xml:space="preserve">2026-08-12</t>
  </si>
  <si>
    <t xml:space="preserve">ny_base=confirmed (The Org attaches the role to CompStak's New York HQ office); title_fit=variant (people lead). The Org updated 2026-08-12. CompStak has advertised a part-time New York Office Manager (search results: builtin.com/job/part-time-office-manager/7262140 and jobs.lever.co/compstak, not opened); no name found for that seat.</t>
  </si>
  <si>
    <t xml:space="preserve">Alyssa Murrett</t>
  </si>
  <si>
    <t xml:space="preserve">https://theorg.com/org/compstak/person/alyssa-murrett</t>
  </si>
  <si>
    <t xml:space="preserve">2023-02-26</t>
  </si>
  <si>
    <t xml:space="preserve">ny_base=unconfirmed (no location or office on The Org); title_fit=adjacent (operations lead). This The Org record was last updated 2023-02-26 and may be stale. A newer record (https://theorg.com/org/compstak/person/alyssa-m, 'Alyssa M.', 'SVP, Operations &amp; Marketing', updated 2025-06-27) may be the same person; founder to confirm.</t>
  </si>
  <si>
    <t xml:space="preserve">AO-C-052</t>
  </si>
  <si>
    <t xml:space="preserve">Bombas</t>
  </si>
  <si>
    <t xml:space="preserve">Carlos</t>
  </si>
  <si>
    <t xml:space="preserve">Arellano</t>
  </si>
  <si>
    <t xml:space="preserve">Workplace Coordinator</t>
  </si>
  <si>
    <t xml:space="preserve">Tuesday estimate 75 to 203 (low confidence), under 500 staff company-wide, on-site 5 days a week per its profile, occupancy-unconfirmed at a low-confidence address; contact in the target titles named (Workplace Coordinator).</t>
  </si>
  <si>
    <t xml:space="preserve">https://www.builtinnyc.com/company/bombas/offices</t>
  </si>
  <si>
    <t xml:space="preserve">find Carlos Arellano at Bombas on LinkedIn and paste the profile URL (this also confirms the name: The Org is crowd-edited); the source is dated 2024-11-14: check Carlos still holds the role</t>
  </si>
  <si>
    <t xml:space="preserve">https://theorg.com/org/bombas/person/carlos-arellano</t>
  </si>
  <si>
    <t xml:space="preserve">881 Broadway</t>
  </si>
  <si>
    <t xml:space="preserve">2</t>
  </si>
  <si>
    <t xml:space="preserve">occupancy-unconfirmed</t>
  </si>
  <si>
    <t xml:space="preserve">B-C-052</t>
  </si>
  <si>
    <t xml:space="preserve">https://bombas.com</t>
  </si>
  <si>
    <t xml:space="preserve">apparel brand (socks and basics)</t>
  </si>
  <si>
    <t xml:space="preserve">223</t>
  </si>
  <si>
    <t xml:space="preserve">303</t>
  </si>
  <si>
    <t xml:space="preserve">https://www.builtinnyc.com/company/bombas</t>
  </si>
  <si>
    <t xml:space="preserve">https://www.reveliolabs.com/companies/bombas/employees</t>
  </si>
  <si>
    <t xml:space="preserve">B-B-023</t>
  </si>
  <si>
    <t xml:space="preserve">115 Fifth Avenue / 881 Broadway (Arnold Constable block)</t>
  </si>
  <si>
    <t xml:space="preserve">builtin</t>
  </si>
  <si>
    <t xml:space="preserve">https://commercialobserver.com/2019/04/bombas-lease-881-broadway-the-winter-organization/</t>
  </si>
  <si>
    <t xml:space="preserve">2019-04-10</t>
  </si>
  <si>
    <t xml:space="preserve">https://www.metro-manhattan.com/buildings/115-fifth-avenue/</t>
  </si>
  <si>
    <t xml:space="preserve">Built In workplace type: OnSite Workplace; typical time on-site: 5 days a week; recent job tags: 3 In-Office</t>
  </si>
  <si>
    <t xml:space="preserve">223 (Built In) and 303 (Revelio Labs) staff (whole-company count) x 50% to 100% of them in the New York office (HQ New York; share assumed) x 67% (Partnership for NYC, firms under 500) in on a weekday = 75 to 203, central 123; low confidence; estimate until intake replaces it.</t>
  </si>
  <si>
    <t xml:space="preserve">Melissa</t>
  </si>
  <si>
    <t xml:space="preserve">King</t>
  </si>
  <si>
    <t xml:space="preserve">33,300 sf</t>
  </si>
  <si>
    <t xml:space="preserve">Built In (opened 2026-10-23) lists HQ at 881 Broadway, which shares tax lot 1008470062 with 115 Fifth Avenue. CO Apr 2019 reported a 10-year lease of the entire 2nd floor (33,300 sf), running to about 2029. Company site returned HTTP 429 to our fetches. Built In shows 223 total employees. Consumer brand. | Assembly 2026-10-24: Review round 1: lowered from high to medium. Built In is undated and the CO lease is 2019-04-10; bombas.com returned HTTP 429 again on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223 (151-250) and Revelio Labs (Bombas LLC, HQ New York City): about 303 employees worldwide as of March 2026 (251-500). Band left unknown; founder to confirm at intake. Review round 2: corner lot: the lot-centroid pin sat 21 m from E 19 ST but 57 m from BROADWAY, so it was moved to the BROADWAY frontage near the corner (15 m from the BROADWAY centreline, 26 m from E 19 ST; 46 m from the old pin). Tax lot unchanged.</t>
  </si>
  <si>
    <t xml:space="preserve">Carlos Arellano</t>
  </si>
  <si>
    <t xml:space="preserve">2024-11-14</t>
  </si>
  <si>
    <t xml:space="preserve">ny_base=likely (The Org gives a New York location, no office attached); title_fit=variant (workplace coordinator). The Org updated 2024-11-14, so the role may be stale: founder to confirm.</t>
  </si>
  <si>
    <t xml:space="preserve">Melissa King</t>
  </si>
  <si>
    <t xml:space="preserve">https://theorg.com/org/bombas/person/melissa-king</t>
  </si>
  <si>
    <t xml:space="preserve">2025-05-15</t>
  </si>
  <si>
    <t xml:space="preserve">ny_base=confirmed (The Org attaches the role to the 881 Broadway HQ office); title_fit=variant (The Org shows her reporting to the CEO, Jason Larose). The Org updated 2025-05-15. Alternate: Timothy Meola, Executive Assistant, also reporting to the CEO (https://theorg.com/org/bombas/person/timothy-meola).</t>
  </si>
  <si>
    <t xml:space="preserve">AO-C-091</t>
  </si>
  <si>
    <t xml:space="preserve">1stDibs</t>
  </si>
  <si>
    <t xml:space="preserve">Lindsay</t>
  </si>
  <si>
    <t xml:space="preserve">Cusatis</t>
  </si>
  <si>
    <t xml:space="preserve">Executive Assistant to Chief Executive Officer; Manager</t>
  </si>
  <si>
    <t xml:space="preserve">Tuesday estimate 94 to 305 (low confidence), under 500 staff company-wide, hybrid (days not stated), occupied at a high-confidence address; contact in the target titles named (Executive Assistant to Chief Executive Officer; Manager).</t>
  </si>
  <si>
    <t xml:space="preserve">https://www.1stdibs.com/about/user-agreement/</t>
  </si>
  <si>
    <t xml:space="preserve">find Lindsay Cusatis at 1stDibs on LinkedIn and paste the profile URL (this also confirms the name: The Org is crowd-edited); the source is dated 2024-11-24: check Lindsay still holds the role</t>
  </si>
  <si>
    <t xml:space="preserve">https://theorg.com/org/1stdibs/person/lindsay-cusatis</t>
  </si>
  <si>
    <t xml:space="preserve">300 Park Avenue South</t>
  </si>
  <si>
    <t xml:space="preserve">10</t>
  </si>
  <si>
    <t xml:space="preserve">B-C-091</t>
  </si>
  <si>
    <t xml:space="preserve">https://www.1stdibs.com/</t>
  </si>
  <si>
    <t xml:space="preserve">Online marketplace (design, art, antiques)</t>
  </si>
  <si>
    <t xml:space="preserve">455</t>
  </si>
  <si>
    <t xml:space="preserve">281</t>
  </si>
  <si>
    <t xml:space="preserve">https://www.builtinnyc.com/company/1stdibs/offices</t>
  </si>
  <si>
    <t xml:space="preserve">https://www.reveliolabs.com/companies/1stdibs/employees</t>
  </si>
  <si>
    <t xml:space="preserve">B-B-044</t>
  </si>
  <si>
    <t xml:space="preserve">300 Park Avenue South (Rockrose); also addressed 290 Park Avenue South</t>
  </si>
  <si>
    <t xml:space="preserve">https://commercialobserver.com/2025/08/flexible-finance-relocating-41k-sf-300-park-avenue-south/</t>
  </si>
  <si>
    <t xml:space="preserve">2025-08-18</t>
  </si>
  <si>
    <t xml:space="preserve">https://rockrose.com/office/300-park-ave-s/</t>
  </si>
  <si>
    <t xml:space="preserve">Built In workplace type: OnSite Workplace; typical time on-site: 5 days a week (box) but policy text: teams set their own in-office days</t>
  </si>
  <si>
    <t xml:space="preserve">455 (Built In) and 281 (Revelio Labs) staff (whole-company count) x 50% to 100% of them in the New York office (HQ New York; share assumed) x 67% (Partnership for NYC, firms under 500) in on a weekday = 94 to 305, central 169; low confidence; estimate until intake replaces it.</t>
  </si>
  <si>
    <t xml:space="preserve">Maura</t>
  </si>
  <si>
    <t xml:space="preserve">Bermingham</t>
  </si>
  <si>
    <t xml:space="preserve">People Business Partner</t>
  </si>
  <si>
    <t xml:space="preserve">13,671 sf</t>
  </si>
  <si>
    <t xml:space="preserve">Company user agreement and privacy policy (live) give 300 Park Avenue South, 10th Floor. CO Mar 2024: HQ move from 51 Astor Place, 13,671 sf; CO Aug 2025 lists 1stDibs as a current tenant. Built In: 455 total employees (profile still shows 51 Astor Place). | Assembly 2026-10-24: Review round 2: a second count agrees with the band: Revelio Labs (1stdibs.com, Inc., HQ New York City): about 281 employees worldwide as of March 2026. Review round 2: corner lot: the lot-centroid pin sat 24 m from E 22 ST but 25 m from PARK AVE S, so it was moved to the PARK AVE S frontage near the corner (13 m from the PARK AVE S centreline, 27 m from E 22 ST; 12 m from the old pin). Tax lot unchanged.</t>
  </si>
  <si>
    <t xml:space="preserve">Lindsay Cusatis</t>
  </si>
  <si>
    <t xml:space="preserve">2024-11-24</t>
  </si>
  <si>
    <t xml:space="preserve">ny_base=confirmed (The Org attaches the role to 1stDibs's New York HQ office and shows her reporting to the CEO, David Rosenblatt); title_fit=family (EA to CEO). The Org updated 2024-11-24.</t>
  </si>
  <si>
    <t xml:space="preserve">Maura Bermingham</t>
  </si>
  <si>
    <t xml:space="preserve">https://theorg.com/org/1stdibs/person/maura-bermingham</t>
  </si>
  <si>
    <t xml:space="preserve">2025-05-23</t>
  </si>
  <si>
    <t xml:space="preserve">ny_base=likely (The Org gives a New York location, no office attached); title_fit=variant (people). The Org updated 2025-05-23.</t>
  </si>
  <si>
    <t xml:space="preserve">AO-C-096</t>
  </si>
  <si>
    <t xml:space="preserve">Inspiren</t>
  </si>
  <si>
    <t xml:space="preserve">Jared</t>
  </si>
  <si>
    <t xml:space="preserve">Zimmer</t>
  </si>
  <si>
    <t xml:space="preserve">Chief of Staff to CCO</t>
  </si>
  <si>
    <t xml:space="preserve">Tuesday estimate 50 to 100 (low confidence), under 500 staff company-wide, hybrid (days not stated), occupied at a high-confidence address; adjacent contact named (Chief of Staff to CCO).</t>
  </si>
  <si>
    <t xml:space="preserve">New or renewed lease at 61 West 23rd Street reported 2026-09-21</t>
  </si>
  <si>
    <t xml:space="preserve">https://commercialobserver.com/2026/09/normal-computing-inspiren-leases-61-west-23rd-street/</t>
  </si>
  <si>
    <t xml:space="preserve">2026-09-21</t>
  </si>
  <si>
    <t xml:space="preserve">find Jared Zimmer at Inspiren on LinkedIn and paste the profile URL (this also confirms the name: The Org is crowd-edited); adjacent title: ask who runs the pantry</t>
  </si>
  <si>
    <t xml:space="preserve">https://theorg.com/org/inspiren/person/jared-zimmer</t>
  </si>
  <si>
    <t xml:space="preserve">61 West 23rd Street</t>
  </si>
  <si>
    <t xml:space="preserve">full floor (floor number not stated)</t>
  </si>
  <si>
    <t xml:space="preserve">B-C-096</t>
  </si>
  <si>
    <t xml:space="preserve">https://www.inspiren.com/</t>
  </si>
  <si>
    <t xml:space="preserve">Healthcare technology (AI for senior living)</t>
  </si>
  <si>
    <t xml:space="preserve">https://www.builtinnyc.com/company/inspiren/offices</t>
  </si>
  <si>
    <t xml:space="preserve">B-B-047</t>
  </si>
  <si>
    <t xml:space="preserve">61 West 23rd Street (Zegna family; Taconic development partner)</t>
  </si>
  <si>
    <t xml:space="preserve">Built In workplace type: Hybrid Workplace; typical time on-site: Flexible; recent job tags: 3 In-Office</t>
  </si>
  <si>
    <t xml:space="preserve">150 (Built In) staff (whole-company count) x 50% to 100% of them in the New York office (HQ New York; share assumed) x 67% (Partnership for NYC, firms under 500) in on a weekday = 50 to 100, central 71; low confidence; estimate until intake replaces it.</t>
  </si>
  <si>
    <t xml:space="preserve">8,367 sf</t>
  </si>
  <si>
    <t xml:space="preserve">CO: moved into 8,367 sf in early Sept 2026, first permanent NYC office (previously Brooklyn Navy Yard). Built In lists HQ 61 W 23rd St and 150 total employees (live profile, undated).</t>
  </si>
  <si>
    <t xml:space="preserve">Jared Zimmer</t>
  </si>
  <si>
    <t xml:space="preserve">2026-03-09</t>
  </si>
  <si>
    <t xml:space="preserve">ny_base=likely (The Org gives a New York location, no office attached); title_fit=adjacent (chief of staff at a small firm, but to the chief commercial officer, not the CEO). The Org updated 2026-03-09. Inspiren's HR coordinator on The Org is not placed in New York.</t>
  </si>
  <si>
    <t xml:space="preserve">AO-C-038</t>
  </si>
  <si>
    <t xml:space="preserve">Stellar Health</t>
  </si>
  <si>
    <t xml:space="preserve">Stavroula</t>
  </si>
  <si>
    <t xml:space="preserve">Zimaras</t>
  </si>
  <si>
    <t xml:space="preserve">Chief of Staff to CEO</t>
  </si>
  <si>
    <t xml:space="preserve">Tuesday estimate 55 to 126 (low confidence), under 500 staff company-wide, hybrid (days not stated), occupied at a high-confidence address; adjacent contact named (Chief of Staff to CEO).</t>
  </si>
  <si>
    <t xml:space="preserve">find Stavroula Zimaras at Stellar Health on LinkedIn and paste the profile URL (this also confirms the name: The Org is crowd-edited); adjacent title: ask who runs the pantry</t>
  </si>
  <si>
    <t xml:space="preserve">https://theorg.com/org/stellar-health/person/stavroula-zimaras</t>
  </si>
  <si>
    <t xml:space="preserve">B-C-038</t>
  </si>
  <si>
    <t xml:space="preserve">https://www.stellarhealth.net</t>
  </si>
  <si>
    <t xml:space="preserve">health tech (value-based care software)</t>
  </si>
  <si>
    <t xml:space="preserve">165</t>
  </si>
  <si>
    <t xml:space="preserve">188</t>
  </si>
  <si>
    <t xml:space="preserve">https://www.builtinnyc.com/company/stellar-health</t>
  </si>
  <si>
    <t xml:space="preserve">https://www.reveliolabs.com/companies/stellar-health-group/employees</t>
  </si>
  <si>
    <t xml:space="preserve">Built In workplace type: Hybrid Workplace; typical time on-site: Not Specified</t>
  </si>
  <si>
    <t xml:space="preserve">https://www.builtinnyc.com/company/stellar-health/offices</t>
  </si>
  <si>
    <t xml:space="preserve">165 (Built In) and 188 (Revelio Labs) staff (whole-company count) x 50% to 100% of them in the New York office (HQ New York; share assumed) x 67% (Partnership for NYC, firms under 500) in on a weekday = 55 to 126, central 83; low confidence; estimate until intake replaces it.</t>
  </si>
  <si>
    <t xml:space="preserve">Paul</t>
  </si>
  <si>
    <t xml:space="preserve">Savary</t>
  </si>
  <si>
    <t xml:space="preserve">Director HR Business Partner</t>
  </si>
  <si>
    <t xml:space="preserve">33,224 sf</t>
  </si>
  <si>
    <t xml:space="preserve">SEC rent roll 2026-02-05: The Stellar Health Group, Inc. 33,224 sf over two floors, lease to 2030-12-31; it subleases its 16th floor to Cognitiv, so it occupies one floor (floor number not stated). NYREJ 2024-12 lists Stellar Health Group as a tenant. Built In NYC: 165 total employees,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Stellar Health Group, Inc., HQ New York City): about 188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</si>
  <si>
    <t xml:space="preserve">Stavroula Zimaras</t>
  </si>
  <si>
    <t xml:space="preserve">2026-06-30</t>
  </si>
  <si>
    <t xml:space="preserve">ny_base=confirmed (The Org attaches the role to Stellar Health's New York HQ office; that record shows 127 West 26th Street while B has 215 Park Avenue South); title_fit=variant (chief of staff to the CEO at a 76-150 office). The Org updated 2026-06-30.</t>
  </si>
  <si>
    <t xml:space="preserve">Paul Savary</t>
  </si>
  <si>
    <t xml:space="preserve">https://theorg.com/org/stellar-health/person/paul-savary-1</t>
  </si>
  <si>
    <t xml:space="preserve">2026-09-19</t>
  </si>
  <si>
    <t xml:space="preserve">ny_base=likely (The Org gives a New York location, no office attached); title_fit=variant (HR). The Org updated 2026-09-19. Alternate: Katy Huber, Chief Human Resources Officer (https://theorg.com/org/stellar-health/person/katy-huber, NY HQ office, but last updated 2024-10-29).</t>
  </si>
  <si>
    <t xml:space="preserve">AO-C-171</t>
  </si>
  <si>
    <t xml:space="preserve">Signal AI</t>
  </si>
  <si>
    <t xml:space="preserve">Hannah</t>
  </si>
  <si>
    <t xml:space="preserve">Grow</t>
  </si>
  <si>
    <t xml:space="preserve">Senior People Operations Coordinator</t>
  </si>
  <si>
    <t xml:space="preserve">Tuesday estimate 8 to 151 (low confidence), under 500 staff company-wide, on-site 5 days a week per its profile, occupied at a high-confidence address; contact in the target titles named (Senior People Operations Coordinator).</t>
  </si>
  <si>
    <t xml:space="preserve">under-40</t>
  </si>
  <si>
    <t xml:space="preserve">https://www.signal-ai.com/</t>
  </si>
  <si>
    <t xml:space="preserve">find Hannah Grow at Signal AI on LinkedIn and paste the profile URL (this also confirms the name: The Org is crowd-edited); Tuesday estimate band under-40: founder's call (set founder_ok_to_queue = Y to queue)</t>
  </si>
  <si>
    <t xml:space="preserve">https://theorg.com/org/signal-ai/person/hannah-grow</t>
  </si>
  <si>
    <t xml:space="preserve">440 Park Avenue South</t>
  </si>
  <si>
    <t xml:space="preserve">14</t>
  </si>
  <si>
    <t xml:space="preserve">B-C-171</t>
  </si>
  <si>
    <t xml:space="preserve">https://www.signal-ai.com</t>
  </si>
  <si>
    <t xml:space="preserve">software (AI risk and reputation intelligence)</t>
  </si>
  <si>
    <t xml:space="preserve">226</t>
  </si>
  <si>
    <t xml:space="preserve">https://www.builtinnyc.com/company/signal-ai/offices</t>
  </si>
  <si>
    <t xml:space="preserve">London</t>
  </si>
  <si>
    <t xml:space="preserve">B-B-080</t>
  </si>
  <si>
    <t xml:space="preserve">440 Park Avenue South (Samco Properties)</t>
  </si>
  <si>
    <t xml:space="preserve">https://commercialobserver.com/2022/12/signal-ai-doubles-offices-in-move-to-440-park-avenue-south/</t>
  </si>
  <si>
    <t xml:space="preserve">2022-12-19</t>
  </si>
  <si>
    <t xml:space="preserve">Built In workplace type: OnSite Workplace; typical time on-site: 5 days a week</t>
  </si>
  <si>
    <t xml:space="preserve">may be under 30;30 to 39 is the founder's call</t>
  </si>
  <si>
    <t xml:space="preserve">226 (Built In) staff (whole-company count) x 5% to 100% of them in the New York office (HQ outside New York; share assumed) x 67% (Partnership for NYC, firms under 500) in on a weekday = 8 to 151, central 35; low confidence; estimate until intake replaces it.</t>
  </si>
  <si>
    <t xml:space="preserve">Lauren</t>
  </si>
  <si>
    <t xml:space="preserve">Stone</t>
  </si>
  <si>
    <t xml:space="preserve">Head Of People</t>
  </si>
  <si>
    <t xml:space="preserve">11,140 sf</t>
  </si>
  <si>
    <t xml:space="preserve">Built In lists New York office at 440 Park Avenue South, 14th Floor; 226 total employees (HQ London). CO 2022: 11,140 SF US HQ. | Assembly 2026-10-24: Review round 1: Signal AI's own site footer (opened 2026-10-24) lists 'United States 440 Park Avenue South, 14th floor, New York NY 10016' beside its London office, so the row stays high on its own page plus Built In. Review round 3: Built In is an employer-editable profile, so it no longer counts as the independent confirmation of the company's own page. The independent source is now CO 2022-12-19 (opened 2026-10-24): 'signed a lease for space at Samco Properties at 440 Park Avenue South' (11,140 sf; lease length not disclosed). The row stays high. Review round 2: corner lot: the lot-centroid pin sat 23 m from E 30 ST but 24 m from PARK AVE S, so it was moved to the PARK AVE S frontage near the corner (13 m from the PARK AVE S centreline, 27 m from E 30 ST; 12 m from the old pin). Tax lot unchanged.</t>
  </si>
  <si>
    <t xml:space="preserve">Hannah Grow</t>
  </si>
  <si>
    <t xml:space="preserve">2026-02-09</t>
  </si>
  <si>
    <t xml:space="preserve">ny_base=confirmed (The Org attaches the role to Signal AI's New York office; that record shows 154 W 14th St while B's company-site address is 440 Park Avenue South); title_fit=family (people operations). The Org updated 2026-02-09.</t>
  </si>
  <si>
    <t xml:space="preserve">Lauren Stone</t>
  </si>
  <si>
    <t xml:space="preserve">https://theorg.com/org/signal-ai/person/lauren-stone</t>
  </si>
  <si>
    <t xml:space="preserve">2025-05-01</t>
  </si>
  <si>
    <t xml:space="preserve">ny_base=confirmed (same New York office record); title_fit=variant (people lead). The Org updated 2025-05-01.</t>
  </si>
  <si>
    <t xml:space="preserve">AO-C-047</t>
  </si>
  <si>
    <t xml:space="preserve">The Vita Coco Company</t>
  </si>
  <si>
    <t xml:space="preserve">walk-in</t>
  </si>
  <si>
    <t xml:space="preserve">Tuesday estimate 113 to 247 (low confidence), under 500 staff company-wide, no attendance signal, occupied at a high-confidence address; contact seen only in a search snippet.</t>
  </si>
  <si>
    <t xml:space="preserve">https://www.sec.gov/Archives/edgar/data/1482981/000148298126000022/coco-20251231.htm</t>
  </si>
  <si>
    <t xml:space="preserve">no named contact: walk in and ask for whoever runs the pantry, or use the company contact form</t>
  </si>
  <si>
    <t xml:space="preserve">unverified</t>
  </si>
  <si>
    <t xml:space="preserve">search snippet only (not opened)</t>
  </si>
  <si>
    <t xml:space="preserve">https://www.datanyze.com/people/Andy-Ng/2966944280</t>
  </si>
  <si>
    <t xml:space="preserve">111 Fifth Avenue</t>
  </si>
  <si>
    <t xml:space="preserve">B-C-047</t>
  </si>
  <si>
    <t xml:space="preserve">https://thevitacococompany.com</t>
  </si>
  <si>
    <t xml:space="preserve">beverage brand (coconut water)</t>
  </si>
  <si>
    <t xml:space="preserve">336</t>
  </si>
  <si>
    <t xml:space="preserve">368</t>
  </si>
  <si>
    <t xml:space="preserve">https://www.reveliolabs.com/companies/vita-coco/employees</t>
  </si>
  <si>
    <t xml:space="preserve">B-B-018</t>
  </si>
  <si>
    <t xml:space="preserve">111 Fifth Avenue (Winter Organization)</t>
  </si>
  <si>
    <t xml:space="preserve">2026-02-18</t>
  </si>
  <si>
    <t xml:space="preserve">https://commercialobserver.com/2024/09/vita-coco-111-fifth-avenue/</t>
  </si>
  <si>
    <t xml:space="preserve">2024-09-10</t>
  </si>
  <si>
    <t xml:space="preserve">336 (sec.gov) and 368 (Revelio Labs) staff (whole-company count) x 50% to 100% of them in the New York office (HQ New York; share assumed) x 67% (Partnership for NYC, firms under 500) in on a weekday = 113 to 247, central 167; low confidence; estimate until intake replaces it.</t>
  </si>
  <si>
    <t xml:space="preserve">22,530 sf</t>
  </si>
  <si>
    <t xml:space="preserve">FY2025 10-K cover lists principal executive offices at 111 Fifth Avenue, Second Floor; it reports 336 full-time employees at 2025-12-31, 235 of them in the U.S. CO Sept 2024 reported the 22,530 sf, 10-year HQ lease (moved from 250 Park Ave S). Built In shows 613, which conflicts with the 10-K; the 10-K is used. Beverage brand: possible brand-side contact as well as an office.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Vita Coco Co, HQ New York City): about 368 employees worldwide as of March 2026. Review round 2: corner lot: the lot-centroid pin sat 24 m from E 18 ST but 45 m from 5 AVE, so it was moved to the 5 AVE frontage near the corner (17 m from the 5 AVE centreline, 27 m from E 18 ST; 29 m from the old pin). Tax lot unchanged.</t>
  </si>
  <si>
    <t xml:space="preserve">Andy Ng</t>
  </si>
  <si>
    <t xml:space="preserve">ny_base=unconfirmed (search snippet only: a third-party profile listing an Operations Administrator at the New York headquarters; the page returned HTTP 403 and was not opened); title_fit=variant (office administration). The Org has no Vita Coco contact in the target titles placed in New York (its HR Director and People Coordinator records are outside New York).</t>
  </si>
  <si>
    <t xml:space="preserve">unconfirmed</t>
  </si>
  <si>
    <t xml:space="preserve">AO-C-050</t>
  </si>
  <si>
    <t xml:space="preserve">Global Trading Systems (GTS)</t>
  </si>
  <si>
    <t xml:space="preserve">Tuesday estimate 137 to 281 (low confidence), under 500 staff company-wide, on-site 5 days a week per its profile, occupied at a high-confidence address; no contact found in public sources (walk-in).</t>
  </si>
  <si>
    <t xml:space="preserve">https://commercialobserver.com/2024/11/trading-firm-gts-lease-625-avenue-of-the-americas/</t>
  </si>
  <si>
    <t xml:space="preserve">625 Avenue of the Americas</t>
  </si>
  <si>
    <t xml:space="preserve">3</t>
  </si>
  <si>
    <t xml:space="preserve">B-C-050</t>
  </si>
  <si>
    <t xml:space="preserve">https://gtsx.com</t>
  </si>
  <si>
    <t xml:space="preserve">electronic trading / market making</t>
  </si>
  <si>
    <t xml:space="preserve">420</t>
  </si>
  <si>
    <t xml:space="preserve">410</t>
  </si>
  <si>
    <t xml:space="preserve">https://www.builtinnyc.com/company/gts</t>
  </si>
  <si>
    <t xml:space="preserve">https://www.reveliolabs.com/companies/global-trading-systems/employees</t>
  </si>
  <si>
    <t xml:space="preserve">B-B-020</t>
  </si>
  <si>
    <t xml:space="preserve">625 Avenue of the Americas (Taub family)</t>
  </si>
  <si>
    <t xml:space="preserve">2024-11-21</t>
  </si>
  <si>
    <t xml:space="preserve">https://gtsx.com/locations/</t>
  </si>
  <si>
    <t xml:space="preserve">https://www.builtinnyc.com/company/gts/offices</t>
  </si>
  <si>
    <t xml:space="preserve">420 (Built In) and 410 (Revelio Labs) staff (whole-company count) x 50% to 100% of them in the New York office (HQ New York; share assumed) x 67% (Partnership for NYC, firms under 500) in on a weekday = 137 to 281, central 196; low confidence; estimate until intake replaces it.</t>
  </si>
  <si>
    <t xml:space="preserve">35,156 sf</t>
  </si>
  <si>
    <t xml:space="preserve">15-year, 35,156 sf lease of the 3rd floor (CO Nov 2024), relocating from 545 Madison Ave; keeps 40 Wall St. Company locations page (opened 2026-10-24) lists New York at 625 Sixth Avenue, NY 10011. Built In shows 420 total employees and still lists 545 Madison Ave. | Assembly 2026-10-24: Review round 2: a second count agrees with the band: Revelio Labs (Global Trading Systems LLC, HQ New York City): about 410 employees worldwide as of March 2026. Review round 2: corner lot: the lot-centroid pin sat 37 m from W 19 ST but 38 m from AVE OF THE AMERICAS, so it was moved to the AVE OF THE AMERICAS frontage near the corner (18 m from the AVE OF THE AMERICAS centreline, 37 m from W 19 ST; 20 m from the old pin). Tax lot unchanged.</t>
  </si>
  <si>
    <t xml:space="preserve">AO-C-009</t>
  </si>
  <si>
    <t xml:space="preserve">Alpine Investors</t>
  </si>
  <si>
    <t xml:space="preserve">Jake</t>
  </si>
  <si>
    <t xml:space="preserve">Jones</t>
  </si>
  <si>
    <t xml:space="preserve">Office Coordinator, New York office</t>
  </si>
  <si>
    <t xml:space="preserve">Tuesday estimate 7 to 136 (low confidence), under 500 staff company-wide, on-site 5 days a week per its profile, occupied at a high-confidence address; contact in the target titles named (Office Coordinator, New York office).</t>
  </si>
  <si>
    <t xml:space="preserve">https://www.alpineinvestors.com/contact/</t>
  </si>
  <si>
    <t xml:space="preserve">find Jake Jones at Alpine Investors on LinkedIn and paste the profile URL; the source is dated 2025-09-15: check Jake still holds the role; Tuesday estimate band under-40: founder's call (set founder_ok_to_queue = Y to queue)</t>
  </si>
  <si>
    <t xml:space="preserve">https://alpineinvestors.com/group/alpine-management/page/4/</t>
  </si>
  <si>
    <t xml:space="preserve">124 East 14th Street</t>
  </si>
  <si>
    <t xml:space="preserve">12</t>
  </si>
  <si>
    <t xml:space="preserve">B-C-009</t>
  </si>
  <si>
    <t xml:space="preserve">https://www.alpineinvestors.com</t>
  </si>
  <si>
    <t xml:space="preserve">private equity</t>
  </si>
  <si>
    <t xml:space="preserve">203</t>
  </si>
  <si>
    <t xml:space="preserve">https://www.builtinnyc.com/company/alpine-investors</t>
  </si>
  <si>
    <t xml:space="preserve">San Francisco</t>
  </si>
  <si>
    <t xml:space="preserve">B-B-002</t>
  </si>
  <si>
    <t xml:space="preserve">Zero Irving</t>
  </si>
  <si>
    <t xml:space="preserve">https://commercialobserver.com/2022/11/alpine-investors-lease-zero-irving/</t>
  </si>
  <si>
    <t xml:space="preserve">2022-11-17</t>
  </si>
  <si>
    <t xml:space="preserve">https://www.builtinnyc.com/company/alpine-investors/offices</t>
  </si>
  <si>
    <t xml:space="preserve">203 (Built In) staff (whole-company count) x 5% to 100% of them in the New York office (HQ outside New York; share assumed) x 67% (Partnership for NYC, firms under 500) in on a weekday = 7 to 136, central 31; low confidence; estimate until intake replaces it.</t>
  </si>
  <si>
    <t xml:space="preserve">Katira</t>
  </si>
  <si>
    <t xml:space="preserve">Getzen</t>
  </si>
  <si>
    <t xml:space="preserve">Office Coordinator, New York City office</t>
  </si>
  <si>
    <t xml:space="preserve">22,000 sf</t>
  </si>
  <si>
    <t xml:space="preserve">Site: 'NEW YORK Zero Irving, 124 East 14th St., 12th Floor New York, NY 10003'. CO 2022-11-17: five-year lease, 22,000 sf on the entire 12th floor and part of the 14th. Zero Irving is on the south side of 14th between Irving Pl and Third Ave (same tax block as Trader Joe's 142 E 14th), so margin. Built In NYC: 203 total employees, HQ San Francisco; NYC share unknown.</t>
  </si>
  <si>
    <t xml:space="preserve">Jake Jones</t>
  </si>
  <si>
    <t xml:space="preserve">2025-09-15</t>
  </si>
  <si>
    <t xml:space="preserve">title_match=target; Alpine team page bio: "Jake is an Office Coordinator at Alpine’s New York office"; bio posted 2025-09-15; also listed under Finance &amp; Operations on alpineinvestors.com/team/. LinkedIn profile not searched.</t>
  </si>
  <si>
    <t xml:space="preserve">Katira Getzen</t>
  </si>
  <si>
    <t xml:space="preserve">2025-03-11</t>
  </si>
  <si>
    <t xml:space="preserve">title_match=target; Alpine team page bio: "Katira is an Office Coordinator at Alpine's New York City office"; bio posted 2025-03-11. Darween Edouard (Executive Assistant, New York office, alpine-management/page/6, 2024-02-05) is a third option. A search snippet named a Harry Garcia as NYC Office Manager and EA (2023) but he is not on the current team page, so not recorded.</t>
  </si>
  <si>
    <t xml:space="preserve">AO-C-048</t>
  </si>
  <si>
    <t xml:space="preserve">Aterian</t>
  </si>
  <si>
    <t xml:space="preserve">Tuesday estimate 31 to 82 (low confidence), under 500 staff company-wide, on-site 5 days a week per its profile, occupied at a high-confidence address; no contact found in public sources (walk-in).</t>
  </si>
  <si>
    <t xml:space="preserve">https://www.builtinnyc.com/company/aterian/offices</t>
  </si>
  <si>
    <t xml:space="preserve">37 East 18th Street</t>
  </si>
  <si>
    <t xml:space="preserve">B-C-048</t>
  </si>
  <si>
    <t xml:space="preserve">https://aterian.io</t>
  </si>
  <si>
    <t xml:space="preserve">consumer products (e-commerce brands)</t>
  </si>
  <si>
    <t xml:space="preserve">122</t>
  </si>
  <si>
    <t xml:space="preserve">94</t>
  </si>
  <si>
    <t xml:space="preserve">https://www.builtinnyc.com/company/aterian</t>
  </si>
  <si>
    <t xml:space="preserve">https://www.reveliolabs.com/companies/aterian-group/employees</t>
  </si>
  <si>
    <t xml:space="preserve">B-B-019</t>
  </si>
  <si>
    <t xml:space="preserve">37 East 18th Street (Zar Property NY)</t>
  </si>
  <si>
    <t xml:space="preserve">https://commercialobserver.com/2026/06/phia-lease-zar-property-37-east-18th-street/</t>
  </si>
  <si>
    <t xml:space="preserve">2026-06-03</t>
  </si>
  <si>
    <t xml:space="preserve">122 (Built In) and 94 (Revelio Labs) staff (whole-company count) x 50% to 100% of them in the New York office (HQ New York; share assumed) x 67% (Partnership for NYC, firms under 500) in on a weekday = 31 to 82, central 50; low confidence; estimate until intake replaces it.</t>
  </si>
  <si>
    <t xml:space="preserve">Built In HQ address 37 E 18th Street; CO June 2026 lists e-commerce services company Mohawk Group (Aterian's former name) as a current tenant. Built In shows 122 total employees. | Assembly 2026-10-24: Review round 2: a second count agrees with the band: Revelio Labs (Aterian Group, Inc., HQ New York City): about 94 employees worldwide as of March 2026.</t>
  </si>
  <si>
    <t xml:space="preserve">AO-C-151</t>
  </si>
  <si>
    <t xml:space="preserve">Carbyne</t>
  </si>
  <si>
    <t xml:space="preserve">Tami</t>
  </si>
  <si>
    <t xml:space="preserve">Golan</t>
  </si>
  <si>
    <t xml:space="preserve">Chief People Officer</t>
  </si>
  <si>
    <t xml:space="preserve">Tuesday estimate 49 to 121 (low confidence), under 500 staff company-wide with a named parent (Axon Enterprise), hybrid (days not stated), occupied at a high-confidence address; adjacent contact named (Chief People Officer).</t>
  </si>
  <si>
    <t xml:space="preserve">queued</t>
  </si>
  <si>
    <t xml:space="preserve">https://carbyne.com/company/about-us/</t>
  </si>
  <si>
    <t xml:space="preserve">find Tami Golan at Carbyne on LinkedIn and paste the profile URL; check Tami works from the New York office; adjacent title: ask who runs the pantry</t>
  </si>
  <si>
    <t xml:space="preserve">https://carbyne.com/company/our-team/</t>
  </si>
  <si>
    <t xml:space="preserve">45 West 27th Street</t>
  </si>
  <si>
    <t xml:space="preserve">grp-C030-C151</t>
  </si>
  <si>
    <t xml:space="preserve">B-C-151</t>
  </si>
  <si>
    <t xml:space="preserve">https://carbyne.com</t>
  </si>
  <si>
    <t xml:space="preserve">public safety software (emergency communications)</t>
  </si>
  <si>
    <t xml:space="preserve">180</t>
  </si>
  <si>
    <t xml:space="preserve">146</t>
  </si>
  <si>
    <t xml:space="preserve">https://www.builtinnyc.com/company/carbyne/offices</t>
  </si>
  <si>
    <t xml:space="preserve">https://www.reveliolabs.com/companies/carbyne/employees</t>
  </si>
  <si>
    <t xml:space="preserve">Axon Enterprise</t>
  </si>
  <si>
    <t xml:space="preserve">10001</t>
  </si>
  <si>
    <t xml:space="preserve">B-B-069</t>
  </si>
  <si>
    <t xml:space="preserve">https://www.connectcre.com/stories/software-company-carbyne-911-inks-downtown-lease/</t>
  </si>
  <si>
    <t xml:space="preserve">2023-08-18</t>
  </si>
  <si>
    <t xml:space="preserve">Built In workplace type: Hybrid Workplace; typical time on-site: Flexible</t>
  </si>
  <si>
    <t xml:space="preserve">180 (Built In) and 146 (Revelio Labs) staff (whole-company count) x 50% to 100% of them in the New York office (HQ New York; share assumed) x 67% (Partnership for NYC, firms under 500) in on a weekday = 49 to 121, central 77; low confidence; estimate until intake replaces it.</t>
  </si>
  <si>
    <t xml:space="preserve">5,700 sf;5,702 sf</t>
  </si>
  <si>
    <t xml:space="preserve">Company page lists USA office at 45 W 27th Street, 2nd Floor; Built In lists 45 W 27th St and 180 total employees. NYC HQ lease of 5,700 SF reported Aug 2023 (FNP roundup 2023-09-06). | Assembly 2026-10-24: Review round 3: Built In is an employer-editable profile, so it no longer counts as the independent confirmation of the company's own page. The independent source is now Connect CRE 2023-08-18 (opened 2026-10-24): 'signed a lease for 5,702 square feet of space at 45 West 27th Street ... will occupy the second floor ... as its headquarters'. The row stays high. Review round 2: band changed from 151-250 to unknown. Sources disagree: Built In shows 180 (151-250) and Revelio Labs (Carbyne Ltd., HQ Tel Aviv): about 146 employees worldwide as of March 2026 (76-150). Band left unknown; founder to confirm at intake.</t>
  </si>
  <si>
    <t xml:space="preserve">parent_company &lt;- https://vectorshift.ai/research/deals/axon-enterprise-carbyne-2026.html (2026-10-24): Stage 2 saw Axon 911 co-branding on carbyne.com; this deal tracker (opened 2026-10-24, updated 2026-07-08) records Axon's full acquisition of Carbyne Ltd. in February 2026. Axon's own filings sit on sec.gov, which agents do not open. A named parent costs 4 points (the pantry decision may sit with the parent).</t>
  </si>
  <si>
    <t xml:space="preserve">Tami Golan</t>
  </si>
  <si>
    <t xml:space="preserve">ny_base=unconfirmed (the company page gives no location; Carbyne's office manager on The Org is in Tel Aviv, so the people team may sit there); title_fit=variant (people lead). Use to ask who runs the New York office. Carbyne's site carries Axon 911 co-branding and one The Org title reads 'Acquired by Axon': ownership change, founder to confirm.</t>
  </si>
  <si>
    <t xml:space="preserve">parent 'axon enterprise' shared with AO-C-030</t>
  </si>
  <si>
    <t xml:space="preserve">AO-C-007</t>
  </si>
  <si>
    <t xml:space="preserve">Personetics</t>
  </si>
  <si>
    <t xml:space="preserve">Tuesday estimate 113 to 249 (low confidence), under 500 staff company-wide, on-site 5 days a week per its profile, occupancy-unconfirmed at a medium-confidence address; no contact found in public sources (walk-in).</t>
  </si>
  <si>
    <t xml:space="preserve">https://nyrej.com/print/54591</t>
  </si>
  <si>
    <t xml:space="preserve">853 Broadway</t>
  </si>
  <si>
    <t xml:space="preserve">19</t>
  </si>
  <si>
    <t xml:space="preserve">B-C-007</t>
  </si>
  <si>
    <t xml:space="preserve">https://personetics.com</t>
  </si>
  <si>
    <t xml:space="preserve">fintech software (banking AI)</t>
  </si>
  <si>
    <t xml:space="preserve">371</t>
  </si>
  <si>
    <t xml:space="preserve">https://www.builtinnyc.com/company/personetics</t>
  </si>
  <si>
    <t xml:space="preserve">https://www.reveliolabs.com/companies/personetics/employees</t>
  </si>
  <si>
    <t xml:space="preserve">B-B-001</t>
  </si>
  <si>
    <t xml:space="preserve">853 Broadway (Union Building)</t>
  </si>
  <si>
    <t xml:space="preserve">2025-04-08</t>
  </si>
  <si>
    <t xml:space="preserve">medium</t>
  </si>
  <si>
    <t xml:space="preserve">https://853broadway.sharplaunch.com/</t>
  </si>
  <si>
    <t xml:space="preserve">https://www.builtinnyc.com/company/personetics/offices</t>
  </si>
  <si>
    <t xml:space="preserve">371 (Built In) and 336 (Revelio Labs) staff (whole-company count) x 50% to 100% of them in the New York office (HQ New York; share assumed) x 67% (Partnership for NYC, firms under 500) in on a weekday = 113 to 249, central 168; low confidence; estimate until intake replaces it.</t>
  </si>
  <si>
    <t xml:space="preserve">7,004 sf</t>
  </si>
  <si>
    <t xml:space="preserve">NYREJ 2025-04-08: Personetics signed a three-year lease for the entire 19th floor, 7,004 sf, the previous October (about 2024-10). Built In NYC: 371 total employees (global; large R&amp;D outside US). Contact page lists New York with no street. | Assembly 2026-10-24: Review round 2: a second count agrees with the band: Revelio Labs (Personetics Technologies, Inc., HQ New York City): about 336 employees worldwide as of March 2026.</t>
  </si>
  <si>
    <t xml:space="preserve">AO-C-130</t>
  </si>
  <si>
    <t xml:space="preserve">Butterfly Network</t>
  </si>
  <si>
    <t xml:space="preserve">Katie</t>
  </si>
  <si>
    <t xml:space="preserve">Gowryluk</t>
  </si>
  <si>
    <t xml:space="preserve">Chief Of Staff</t>
  </si>
  <si>
    <t xml:space="preserve">Tuesday estimate 8 to 297 (low confidence), under 500 staff company-wide, on-site 5 days a week per its profile, occupied at a high-confidence address; adjacent contact named (Chief Of Staff).</t>
  </si>
  <si>
    <t xml:space="preserve">https://commercialobserver.com/2025/09/activate-consulting-doubles-its-nomad-footprint/</t>
  </si>
  <si>
    <t xml:space="preserve">find Katie Gowryluk at Butterfly Network on LinkedIn and paste the profile URL (this also confirms the name: The Org is crowd-edited); the source is dated 2025-05-22: check Katie still holds the role; adjacent title: ask who runs the pantry</t>
  </si>
  <si>
    <t xml:space="preserve">https://theorg.com/org/butterfly-network/person/katie-gowryluk</t>
  </si>
  <si>
    <t xml:space="preserve">11 East 26th Street</t>
  </si>
  <si>
    <t xml:space="preserve">7-8</t>
  </si>
  <si>
    <t xml:space="preserve">B-C-130</t>
  </si>
  <si>
    <t xml:space="preserve">https://www.butterflynetwork.com</t>
  </si>
  <si>
    <t xml:space="preserve">medical devices (handheld ultrasound)</t>
  </si>
  <si>
    <t xml:space="preserve">443</t>
  </si>
  <si>
    <t xml:space="preserve">236</t>
  </si>
  <si>
    <t xml:space="preserve">https://www.builtinnyc.com/company/butterfly-network-inc/offices</t>
  </si>
  <si>
    <t xml:space="preserve">https://www.reveliolabs.com/companies/butterfly-network/employees</t>
  </si>
  <si>
    <t xml:space="preserve">Burlington</t>
  </si>
  <si>
    <t xml:space="preserve">B-B-065</t>
  </si>
  <si>
    <t xml:space="preserve">11 East 26th Street (Rockrose; joined to 15 East 26th Street)</t>
  </si>
  <si>
    <t xml:space="preserve">2025-09-30</t>
  </si>
  <si>
    <t xml:space="preserve">w York office at '11 E 26th Street, Floor 7 &amp; 8' (HQ Burlington MA), 443 total employees, on-site 5 days a week. CO lists it among building t</t>
  </si>
  <si>
    <t xml:space="preserve">may be under 30;may exceed 250</t>
  </si>
  <si>
    <t xml:space="preserve">443 (Built In) and 236 (Revelio Labs) staff (whole-company count) x 5% to 100% of them in the New York office (HQ outside New York; share assumed) x 67% (Partnership for NYC, firms under 500) in on a weekday = 8 to 297, central 49; low confidence; estimate until intake replaces it.</t>
  </si>
  <si>
    <t xml:space="preserve">Built In lists New York office at '11 E 26th Street, Floor 7 &amp; 8' (HQ Burlington MA), 443 total employees, on-site 5 days a week. CO lists it among building tenants. | Assembly 2026-10-24: Review round 2: band changed from 251-500 to unknown. Sources disagree: Built In shows 443 (251-500) and Revelio Labs (Butterfly Network, Inc., HQ Burlington, Massachusetts): about 236 employees worldwide as of March 2026 (151-250). Band left unknown; founder to confirm at intake.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</si>
  <si>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Katie Gowryluk</t>
  </si>
  <si>
    <t xml:space="preserve">2025-05-22</t>
  </si>
  <si>
    <t xml:space="preserve">ny_base=likely (The Org gives the New York metro area, no office attached); title_fit=adjacent (chief of staff at a firm of several hundred). The Org updated 2025-05-22. Butterfly advertised an 'Office Operations Manager &amp; Executive Assistant' role, 5 days in the New York office (search result, Welcome to the Jungle, marked no longer available); that seat is probably filled, name not found.</t>
  </si>
  <si>
    <t xml:space="preserve">AO-C-098</t>
  </si>
  <si>
    <t xml:space="preserve">BrainPOP</t>
  </si>
  <si>
    <t xml:space="preserve">Lilly</t>
  </si>
  <si>
    <t xml:space="preserve">Santiago</t>
  </si>
  <si>
    <t xml:space="preserve">Executive Assistant to Chief Executive Officer/Office Coordinator</t>
  </si>
  <si>
    <t xml:space="preserve">Tuesday estimate 75 to 151 (low confidence), under 500 staff company-wide with a named parent (Kirkbi A/S), hybrid (days not stated), occupied at a medium-confidence address; adjacent contact named (Executive Assistant to Chief Executive Officer/Office Coordinator).</t>
  </si>
  <si>
    <t xml:space="preserve">https://www.brainpop.com/discover/terms-of-use</t>
  </si>
  <si>
    <t xml:space="preserve">find Lilly Santiago at BrainPOP on LinkedIn and paste the profile URL (this also confirms the name: The Org is crowd-edited); check Lilly works from the New York office; adjacent title: ask who runs the pantry</t>
  </si>
  <si>
    <t xml:space="preserve">https://theorg.com/org/brainpop/person/lilly-santiago</t>
  </si>
  <si>
    <t xml:space="preserve">71 West 23rd Street</t>
  </si>
  <si>
    <t xml:space="preserve">17</t>
  </si>
  <si>
    <t xml:space="preserve">B-C-098</t>
  </si>
  <si>
    <t xml:space="preserve">https://www.brainpop.com/</t>
  </si>
  <si>
    <t xml:space="preserve">Education technology</t>
  </si>
  <si>
    <t xml:space="preserve">225</t>
  </si>
  <si>
    <t xml:space="preserve">https://www.builtinnyc.com/company/brainpop/offices</t>
  </si>
  <si>
    <t xml:space="preserve">Kirkbi A/S</t>
  </si>
  <si>
    <t xml:space="preserve">B-B-048</t>
  </si>
  <si>
    <t xml:space="preserve">225 (Built In) staff (whole-company count) x 50% to 100% of them in the New York office (HQ New York; share assumed) x 67% (Partnership for NYC, firms under 500) in on a weekday = 75 to 151, central 106; low confidence; estimate until intake replaces it.</t>
  </si>
  <si>
    <t xml:space="preserve">Crystal</t>
  </si>
  <si>
    <t xml:space="preserve">Spence</t>
  </si>
  <si>
    <t xml:space="preserve">Operations Lead, Office of CEO</t>
  </si>
  <si>
    <t xml:space="preserve">Terms of use and privacy policy (live) give '71 W 23rd St., 17th Fl. New York, NY 10010'. Built In (independent): HQ New York, office in the Flatiron district 'down the street from the iconic landmark Flatiron Building and Madison Square Park'; 225 total employees. | Assembly 2026-10-24: Review round 3: Built In is an employer-editable profile, so it no longer counts as the independent confirmation of the company's own page. The only independent source found is CO 2010-08-10 (opened 2026-10-24): a 15-year lease for the entire 17th floor, so its stated term ended about 2025 and it cannot confirm the office today. The row is medium on its own live page. Confidence lowered at assembly from high to medium: review round 3: the second source is an employer-editable profile (Built In), which does not independently confirm the company's own page.</t>
  </si>
  <si>
    <t xml:space="preserve">Lilly Santiago</t>
  </si>
  <si>
    <t xml:space="preserve">2026-02-12</t>
  </si>
  <si>
    <t xml:space="preserve">ny_base=unconfirmed (The Org location says only 'United States', no office attached; BrainPOP HQ is New York); title_fit=family (EA to CEO and office coordinator; The Org shows her reporting to the CEO, Lorin Thomas-Tavel). The Org updated 2026-02-12.</t>
  </si>
  <si>
    <t xml:space="preserve">Crystal Spence</t>
  </si>
  <si>
    <t xml:space="preserve">https://theorg.com/org/brainpop/person/crystal-spence</t>
  </si>
  <si>
    <t xml:space="preserve">2026-01-20</t>
  </si>
  <si>
    <t xml:space="preserve">ny_base=confirmed (The Org attaches the role to BrainPOP's New York HQ office); title_fit=variant (office of the CEO). The Org updated 2026-01-20.</t>
  </si>
  <si>
    <t xml:space="preserve">AO-C-061</t>
  </si>
  <si>
    <t xml:space="preserve">Daily Harvest</t>
  </si>
  <si>
    <t xml:space="preserve">Jessica</t>
  </si>
  <si>
    <t xml:space="preserve">Lawson</t>
  </si>
  <si>
    <t xml:space="preserve">Chief of Staff</t>
  </si>
  <si>
    <t xml:space="preserve">Tuesday estimate 89 to 179 (low confidence), under 500 staff company-wide with a named parent (Chobani), on-site 5 days a week per its profile, occupancy-unconfirmed at a low-confidence address; adjacent contact named (Chief of Staff).</t>
  </si>
  <si>
    <t xml:space="preserve">https://www.builtinnyc.com/company/daily-harvest/offices</t>
  </si>
  <si>
    <t xml:space="preserve">find Jessica Lawson at Daily Harvest on LinkedIn and paste the profile URL (this also confirms the name: The Org is crowd-edited); the source is dated 2024-03-04: check Jessica still holds the role; check Jessica works from the New York office; adjacent title: ask who runs the pantry</t>
  </si>
  <si>
    <t xml:space="preserve">https://theorg.com/org/daily-harvest/person/jessica-lawson</t>
  </si>
  <si>
    <t xml:space="preserve">37 West 20th Street</t>
  </si>
  <si>
    <t xml:space="preserve">B-C-061</t>
  </si>
  <si>
    <t xml:space="preserve">https://www.daily-harvest.com</t>
  </si>
  <si>
    <t xml:space="preserve">food brand (frozen meals, DTC)</t>
  </si>
  <si>
    <t xml:space="preserve">267</t>
  </si>
  <si>
    <t xml:space="preserve">https://www.builtinnyc.com/company/daily-harvest</t>
  </si>
  <si>
    <t xml:space="preserve">Chobani</t>
  </si>
  <si>
    <t xml:space="preserve">B-B-030</t>
  </si>
  <si>
    <t xml:space="preserve">https://www.metro-manhattan.com/buildings/37-west-20th-street-office-space-for-lease/</t>
  </si>
  <si>
    <t xml:space="preserve">Built In lists HQ at 37 West 20th Street and an on-site workplace, typical time on-site 5 days a week. Built In shows 267 total emp</t>
  </si>
  <si>
    <t xml:space="preserve">267 (Built In) staff (whole-company count) x 50% to 100% of them in the New York office (HQ New York; share assumed) x 67% (Partnership for NYC, firms under 500) in on a weekday = 89 to 179, central 126; low confidence; estimate until intake replaces it.</t>
  </si>
  <si>
    <t xml:space="preserve">Built In lists HQ at 37 West 20th Street and an on-site workplace, typical time on-site 5 days a week. Built In shows 267 total employees. Company terms/privacy URLs returned 404, so not cross-checked. Food company: possible brand-side contact too (frozen, so not an eligible product: refrigerated and frozen goods are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</si>
  <si>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Jessica Lawson</t>
  </si>
  <si>
    <t xml:space="preserve">2024-03-04</t>
  </si>
  <si>
    <t xml:space="preserve">ny_base=unconfirmed (no location or office on The Org); title_fit=variant (chief of staff). The Org last updated 2024-03-04, so this may be stale: founder to confirm. The Org's Daily Harvest office record is 1115 Broadway; B has 37 West 20th Street (occupancy-unconfirmed).</t>
  </si>
  <si>
    <t xml:space="preserve">AO-C-111</t>
  </si>
  <si>
    <t xml:space="preserve">Wellcom Worldwide</t>
  </si>
  <si>
    <t xml:space="preserve">Jillian</t>
  </si>
  <si>
    <t xml:space="preserve">Cruz</t>
  </si>
  <si>
    <t xml:space="preserve">Executive Assistant to Global CEO</t>
  </si>
  <si>
    <t xml:space="preserve">Tuesday estimate 113 to 225 (low confidence), under 500 staff company-wide with a named parent (Innocean Worldwide), on-site 5 days a week per its profile, occupancy-unconfirmed at a low-confidence address; adjacent contact named (Executive Assistant to Global CEO).</t>
  </si>
  <si>
    <t xml:space="preserve">https://commercialobserver.com/2024/08/wellcom-worldwide-signs-24k-sf-lease-16-madison-square-west-manhattan/</t>
  </si>
  <si>
    <t xml:space="preserve">find Jillian Cruz at Wellcom Worldwide on LinkedIn and paste the profile URL (this also confirms the name: The Org is crowd-edited); check Jillian works from the New York office; adjacent title: ask who runs the pantry</t>
  </si>
  <si>
    <t xml:space="preserve">https://theorg.com/org/wellcom-worldwide/person/jillian-cruz</t>
  </si>
  <si>
    <t xml:space="preserve">16 Madison Square West</t>
  </si>
  <si>
    <t xml:space="preserve">B-C-111</t>
  </si>
  <si>
    <t xml:space="preserve">https://www.wellcomworldwide.com/</t>
  </si>
  <si>
    <t xml:space="preserve">Creative production agency</t>
  </si>
  <si>
    <t xml:space="preserve">https://www.builtinnyc.com/company/wellcom-worldwide/offices</t>
  </si>
  <si>
    <t xml:space="preserve">Innocean Worldwide</t>
  </si>
  <si>
    <t xml:space="preserve">B-B-056</t>
  </si>
  <si>
    <t xml:space="preserve">16 Madison Square West / 1115 Broadway (Adams &amp; Company)</t>
  </si>
  <si>
    <t xml:space="preserve">2024-08-27</t>
  </si>
  <si>
    <t xml:space="preserve">https://www.adamsre.com/collections/madison-square-park/products/16-madison-square-west</t>
  </si>
  <si>
    <t xml:space="preserve">Built In workplace type: OnSite Workplace; typical time on-site: 5 days a week; recent job tags: 2 Hybrid, 1 In-Office</t>
  </si>
  <si>
    <t xml:space="preserve">336 (Built In) staff (whole-company count) x 50% to 100% of them in the New York office (HQ New York; share assumed) x 67% (Partnership for NYC, firms under 500) in on a weekday = 113 to 225, central 159; low confidence; estimate until intake replaces it.</t>
  </si>
  <si>
    <t xml:space="preserve">24,005 sf</t>
  </si>
  <si>
    <t xml:space="preserve">CO Aug 2024: 10-yr, 24,005 sf lease at 16 Madison Square West (1115 Broadway), moving from 175 Pearl St, Dumbo; owned by Innocean Worldwide since 2019. Lease article is older than 24 months, so current confirmation is the live Built In profile (HQ 1115 Broadway; 336 total employees). Company site showed no street address.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</si>
  <si>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Jillian Cruz</t>
  </si>
  <si>
    <t xml:space="preserve">ny_base=unconfirmed (The Org places her in the New York commuting region but outside the city, no office attached; Wellcom's HQ is New York per Built In, and Global CEO David Bridges was the tenant contact on the 16 Madison Square West lease per Traded, both search results not opened); title_fit=family (EA to CEO). The Org updated 2026-08-12.</t>
  </si>
  <si>
    <t xml:space="preserve">AO-C-101</t>
  </si>
  <si>
    <t xml:space="preserve">TripleLift</t>
  </si>
  <si>
    <t xml:space="preserve">Abby</t>
  </si>
  <si>
    <t xml:space="preserve">Hamilton</t>
  </si>
  <si>
    <t xml:space="preserve">Tuesday estimate 112 to 278 (low confidence), under 500 staff company-wide, hybrid 2 days or fewer, occupied at a medium-confidence address; adjacent contact named (Chief People Officer).</t>
  </si>
  <si>
    <t xml:space="preserve">https://triplelift.com/contact-us/</t>
  </si>
  <si>
    <t xml:space="preserve">find Abby Hamilton at TripleLift on LinkedIn and paste the profile URL; adjacent title: ask who runs the pantry</t>
  </si>
  <si>
    <t xml:space="preserve">https://triplelift.com/about/</t>
  </si>
  <si>
    <t xml:space="preserve">53 West 23rd Street</t>
  </si>
  <si>
    <t xml:space="preserve">hybrid-2-or-less</t>
  </si>
  <si>
    <t xml:space="preserve">B-C-101</t>
  </si>
  <si>
    <t xml:space="preserve">https://triplelift.com/</t>
  </si>
  <si>
    <t xml:space="preserve">Advertising technology</t>
  </si>
  <si>
    <t xml:space="preserve">335</t>
  </si>
  <si>
    <t xml:space="preserve">415</t>
  </si>
  <si>
    <t xml:space="preserve">https://www.builtinnyc.com/company/triplelift/offices</t>
  </si>
  <si>
    <t xml:space="preserve">https://www.reveliolabs.com/companies/triple-lift/employees</t>
  </si>
  <si>
    <t xml:space="preserve">B-B-050</t>
  </si>
  <si>
    <t xml:space="preserve">49-53 West 23rd Street (Adams &amp; Company)</t>
  </si>
  <si>
    <t xml:space="preserve">https://www.adamsre.com/collections/madison-square-park/products/53-west-23rd</t>
  </si>
  <si>
    <t xml:space="preserve">Built In workplace type: Hybrid Workplace; typical time on-site: 0 days a week; recent job tags: 3 In-Office</t>
  </si>
  <si>
    <t xml:space="preserve">335 (Built In) and 415 (Revelio Labs) staff (whole-company count) x 50% to 100% of them in the New York office (HQ New York; share assumed) x 67% (Partnership for NYC, firms under 500) in on a weekday = 112 to 278, central 176; low confidence; estimate until intake replaces it.</t>
  </si>
  <si>
    <t xml:space="preserve">Company site footer and contact page (live, (c) 2026): '53 W. 23rd St., 12th Floor New York, NY 10010'. Built In lists HQ 53 W 23rd St and 335 total employees; the contact page says '400+ Talented Workers' across 8+ locations (whole company). Building has 24/7 guard and turnstiles (Adams &amp; Co). | Assembly 2026-10-24: Review round 3: Built In is an employer-editable profile, so it no longer counts as the independent confirmation of the company's own page. No press, landlord or filing source naming TripleLift at 53 West 23rd Street was found (one web search on 2026-10-24 returned only directory aggregators and other tenants' leases), so the row is medium. Confidence lowered at assembly from high to medium: review round 3: the second source is an employer-editable profile (Built In), which does not independently confirm the company's own page. Review round 2: a second count agrees with the band: Revelio Labs (Triple Lift, Inc., HQ New York City): about 415 employees worldwide as of March 2026.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</si>
  <si>
    <t xml:space="preserve">Abby Hamilton</t>
  </si>
  <si>
    <t xml:space="preserve">title_match=adjacent; Leadership bio on TripleLift's About page says she lives in the NYC area (HQ is 53 W 23rd St). Senior; use to ask who owns the NY pantry. TripleLift posted a Team Lead, Employee Experience role on 2026-09-05 that owns the NY HQ workplace, 5 days in office (https://jobs.edisonpartners.com/companies/triplelift/jobs/92367110-team-lead-employee-experience, opened 2026-10-24): that seat may be vacant or newly filled; once filled it is the better primary.</t>
  </si>
  <si>
    <t xml:space="preserve">AO-C-105</t>
  </si>
  <si>
    <t xml:space="preserve">Orbital</t>
  </si>
  <si>
    <t xml:space="preserve">Naomi</t>
  </si>
  <si>
    <t xml:space="preserve">Simpson</t>
  </si>
  <si>
    <t xml:space="preserve">Tuesday estimate 32 to 100 (low confidence), under 500 staff company-wide, on-site 5 days a week per its profile, signed-not-occupied at a medium-confidence address (hold: lease signed, move not confirmed); adjacent contact named (Chief of Staff).</t>
  </si>
  <si>
    <t xml:space="preserve">New or renewed lease at 40 West 25th Street reported 2026-09-09</t>
  </si>
  <si>
    <t xml:space="preserve">https://commercialobserver.com/2026/09/orbital-ai-lease-kaufman-organization-40-west-25th-street/</t>
  </si>
  <si>
    <t xml:space="preserve">2026-09-09</t>
  </si>
  <si>
    <t xml:space="preserve">find Naomi Simpson at Orbital on LinkedIn and paste the profile URL (this also confirms the name: The Org is crowd-edited); check Naomi works from the New York office; adjacent title: ask who runs the pantry</t>
  </si>
  <si>
    <t xml:space="preserve">https://theorg.com/org/orbital-4/org-chart/naomi-simpson</t>
  </si>
  <si>
    <t xml:space="preserve">40 West 25th Street</t>
  </si>
  <si>
    <t xml:space="preserve">6</t>
  </si>
  <si>
    <t xml:space="preserve">signed-not-occupied</t>
  </si>
  <si>
    <t xml:space="preserve">lease signed, move not confirmed: check the lobby directory before outreach (B)</t>
  </si>
  <si>
    <t xml:space="preserve">B-C-105</t>
  </si>
  <si>
    <t xml:space="preserve">https://www.orbital.tech/</t>
  </si>
  <si>
    <t xml:space="preserve">Software (AI for real estate legal due diligence)</t>
  </si>
  <si>
    <t xml:space="preserve">96</t>
  </si>
  <si>
    <t xml:space="preserve">150+</t>
  </si>
  <si>
    <t xml:space="preserve">https://www.builtinnyc.com/company/orbital</t>
  </si>
  <si>
    <t xml:space="preserve">https://www.orbital.tech/about</t>
  </si>
  <si>
    <t xml:space="preserve">B-B-053</t>
  </si>
  <si>
    <t xml:space="preserve">40 West 25th Street (Kaufman Investments / Two Sigma Real Estate)</t>
  </si>
  <si>
    <t xml:space="preserve">Built In workplace type: OnSite Workplace; typical time on-site: 5 days a week; recent job tags: 3 Hybrid</t>
  </si>
  <si>
    <t xml:space="preserve">https://www.builtinnyc.com/company/orbital/offices</t>
  </si>
  <si>
    <t xml:space="preserve">96 (Built In) and 150+ (orbital.tech) staff (whole-company count) x 50% to 100% of them in the New York office (HQ New York; share assumed) x 67% (Partnership for NYC, firms under 500) in on a weekday = 32 to 100, central 57; low confidence; estimate until intake replaces it.</t>
  </si>
  <si>
    <t xml:space="preserve">11,185 sf</t>
  </si>
  <si>
    <t xml:space="preserve">CO Sep 2026: 11,185 sf, entire 6th floor, moving from a temporary office at 18 West 18th Street; offices also in LA and London; CEO calls New York its headquarters. Move-in date not stated. Built In 'orbital' profile (AI real estate software, founded 2018): 96 total employees; NY office still listed at 33 Irving Place. | Assembly 2026-10-24: Review round 2: band changed from 76-150 to unknown. Sources disagree: Built In shows 96 (76-150) and Orbital's own About page (opened 2026-10-24): '150+ employees' (151-250). Band left unknown; founder to confirm at intake.</t>
  </si>
  <si>
    <t xml:space="preserve">Naomi Simpson</t>
  </si>
  <si>
    <t xml:space="preserve">title_match=target; theorg position page opened 2026-10-24: Chief Of Staff at Orbital (theorg org links to orbital.tech); location NOT stated, and Orbital began in London, so she may not sit in New York: founder to confirm before using. The COO on the same chart is in London. The NY Office Lead &amp; EA to CEO seat (posting removed 2026-07-31) remains the real target.</t>
  </si>
  <si>
    <t xml:space="preserve">AO-C-082</t>
  </si>
  <si>
    <t xml:space="preserve">Candid Health</t>
  </si>
  <si>
    <t xml:space="preserve">Tuesday estimate 44 to 172 (low confidence), under 500 staff company-wide, on-site 5 days a week per its profile, signed-not-occupied at a medium-confidence address (hold: lease signed, move not confirmed); no contact found in public sources (walk-in).</t>
  </si>
  <si>
    <t xml:space="preserve">New or renewed lease at 675 Avenue of the Americas reported 2026-01-27</t>
  </si>
  <si>
    <t xml:space="preserve">https://commercialobserver.com/2026/01/candid-health-lease-675-avenue-of-the-americas/</t>
  </si>
  <si>
    <t xml:space="preserve">2026-01-27</t>
  </si>
  <si>
    <t xml:space="preserve">B-C-082</t>
  </si>
  <si>
    <t xml:space="preserve">https://www.candidhealth.com</t>
  </si>
  <si>
    <t xml:space="preserve">software (healthcare billing)</t>
  </si>
  <si>
    <t xml:space="preserve">256</t>
  </si>
  <si>
    <t xml:space="preserve">130+</t>
  </si>
  <si>
    <t xml:space="preserve">https://www.builtinnyc.com/company/candid</t>
  </si>
  <si>
    <t xml:space="preserve">https://www.candidhealth.com/about</t>
  </si>
  <si>
    <t xml:space="preserve">https://rebusinessonline.com/candid-health-signs-28687-sf-office-lease-in-midtown-manhattan/</t>
  </si>
  <si>
    <t xml:space="preserve">2026-04-13</t>
  </si>
  <si>
    <t xml:space="preserve">6 total employees) still lists 44 W 28th St and Columbus OH. CMO quoted on an intentional in-office culture. | Assembly 2026-10-24: Revie</t>
  </si>
  <si>
    <t xml:space="preserve">256 (Built In) and 130+ (candidhealth.com) staff (whole-company count) x 50% to 100% of them in the New York office (HQ New York; share assumed) x 67% (Partnership for NYC, firms under 500) in on a weekday = 44 to 172, central 87; low confidence; estimate until intake replaces it.</t>
  </si>
  <si>
    <t xml:space="preserve">28,687 sf</t>
  </si>
  <si>
    <t xml:space="preserve">Seven-year, 28,687 sf lease on the 3rd floor, relocating from 44 W 28th St. Built In (slug 'candid', 256 total employees) still lists 44 W 28th St and Columbus OH. CMO quoted on an intentional in-office culture. | Assembly 2026-10-24: Review round 2: band changed from 251-500 to unknown. Sources disagree: Built In shows 256 (251-500) and Candid Health's own About page timeline, 2025 entry: 'Grew team to 130+ employees' (opened 2026-10-24) (76-150). Band left unknown; founder to confirm at intake. Review round 3: headcount_second_source_date left blank (date not stated): the About page timeline puts 'Grew team to 130+ employees' under 2025 with no month; the page was opened 2026-10-24. Review round 2: corner lot: the lot-centroid pin sat 39 m from W 21 ST but 46 m from AVE OF THE AMERICAS, so it was moved to the AVE OF THE AMERICAS frontage near the corner (18 m from the AVE OF THE AMERICAS centreline, 39 m from W 21 ST; 28 m from the old pin). Tax lot unchanged.</t>
  </si>
  <si>
    <t xml:space="preserve">AO-C-127</t>
  </si>
  <si>
    <t xml:space="preserve">accessiBe</t>
  </si>
  <si>
    <t xml:space="preserve">Tuesday estimate 70 to 180 (low confidence), under 500 staff company-wide, on-site 5 days a week per its profile, occupancy-unconfirmed at a low-confidence address; no contact found in public sources (walk-in).</t>
  </si>
  <si>
    <t xml:space="preserve">https://www.builtinnyc.com/company/accessibe/offices</t>
  </si>
  <si>
    <t xml:space="preserve">1140 Broadway</t>
  </si>
  <si>
    <t xml:space="preserve">B-C-127</t>
  </si>
  <si>
    <t xml:space="preserve">https://accessibe.com</t>
  </si>
  <si>
    <t xml:space="preserve">software (web accessibility)</t>
  </si>
  <si>
    <t xml:space="preserve">210</t>
  </si>
  <si>
    <t xml:space="preserve">268</t>
  </si>
  <si>
    <t xml:space="preserve">https://www.reveliolabs.com/companies/accessibe/employees</t>
  </si>
  <si>
    <t xml:space="preserve">B-B-063</t>
  </si>
  <si>
    <t xml:space="preserve">1140 Broadway (Williams Equities)</t>
  </si>
  <si>
    <t xml:space="preserve">https://commercialobserver.com/2022/07/acessibe-1140-broadway/</t>
  </si>
  <si>
    <t xml:space="preserve">2022-07-07</t>
  </si>
  <si>
    <t xml:space="preserve">https://www.metro-manhattan.com/buildings/1140-broadway-office-space-for-lease/</t>
  </si>
  <si>
    <t xml:space="preserve">210 (Built In) and 268 (Revelio Labs) staff (whole-company count) x 50% to 100% of them in the New York office (HQ New York; share assumed) x 67% (Partnership for NYC, firms under 500) in on a weekday = 70 to 180, central 112; low confidence; estimate until intake replaces it.</t>
  </si>
  <si>
    <t xml:space="preserve">8,700 sf</t>
  </si>
  <si>
    <t xml:space="preserve">Built In lists New York HQ at 1140 Broadway (zip shown as 11106 on Built In, a typo); 210 total employees, also Israel. CO 2022: seven-year 8,700 SF deal at corner of W 26th St. | Assembly 2026-10-24: Review round 1: lowered from high to medium. Built In is undated and the CO lease is 2022-07-07; accessibe.com's terms and privacy pages print no street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210 (151-250) and Revelio Labs (accessiBe Ltd., HQ Tel Aviv): about 268 employees worldwide as of March 2026 (251-500). Band left unknown; founder to confirm at intake.</t>
  </si>
  <si>
    <t xml:space="preserve">AO-C-157</t>
  </si>
  <si>
    <t xml:space="preserve">Primary Venture Partners</t>
  </si>
  <si>
    <t xml:space="preserve">Alexandra</t>
  </si>
  <si>
    <t xml:space="preserve">Lappas</t>
  </si>
  <si>
    <t xml:space="preserve">Office Manager</t>
  </si>
  <si>
    <t xml:space="preserve">Tuesday estimate 13 to 204 (low confidence), under 500 staff company-wide, no attendance signal, occupied at a medium-confidence address; contact in the target titles named (Office Manager).</t>
  </si>
  <si>
    <t xml:space="preserve">New or renewed lease at 386 Park Avenue South reported 2026-02-27</t>
  </si>
  <si>
    <t xml:space="preserve">https://commercialobserver.com/2026/02/primary-ventures-sigma-computing-leases-386-park-avenue-south/</t>
  </si>
  <si>
    <t xml:space="preserve">2026-02-27</t>
  </si>
  <si>
    <t xml:space="preserve">find Alexandra Lappas at Primary Venture Partners on LinkedIn and paste the profile URL</t>
  </si>
  <si>
    <t xml:space="preserve">https://www.primary.vc/people</t>
  </si>
  <si>
    <t xml:space="preserve">386 Park Avenue South</t>
  </si>
  <si>
    <t xml:space="preserve">13-14</t>
  </si>
  <si>
    <t xml:space="preserve">B-C-157</t>
  </si>
  <si>
    <t xml:space="preserve">https://www.primary.vc</t>
  </si>
  <si>
    <t xml:space="preserve">venture capital</t>
  </si>
  <si>
    <t xml:space="preserve">40</t>
  </si>
  <si>
    <t xml:space="preserve">304</t>
  </si>
  <si>
    <t xml:space="preserve">https://commercialobserver.com/2023/07/primary-vc-sublease-386-park-avenue-south/</t>
  </si>
  <si>
    <t xml:space="preserve">https://www.reveliolabs.com/companies/primary-venture-partners/employees</t>
  </si>
  <si>
    <t xml:space="preserve">B-B-072</t>
  </si>
  <si>
    <t xml:space="preserve">386 Park Avenue South (HSR Corporation)</t>
  </si>
  <si>
    <t xml:space="preserve">2023-07-10</t>
  </si>
  <si>
    <t xml:space="preserve">may be under 30</t>
  </si>
  <si>
    <t xml:space="preserve">40 (Commercial Observer) and 304 (Revelio Labs) staff (whole-company count) x 50% to 100% of them in the New York office (HQ New York; share assumed) x 67% (Partnership for NYC, firms under 500) in on a weekday = 13 to 204, central 51; low confidence; estimate until intake replaces it.</t>
  </si>
  <si>
    <t xml:space="preserve">Emma</t>
  </si>
  <si>
    <t xml:space="preserve">Balin</t>
  </si>
  <si>
    <t xml:space="preserve">VP Strategy, Chief of Staff</t>
  </si>
  <si>
    <t xml:space="preserve">26,252 sf</t>
  </si>
  <si>
    <t xml:space="preserve">2026 CO: direct 26,252 SF lease on floors 13-14 (it already occupied them via a 2023 sublease from MullenLowe). Headcount is the 2023 CO figure '40 employees' relocated; older than 24 months. Second source is the same publication and older, so not counted as independent confirmation. | Assembly 2026-10-24: Review round 2: band changed from 40-75 to unknown. Sources disagree: Commercial Observer shows 40 (40-75) and Revelio Labs (Primary Venture Management LLC, HQ New York City): about 304 employees worldwide as of March 2026 (251-500). Band left unknown; founder to confirm at intake.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</si>
  <si>
    <t xml:space="preserve">Alexandra Lappas</t>
  </si>
  <si>
    <t xml:space="preserve">title_match=target; Listed under Operations on Primary's People page (opened 2026-10-24). Primary is a New York firm; page does not state each person's city. Note: Primary's Talent team recruits for portfolio companies, so those titles were not used.</t>
  </si>
  <si>
    <t xml:space="preserve">Emma Balin</t>
  </si>
  <si>
    <t xml:space="preserve">title_match=target; Operations section, same page (opened 2026-10-24). Other Operations staff on the page: Lily Moran, Receptionist, and five Executive Assistants (none labelled EA to the managing partner).</t>
  </si>
  <si>
    <t xml:space="preserve">AO-C-129</t>
  </si>
  <si>
    <t xml:space="preserve">Activate Consulting</t>
  </si>
  <si>
    <t xml:space="preserve">Laura</t>
  </si>
  <si>
    <t xml:space="preserve">Miller</t>
  </si>
  <si>
    <t xml:space="preserve">Tuesday estimate 25 to 51 (low confidence), under 500 staff company-wide, on-site 5 days a week per its profile, occupied at a high-confidence address; adjacent contact named (Chief of Staff).</t>
  </si>
  <si>
    <t xml:space="preserve">find Laura Miller at Activate Consulting on LinkedIn and paste the profile URL (this also confirms the name: The Org is crowd-edited); adjacent title: ask who runs the pantry; Tuesday estimate band under-40: founder's call (set founder_ok_to_queue = Y to queue)</t>
  </si>
  <si>
    <t xml:space="preserve">https://theorg.com/org/activate/org-chart/laura-miller</t>
  </si>
  <si>
    <t xml:space="preserve">17-18</t>
  </si>
  <si>
    <t xml:space="preserve">B-C-129</t>
  </si>
  <si>
    <t xml:space="preserve">https://www.activate.com</t>
  </si>
  <si>
    <t xml:space="preserve">management consulting (tech, media, telecom)</t>
  </si>
  <si>
    <t xml:space="preserve">76</t>
  </si>
  <si>
    <t xml:space="preserve">https://www.builtinnyc.com/company/activate-consulting/offices</t>
  </si>
  <si>
    <t xml:space="preserve">e North, 18th floor' (vanity address of 11 E 26th St, same building), 76 total employees, on-site 5 days a week. Sublet half the added space</t>
  </si>
  <si>
    <t xml:space="preserve">76 (Built In) staff (whole-company count) x 50% to 100% of them in the New York office (HQ New York; share assumed) x 67% (Partnership for NYC, firms under 500) in on a weekday = 25 to 51, central 36; low confidence; estimate until intake replaces it.</t>
  </si>
  <si>
    <t xml:space="preserve">Frank</t>
  </si>
  <si>
    <t xml:space="preserve">Noto</t>
  </si>
  <si>
    <t xml:space="preserve">Chief Administrative Officer</t>
  </si>
  <si>
    <t xml:space="preserve">24,144 sf</t>
  </si>
  <si>
    <t xml:space="preserve">11-year early renewal of 18th floor plus equal space on 17th, 24,144 SF total. Built In lists HQ at '11 Madison Square North, 18th floor' (vanity address of 11 E 26th St, same building), 76 total employees, on-site 5 days a week. Sublet half the added space to Order.co (CO 2026-02-05).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</si>
  <si>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Laura Miller</t>
  </si>
  <si>
    <t xml:space="preserve">title_match=target; theorg position page opened 2026-10-24: Chief of Staff at Activate (theorg org links to activate.com), location New York City; bio says Chief of Staff at Activate Consulting. Crowd-edited, marked Unverified: founder to confirm. Chief of Staff at a ~76-person firm counts per the brief. activate.com itself has no staff page.</t>
  </si>
  <si>
    <t xml:space="preserve">Frank Noto</t>
  </si>
  <si>
    <t xml:space="preserve">https://theorg.com/org/activate/org-chart/frank-noto</t>
  </si>
  <si>
    <t xml:space="preserve">title_match=adjacent; theorg position page opened 2026-10-24: Chief Administrative Officer since January 2017, location New York (crowd-edited, Unverified). Adjacent title: likely owns office spend. theorg also lists an Executive Assistant in New York (executive not named).</t>
  </si>
  <si>
    <t xml:space="preserve">AO-C-128</t>
  </si>
  <si>
    <t xml:space="preserve">Simplebet</t>
  </si>
  <si>
    <t xml:space="preserve">Tuesday estimate 32 to 64 (low confidence), under 500 staff company-wide with a named parent (DraftKings), on-site 5 days a week per its profile, occupied at a high-confidence address; no contact found in public sources (walk-in).</t>
  </si>
  <si>
    <t xml:space="preserve">https://commercialobserver.com/2025/05/empire-capital-buys-373-381-park-avenue-south/</t>
  </si>
  <si>
    <t xml:space="preserve">373 Park Avenue South</t>
  </si>
  <si>
    <t xml:space="preserve">B-C-128</t>
  </si>
  <si>
    <t xml:space="preserve">https://simplebet.io</t>
  </si>
  <si>
    <t xml:space="preserve">sports betting technology</t>
  </si>
  <si>
    <t xml:space="preserve">95</t>
  </si>
  <si>
    <t xml:space="preserve">https://www.builtinnyc.com/company/simplebet/offices</t>
  </si>
  <si>
    <t xml:space="preserve">DraftKings</t>
  </si>
  <si>
    <t xml:space="preserve">B-B-064</t>
  </si>
  <si>
    <t xml:space="preserve">373 Park Avenue South (Olmstead Properties and Vertex)</t>
  </si>
  <si>
    <t xml:space="preserve">95 (Built In) staff (whole-company count) x 50% to 100% of them in the New York office (HQ New York; share assumed) x 67% (Partnership for NYC, firms under 500) in on a weekday = 32 to 64, central 45; low confidence; estimate until intake replaces it.</t>
  </si>
  <si>
    <t xml:space="preserve">8,732 sf</t>
  </si>
  <si>
    <t xml:space="preserve">Built In lists HQ at 373 Park Ave S, FL 9; 95 total employees. CO 2023: renewal of 8,732 SF on floor 9, in the building since July 2021. | Assembly 2026-10-24: Review round 1: CO 2025-05-22 (opened 2026-10-24): 'Current tenants at 373 Park Avenue South include sports betting firm Simplebet', a dated source under 24 months, so the row stays high with Built In as the independent second source. The company site failed TLS from this environment. Review round 2: corner lot: the lot-centroid pin sat 29 m from E 26 ST but 36 m from PARK AVE S, so it was moved to the PARK AVE S frontage near the corner (13 m from the PARK AVE S centreline, 29 m from E 26 ST; 23 m from the old pin). Tax lot unchanged.</t>
  </si>
  <si>
    <t xml:space="preserve">parent_company &lt;- https://earningsandmore.substack.com/i/148004041/flight-risk (2026-10-24): Earnings+More, 2024-08-30 (opened 2026-10-24): DraftKings 'has finally bought the ~85% of micro-betting supplier Simplebet it didn't already own'. The closing date (2024-12-03 per a search summary of DraftKings' filings) is on sec.gov and was not opened. A named parent costs 4 points.</t>
  </si>
  <si>
    <t xml:space="preserve">AO-C-155</t>
  </si>
  <si>
    <t xml:space="preserve">Primary Wave</t>
  </si>
  <si>
    <t xml:space="preserve">Sophia</t>
  </si>
  <si>
    <t xml:space="preserve">Popovits</t>
  </si>
  <si>
    <t xml:space="preserve">NY Facilities and Culture Manager</t>
  </si>
  <si>
    <t xml:space="preserve">Tuesday estimate 37 to 90 (low confidence), under 500 staff company-wide, remote-first signal, occupied at a high-confidence address; contact in the target titles named (NY Facilities and Culture Manager).</t>
  </si>
  <si>
    <t xml:space="preserve">https://commercialobserver.com/2026/03/thor-equities-buys-1165-broadway/</t>
  </si>
  <si>
    <t xml:space="preserve">find Sophia Popovits at Primary Wave on LinkedIn and paste the profile URL</t>
  </si>
  <si>
    <t xml:space="preserve">https://primarywave.com/team/?filter=human-resources</t>
  </si>
  <si>
    <t xml:space="preserve">1165 Broadway</t>
  </si>
  <si>
    <t xml:space="preserve">5 (per site; CO 2024: top two floors)</t>
  </si>
  <si>
    <t xml:space="preserve">remote</t>
  </si>
  <si>
    <t xml:space="preserve">B-C-155</t>
  </si>
  <si>
    <t xml:space="preserve">https://www.primarywave.com</t>
  </si>
  <si>
    <t xml:space="preserve">music publishing and marketing</t>
  </si>
  <si>
    <t xml:space="preserve">109</t>
  </si>
  <si>
    <t xml:space="preserve">134</t>
  </si>
  <si>
    <t xml:space="preserve">https://www.builtinnyc.com/company/primary-wave/offices</t>
  </si>
  <si>
    <t xml:space="preserve">https://www.reveliolabs.com/companies/primary-wave-entmt/employees</t>
  </si>
  <si>
    <t xml:space="preserve">B-B-071</t>
  </si>
  <si>
    <t xml:space="preserve">1165 Broadway (Thor Equities, bought 2026)</t>
  </si>
  <si>
    <t xml:space="preserve">2026-03-25</t>
  </si>
  <si>
    <t xml:space="preserve">https://primarywave.com/contact/</t>
  </si>
  <si>
    <t xml:space="preserve">Built In workplace type: Remote Workplace</t>
  </si>
  <si>
    <t xml:space="preserve">109 (Built In) and 134 (Revelio Labs) staff (whole-company count) x 50% to 100% of them in the New York office (HQ New York; share assumed) x 67% (Partnership for NYC, firms under 500) in on a weekday = 37 to 90, central 58; low confidence; estimate until intake replaces it.</t>
  </si>
  <si>
    <t xml:space="preserve">Shevonne</t>
  </si>
  <si>
    <t xml:space="preserve">James</t>
  </si>
  <si>
    <t xml:space="preserve">Senior Human Resources Manager</t>
  </si>
  <si>
    <t xml:space="preserve">12,884 sf</t>
  </si>
  <si>
    <t xml:space="preserve">Contact page lists 1165 Broadway, 5th Floor. CO 2026 (building sale) names Primary Wave as a current tenant; CO 2024: 10-year 12,884 SF lease on the top two floors. Built In: 109 total employees. | Assembly 2026-10-24: Review round 2: a second count agrees with the band: Revelio Labs (Primary Wave Entertainment LLC, HQ New York City): about 134 employees worldwide as of March 2026.</t>
  </si>
  <si>
    <t xml:space="preserve">Sophia Popovits</t>
  </si>
  <si>
    <t xml:space="preserve">title_match=target; Human Resources &amp; Operations tab of Primary Wave's team page (opened 2026-10-24). Strong fit: the title names the NY office. Built In calls Primary Wave a Remote Workplace, but a NY facilities role suggests a staffed office; confirm Tuesday headcount on the call.</t>
  </si>
  <si>
    <t xml:space="preserve">Shevonne James</t>
  </si>
  <si>
    <t xml:space="preserve">title_match=target; Same page (opened 2026-10-24); city not stated. Also on the tab: Mike Chorny, Operations Manager / IT, and Jessica Wilkins, Senior Executive Assistant (executive not named).</t>
  </si>
  <si>
    <t xml:space="preserve">AO-C-095</t>
  </si>
  <si>
    <t xml:space="preserve">Foursquare</t>
  </si>
  <si>
    <t xml:space="preserve">Kristin</t>
  </si>
  <si>
    <t xml:space="preserve">Vera</t>
  </si>
  <si>
    <t xml:space="preserve">Senior Manager, Executive &amp; Office Operations | EA to the CEO</t>
  </si>
  <si>
    <t xml:space="preserve">Tuesday estimate 12 to 288 (low confidence), under 500 staff company-wide with a named parent (Infillion (acquisition announced 2026-09-18)), hybrid (days not stated), occupied at a high-confidence address; contact in the target titles named (Senior Manager, Executive &amp; Office Operations | EA to the CEO).</t>
  </si>
  <si>
    <t xml:space="preserve">https://www.builtinnyc.com/company/foursquare/offices</t>
  </si>
  <si>
    <t xml:space="preserve">find Kristin Vera at Foursquare on LinkedIn and paste the profile URL (this also confirms the name: The Org is crowd-edited)</t>
  </si>
  <si>
    <t xml:space="preserve">https://theorg.com/org/foursquare/org-chart/kristin-vera</t>
  </si>
  <si>
    <t xml:space="preserve">50 West 23rd Street</t>
  </si>
  <si>
    <t xml:space="preserve">B-C-095</t>
  </si>
  <si>
    <t xml:space="preserve">https://foursquare.com/</t>
  </si>
  <si>
    <t xml:space="preserve">Location technology / software</t>
  </si>
  <si>
    <t xml:space="preserve">350</t>
  </si>
  <si>
    <t xml:space="preserve">430</t>
  </si>
  <si>
    <t xml:space="preserve">https://www.reveliolabs.com/companies/foursquare-labs/employees</t>
  </si>
  <si>
    <t xml:space="preserve">Infillion (acquisition announced 2026-09-18)</t>
  </si>
  <si>
    <t xml:space="preserve">B-B-046</t>
  </si>
  <si>
    <t xml:space="preserve">50 West 23rd Street (Two Trees Management)</t>
  </si>
  <si>
    <t xml:space="preserve">https://nyrej.com/index.php/two-new-leases-signed-at-50-west-23rd-st</t>
  </si>
  <si>
    <t xml:space="preserve">2025-10-14</t>
  </si>
  <si>
    <t xml:space="preserve">350 (Built In) and 430 (Revelio Labs) staff (whole-company count) x 5% to 100% of them in the New York office (HQ city unknown; share assumed) x 67% (Partnership for NYC, firms under 500) in on a weekday = 12 to 288, central 59; low confidence; estimate until intake replaces it.</t>
  </si>
  <si>
    <t xml:space="preserve">Pam</t>
  </si>
  <si>
    <t xml:space="preserve">Thomas</t>
  </si>
  <si>
    <t xml:space="preserve">Built In lists HQ 50 West 23rd Street and 350 total employees (live profile, undated). NYREJ Oct 2025 (Two Trees release) names Foursquare as an existing tenant. | Assembly 2026-10-24: Review round 3: HQ city set to unknown because the sources conflict: the Built In offices page says HQ New York (50 West 23rd Street) and the Revelio Labs page cited for the second count says HQ San Francisco. Review round 2: a second count agrees with the band: Revelio Labs (Foursquare Labs, Inc., HQ San Francisco): about 430 employees worldwide as of March 2026.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</si>
  <si>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Kristin Vera</t>
  </si>
  <si>
    <t xml:space="preserve">title_match=target; theorg.com position page opened 2026-10-24: title as shown, location New York. theorg is a third-party, crowd-edited org chart and marks the entry Unverified; Foursquare's own leadership page (rendered 2026-10-24) shows only three executives. Founder to confirm she is current before outreach. Strong fit: owns office operations and is EA to the CEO.</t>
  </si>
  <si>
    <t xml:space="preserve">Pam Thomas</t>
  </si>
  <si>
    <t xml:space="preserve">https://theorg.com/org/foursquare/org-chart/pam-thomas</t>
  </si>
  <si>
    <t xml:space="preserve">title_match=adjacent; theorg.com position page opened 2026-10-24: Chief Of Staff, location New York City (crowd-edited, marked Unverified). A search snippet says Foursquare's own team page lists her as VP, Chief of Staff (snippet-unverified; the rendered page did not show her).</t>
  </si>
  <si>
    <t xml:space="preserve">AO-C-133</t>
  </si>
  <si>
    <t xml:space="preserve">Order.co</t>
  </si>
  <si>
    <t xml:space="preserve">Karen</t>
  </si>
  <si>
    <t xml:space="preserve">Bedell</t>
  </si>
  <si>
    <t xml:space="preserve">VP, People</t>
  </si>
  <si>
    <t xml:space="preserve">Tuesday estimate 55 to 111 (low confidence), under 500 staff company-wide, hybrid (days not stated), signed-not-occupied at a medium-confidence address (hold: lease signed, move not confirmed); adjacent contact named (VP, People).</t>
  </si>
  <si>
    <t xml:space="preserve">New or renewed lease at 11 East 26th Street reported 2026-02-05</t>
  </si>
  <si>
    <t xml:space="preserve">https://commercialobserver.com/2026/02/order-co-sublease-11-east-26th-street/</t>
  </si>
  <si>
    <t xml:space="preserve">2026-02-05</t>
  </si>
  <si>
    <t xml:space="preserve">find Karen Bedell at Order.co on LinkedIn and paste the profile URL (this also confirms the name: The Org is crowd-edited); adjacent title: ask who runs the pantry</t>
  </si>
  <si>
    <t xml:space="preserve">https://theorg.com/org/order-negotiatus/org-chart/karen-bedell</t>
  </si>
  <si>
    <t xml:space="preserve">B-C-133</t>
  </si>
  <si>
    <t xml:space="preserve">https://www.order.co</t>
  </si>
  <si>
    <t xml:space="preserve">software (B2B procurement)</t>
  </si>
  <si>
    <t xml:space="preserve">https://www.builtinnyc.com/company/orderco/offices</t>
  </si>
  <si>
    <t xml:space="preserve">165 (Built In) staff (whole-company count) x 50% to 100% of them in the New York office (HQ New York; share assumed) x 67% (Partnership for NYC, firms under 500) in on a weekday = 55 to 111, central 78; low confidence; estimate until intake replaces it.</t>
  </si>
  <si>
    <t xml:space="preserve">Ali</t>
  </si>
  <si>
    <t xml:space="preserve">Sardinia</t>
  </si>
  <si>
    <t xml:space="preserve">12,134 sf</t>
  </si>
  <si>
    <t xml:space="preserve">12,134 SF sublease from Activate Consulting; relocating from 156 Fifth Ave (move date not stated). Built In: HQ New York, 165 total employees, describes a 'Flatiron office' without street address, so not used as address confirmation.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</si>
  <si>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Karen Bedell</t>
  </si>
  <si>
    <t xml:space="preserve">title_match=adjacent; theorg position page opened 2026-10-24: VP, People at Order (theorg org links to order.co), location New York (crowd-edited, marked Unverified; founder to confirm). The Office Manager seat (owns kitchen stocking, reports to the Director of People Operations) was advertised on Built In and the posting was removed 2026-07-31 (opened), so ask her for the new Office Manager. Row is on hold until the 11 E 26th St move is confirmed. Built In NYC HR Business Partner posting (opened 2026-10-24, posted about 12 days earlier) reports to an "SVP of People" (not named): the theorg title may be stale or she may have been promoted, or someone else holds it. A ChartHop piece (snippet, about 2022) named a different Senior Director of People Operations. Confirm who leads People before outreach.</t>
  </si>
  <si>
    <t xml:space="preserve">Ali Sardinia</t>
  </si>
  <si>
    <t xml:space="preserve">https://theorg.com/org/order-negotiatus/org-chart/ali-sardinia</t>
  </si>
  <si>
    <t xml:space="preserve">title_match=target; theorg position page opened 2026-10-24: Chief of Staff, location New York (crowd-edited, marked Unverified, no bio). An Executive Assistant to the CEO role was open on Built In NYC (teams page opened 2026-10-24).</t>
  </si>
  <si>
    <t xml:space="preserve">AO-C-051</t>
  </si>
  <si>
    <t xml:space="preserve">Morning Brew</t>
  </si>
  <si>
    <t xml:space="preserve">Tuesday estimate 96 to 231 (low confidence), under 500 staff company-wide with a named parent (Insider Inc; (majority owner)), on-site 5 days a week per its profile, occupancy-unconfirmed at a low-confidence address; no contact found in public sources (walk-in).</t>
  </si>
  <si>
    <t xml:space="preserve">https://www.builtinnyc.com/company/morning-brew/offices</t>
  </si>
  <si>
    <t xml:space="preserve">22 West 19th Street</t>
  </si>
  <si>
    <t xml:space="preserve">3-4</t>
  </si>
  <si>
    <t xml:space="preserve">B-C-051</t>
  </si>
  <si>
    <t xml:space="preserve">https://www.morningbrew.com</t>
  </si>
  <si>
    <t xml:space="preserve">digital media (business newsletters)</t>
  </si>
  <si>
    <t xml:space="preserve">345</t>
  </si>
  <si>
    <t xml:space="preserve">286</t>
  </si>
  <si>
    <t xml:space="preserve">https://www.builtinnyc.com/company/morning-brew</t>
  </si>
  <si>
    <t xml:space="preserve">https://www.reveliolabs.com/companies/morning-brew/employees</t>
  </si>
  <si>
    <t xml:space="preserve">Insider Inc. (majority owner)</t>
  </si>
  <si>
    <t xml:space="preserve">B-B-022</t>
  </si>
  <si>
    <t xml:space="preserve">Cluett Building (Kaufman Organization)</t>
  </si>
  <si>
    <t xml:space="preserve">https://commercialobserver.com/2022/02/morning-brew-lease-flatiron-district-22-west-19th-street-kaufman-organization/</t>
  </si>
  <si>
    <t xml:space="preserve">2022-02-24</t>
  </si>
  <si>
    <t xml:space="preserve">Built In workplace type: OnSite Workplace; typical time on-site: 5 days a week; recent job tags: 2 In-Office, 1 Hybrid</t>
  </si>
  <si>
    <t xml:space="preserve">345 (Built In) and 286 (Revelio Labs) staff (whole-company count) x 50% to 100% of them in the New York office (HQ New York; share assumed) x 67% (Partnership for NYC, firms under 500) in on a weekday = 96 to 231, central 149; low confidence; estimate until intake replaces it.</t>
  </si>
  <si>
    <t xml:space="preserve">37,650 sf</t>
  </si>
  <si>
    <t xml:space="preserve">Built In lists HQ at 22 W 19th Street; CO Feb 2022 reported an eight-year lease of floors 3 and 4 (37,650 sf) at the Cluett Building. Built In shows 345 total employees. Majority-owned by Insider Inc. | Assembly 2026-10-24: Review round 1: lowered from high to medium. Built In is undated and the only other source is the CO 2022-02-24 lease (older than 24 months); morningbrew.com's contact and legal pages print no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(Morning Brew, Inc., HQ New York City): about 286 employees worldwide as of March 2026.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</si>
  <si>
    <t xml:space="preserve">AO-C-030</t>
  </si>
  <si>
    <t xml:space="preserve">Prepared 911</t>
  </si>
  <si>
    <t xml:space="preserve">Miranda</t>
  </si>
  <si>
    <t xml:space="preserve">Tuesday estimate 26 to 90 (low confidence), under 500 staff company-wide with a named parent (Axon Enterprise), on-site 5 days a week per its profile, occupancy-unconfirmed at a medium-confidence address; adjacent contact named (Chief of Staff).</t>
  </si>
  <si>
    <t xml:space="preserve">https://commercialobserver.com/2025/08/prepared-911-101-fifth-avenue/</t>
  </si>
  <si>
    <t xml:space="preserve">find Miranda Lee at Prepared 911 on LinkedIn and paste the profile URL (this also confirms the name: The Org is crowd-edited); the source is dated 2025-09-23: check Miranda still holds the role; adjacent title: ask who runs the pantry</t>
  </si>
  <si>
    <t xml:space="preserve">https://theorg.com/org/prepared/org-chart/miranda-lee</t>
  </si>
  <si>
    <t xml:space="preserve">101 Fifth Avenue</t>
  </si>
  <si>
    <t xml:space="preserve">one full floor (not named)</t>
  </si>
  <si>
    <t xml:space="preserve">B-C-030</t>
  </si>
  <si>
    <t xml:space="preserve">https://www.prepared911.com</t>
  </si>
  <si>
    <t xml:space="preserve">public safety software (AI for 911 centers)</t>
  </si>
  <si>
    <t xml:space="preserve">77</t>
  </si>
  <si>
    <t xml:space="preserve">135</t>
  </si>
  <si>
    <t xml:space="preserve">https://www.builtinnyc.com/company/prepared</t>
  </si>
  <si>
    <t xml:space="preserve">https://www.reveliolabs.com/companies/prepared/employees</t>
  </si>
  <si>
    <t xml:space="preserve">B-B-012</t>
  </si>
  <si>
    <t xml:space="preserve">2025-08-04</t>
  </si>
  <si>
    <t xml:space="preserve">https://www.builtinnyc.com/company/prepared/offices</t>
  </si>
  <si>
    <t xml:space="preserve">77 (Built In) and 135 (Revelio Labs) staff (whole-company count) x 50% to 100% of them in the New York office (HQ New York; share assumed) x 67% (Partnership for NYC, firms under 500) in on a weekday = 26 to 90, central 48; low confidence; estimate until intake replaces it.</t>
  </si>
  <si>
    <t xml:space="preserve">7,080 sf</t>
  </si>
  <si>
    <t xml:space="preserve">CO 2025-08-04: five-year 7,080 sf full-floor lease at 101 Fifth Ave; at the time LinkedIn listed 575 Lexington Ave, so it was a relocation. Built In NYC profile titled 'Prepared' (HQ New York, founded 2019): 77 total employees. | Assembly 2026-10-24: Review round 2: a second count agrees with the band: Revelio Labs (Prepared LLC, HQ Wilmington, Delaware): about 135 employees worldwide as of March 2026. Review round 2: corner lot: the lot-centroid pin sat 27 m from E 17 ST but 30 m from 5 AVE, so it was moved to the 5 AVE frontage near the corner (17 m from the 5 AVE centreline, 27 m from E 17 ST; 13 m from the old pin). Tax lot unchanged.</t>
  </si>
  <si>
    <t xml:space="preserve">parent_company &lt;- https://vectorshift.ai/research/deals/axon-enterprise-carbyne-2026.html (2026-10-24): Stage 2 opened prepared911.com/company ('The Intelligence Layer of Axon 911') and found prepared911.com/careers redirecting to Axon's job board; the deal tracker (opened 2026-10-24) names Prepared as already part of Axon when Axon bought Carbyne. A named parent costs 4 points.</t>
  </si>
  <si>
    <t xml:space="preserve">Miranda Lee</t>
  </si>
  <si>
    <t xml:space="preserve">2025-09-23</t>
  </si>
  <si>
    <t xml:space="preserve">title_match=target; theorg.com position page opened 2026-10-24: Chief of Staff at Prepared, location New York (crowd-edited, marked Unverified; may predate Prepared becoming part of Axon). FLAG for founder: prepared911.com/company (opened 2026-10-24) calls Prepared "The Intelligence Layer of Axon 911", and prepared911.com/careers redirects to Axon's Greenhouse board, which lists "New York-Office(27th St)" for Axon 911 roles: re-check the address (row says 101 Fifth Avenue) and the parent before outreach. Latham &amp; Watkins release dated 2025-09-23 (opened 2026-10-24, https://www.lw.com/en/news/2025/09/latham-watkins-advises-prepared-in-acquisition-by-axon) says Axon entered a definitive agreement to acquire Prepared. A corroborating search did not confirm her current role.</t>
  </si>
  <si>
    <t xml:space="preserve">parent 'axon enterprise' shared with AO-C-151</t>
  </si>
  <si>
    <t xml:space="preserve">AO-C-001</t>
  </si>
  <si>
    <t xml:space="preserve">HUMAN Security</t>
  </si>
  <si>
    <t xml:space="preserve">Jackie</t>
  </si>
  <si>
    <t xml:space="preserve">Orris</t>
  </si>
  <si>
    <t xml:space="preserve">Tuesday estimate 132 to 263 (low confidence), under 500 staff company-wide, hybrid (days not stated), occupancy-unconfirmed at a low-confidence address; adjacent contact named (Chief People Officer).</t>
  </si>
  <si>
    <t xml:space="preserve">https://commercialobserver.com/2024/06/movable-ink-lease-841-broadway/</t>
  </si>
  <si>
    <t xml:space="preserve">find Jackie Orris at HUMAN Security on LinkedIn and paste the profile URL (this also confirms the name: The Org is crowd-edited); adjacent title: ask who runs the pantry</t>
  </si>
  <si>
    <t xml:space="preserve">https://theorg.com/org/human-security/org-chart/jackie-orris</t>
  </si>
  <si>
    <t xml:space="preserve">841 Broadway</t>
  </si>
  <si>
    <t xml:space="preserve">B-C-001</t>
  </si>
  <si>
    <t xml:space="preserve">https://www.humansecurity.com</t>
  </si>
  <si>
    <t xml:space="preserve">cybersecurity</t>
  </si>
  <si>
    <t xml:space="preserve">393</t>
  </si>
  <si>
    <t xml:space="preserve">https://www.builtinnyc.com/company/human</t>
  </si>
  <si>
    <t xml:space="preserve">2024-06</t>
  </si>
  <si>
    <t xml:space="preserve">https://builtinnyc.com/articles/nyc-tech-headquarters-openings-2023</t>
  </si>
  <si>
    <t xml:space="preserve">2023-03-23</t>
  </si>
  <si>
    <t xml:space="preserve">https://www.builtinnyc.com/company/human/offices</t>
  </si>
  <si>
    <t xml:space="preserve">393 (Built In) staff (whole-company count) x 50% to 100% of them in the New York office (HQ New York; share assumed) x 67% (Partnership for NYC, firms under 500) in on a weekday = 132 to 263, central 186; low confidence; estimate until intake replaces it.</t>
  </si>
  <si>
    <t xml:space="preserve">13,809 sf</t>
  </si>
  <si>
    <t xml:space="preserve">CO 2024-06 says HUMAN Security relocated to 841 Broadway, taking 13,809 sf in 2023; Built In NYC 2023 article says it planned to move from 111 W 33rd St to 841 Broadway on a seven-year lease. Both older than 24 months and the company site is blocked (403), so low; founder to confirm. Built In NYC: 393 total employees, HQ New York, 4 offices. | Assembly 2026-10-24: Review round 3: second_source_date set from '2023' to 2023-03-23, the Built In article's datePublished (opened 2026-10-24). Review round 2: corner lot: the lot-centroid pin sat 21 m from E 13 ST but 30 m from BROADWAY, so it was moved to the BROADWAY frontage near the corner (15 m from the BROADWAY centreline, 26 m from E 13 ST; 15 m from the old pin). Tax lot unchanged.</t>
  </si>
  <si>
    <t xml:space="preserve">Jackie Orris</t>
  </si>
  <si>
    <t xml:space="preserve">title_match=adjacent; theorg.com position page opened 2026-10-24: Chief People Officer, location New York City (crowd-edited, marked Unverified). humansecurity.com returned 403 to a plain GET, so not confirmed on the company site. Senior: ask who runs the 841 Broadway office. Founder to confirm. A corroborating search (2026-10-24) found nothing; humansecurity.com blocks automated access, so the leadership page was not checked.</t>
  </si>
  <si>
    <t xml:space="preserve">AO-C-059</t>
  </si>
  <si>
    <t xml:space="preserve">Christie's International Real Estate Group</t>
  </si>
  <si>
    <t xml:space="preserve">True</t>
  </si>
  <si>
    <t xml:space="preserve">Team Leader, Christie's Flatiron Office</t>
  </si>
  <si>
    <t xml:space="preserve">Tuesday estimate 50 to 50 (medium confidence), company size unknown, no attendance signal, occupancy-unconfirmed at a low-confidence address; adjacent contact named (Team Leader, Christie's Flatiron Office).</t>
  </si>
  <si>
    <t xml:space="preserve">https://commercialobserver.com/2024/08/christies-international-real-estate-group-lease-156-fifth-avenue/</t>
  </si>
  <si>
    <t xml:space="preserve">find Melissa True at Christie's International Real Estate Group on LinkedIn and paste the profile URL; the source is dated 2025-09-15: check Melissa still holds the role; adjacent title: ask who runs the pantry</t>
  </si>
  <si>
    <t xml:space="preserve">press, event or podcast page</t>
  </si>
  <si>
    <t xml:space="preserve">https://www.mannpublications.com/mannreport/2025/09/15/christies-international-real-estate-group-welcomes-veteran-agent-filippa-edberg-manuel-as-founder-of-the-luxury-advisory-team/</t>
  </si>
  <si>
    <t xml:space="preserve">156 Fifth Avenue</t>
  </si>
  <si>
    <t xml:space="preserve">B-C-059</t>
  </si>
  <si>
    <t xml:space="preserve">residential real estate brokerage</t>
  </si>
  <si>
    <t xml:space="preserve">75</t>
  </si>
  <si>
    <t xml:space="preserve">nyc-office</t>
  </si>
  <si>
    <t xml:space="preserve">B-B-029</t>
  </si>
  <si>
    <t xml:space="preserve">Presbyterian Building / Flatiron Suites (HRC)</t>
  </si>
  <si>
    <t xml:space="preserve">2024-08-21</t>
  </si>
  <si>
    <t xml:space="preserve">75 in the New York office (Commercial Observer) staff (New York office count) x the count is for the New York office x 67% (Partnership for NYC, firms under 500) in on a weekday = 50 to 50, central 50; medium confidence; estimate until intake replaces it.</t>
  </si>
  <si>
    <t xml:space="preserve">Brett</t>
  </si>
  <si>
    <t xml:space="preserve">Forman</t>
  </si>
  <si>
    <t xml:space="preserve">Managing Director, Manhattan</t>
  </si>
  <si>
    <t xml:space="preserve">8,000 sf</t>
  </si>
  <si>
    <t xml:space="preserve">Five-year, 8,000 sf lease on the 9th floor 'to open a 75-person office' (company spokesperson via CO). Source predates 2024-10-23 and the company site did not load, so low. Agents may not keep regular office hours. christiesrealestategroup.com did not connect (2026-10-24), so website left blank. Review round 2: corner lot: the lot-centroid pin sat 16 m from W 20 ST but 53 m from 5 AVE, so it was moved to the 5 AVE frontage near the corner (17 m from the 5 AVE centreline, 26 m from W 20 ST; 37 m from the old pin). Tax lot unchanged.</t>
  </si>
  <si>
    <t xml:space="preserve">Melissa True</t>
  </si>
  <si>
    <t xml:space="preserve">title_match=adjacent; Opened 2026-10-24. Mann Report 2025-09-15 quotes her as "Team Leader, Christie's Flatiron Office"; Mann Report 2025-01-17 (opened) announced her as Team Leader of the new Flatiron office, focused on agent development. Adjacent title, not an office manager: at a brokerage the office leader decides what goes in the office. Source is over a year old; founder to confirm she is current. Agents may not keep regular office hours, so check the Tuesday count.</t>
  </si>
  <si>
    <t xml:space="preserve">Brett Forman</t>
  </si>
  <si>
    <t xml:space="preserve">title_match=adjacent; Opened 2026-10-24. Commercial Observer 2024-08-21 caption: managing director of Christie's International Real Estate Group for Manhattan, about the 156 Fifth Avenue office. Source is two years old: founder to confirm. A Brokerage Office Administrator posting (selectleaders.com, snippet, undated) reports to a Business Operations Manager; no names. christiesrealestategroup.com is refused by the session proxy.</t>
  </si>
  <si>
    <t xml:space="preserve">AO-C-072</t>
  </si>
  <si>
    <t xml:space="preserve">Actively AI</t>
  </si>
  <si>
    <t xml:space="preserve">Tuesday estimate 22 to 56 (low confidence), under 500 staff company-wide, on-site 5 days a week per its profile, occupied at a high-confidence address; no contact found in public sources (walk-in).</t>
  </si>
  <si>
    <t xml:space="preserve">https://commercialobserver.com/2025/04/actively-ai-lease-30-west-21st-street/</t>
  </si>
  <si>
    <t xml:space="preserve">no named contact: walk in and ask for whoever runs the pantry, or use the company contact form; Tuesday estimate band under-40: founder's call (set founder_ok_to_queue = Y to queue)</t>
  </si>
  <si>
    <t xml:space="preserve">30 West 21st Street</t>
  </si>
  <si>
    <t xml:space="preserve">9-10</t>
  </si>
  <si>
    <t xml:space="preserve">B-C-072</t>
  </si>
  <si>
    <t xml:space="preserve">https://www.actively.ai</t>
  </si>
  <si>
    <t xml:space="preserve">software (AI sales platform)</t>
  </si>
  <si>
    <t xml:space="preserve">65</t>
  </si>
  <si>
    <t xml:space="preserve">83</t>
  </si>
  <si>
    <t xml:space="preserve">https://www.builtinnyc.com/company/actively-ai</t>
  </si>
  <si>
    <t xml:space="preserve">https://www.reveliolabs.com/companies/actively/employees</t>
  </si>
  <si>
    <t xml:space="preserve">B-B-033</t>
  </si>
  <si>
    <t xml:space="preserve">30 West 21st Street (Skyway Development Group)</t>
  </si>
  <si>
    <t xml:space="preserve">2025-04-14</t>
  </si>
  <si>
    <t xml:space="preserve">https://www.actively.ai/</t>
  </si>
  <si>
    <t xml:space="preserve">https://www.builtinnyc.com/company/actively-ai/offices</t>
  </si>
  <si>
    <t xml:space="preserve">65 (Built In) and 83 (Revelio Labs) staff (whole-company count) x 50% to 100% of them in the New York office (HQ New York; share assumed) x 67% (Partnership for NYC, firms under 500) in on a weekday = 22 to 56, central 35; low confidence; estimate until intake replaces it.</t>
  </si>
  <si>
    <t xml:space="preserve">10,722 sf</t>
  </si>
  <si>
    <t xml:space="preserve">Five-year lease, 10,722 sf on floors 9 and 10. Company site lists 30 West 21st Street, 9th Floor; Built In offices page also lists 30 W 21st St. Built In shows 65 total employees. | Assembly 2026-10-24: Review round 2: band changed from 40-75 to unknown. Sources disagree: Built In shows 65 (40-75) and Revelio Labs (Taurus Labs, Inc., whose page describes Actively, HQ New York City): about 83 employees worldwide as of March 2026 (76-150). Band left unknown; founder to confirm at intake.</t>
  </si>
  <si>
    <t xml:space="preserve">AO-C-109</t>
  </si>
  <si>
    <t xml:space="preserve">Green Mountain Energy</t>
  </si>
  <si>
    <t xml:space="preserve">Tuesday estimate 9 to 224 (low confidence), under 500 staff company-wide with a named parent (NRG Energy), on-site 5 days a week per its profile, occupied at a medium-confidence address; no contact found in public sources (walk-in).</t>
  </si>
  <si>
    <t xml:space="preserve">https://commercialobserver.com/2026/01/purple-lease-16-madison-square-west/</t>
  </si>
  <si>
    <t xml:space="preserve">B-C-109</t>
  </si>
  <si>
    <t xml:space="preserve">https://www.greenmountainenergy.com/</t>
  </si>
  <si>
    <t xml:space="preserve">Energy retailer (renewable electricity)</t>
  </si>
  <si>
    <t xml:space="preserve">334</t>
  </si>
  <si>
    <t xml:space="preserve">257</t>
  </si>
  <si>
    <t xml:space="preserve">https://www.builtinnyc.com/company/green-mountain-energy/offices</t>
  </si>
  <si>
    <t xml:space="preserve">https://www.reveliolabs.com/companies/green-mountain-energy/employees</t>
  </si>
  <si>
    <t xml:space="preserve">Houston</t>
  </si>
  <si>
    <t xml:space="preserve">NRG Energy</t>
  </si>
  <si>
    <t xml:space="preserve">2026-01-08</t>
  </si>
  <si>
    <t xml:space="preserve">334 (Built In) and 257 (Revelio Labs) staff (whole-company count) x 5% to 100% of them in the New York office (HQ outside New York; share assumed) x 67% (Partnership for NYC, firms under 500) in on a weekday = 9 to 224, central 45; low confidence; estimate until intake replaces it.</t>
  </si>
  <si>
    <t xml:space="preserve">CO Jan 2026 lists 'the New York City offices of Green Mountain Energy' as a current tenant. HQ Houston; Built In shows 334 total employees for Green Mountain (it is part of NRG Energy, which is much larger). NYC office size unknown. | Assembly 2026-10-24: Review round 2: a second count agrees with the band: Revelio Labs (Green Mountain Energy Co., HQ Houston): about 257 employees worldwide as of March 2026.</t>
  </si>
  <si>
    <t xml:space="preserve">AO-C-013</t>
  </si>
  <si>
    <t xml:space="preserve">Rockwell Group</t>
  </si>
  <si>
    <t xml:space="preserve">Yazmin</t>
  </si>
  <si>
    <t xml:space="preserve">Ramirez</t>
  </si>
  <si>
    <t xml:space="preserve">Director of Human Resources</t>
  </si>
  <si>
    <t xml:space="preserve">Tuesday estimate 100 to 309 (low confidence), 501 to 1,000 staff company-wide, no attendance signal, occupied at a high-confidence address; adjacent contact named (Director of Human Resources).</t>
  </si>
  <si>
    <t xml:space="preserve">https://www.rockwellgroup.com/about</t>
  </si>
  <si>
    <t xml:space="preserve">find Yazmin Ramirez at Rockwell Group on LinkedIn and paste the profile URL; adjacent title: ask who runs the pantry</t>
  </si>
  <si>
    <t xml:space="preserve">https://www.rockwellgroup.com/people</t>
  </si>
  <si>
    <t xml:space="preserve">5 Union Square West</t>
  </si>
  <si>
    <t xml:space="preserve">8</t>
  </si>
  <si>
    <t xml:space="preserve">B-C-013</t>
  </si>
  <si>
    <t xml:space="preserve">https://www.rockwellgroup.com</t>
  </si>
  <si>
    <t xml:space="preserve">architecture and design</t>
  </si>
  <si>
    <t xml:space="preserve">542</t>
  </si>
  <si>
    <t xml:space="preserve">https://www.reveliolabs.com/companies/rockwell-group/employees</t>
  </si>
  <si>
    <t xml:space="preserve">501-1000</t>
  </si>
  <si>
    <t xml:space="preserve">B-B-003</t>
  </si>
  <si>
    <t xml:space="preserve">Spingler Building (5-9 Union Square West)</t>
  </si>
  <si>
    <t xml:space="preserve">https://commercialobserver.com/2026/05/profound-lease-gfp-5-9-union-square-west/</t>
  </si>
  <si>
    <t xml:space="preserve">2026-05-18</t>
  </si>
  <si>
    <t xml:space="preserve">350 (rockwellgroup.com) and 542 (Revelio Labs) staff (whole-company count) x 50% to 100% of them in the New York office (HQ New York; share assumed) x 57% (Partnership for NYC, all Manhattan firms; no figure for 500 to 4,999) in on a weekday = 100 to 309, central 176; low confidence; estimate until intake replaces it.</t>
  </si>
  <si>
    <t xml:space="preserve">Site footer: 5 Union Square West, 8th Floor; site says '350-person firm' (offices also in LA and Madrid, so firm-wide). CO 2026-05-18 says Rockwell's firm remains elsewhere in 5-9 USW after giving up space to Profound. | Assembly 2026-10-24: Review round 2: band changed from 251-500 to unknown. Sources disagree: the company's own page shows 350 (251-500) and Revelio Labs (Rockwell Group, HQ New York City): about 542 employees worldwide as of March 2026 (over-500). Band left unknown; founder to confirm at intake.</t>
  </si>
  <si>
    <t xml:space="preserve">Yazmin Ramirez</t>
  </si>
  <si>
    <t xml:space="preserve">title_match=adjacent; Senior Staff list on Rockwell Group's People page (opened 2026-10-24); the page footer lists the New York office at 5 Union Square West, 8th Floor (HQ). City of this person not stated. HR, not office ops: ask her who runs the studio pantry.</t>
  </si>
  <si>
    <t xml:space="preserve">AO-C-033</t>
  </si>
  <si>
    <t xml:space="preserve">Baseten</t>
  </si>
  <si>
    <t xml:space="preserve">Tuesday estimate 10 to 234 (low confidence), under 500 staff company-wide, hybrid 3 days, occupied at a medium-confidence address; no contact found in public sources (walk-in).</t>
  </si>
  <si>
    <t xml:space="preserve">18</t>
  </si>
  <si>
    <t xml:space="preserve">B-C-033</t>
  </si>
  <si>
    <t xml:space="preserve">https://www.baseten.co</t>
  </si>
  <si>
    <t xml:space="preserve">AI infrastructure software</t>
  </si>
  <si>
    <t xml:space="preserve">285</t>
  </si>
  <si>
    <t xml:space="preserve">https://www.builtinnyc.com/company/baseten</t>
  </si>
  <si>
    <t xml:space="preserve">https://www.reveliolabs.com/companies/baseten-labs/employees</t>
  </si>
  <si>
    <t xml:space="preserve">https://www.builtinnyc.com/company/baseten/offices</t>
  </si>
  <si>
    <t xml:space="preserve">350 (Built In) and 285 (Revelio Labs) staff (whole-company count) x 5% to 100% of them in the New York office (HQ outside New York; share assumed) x 67% (Partnership for NYC, firms under 500) in on a weekday = 10 to 234, central 48; low confidence; estimate until intake replaces it.</t>
  </si>
  <si>
    <t xml:space="preserve">12,660 sf</t>
  </si>
  <si>
    <t xml:space="preserve">SEC prospectus: BaseTen Labs, Inc. subleases 12,660 sf of Nayya's 18th floor through 2029-12-30. Built In NYC: 350 total employees, HQ San Francisco, 2 offices; NYC share unknown. | Assembly 2026-10-24: SEC EDGAR source (sec.gov): this agent will not re-open it, because EDGAR serves only requests that carry a contact email and the project rule forbids sending one; the founder may open it in a browser. Review round 2: a second count agrees with the band: Revelio Labs (Baseten Labs, Inc., HQ San Francisco): about 285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</si>
  <si>
    <t xml:space="preserve">AO-C-055</t>
  </si>
  <si>
    <t xml:space="preserve">Stash</t>
  </si>
  <si>
    <t xml:space="preserve">Tuesday estimate 58 to 255 (low confidence), under 500 staff company-wide, hybrid (days not stated), signed-not-occupied at a medium-confidence address (hold: lease signed, move not confirmed); no contact found in public sources (walk-in).</t>
  </si>
  <si>
    <t xml:space="preserve">New or renewed lease at 641 Avenue of the Americas reported 2026-09-02</t>
  </si>
  <si>
    <t xml:space="preserve">https://commercialobserver.com/2026/09/stash-financial-lease-641-avenue-of-the-americas/</t>
  </si>
  <si>
    <t xml:space="preserve">2026-09-02</t>
  </si>
  <si>
    <t xml:space="preserve">641 Avenue of the Americas</t>
  </si>
  <si>
    <t xml:space="preserve">lease signed, move not confirmed: check the lobby directory before outreach (B); still in a coworking space until the move</t>
  </si>
  <si>
    <t xml:space="preserve">B-C-055</t>
  </si>
  <si>
    <t xml:space="preserve">https://www.stash.com</t>
  </si>
  <si>
    <t xml:space="preserve">fintech (consumer investing)</t>
  </si>
  <si>
    <t xml:space="preserve">380</t>
  </si>
  <si>
    <t xml:space="preserve">174</t>
  </si>
  <si>
    <t xml:space="preserve">https://www.builtinnyc.com/company/stash</t>
  </si>
  <si>
    <t xml:space="preserve">https://www.reveliolabs.com/companies/stash-financial/employees</t>
  </si>
  <si>
    <t xml:space="preserve">B-B-026</t>
  </si>
  <si>
    <t xml:space="preserve">635-641 Avenue of the Americas (Spear Street Capital)</t>
  </si>
  <si>
    <t xml:space="preserve">https://www.builtinnyc.com/company/stash/offices</t>
  </si>
  <si>
    <t xml:space="preserve">380 (Built In) and 174 (Revelio Labs) staff (whole-company count) x 50% to 100% of them in the New York office (HQ New York; share assumed) x 67% (Partnership for NYC, firms under 500) in on a weekday = 58 to 255, central 122; low confidence; estimate until intake replaces it.</t>
  </si>
  <si>
    <t xml:space="preserve">12,322 sf</t>
  </si>
  <si>
    <t xml:space="preserve">12,322 sf on part of the 6th floor, signed mid-Aug 2026; moving from a WeWork at 450 Park Avenue South; move date unknown. Built In shows 380 total employees and lists an older 75 Varick St address. | Assembly 2026-10-24: Review round 2: band changed from 251-500 to unknown. Sources disagree: Built In shows 380 (251-500) and Revelio Labs (Stash Financial, Inc., HQ New York City): about 174 employees worldwide as of March 2026 (151-250). Band left unknown; founder to confirm at intake. Review round 2: corner lot: the lot-centroid pin sat 28 m from W 20 ST but 42 m from AVE OF THE AMERICAS, so it was moved to the AVE OF THE AMERICAS frontage near the corner (18 m from the AVE OF THE AMERICAS centreline, 28 m from W 20 ST; 24 m from the old pin). Tax lot unchanged.</t>
  </si>
  <si>
    <t xml:space="preserve">AO-C-028</t>
  </si>
  <si>
    <t xml:space="preserve">Valon</t>
  </si>
  <si>
    <t xml:space="preserve">Marisa</t>
  </si>
  <si>
    <t xml:space="preserve">Rackson</t>
  </si>
  <si>
    <t xml:space="preserve">Head of People</t>
  </si>
  <si>
    <t xml:space="preserve">Tuesday estimate 142 to 302 (low confidence), 501 to 1,000 staff company-wide, hybrid (days not stated), occupied at a high-confidence address; adjacent contact named (Head of People).</t>
  </si>
  <si>
    <t xml:space="preserve">https://commercialobserver.com/2026/08/selldorf-architects-renews-14k-sf-860-broadway-lease-for-10-years/</t>
  </si>
  <si>
    <t xml:space="preserve">find Marisa Rackson at Valon on LinkedIn and paste the profile URL; adjacent title: ask who runs the pantry</t>
  </si>
  <si>
    <t xml:space="preserve">https://www.valon.ai/about</t>
  </si>
  <si>
    <t xml:space="preserve">860 Broadway</t>
  </si>
  <si>
    <t xml:space="preserve">B-C-028</t>
  </si>
  <si>
    <t xml:space="preserve">https://valon.ai</t>
  </si>
  <si>
    <t xml:space="preserve">fintech (mortgage servicing software)</t>
  </si>
  <si>
    <t xml:space="preserve">529</t>
  </si>
  <si>
    <t xml:space="preserve">500</t>
  </si>
  <si>
    <t xml:space="preserve">over-500</t>
  </si>
  <si>
    <t xml:space="preserve">over-500-second-source</t>
  </si>
  <si>
    <t xml:space="preserve">https://www.reveliolabs.com/companies/valon-mortgage/employees</t>
  </si>
  <si>
    <t xml:space="preserve">https://www.builtinnyc.com/company/valon</t>
  </si>
  <si>
    <t xml:space="preserve">B-B-011</t>
  </si>
  <si>
    <t xml:space="preserve">2026-08-07</t>
  </si>
  <si>
    <t xml:space="preserve">https://rebusinessonline.com/?p=388206</t>
  </si>
  <si>
    <t xml:space="preserve">2023-12-22</t>
  </si>
  <si>
    <t xml:space="preserve">Built In workplace type: Hybrid Workplace; typical time on-site: Flexible; recent job tags: 2 Hybrid, 1 Remote</t>
  </si>
  <si>
    <t xml:space="preserve">https://www.builtinnyc.com/company/valon/offices</t>
  </si>
  <si>
    <t xml:space="preserve">529 (Revelio Labs) and 500 (Built In) staff (whole-company count) x 50% to 100% of them in the New York office (HQ New York; share assumed) x 57% (Partnership for NYC, all Manhattan firms; no figure for 500 to 4,999) in on a weekday = 142 to 302, central 207; low confidence; estimate until intake replaces it.</t>
  </si>
  <si>
    <t xml:space="preserve">Ariel</t>
  </si>
  <si>
    <t xml:space="preserve">Brito</t>
  </si>
  <si>
    <t xml:space="preserve">near-miss-over-500</t>
  </si>
  <si>
    <t xml:space="preserve">just-over-500 (501 to 1,000)</t>
  </si>
  <si>
    <t xml:space="preserve">13,815 sf</t>
  </si>
  <si>
    <t xml:space="preserve">Built In NYC: 500 total employees, HQ New York, 3 offices (also Phoenix). REBusiness 2023-12-22: entire 4th floor, 13,815 sf. CO and Connect CRE 2026-08-07 list Valon as a current tenant. CO 2024-04 (Industrious article) also names Valon as an 860 Broadway tenant. | Assembly 2026-10-24: Review round 2: band moved from 251-500 to over-500, so the row moves to Near-miss. Revelio Labs (Valon Mortgage, Inc., HQ Chandler, Arizona): about 529 employees worldwide as of March 2026. Built In shows 500 total employees (stale against Revelio; it is now the second source). Its office here is one 13,815 sf floor (REBusiness 2023-12-22); Built In also lists a Phoenix office; the NYC office alone may fit the 40-250 band, founder to confirm.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</si>
  <si>
    <t xml:space="preserve">Marisa Rackson</t>
  </si>
  <si>
    <t xml:space="preserve">title_match=adjacent; Leadership list on Valon's About page (opened 2026-10-24). Valon is headquartered in New York (Built In); the page does not state her city. Senior for a ~500-person firm: ask her who owns the 860 Broadway office pantry.</t>
  </si>
  <si>
    <t xml:space="preserve">Ariel Brito</t>
  </si>
  <si>
    <t xml:space="preserve">title_match=adjacent; Same page (opened 2026-10-24); city not stated.</t>
  </si>
  <si>
    <t xml:space="preserve">AO-C-197</t>
  </si>
  <si>
    <t xml:space="preserve">Rakuten USA</t>
  </si>
  <si>
    <t xml:space="preserve">Tuesday estimate 28 to 559 (low confidence), 501 to 1,000 staff company-wide, on-site 5 days a week per its profile, occupied at a high-confidence address; no contact found in public sources (walk-in).</t>
  </si>
  <si>
    <t xml:space="preserve">B-C-197</t>
  </si>
  <si>
    <t xml:space="preserve">e-commerce and internet services</t>
  </si>
  <si>
    <t xml:space="preserve">980</t>
  </si>
  <si>
    <t xml:space="preserve">https://www.builtinnyc.com/company/rakuten-advertising</t>
  </si>
  <si>
    <t xml:space="preserve">San Mateo</t>
  </si>
  <si>
    <t xml:space="preserve">https://www.builtinnyc.com/company/rakuten-advertising/offices</t>
  </si>
  <si>
    <t xml:space="preserve">980 (Built In) staff (whole-company count) x 5% to 100% of them in the New York office (HQ outside New York; share assumed) x 57% (Partnership for NYC, all Manhattan firms; no figure for 500 to 4,999) in on a weekday = 28 to 559, central 125; low confidence; estimate until intake replaces it.</t>
  </si>
  <si>
    <t xml:space="preserve">34,510 sf</t>
  </si>
  <si>
    <t xml:space="preserve">Near-miss: over 500. SEC rent roll 2026-02-05: Rakuten USA, Inc. 34,510 sf, lease to 2027-12-31. Which Rakuten unit sits here is not stated; Built In NYC shows Rakuten Advertising with 980 total employees (HQ San Mateo). Lease expires end of 2027. Website left blank: rakuten.com is a consumer site and the operating unit at this address is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</si>
  <si>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AO-C-263</t>
  </si>
  <si>
    <t xml:space="preserve">PMG Worldwide</t>
  </si>
  <si>
    <t xml:space="preserve">Tina</t>
  </si>
  <si>
    <t xml:space="preserve">McCarthy</t>
  </si>
  <si>
    <t xml:space="preserve">New York Managing Director</t>
  </si>
  <si>
    <t xml:space="preserve">Tuesday estimate 28 to 570 (low confidence), 501 to 1,000 staff company-wide, hybrid 3 days, occupied at a high-confidence address; adjacent contact named (New York Managing Director).</t>
  </si>
  <si>
    <t xml:space="preserve">https://commercialobserver.com/2026/08/hanover-park-lease-tf-cornerstone-387-park-avenue-south/</t>
  </si>
  <si>
    <t xml:space="preserve">find Tina McCarthy at PMG Worldwide on LinkedIn and paste the profile URL; the source is dated 2022-04-29: check Tina still holds the role; adjacent title: ask who runs the pantry</t>
  </si>
  <si>
    <t xml:space="preserve">https://www.pmg.com/insights-and-news/tina-mccarthy-joins-pmg-as-new-york-managing-director</t>
  </si>
  <si>
    <t xml:space="preserve">2-3</t>
  </si>
  <si>
    <t xml:space="preserve">B-C-263</t>
  </si>
  <si>
    <t xml:space="preserve">https://www.pmg.com</t>
  </si>
  <si>
    <t xml:space="preserve">marketing agency</t>
  </si>
  <si>
    <t xml:space="preserve">1000</t>
  </si>
  <si>
    <t xml:space="preserve">https://www.builtinnyc.com/company/pmg/offices</t>
  </si>
  <si>
    <t xml:space="preserve">Dallas</t>
  </si>
  <si>
    <t xml:space="preserve">Built In workplace type: Hybrid Workplace; typical time on-site: 3 days a week; recent job tags: 3 In-Office</t>
  </si>
  <si>
    <t xml:space="preserve">1000 (Built In) staff (whole-company count) x 5% to 100% of them in the New York office (HQ outside New York; share assumed) x 57% (Partnership for NYC, all Manhattan firms; no figure for 500 to 4,999) in on a weekday = 28 to 570, central 126; low confidence; estimate until intake replaces it.</t>
  </si>
  <si>
    <t xml:space="preserve">38,744 sf</t>
  </si>
  <si>
    <t xml:space="preserve">Renewed floor 2 and expanded into floor 3, 38,744 SF total. Built In lists New York office at 387 Park Avenue South, 2nd Fl; 1,000 total employees (HQ Dallas). Over 500 company-wide: near-miss. Review round 2: corner lot: the lot-centroid pin sat 24 m from E 27 ST but 34 m from PARK AVE S, so it was moved to the PARK AVE S frontage near the corner (13 m from the PARK AVE S centreline, 26 m from E 27 ST; 21 m from the old pin). Tax lot unchanged.</t>
  </si>
  <si>
    <t xml:space="preserve">Tina McCarthy</t>
  </si>
  <si>
    <t xml:space="preserve">2022-04-29</t>
  </si>
  <si>
    <t xml:space="preserve">title_match=adjacent; PMG release dated 2022-04-29 (opened 2026-10-24) names her New York Managing Director, overseeing the regional presence. Adjacent title (office leader, not office manager), and the source is over two years old: founder to confirm she is current and ask who runs the NY office. FLAG: the same release puts PMG NY in a 19,000 sf office on Fifth Avenue, and a search snippet says PMG's careers page still describes the NYC office as on Fifth Avenue, while the row uses 387 Park Avenue South (Built In): re-check the address. No office manager found; PMG's Chief People and Culture Officer and the EA to the Founder/CEO are in Dallas and Fort Worth per theorg (opened 2026-10-24), not used.</t>
  </si>
  <si>
    <t xml:space="preserve">AO-C-216</t>
  </si>
  <si>
    <t xml:space="preserve">Reaktor</t>
  </si>
  <si>
    <t xml:space="preserve">Tuesday estimate 18 to 367 (low confidence), 501 to 1,000 staff company-wide, on-site 5 days a week per its profile, occupied at a high-confidence address; no contact found in public sources (walk-in).</t>
  </si>
  <si>
    <t xml:space="preserve">https://www.builtinnyc.com/company/reaktor/offices</t>
  </si>
  <si>
    <t xml:space="preserve">B-C-216</t>
  </si>
  <si>
    <t xml:space="preserve">https://www.reaktor.com</t>
  </si>
  <si>
    <t xml:space="preserve">software and design consultancy</t>
  </si>
  <si>
    <t xml:space="preserve">644</t>
  </si>
  <si>
    <t xml:space="preserve">https://www.builtinnyc.com/company/reaktor</t>
  </si>
  <si>
    <t xml:space="preserve">644 (Built In) staff (whole-company count) x 5% to 100% of them in the New York office (HQ city unknown; share assumed) x 57% (Partnership for NYC, all Manhattan firms; no figure for 500 to 4,999) in on a weekday = 18 to 367, central 81; low confidence; estimate until intake replaces it.</t>
  </si>
  <si>
    <t xml:space="preserve">Built In lists New York office at 30 W 21st Street, 14th floor; CO Apr 2025 names software company Reaktor as a tenant. Built In shows 644 total employees (Helsinki-based); NYC office headcount not sourced.</t>
  </si>
  <si>
    <t xml:space="preserve">AO-C-046</t>
  </si>
  <si>
    <t xml:space="preserve">Radar</t>
  </si>
  <si>
    <t xml:space="preserve">Tuesday estimate 21 to 66 (low confidence), under 500 staff company-wide, hybrid 4 days with Tuesday named as an office day, occupancy-unconfirmed at a medium-confidence address; no contact found in public sources (walk-in).</t>
  </si>
  <si>
    <t xml:space="preserve">https://commercialobserver.com/2026/04/adyen-lease-111-115-fifth-avenue/</t>
  </si>
  <si>
    <t xml:space="preserve">hybrid-4</t>
  </si>
  <si>
    <t xml:space="preserve">B-C-046</t>
  </si>
  <si>
    <t xml:space="preserve">https://radar.com</t>
  </si>
  <si>
    <t xml:space="preserve">location data software</t>
  </si>
  <si>
    <t xml:space="preserve">64</t>
  </si>
  <si>
    <t xml:space="preserve">99</t>
  </si>
  <si>
    <t xml:space="preserve">https://www.builtinnyc.com/company/radar</t>
  </si>
  <si>
    <t xml:space="preserve">https://www.reveliolabs.com/companies/radar-labs/employees</t>
  </si>
  <si>
    <t xml:space="preserve">2026-04-07</t>
  </si>
  <si>
    <t xml:space="preserve">Built In workplace type: OnSite Workplace; typical time on-site: 5 days a week (box) but policy text: Monday to Thursday in office; recent job tags: 3 In-Office</t>
  </si>
  <si>
    <t xml:space="preserve">https://www.builtinnyc.com/company/radar/offices</t>
  </si>
  <si>
    <t xml:space="preserve">64 (Built In) and 99 (Revelio Labs) staff (whole-company count) x 50% to 100% of them in the New York office (HQ New York; share assumed) x 67% (Partnership for NYC, firms under 500) in on a weekday = 21 to 66, central 37; low confidence; estimate until intake replaces it.</t>
  </si>
  <si>
    <t xml:space="preserve">111 Fifth Ave is between E 18th and E 19th, so margin. CO 2026-04-07 names 'geolocation platform Radar Labs' as a corporate tenant of 111 Fifth. Built In NYC 'Radar' (HQ New York, founded 2016): 64 total employees. | Assembly 2026-10-24: Review round 2: band changed from 40-75 to unknown. Sources disagree: Built In shows 64 (40-75) and Revelio Labs (Radar Labs, Inc., HQ New York City): about 99 employees worldwide as of March 2026 (76-150). Band left unknown; founder to confirm at intake. Review round 2: corner lot: the lot-centroid pin sat 24 m from E 18 ST but 45 m from 5 AVE, so it was moved to the 5 AVE frontage near the corner (17 m from the 5 AVE centreline, 27 m from E 18 ST; 29 m from the old pin). Tax lot unchanged.</t>
  </si>
  <si>
    <t xml:space="preserve">AO-C-079</t>
  </si>
  <si>
    <t xml:space="preserve">PlayPlay</t>
  </si>
  <si>
    <t xml:space="preserve">Tuesday estimate 6 to 154 (low confidence), under 500 staff company-wide, hybrid 3 days, occupied at a medium-confidence address; no contact found in public sources (walk-in).</t>
  </si>
  <si>
    <t xml:space="preserve">https://commercialobserver.com/2025/05/instant-lease-moinian-53-55-west-21st-street/</t>
  </si>
  <si>
    <t xml:space="preserve">53 West 21st Street</t>
  </si>
  <si>
    <t xml:space="preserve">B-C-079</t>
  </si>
  <si>
    <t xml:space="preserve">https://playplay.com</t>
  </si>
  <si>
    <t xml:space="preserve">software (video creation)</t>
  </si>
  <si>
    <t xml:space="preserve">230</t>
  </si>
  <si>
    <t xml:space="preserve">181</t>
  </si>
  <si>
    <t xml:space="preserve">https://www.builtinnyc.com/company/playplay</t>
  </si>
  <si>
    <t xml:space="preserve">https://www.reveliolabs.com/companies/playplay/employees</t>
  </si>
  <si>
    <t xml:space="preserve">Paris</t>
  </si>
  <si>
    <t xml:space="preserve">B-B-036</t>
  </si>
  <si>
    <t xml:space="preserve">53-55 West 21st Street (Moinian Group)</t>
  </si>
  <si>
    <t xml:space="preserve">2025-05-14</t>
  </si>
  <si>
    <t xml:space="preserve">Built In workplace type: OnSite Workplace; typical time on-site: 5 days a week (box) but policy text: 3 days in the office</t>
  </si>
  <si>
    <t xml:space="preserve">https://www.builtinnyc.com/company/playplay/offices</t>
  </si>
  <si>
    <t xml:space="preserve">230 (Built In) and 181 (Revelio Labs) staff (whole-company count) x 5% to 100% of them in the New York office (HQ outside New York; share assumed) x 67% (Partnership for NYC, firms under 500) in on a weekday = 6 to 154, central 30; low confidence; estimate until intake replaces it.</t>
  </si>
  <si>
    <t xml:space="preserve">CO names 'French tech firm PlayPlay' as a tenant of 53-55 W 21st St. Built In shows 230 total employees (Paris-based; NYC team size unknown); Built In office entry shows only a Delaware registered address. | Assembly 2026-10-24: Review round 2: a second count agrees with the band: Revelio Labs (PlayPlay SASU, HQ Paris): about 181 employees worldwide as of March 2026.</t>
  </si>
  <si>
    <t xml:space="preserve">AO-C-213</t>
  </si>
  <si>
    <t xml:space="preserve">Fenwick &amp; West</t>
  </si>
  <si>
    <t xml:space="preserve">Tuesday estimate 34 to 670 (low confidence), 1,001 to 4,999 staff company-wide, on-site 5 days a week per its profile, occupied at a high-confidence address; no contact found in public sources (walk-in).</t>
  </si>
  <si>
    <t xml:space="preserve">New or renewed lease at 902 Broadway reported 2026-06-16</t>
  </si>
  <si>
    <t xml:space="preserve">https://commercialobserver.com/2026/06/fenwick-west-lease-expansion-rosen-902-broadway/</t>
  </si>
  <si>
    <t xml:space="preserve">2026-06-16</t>
  </si>
  <si>
    <t xml:space="preserve">902 Broadway</t>
  </si>
  <si>
    <t xml:space="preserve">13-15, 18</t>
  </si>
  <si>
    <t xml:space="preserve">B-C-213</t>
  </si>
  <si>
    <t xml:space="preserve">https://www.fenwick.com</t>
  </si>
  <si>
    <t xml:space="preserve">law firm</t>
  </si>
  <si>
    <t xml:space="preserve">1176</t>
  </si>
  <si>
    <t xml:space="preserve">https://www.builtinnyc.com/company/fenwick-west</t>
  </si>
  <si>
    <t xml:space="preserve">1001-4999</t>
  </si>
  <si>
    <t xml:space="preserve">Mountain View</t>
  </si>
  <si>
    <t xml:space="preserve">B-B-031</t>
  </si>
  <si>
    <t xml:space="preserve">902 Broadway (Rosen family / Koeppel Rosen)</t>
  </si>
  <si>
    <t xml:space="preserve">https://www.builtinnyc.com/company/fenwick-west/offices</t>
  </si>
  <si>
    <t xml:space="preserve">https://www.metro-manhattan.com/buildings/902-broadway/</t>
  </si>
  <si>
    <t xml:space="preserve">1176 (Built In) staff (whole-company count) x 5% to 100% of them in the New York office (HQ outside New York; share assumed) x 57% (Partnership for NYC, all Manhattan firms; no figure for 500 to 4,999) in on a weekday = 34 to 670, central 151; low confidence; estimate until intake replaces it.</t>
  </si>
  <si>
    <t xml:space="preserve">over-1,000 (1,001 to 4,999)</t>
  </si>
  <si>
    <t xml:space="preserve">72,800 sf</t>
  </si>
  <si>
    <t xml:space="preserve">June 2026 renewal adds the full 13th floor to floors 14, 15 and 18, about 72,800 sf on four floors (re-verified 2026-10-24). Built In lists New York office at 902 Broadway, 18th Floor, and 1,176 total employees. Over 500. Review round 2: corner lot: the lot-centroid pin sat 27 m from E 20 ST but 31 m from BROADWAY, so it was moved to the BROADWAY frontage near the corner (15 m from the BROADWAY centreline, 27 m from E 20 ST; 16 m from the old pin). Tax lot unchanged.</t>
  </si>
  <si>
    <t xml:space="preserve">AO-C-153</t>
  </si>
  <si>
    <t xml:space="preserve">Seedtag</t>
  </si>
  <si>
    <t xml:space="preserve">Tuesday estimate 13 to 467 (low confidence), 501 to 1,000 staff company-wide, on-site 5 days a week per its profile, occupied at a medium-confidence address; no contact found in public sources (walk-in).</t>
  </si>
  <si>
    <t xml:space="preserve">https://www.seedtag.com/contact</t>
  </si>
  <si>
    <t xml:space="preserve">15 West 27th Street</t>
  </si>
  <si>
    <t xml:space="preserve">B-C-153</t>
  </si>
  <si>
    <t xml:space="preserve">https://www.seedtag.com</t>
  </si>
  <si>
    <t xml:space="preserve">adtech (contextual advertising)</t>
  </si>
  <si>
    <t xml:space="preserve">819</t>
  </si>
  <si>
    <t xml:space="preserve">446</t>
  </si>
  <si>
    <t xml:space="preserve">https://www.reveliolabs.com/companies/seedtag-advertising/employees</t>
  </si>
  <si>
    <t xml:space="preserve">https://www.builtinnyc.com/company/seedtag/offices</t>
  </si>
  <si>
    <t xml:space="preserve">Madrid</t>
  </si>
  <si>
    <t xml:space="preserve">B-B-070</t>
  </si>
  <si>
    <t xml:space="preserve">15 West 27th Street (Kaufman Organization)</t>
  </si>
  <si>
    <t xml:space="preserve">https://commercialobserver.com/2023/03/kaufman-organization-seedtag-advertising-15-west-27th-street/</t>
  </si>
  <si>
    <t xml:space="preserve">2023-03-28</t>
  </si>
  <si>
    <t xml:space="preserve">819 (Revelio Labs) and 446 (Built In) staff (whole-company count) x 5% to 100% of them in the New York office (HQ outside New York; share assumed) x 57% (Partnership for NYC, all Manhattan firms; no figure for 500 to 4,999) in on a weekday = 13 to 467, central 78; low confidence; estimate until intake replaces it.</t>
  </si>
  <si>
    <t xml:space="preserve">5,909 sf</t>
  </si>
  <si>
    <t xml:space="preserve">Contact page lists US HQ, New York at 15 West 27th Street, 3rd Floor. CO 2023: three-year 5,909 SF lease on the full 3rd floor (first US office), so the lease may have been renewed or be near its end. Built In (446 employees, HQ Madrid) lists only Chicago and Sterling Heights MI, so Built In is stale here. | Assembly 2026-10-24: Review round 3: lowered from high to medium. The independent source (CO 2023-03-28) reports a three-year lease, so its stated term ended about 2026-03 and it cannot confirm the office today; the company's own contact page is the one current source. Review round 2: band moved from 251-500 to over-500, so the row moves to Near-miss. Revelio Labs (Seedtag Advertising SL, HQ Madrid): about 819 employees worldwide as of March 2026. Built In shows 446 total employees (stale against Revelio; it is now the second source). Its NYC office is its first US office, 5,909 sf on one floor (CO 2023) against an HQ in Madrid; the NYC office alone may fit the 40-250 band, founder to confirm.</t>
  </si>
  <si>
    <t xml:space="preserve">AO-C-253</t>
  </si>
  <si>
    <t xml:space="preserve">Optiver</t>
  </si>
  <si>
    <t xml:space="preserve">Tuesday estimate 46 to 912 (low confidence), 1,001 to 4,999 staff company-wide, on-site 5 days a week per its profile, occupied at a high-confidence address; no contact found in public sources (walk-in).</t>
  </si>
  <si>
    <t xml:space="preserve">https://commercialobserver.com/2025/05/optiver-lease-360-park-avenue-south/</t>
  </si>
  <si>
    <t xml:space="preserve">360 Park Avenue South</t>
  </si>
  <si>
    <t xml:space="preserve">12 (Suite 1200)</t>
  </si>
  <si>
    <t xml:space="preserve">B-C-253</t>
  </si>
  <si>
    <t xml:space="preserve">https://optiver.com</t>
  </si>
  <si>
    <t xml:space="preserve">proprietary trading</t>
  </si>
  <si>
    <t xml:space="preserve">1600</t>
  </si>
  <si>
    <t xml:space="preserve">https://www.builtinnyc.com/company/optiver/offices</t>
  </si>
  <si>
    <t xml:space="preserve">B-B-059</t>
  </si>
  <si>
    <t xml:space="preserve">360 Park Avenue South (BXP)</t>
  </si>
  <si>
    <t xml:space="preserve">2025-05-20</t>
  </si>
  <si>
    <t xml:space="preserve">1600 (Built In) staff (whole-company count) x 5% to 100% of them in the New York office (HQ city unknown; share assumed) x 57% (Partnership for NYC, all Manhattan firms; no figure for 500 to 4,999) in on a weekday = 46 to 912, central 205; low confidence; estimate until intake replaces it.</t>
  </si>
  <si>
    <t xml:space="preserve">23,038 sf</t>
  </si>
  <si>
    <t xml:space="preserve">First NYC office: 23,038 SF prebuilt full 12th floor. Built In lists New York office at 360 Park Avenue South Suite 1200; 1,600 total employees. Over 500: near-miss. Review round 2: corner lot: the lot-centroid pin sat 22 m from E 26 ST but 36 m from PARK AVE S, so it was moved to the PARK AVE S frontage near the corner (13 m from the PARK AVE S centreline, 27 m from E 26 ST; 23 m from the old pin). Tax lot unchanged.</t>
  </si>
  <si>
    <t xml:space="preserve">AO-C-017</t>
  </si>
  <si>
    <t xml:space="preserve">Biohub (Chan Zuckerberg Biohub)</t>
  </si>
  <si>
    <t xml:space="preserve">Tuesday estimate 15 to 314 (low confidence), under 500 staff company-wide with a named parent (Chan Zuckerberg Initiative), on-site 5 days a week per its profile, signed-not-occupied at a medium-confidence address (hold: lease signed, move not confirmed); contacts not researched yet (below the top 50).</t>
  </si>
  <si>
    <t xml:space="preserve">New or renewed lease at 100 Fifth Avenue reported 2026-08-26</t>
  </si>
  <si>
    <t xml:space="preserve">https://commercialobserver.com/2026/08/biohub-fundraise-up-leases-100-104-fifth-avenue/</t>
  </si>
  <si>
    <t xml:space="preserve">2026-08-26</t>
  </si>
  <si>
    <t xml:space="preserve">100 Fifth Avenue</t>
  </si>
  <si>
    <t xml:space="preserve">B-C-017</t>
  </si>
  <si>
    <t xml:space="preserve">https://biohub.org</t>
  </si>
  <si>
    <t xml:space="preserve">nonprofit biomedical research</t>
  </si>
  <si>
    <t xml:space="preserve">468</t>
  </si>
  <si>
    <t xml:space="preserve">436</t>
  </si>
  <si>
    <t xml:space="preserve">https://www.builtinnyc.com/company/biohub</t>
  </si>
  <si>
    <t xml:space="preserve">https://www.reveliolabs.com/companies/biohub/employees</t>
  </si>
  <si>
    <t xml:space="preserve">Chan Zuckerberg Initiative</t>
  </si>
  <si>
    <t xml:space="preserve">B-B-006</t>
  </si>
  <si>
    <t xml:space="preserve">100-104 Fifth Avenue</t>
  </si>
  <si>
    <t xml:space="preserve">Built In workplace type: OnSite Workplace; typical time on-site: 5 days a week; recent job tags: 1 Hybrid, 2 In-Office</t>
  </si>
  <si>
    <t xml:space="preserve">https://www.builtinnyc.com/company/biohub/offices</t>
  </si>
  <si>
    <t xml:space="preserve">468 (Built In) and 436 (Revelio Labs) staff (whole-company count) x 5% to 100% of them in the New York office (HQ outside New York; share assumed) x 67% (Partnership for NYC, firms under 500) in on a weekday = 15 to 314, central 69; low confidence; estimate until intake replaces it.</t>
  </si>
  <si>
    <t xml:space="preserve">10,666 sf</t>
  </si>
  <si>
    <t xml:space="preserve">CO 2026-08-26: 10,666 sf, entire 9th floor of 100-104 Fifth Ave (SW corner Fifth and W 15th); move-in timing not stated. Built In NYC 'Biohub' profile: 468 total employees, HQ San Francisco; a second profile 'Chan Zuckerberg Biohub' shows 180. NYC team size unknown. | Assembly 2026-10-24: Review round 2: a second count agrees with the band: Revelio Labs (Chan Zuckerberg Biohub, HQ San Francisco): about 436 employees worldwide as of March 2026. Review round 2: corner lot: the lot-centroid pin sat 24 m from W 15 ST but 36 m from 5 AVE, so it was moved to the 5 AVE frontage near the corner (17 m from the 5 AVE centreline, 26 m from W 15 ST; 20 m from the old pin). Tax lot unchanged.</t>
  </si>
  <si>
    <t xml:space="preserve">AO-C-124</t>
  </si>
  <si>
    <t xml:space="preserve">At-Bay</t>
  </si>
  <si>
    <t xml:space="preserve">Tuesday estimate 8 to 224 (low confidence), under 500 staff company-wide, hybrid 2 days or fewer, occupied at a medium-confidence address; contacts not researched yet (below the top 50).</t>
  </si>
  <si>
    <t xml:space="preserve">https://www.at-bay.com/about/</t>
  </si>
  <si>
    <t xml:space="preserve">220 Fifth Avenue</t>
  </si>
  <si>
    <t xml:space="preserve">B-C-124</t>
  </si>
  <si>
    <t xml:space="preserve">https://www.at-bay.com/</t>
  </si>
  <si>
    <t xml:space="preserve">Cyber insurance / insurtech</t>
  </si>
  <si>
    <t xml:space="preserve">https://www.builtinnyc.com/company/at-bay/offices</t>
  </si>
  <si>
    <t xml:space="preserve">https://www.reveliolabs.com/companies/at-bay/employees</t>
  </si>
  <si>
    <t xml:space="preserve">B-B-060</t>
  </si>
  <si>
    <t xml:space="preserve">Built In workplace type: Hybrid Workplace; typical time on-site: 2 days a week; recent job tags: 2 Remote, 1 Hybrid</t>
  </si>
  <si>
    <t xml:space="preserve">230 (Built In) and 335 (Revelio Labs) staff (whole-company count) x 5% to 100% of them in the New York office (HQ outside New York; share assumed) x 67% (Partnership for NYC, firms under 500) in on a weekday = 8 to 224, central 42; low confidence; estimate until intake replaces it.</t>
  </si>
  <si>
    <t xml:space="preserve">Company About page (live) gives '220 5th Ave, 8th Floor New York, NY 10001' (Fifth Ave at 26th St, the block just north of the slice). Built In still lists the NY office at 19 West 24th Street (CO Mar 2022 lease there) and 230 total employees; HQ Mountain View. One current source, so medium. | Assembly 2026-10-24: Review round 2: band changed from 151-250 to unknown. Sources disagree: Built In shows 230 (151-250) and Revelio Labs (At-Bay, Inc., HQ San Francisco): about 335 employees worldwide as of March 2026 (251-500). Band left unknown; founder to confirm at intake. Review round 2: corner lot: the lot-centroid pin sat 17 m from W 26 ST but 33 m from 5 AVE, so it was moved to the 5 AVE frontage near the corner (17 m from the 5 AVE centreline, 26 m from W 26 ST; 18 m from the old pin). Tax lot unchanged. Review round 3: the pin sat 2.0 m outside its own tax lot (NYC MapPLUTO (Department of City Planning) tax-lot polygons), so it was moved to the middle of the lot's 17 m 5 AVE frontage, 3 m inside the lot line (11 m from the old pin). Tax lot unchanged.</t>
  </si>
  <si>
    <t xml:space="preserve">AO-C-267</t>
  </si>
  <si>
    <t xml:space="preserve">MiQ Digital USA</t>
  </si>
  <si>
    <t xml:space="preserve">Tuesday estimate 39 to 789 (low confidence), 1,001 to 4,999 staff company-wide, on-site 5 days a week per its profile, occupied at a medium-confidence address; contacts not researched yet (below the top 50).</t>
  </si>
  <si>
    <t xml:space="preserve">https://nyrej.com/print/57401</t>
  </si>
  <si>
    <t xml:space="preserve">261 Fifth Avenue</t>
  </si>
  <si>
    <t xml:space="preserve">25-26 now; moving to 19-21</t>
  </si>
  <si>
    <t xml:space="preserve">B-C-267</t>
  </si>
  <si>
    <t xml:space="preserve">https://www.wearemiq.com</t>
  </si>
  <si>
    <t xml:space="preserve">adtech (programmatic media)</t>
  </si>
  <si>
    <t xml:space="preserve">1385</t>
  </si>
  <si>
    <t xml:space="preserve">https://www.builtinnyc.com/company/miq-digital/offices</t>
  </si>
  <si>
    <t xml:space="preserve">B-B-077</t>
  </si>
  <si>
    <t xml:space="preserve">261 Fifth Avenue (Feil Organization)</t>
  </si>
  <si>
    <t xml:space="preserve">2026-04-14</t>
  </si>
  <si>
    <t xml:space="preserve">https://www.metro-manhattan.com/buildings/261-fifth-avenue-office-space-for-lease/</t>
  </si>
  <si>
    <t xml:space="preserve">Built In workplace type: OnSite Workplace</t>
  </si>
  <si>
    <t xml:space="preserve">1385 (Built In) staff (whole-company count) x 5% to 100% of them in the New York office (HQ city unknown; share assumed) x 57% (Partnership for NYC, all Manhattan firms; no figure for 500 to 4,999) in on a weekday = 39 to 789, central 175; low confidence; estimate until intake replaces it.</t>
  </si>
  <si>
    <t xml:space="preserve">23,400 sf;42,000 sf</t>
  </si>
  <si>
    <t xml:space="preserve">Tenant since 2018 on floors 25-26 (23,400 SF); 12-year 42,000 SF expansion lease to move to floors 19-21 in the same building. Built In: 1,385 total employees. Over 500: near-miss. Review round 2: corner lot: the lot-centroid pin sat 24 m from E 29 ST but 39 m from 5 AVE, so it was moved to the 5 AVE frontage near the corner (17 m from the 5 AVE centreline, 27 m from E 29 ST; 23 m from the old pin). Tax lot unchanged.</t>
  </si>
  <si>
    <t xml:space="preserve">AO-C-075</t>
  </si>
  <si>
    <t xml:space="preserve">Retool</t>
  </si>
  <si>
    <t xml:space="preserve">Tuesday estimate 12 to 249 (low confidence), under 500 staff company-wide, hybrid 3 days, occupancy-unconfirmed at a low-confidence address; contacts not researched yet (below the top 50).</t>
  </si>
  <si>
    <t xml:space="preserve">https://www.builtinnyc.com/company/retool/offices</t>
  </si>
  <si>
    <t xml:space="preserve">915 Broadway</t>
  </si>
  <si>
    <t xml:space="preserve">B-C-075</t>
  </si>
  <si>
    <t xml:space="preserve">https://retool.com</t>
  </si>
  <si>
    <t xml:space="preserve">software (internal tools platform)</t>
  </si>
  <si>
    <t xml:space="preserve">372</t>
  </si>
  <si>
    <t xml:space="preserve">https://www.builtinnyc.com/company/retool</t>
  </si>
  <si>
    <t xml:space="preserve">https://www.reveliolabs.com/companies/retool/employees</t>
  </si>
  <si>
    <t xml:space="preserve">B-B-034</t>
  </si>
  <si>
    <t xml:space="preserve">915 Broadway (ABS Partners)</t>
  </si>
  <si>
    <t xml:space="preserve">https://www.metro-manhattan.com/buildings/915-broadway-office-space-for-lease/</t>
  </si>
  <si>
    <t xml:space="preserve">350 (Built In) and 372 (Revelio Labs) staff (whole-company count) x 5% to 100% of them in the New York office (HQ outside New York; share assumed) x 67% (Partnership for NYC, firms under 500) in on a weekday = 12 to 249, central 55; low confidence; estimate until intake replaces it.</t>
  </si>
  <si>
    <t xml:space="preserve">Built In lists a New York office at 915 Broadway (HQ San Francisco). Built In shows 350 total employees; NYC office size not sourced.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(Retool, Inc., HQ San Francisco): about 372 employees worldwide as of March 2026. Review round 2: corner lot: the lot-centroid pin sat 22 m from E 21 ST but 34 m from BROADWAY, so it was moved to the BROADWAY frontage near the corner (15 m from the BROADWAY centreline, 27 m from E 21 ST; 21 m from the old pin). Tax lot unchanged.</t>
  </si>
  <si>
    <t xml:space="preserve">AO-C-106</t>
  </si>
  <si>
    <t xml:space="preserve">Ellevest</t>
  </si>
  <si>
    <t xml:space="preserve">Tuesday estimate 13 to 86 (low confidence), under 500 staff company-wide, on-site 5 days a week per its profile, occupancy-unconfirmed at a low-confidence address; contacts not researched yet (below the top 50).</t>
  </si>
  <si>
    <t xml:space="preserve">https://www.builtinnyc.com/company/ellevest/offices</t>
  </si>
  <si>
    <t xml:space="preserve">Tuesday estimate band under-40: founder's call (set founder_ok_to_queue = Y to queue)</t>
  </si>
  <si>
    <t xml:space="preserve">48 West 25th Street</t>
  </si>
  <si>
    <t xml:space="preserve">B-C-106</t>
  </si>
  <si>
    <t xml:space="preserve">https://www.ellevest.com/</t>
  </si>
  <si>
    <t xml:space="preserve">Fintech / wealth management</t>
  </si>
  <si>
    <t xml:space="preserve">129</t>
  </si>
  <si>
    <t xml:space="preserve">38</t>
  </si>
  <si>
    <t xml:space="preserve">https://www.reveliolabs.com/companies/ellevest/employees</t>
  </si>
  <si>
    <t xml:space="preserve">B-B-054</t>
  </si>
  <si>
    <t xml:space="preserve">48 West 25th Street (Kaufman Organization; part of former Savanna 'Madison Square Collection')</t>
  </si>
  <si>
    <t xml:space="preserve">129 (Built In) and 38 (Revelio Labs) staff (whole-company count) x 50% to 100% of them in the New York office (HQ New York; share assumed) x 67% (Partnership for NYC, firms under 500) in on a weekday = 13 to 86, central 33; low confidence; estimate until intake replaces it.</t>
  </si>
  <si>
    <t xml:space="preserve">Built In only: HQ 48 West 25th Street; 129 total employees. Company disclosures page shows no street address; not named in the 2026 CO articles about 48 W 25th. Built In addresses are sometimes stale (see notes_S3.md), so founder to confirm. | Assembly 2026-10-24: Confidence lowered at assembly from medium to low: review round 2: the only source dated within 24 months is an undated third-party profile (Built In, Deskpass or LiquidSpace), which can only confirm a dated or own-site source. Review round 2: band changed from 76-150 to unknown. Sources disagree: Built In shows 129 (76-150) and Revelio Labs (Ellevest, Inc., HQ New York City): about 38 employees worldwide as of March 2026 (under-40). Band left unknown; founder to confirm at intake.</t>
  </si>
  <si>
    <t xml:space="preserve">AO-C-169</t>
  </si>
  <si>
    <t xml:space="preserve">Pumpkin Pet Insurance</t>
  </si>
  <si>
    <t xml:space="preserve">Tuesday estimate 59 to 117 (low confidence), under 500 staff company-wide, hybrid 2 days or fewer, occupancy-unconfirmed at a low-confidence address (hold: address conflict in B's sources); contacts not researched yet (below the top 50).</t>
  </si>
  <si>
    <t xml:space="preserve">https://www.builtinnyc.com/company/pumpkin/offices</t>
  </si>
  <si>
    <t xml:space="preserve">432 Park Avenue South</t>
  </si>
  <si>
    <t xml:space="preserve">address conflict in B's sources: check the lobby directory before outreach (B)</t>
  </si>
  <si>
    <t xml:space="preserve">B-C-169</t>
  </si>
  <si>
    <t xml:space="preserve">https://www.pumpkin.care</t>
  </si>
  <si>
    <t xml:space="preserve">insurtech (pet insurance)</t>
  </si>
  <si>
    <t xml:space="preserve">175</t>
  </si>
  <si>
    <t xml:space="preserve">B-B-079</t>
  </si>
  <si>
    <t xml:space="preserve">432 Park Avenue South (Samco Properties)</t>
  </si>
  <si>
    <t xml:space="preserve">https://commercialobserver.com/2023/01/pumpkin-pet-insurance-takes-10k-sf-at-432-park-avenue/</t>
  </si>
  <si>
    <t xml:space="preserve">2023-01-06</t>
  </si>
  <si>
    <t xml:space="preserve">Built In workplace type: Hybrid Workplace; typical time on-site: Flexible (box) but policy text: 2 to 3 days in person (lower figure used)</t>
  </si>
  <si>
    <t xml:space="preserve">175 (Built In) staff (whole-company count) x 50% to 100% of them in the New York office (HQ New York; share assumed) x 67% (Partnership for NYC, firms under 500) in on a weekday = 59 to 117, central 83; low confidence; estimate until intake replaces it.</t>
  </si>
  <si>
    <t xml:space="preserve">10,000 sf</t>
  </si>
  <si>
    <t xml:space="preserve">Built In lists New York office at 432 Park Avenue S; 175 total employees. CO 2023: 10,000 SF lease. | Assembly 2026-10-24: Review round 1: CONFLICT, lowered from high to low. Pumpkin's own homepage (opened 2026-10-24) says the agency is 'Domiciled in New York with offices at 666 3rd Avenue, Floor 23, New York, NY 10017' and gives that as its mailing address, which is outside the boundary. Against it: CO 2026-06-08 (https://commercialobserver.com/2026/06/mediaplus-group-lease-432-park-avenue-south/) lists Pumpkin among 432 Park Ave S tenants, citing its January 2023 lease, and Built In lists 432 PAS. Check the 432 PAS lobby directory on the walk before any outreach.</t>
  </si>
  <si>
    <t xml:space="preserve">AO-C-265</t>
  </si>
  <si>
    <t xml:space="preserve">Prosek Partners</t>
  </si>
  <si>
    <t xml:space="preserve">Tuesday estimate 156 to 313 (low confidence), 501 to 1,000 staff company-wide, hybrid (days not stated), occupied at a high-confidence address; contacts not researched yet (below the top 50).</t>
  </si>
  <si>
    <t xml:space="preserve">https://www.prosek.com/contact-us/</t>
  </si>
  <si>
    <t xml:space="preserve">28 East 28th Street</t>
  </si>
  <si>
    <t xml:space="preserve">B-C-265</t>
  </si>
  <si>
    <t xml:space="preserve">https://www.prosek.com</t>
  </si>
  <si>
    <t xml:space="preserve">communications and marketing agency</t>
  </si>
  <si>
    <t xml:space="preserve">549</t>
  </si>
  <si>
    <t xml:space="preserve">https://www.builtinnyc.com/company/prosek-partners/offices</t>
  </si>
  <si>
    <t xml:space="preserve">https://commercialobserver.com/2022/06/communication-firm-prosek-partners-leases-34k-sf-at-28-east-28th-street/</t>
  </si>
  <si>
    <t xml:space="preserve">2022-06-14</t>
  </si>
  <si>
    <t xml:space="preserve">Built In workplace type: Hybrid Workplace; typical time on-site: None; recent job tags: 3 Hybrid</t>
  </si>
  <si>
    <t xml:space="preserve">549 (Built In) staff (whole-company count) x 50% to 100% of them in the New York office (HQ New York; share assumed) x 57% (Partnership for NYC, all Manhattan firms; no figure for 500 to 4,999) in on a weekday = 156 to 313, central 221; low confidence; estimate until intake replaces it.</t>
  </si>
  <si>
    <t xml:space="preserve">34,000 sf</t>
  </si>
  <si>
    <t xml:space="preserve">Contact page lists New York HQ at 28 E 28th St 15th Floor. CO 2022: 13-year 34,000 SF lease, full 15th floor of the building also known as 63 Madison. Built In: 549 employees, just over 500: near-miss. Pin moved to frontage at review round 1: the lot-centroid pin failed the block-face test (39 m from E 28 ST but 39 m from E 27 ST); pin moved to frontage: the lot's position along E 28 ST kept, set 23 m from the centreline on the side CSCL gives house number 28 (16 m from the old pin). Tax lot unchanged. New pin: 23 m from E 28 ST, 56 m from E 27 ST.</t>
  </si>
  <si>
    <t xml:space="preserve">AO-C-215</t>
  </si>
  <si>
    <t xml:space="preserve">AngelList</t>
  </si>
  <si>
    <t xml:space="preserve">Tuesday estimate 15 to 295 (low confidence), 501 to 1,000 staff company-wide, on-site 5 days a week per its profile, occupancy-unconfirmed at a medium-confidence address; contacts not researched yet (below the top 50).</t>
  </si>
  <si>
    <t xml:space="preserve">https://commercialobserver.com/2025/09/angellist-lease-257-park-avenue-south/</t>
  </si>
  <si>
    <t xml:space="preserve">257 Park Avenue South</t>
  </si>
  <si>
    <t xml:space="preserve">B-C-215</t>
  </si>
  <si>
    <t xml:space="preserve">https://www.angellist.com</t>
  </si>
  <si>
    <t xml:space="preserve">fintech (venture fund infrastructure)</t>
  </si>
  <si>
    <t xml:space="preserve">518</t>
  </si>
  <si>
    <t xml:space="preserve">https://www.builtinnyc.com/company/angellist</t>
  </si>
  <si>
    <t xml:space="preserve">B-B-032</t>
  </si>
  <si>
    <t xml:space="preserve">Gramercy Park Building (Feil Organization)</t>
  </si>
  <si>
    <t xml:space="preserve">2025-09-12</t>
  </si>
  <si>
    <t xml:space="preserve">https://www.builtinnyc.com/company/angellist/offices</t>
  </si>
  <si>
    <t xml:space="preserve">518 (Built In) staff (whole-company count) x 5% to 100% of them in the New York office (HQ outside New York; share assumed) x 57% (Partnership for NYC, all Manhattan firms; no figure for 500 to 4,999) in on a weekday = 15 to 295, central 67; low confidence; estimate until intake replaces it.</t>
  </si>
  <si>
    <t xml:space="preserve">12,900 sf</t>
  </si>
  <si>
    <t xml:space="preserve">Seven-year lease of the full 18th floor (12,900 sf). Built In shows 518 total employees (just over 500), HQ San Francisco, NYC office listed without a street. Near-miss on size.</t>
  </si>
  <si>
    <t xml:space="preserve">AO-C-003</t>
  </si>
  <si>
    <t xml:space="preserve">First Look Media</t>
  </si>
  <si>
    <t xml:space="preserve">Tuesday estimate 11 to 86 (low confidence), under 500 staff company-wide, on-site 5 days a week per its profile, occupancy-unconfirmed at a low-confidence address; contacts not researched yet (below the top 50).</t>
  </si>
  <si>
    <t xml:space="preserve">https://rebusinessonline.com/first-look-media-signs-7896-sf-office-lease-at-853-broadway-in-manhattan/</t>
  </si>
  <si>
    <t xml:space="preserve">B-C-003</t>
  </si>
  <si>
    <t xml:space="preserve">nonprofit media (streaming and production)</t>
  </si>
  <si>
    <t xml:space="preserve">32</t>
  </si>
  <si>
    <t xml:space="preserve">https://www.builtinnyc.com/company/first-look-media</t>
  </si>
  <si>
    <t xml:space="preserve">https://www.reveliolabs.com/companies/first-look-media/employees</t>
  </si>
  <si>
    <t xml:space="preserve">2023-06-07</t>
  </si>
  <si>
    <t xml:space="preserve">https://www.builtinnyc.com/company/first-look-media/offices</t>
  </si>
  <si>
    <t xml:space="preserve">129 (Built In) and 32 (Revelio Labs) staff (whole-company count) x 50% to 100% of them in the New York office (HQ New York; share assumed) x 67% (Partnership for NYC, firms under 500) in on a weekday = 11 to 86, central 31; low confidence; estimate until intake replaces it.</t>
  </si>
  <si>
    <t xml:space="preserve">7,896 sf</t>
  </si>
  <si>
    <t xml:space="preserve">REBusiness 2023-06-07: five-year 7,896 sf lease, entire 10th floor. Not in the 2026 CO list of 841-853 tenants; source older than 24 months, so low until confirmed. Built In NYC: 129 total employees (profile may be stale). | Assembly 2026-10-24: Review round 2: band changed from 76-150 to unknown. Sources disagree: Built In shows 129 (76-150) and Revelio Labs (First Look Media, Inc., HQ Los Angeles): about 32 employees worldwide as of March 2026 (under-40). Band left unknown; founder to confirm at intake.</t>
  </si>
  <si>
    <t xml:space="preserve">AO-C-172</t>
  </si>
  <si>
    <t xml:space="preserve">Agentio</t>
  </si>
  <si>
    <t xml:space="preserve">Tuesday estimate 22 to 48 (low confidence), under 500 staff company-wide, on-site 5 days a week per its profile, occupancy-unconfirmed at a medium-confidence address (hold: still in a coworking space until the move); contacts not researched yet (below the top 50).</t>
  </si>
  <si>
    <t xml:space="preserve">New or renewed lease at 295 Fifth Avenue reported 2026-03-31</t>
  </si>
  <si>
    <t xml:space="preserve">https://commercialobserver.com/2026/03/agentio-lease-295-fifth-avenue/</t>
  </si>
  <si>
    <t xml:space="preserve">2026-03-31</t>
  </si>
  <si>
    <t xml:space="preserve">295 Fifth Avenue</t>
  </si>
  <si>
    <t xml:space="preserve">11 (part)</t>
  </si>
  <si>
    <t xml:space="preserve">still in a coworking space until the move</t>
  </si>
  <si>
    <t xml:space="preserve">B-C-172</t>
  </si>
  <si>
    <t xml:space="preserve">adtech (AI creator advertising)</t>
  </si>
  <si>
    <t xml:space="preserve">71</t>
  </si>
  <si>
    <t xml:space="preserve">https://www.builtinnyc.com/company/agentio/offices</t>
  </si>
  <si>
    <t xml:space="preserve">https://www.reveliolabs.com/companies/agentio/employees</t>
  </si>
  <si>
    <t xml:space="preserve">B-B-082</t>
  </si>
  <si>
    <t xml:space="preserve">Textile Building, 295 Fifth Avenue (Tribeca Investment Group, PGIM Real Estate, Meadow Partners)</t>
  </si>
  <si>
    <t xml:space="preserve">65 (Built In) and 71 (Revelio Labs) staff (whole-company count) x 50% to 100% of them in the New York office (HQ New York; share assumed) x 67% (Partnership for NYC, firms under 500) in on a weekday = 22 to 48, central 32; low confidence; estimate until intake replaces it.</t>
  </si>
  <si>
    <t xml:space="preserve">20,000 sf</t>
  </si>
  <si>
    <t xml:space="preserve">20,000 SF on part of floor 11, moving from a coworking space at 25 Kent Ave, Brooklyn. Built In: 65 total employees, HQ New York, office described as 'in the heart of NoMad ... close to Madison Square Park' (no street, so not a full confirmation). Margin row (30th-31st St). | Assembly 2026-10-24: Review round 2: a second count agrees with the band: Revelio Labs (Agentio Inc., HQ Brooklyn): about 71 employees worldwide as of March 2026. Review round 2: corner lot: the lot-centroid pin sat 36 m from E 31 ST but 45 m from 5 AVE, so it was moved to the 5 AVE frontage near the corner (17 m from the 5 AVE centreline, 36 m from E 31 ST; 29 m from the old pin). Tax lot unchanged.</t>
  </si>
  <si>
    <t xml:space="preserve">AO-C-240</t>
  </si>
  <si>
    <t xml:space="preserve">PitchBook</t>
  </si>
  <si>
    <t xml:space="preserve">Tuesday estimate 63 to 1256 (low confidence), 1,001 to 4,999 staff company-wide, on-site 5 days a week per its profile, occupied at a high-confidence address; contacts not researched yet (below the top 50).</t>
  </si>
  <si>
    <t xml:space="preserve">https://commercialobserver.com/2026/02/bluefish-lease-315-park-avenue-south/</t>
  </si>
  <si>
    <t xml:space="preserve">Tuesday estimate band 251-500: founder's call (set founder_ok_to_queue = Y to queue)</t>
  </si>
  <si>
    <t xml:space="preserve">315 Park Avenue South</t>
  </si>
  <si>
    <t xml:space="preserve">B-C-240</t>
  </si>
  <si>
    <t xml:space="preserve">https://pitchbook.com/</t>
  </si>
  <si>
    <t xml:space="preserve">Financial data / software</t>
  </si>
  <si>
    <t xml:space="preserve">2203</t>
  </si>
  <si>
    <t xml:space="preserve">https://www.builtinnyc.com/company/pitchbook/offices</t>
  </si>
  <si>
    <t xml:space="preserve">Seattle</t>
  </si>
  <si>
    <t xml:space="preserve">2203 (Built In) staff (whole-company count) x 5% to 100% of them in the New York office (HQ outside New York; share assumed) x 57% (Partnership for NYC, all Manhattan firms; no figure for 500 to 4,999) in on a weekday = 63 to 1256, central 281; low confidence; estimate until intake replaces it.</t>
  </si>
  <si>
    <t xml:space="preserve">CO Feb 2026 names PitchBook as an office tenant at 315 PAS. Built In lists New York office at 315 Park Avenue South; 2,203 total employees; HQ Seattle. Near-miss (over-500). Review round 2: corner lot: the lot-centroid pin sat 21 m from E 24 ST but 31 m from PARK AVE S, so it was moved to the PARK AVE S frontage near the corner (13 m from the PARK AVE S centreline, 27 m from E 24 ST; 19 m from the old pin). Tax lot unchanged.</t>
  </si>
  <si>
    <t xml:space="preserve">AO-C-228</t>
  </si>
  <si>
    <t xml:space="preserve">TileBar</t>
  </si>
  <si>
    <t xml:space="preserve">Tuesday estimate 16 to 328 (low confidence), 501 to 1,000 staff company-wide, hybrid (days not stated), occupied at a high-confidence address; contacts not researched yet (below the top 50).</t>
  </si>
  <si>
    <t xml:space="preserve">https://rebusinessonline.com/tilebar-signs-34000-sf-office-lease-in-manhattans-flatiron-district/</t>
  </si>
  <si>
    <t xml:space="preserve">3 and 4</t>
  </si>
  <si>
    <t xml:space="preserve">B-C-228</t>
  </si>
  <si>
    <t xml:space="preserve">https://www.tilebar.com/</t>
  </si>
  <si>
    <t xml:space="preserve">Consumer brand (tile and surfaces) / showroom</t>
  </si>
  <si>
    <t xml:space="preserve">575</t>
  </si>
  <si>
    <t xml:space="preserve">https://www.builtinnyc.com/company/tilebar/offices</t>
  </si>
  <si>
    <t xml:space="preserve">Inwood</t>
  </si>
  <si>
    <t xml:space="preserve">2025-04-18</t>
  </si>
  <si>
    <t xml:space="preserve">https://commercialobserver.com/2025/10/huge-lease-adams-53-west-23rd-street/</t>
  </si>
  <si>
    <t xml:space="preserve">2025-10-02</t>
  </si>
  <si>
    <t xml:space="preserve">Built In workplace type: Hybrid Workplace; typical time on-site: None</t>
  </si>
  <si>
    <t xml:space="preserve">575 (Built In) staff (whole-company count) x 5% to 100% of them in the New York office (HQ outside New York; share assumed) x 57% (Partnership for NYC, all Manhattan firms; no figure for 500 to 4,999) in on a weekday = 16 to 328, central 72; low confidence; estimate until intake replaces it.</t>
  </si>
  <si>
    <t xml:space="preserve">REBusiness Apr 2025: 34,000 sf office lease, entire 3rd and 4th floors. CO Oct 2025 names TileBar as a current tenant. Built In: 575 total employees, HQ Inwood NY (NYC office still shown as 45 W 21st St).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</si>
  <si>
    <t xml:space="preserve">AO-C-103</t>
  </si>
  <si>
    <t xml:space="preserve">Clay</t>
  </si>
  <si>
    <t xml:space="preserve">Tuesday estimate 27 to 405 (low confidence), 501 to 1,000 staff company-wide, on-site 5 days a week per its profile, signed-not-occupied at a medium-confidence address (hold: lease signed, move not confirmed); contacts not researched yet (below the top 50).</t>
  </si>
  <si>
    <t xml:space="preserve">New or renewed lease at 11 Madison Avenue reported 2026-03-09</t>
  </si>
  <si>
    <t xml:space="preserve">https://commercialobserver.com/2026/03/clay-ai-lease-sl-green-11-madison-avenue/</t>
  </si>
  <si>
    <t xml:space="preserve">11 Madison Avenue</t>
  </si>
  <si>
    <t xml:space="preserve">14, 16 and part of 15</t>
  </si>
  <si>
    <t xml:space="preserve">B-C-103</t>
  </si>
  <si>
    <t xml:space="preserve">https://www.clay.com/</t>
  </si>
  <si>
    <t xml:space="preserve">Software (AI sales / go-to-market)</t>
  </si>
  <si>
    <t xml:space="preserve">710</t>
  </si>
  <si>
    <t xml:space="preserve">93</t>
  </si>
  <si>
    <t xml:space="preserve">https://www.reveliolabs.com/companies/clay-labs/employees</t>
  </si>
  <si>
    <t xml:space="preserve">https://www.builtinnyc.com/company/clay/offices</t>
  </si>
  <si>
    <t xml:space="preserve">B-B-052</t>
  </si>
  <si>
    <t xml:space="preserve">11 Madison Avenue (SL Green); Sony Music uses 25 Madison Ave entrance</t>
  </si>
  <si>
    <t xml:space="preserve">https://www.metro-manhattan.com/neighborhoods/midtown-south/flatiron/</t>
  </si>
  <si>
    <t xml:space="preserve">2026-06</t>
  </si>
  <si>
    <t xml:space="preserve">loading dock</t>
  </si>
  <si>
    <t xml:space="preserve">https://en.wikipedia.org/wiki/11_Madison_Avenue</t>
  </si>
  <si>
    <t xml:space="preserve">710 (Revelio Labs) and 93 (Built In) staff (whole-company count) x 50% to 100% of them in the New York office (HQ New York; share assumed) x 57% (Partnership for NYC, all Manhattan firms; no figure for 500 to 4,999) in on a weekday = 27 to 405, central 105; low confidence; estimate until intake replaces it.</t>
  </si>
  <si>
    <t xml:space="preserve">163,095 sf;202,875 sf</t>
  </si>
  <si>
    <t xml:space="preserve">CO Mar 2026: 10-yr, 163,095 sf lease (14th, 16th and part of 15th floors); relocating from 111 W 19th St (Built In still lists 111 W 19 St). CO Apr 2026 (Colliers Q1 data) puts 'Clay Labs' deal at 202,875 sf, so the footprint may have grown. Move-in date unknown; founder to confirm which office staff use now. Built In shows 93 total employees (profile date unknown; CO quotes the CEO saying the team is growing fast, so the count may be stale). Metro Manhattan broker page (Jun 2026) repeats the CO report. | Assembly 2026-10-24: Review round 2: band moved from 76-150 to over-500, so the row moves to Near-miss. Revelio Labs (Clay Labs, Inc., HQ New York City): about 710 employees worldwide as of March 2026. Built In shows 93 total employees (stale against Revelio; it is now the second source).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</si>
  <si>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AO-C-032</t>
  </si>
  <si>
    <t xml:space="preserve">Roboflow</t>
  </si>
  <si>
    <t xml:space="preserve">Tuesday estimate 1 to 88 (low confidence), under 500 staff company-wide, on-site 5 days a week per its profile, occupancy-unconfirmed at a medium-confidence address; contacts not researched yet (below the top 50).</t>
  </si>
  <si>
    <t xml:space="preserve">https://www.mannpublications.com/mannreport/2025/08/25/moinian-signs-33000sf-across-flatiron-portfolio/</t>
  </si>
  <si>
    <t xml:space="preserve">10 West 18th Street</t>
  </si>
  <si>
    <t xml:space="preserve">B-C-032</t>
  </si>
  <si>
    <t xml:space="preserve">https://roboflow.com</t>
  </si>
  <si>
    <t xml:space="preserve">computer vision software</t>
  </si>
  <si>
    <t xml:space="preserve">44</t>
  </si>
  <si>
    <t xml:space="preserve">132</t>
  </si>
  <si>
    <t xml:space="preserve">https://www.builtinnyc.com/company/roboflow</t>
  </si>
  <si>
    <t xml:space="preserve">https://www.reveliolabs.com/companies/roboflow/employees</t>
  </si>
  <si>
    <t xml:space="preserve">B-B-015</t>
  </si>
  <si>
    <t xml:space="preserve">2025-08-25</t>
  </si>
  <si>
    <t xml:space="preserve">https://www.builtinnyc.com/company/roboflow/offices</t>
  </si>
  <si>
    <t xml:space="preserve">may be under 30;central estimate under 30</t>
  </si>
  <si>
    <t xml:space="preserve">44 (Built In) and 132 (Revelio Labs) staff (whole-company count) x 5% to 100% of them in the New York office (HQ outside New York; share assumed) x 67% (Partnership for NYC, firms under 500) in on a weekday = 1 to 88, central 9; low confidence; estimate until intake replaces it.</t>
  </si>
  <si>
    <t xml:space="preserve">Mann Report 2025-08-25: new Moinian lease at 10 West 18th St (size not stated). Built In NYC: 44 total employees, HQ San Francisco plus New York office; the whole company is 44 across two offices, so the NYC office is under 44 by arithmetic; its own count is not sourced. | Assembly 2026-10-24: Review round 2: band changed from 40-75 to unknown. Sources disagree: Built In shows 44 (40-75) and Revelio Labs (Roboflow, Inc., HQ Des Moines): about 132 employees worldwide as of March 2026 (76-150). Band left unknown; founder to confirm at intake.</t>
  </si>
  <si>
    <t xml:space="preserve">AO-C-260</t>
  </si>
  <si>
    <t xml:space="preserve">Grimshaw (New York studio)</t>
  </si>
  <si>
    <t xml:space="preserve">Tuesday estimate 17 to 342 (low confidence), 501 to 1,000 staff company-wide, no attendance signal, occupied at a high-confidence address; contacts not researched yet (below the top 50).</t>
  </si>
  <si>
    <t xml:space="preserve">https://grimshaw.global/contact/</t>
  </si>
  <si>
    <t xml:space="preserve">60 Madison Avenue</t>
  </si>
  <si>
    <t xml:space="preserve">B-C-260</t>
  </si>
  <si>
    <t xml:space="preserve">https://grimshaw.global</t>
  </si>
  <si>
    <t xml:space="preserve">architecture</t>
  </si>
  <si>
    <t xml:space="preserve">600</t>
  </si>
  <si>
    <t xml:space="preserve">https://en.wikipedia.org/wiki/Grimshaw_Architects</t>
  </si>
  <si>
    <t xml:space="preserve">B-B-066</t>
  </si>
  <si>
    <t xml:space="preserve">60 Madison Avenue (Moinian Group)</t>
  </si>
  <si>
    <t xml:space="preserve">https://commercialobserver.com/2022/12/grimshaw-architects-takes-19k-sf-offices-by-madison-square-park/</t>
  </si>
  <si>
    <t xml:space="preserve">2022-12-01</t>
  </si>
  <si>
    <t xml:space="preserve">600 (Wikipedia) staff (whole-company count) x 5% to 100% of them in the New York office (HQ city unknown; share assumed) x 57% (Partnership for NYC, all Manhattan firms; no figure for 500 to 4,999) in on a weekday = 17 to 342, central 76; low confidence; estimate until intake replaces it.</t>
  </si>
  <si>
    <t xml:space="preserve">18,800 sf</t>
  </si>
  <si>
    <t xml:space="preserve">Company contact page lists New York at 60 Madison Avenue, 4th Floor. CO 2022: 18,800 SF on floor 4. Headcount not sourced (Built In profile shows no count). | Assembly 2026-10-24: Band set at assembly to over-500 from Wikipedia body text: 'employing over 600 staff' (no infobox count). The NYC office size is unknown; the NYC office alone may fit, founder to confirm.</t>
  </si>
  <si>
    <t xml:space="preserve">AO-C-021</t>
  </si>
  <si>
    <t xml:space="preserve">Scale Microgrids</t>
  </si>
  <si>
    <t xml:space="preserve">Tuesday estimate 3 to 64 (low confidence), under 500 staff company-wide, on-site 5 days a week per its profile, occupancy-unconfirmed at a medium-confidence address; contacts not researched yet (below the top 50).</t>
  </si>
  <si>
    <t xml:space="preserve">https://commercialobserver.com/2025/03/faire-lease-26-west-17th-street/</t>
  </si>
  <si>
    <t xml:space="preserve">26 West 17th Street</t>
  </si>
  <si>
    <t xml:space="preserve">11</t>
  </si>
  <si>
    <t xml:space="preserve">B-C-021</t>
  </si>
  <si>
    <t xml:space="preserve">https://www.scalemicrogrids.com</t>
  </si>
  <si>
    <t xml:space="preserve">energy infrastructure finance</t>
  </si>
  <si>
    <t xml:space="preserve">https://www.builtinnyc.com/company/scale-microgrids</t>
  </si>
  <si>
    <t xml:space="preserve">Ridgewood</t>
  </si>
  <si>
    <t xml:space="preserve">B-B-008</t>
  </si>
  <si>
    <t xml:space="preserve">2025-03-27</t>
  </si>
  <si>
    <t xml:space="preserve">https://www.scalemicrogrids.com/contact</t>
  </si>
  <si>
    <t xml:space="preserve">https://www.builtinnyc.com/company/scale-microgrids/offices</t>
  </si>
  <si>
    <t xml:space="preserve">95 (Built In) staff (whole-company count) x 5% to 100% of them in the New York office (HQ outside New York; share assumed) x 67% (Partnership for NYC, firms under 500) in on a weekday = 3 to 64, central 14; low confidence; estimate until intake replaces it.</t>
  </si>
  <si>
    <t xml:space="preserve">CO 2025-03-27: 10,000 sf on the 11th floor. Built In NYC: 95 total employees, HQ Ridgewood NJ. Company contact page lists a New York regional office (city only, no street), so second source confirms NYC presence, not the street address.</t>
  </si>
  <si>
    <t xml:space="preserve">AO-C-193</t>
  </si>
  <si>
    <t xml:space="preserve">Chime</t>
  </si>
  <si>
    <t xml:space="preserve">Tuesday estimate 43 to 855 (low confidence), 1,001 to 4,999 staff company-wide, hybrid 4 days, occupied at a medium-confidence address; contacts not researched yet (below the top 50).</t>
  </si>
  <si>
    <t xml:space="preserve">https://commercialobserver.com/?p=521355</t>
  </si>
  <si>
    <t xml:space="preserve">122 Fifth Avenue</t>
  </si>
  <si>
    <t xml:space="preserve">B-C-193</t>
  </si>
  <si>
    <t xml:space="preserve">https://www.chime.com</t>
  </si>
  <si>
    <t xml:space="preserve">fintech (consumer banking)</t>
  </si>
  <si>
    <t xml:space="preserve">1500</t>
  </si>
  <si>
    <t xml:space="preserve">https://www.builtinnyc.com/company/chime</t>
  </si>
  <si>
    <t xml:space="preserve">2025-05-08</t>
  </si>
  <si>
    <t xml:space="preserve">https://commercialobserver.com/2026/06/ebay-lease-bromley-companies-122-fifth-avenue/</t>
  </si>
  <si>
    <t xml:space="preserve">2026-06-02</t>
  </si>
  <si>
    <t xml:space="preserve">Built In workplace type: Hybrid Workplace; typical time on-site: 4 days a week</t>
  </si>
  <si>
    <t xml:space="preserve">https://www.builtinnyc.com/company/chime/offices</t>
  </si>
  <si>
    <t xml:space="preserve">1500 (Built In) staff (whole-company count) x 5% to 100% of them in the New York office (HQ outside New York; share assumed) x 57% (Partnership for NYC, all Manhattan firms; no figure for 500 to 4,999) in on a weekday = 43 to 855, central 192; low confidence; estimate until intake replaces it.</t>
  </si>
  <si>
    <t xml:space="preserve">84,000 sf</t>
  </si>
  <si>
    <t xml:space="preserve">Near-miss: over 500 (Built In NYC: 1,500 total employees, HQ San Francisco). CO 2025-05-08: 84,000 sf lease, moving its NYC offices here. CO 2026-06-02: current roster includes Chime and Microsoft. Same publication for both sources, separate deal reports. | Assembly 2026-10-24: Confidence lowered at assembly from high to medium: second source is the same publisher or missing.</t>
  </si>
  <si>
    <t xml:space="preserve">AO-C-019</t>
  </si>
  <si>
    <t xml:space="preserve">Thinking Machines Lab</t>
  </si>
  <si>
    <t xml:space="preserve">Tuesday estimate 3 to 103 (low confidence), under 500 staff company-wide, on-site 5 days a week per its profile, signed-not-occupied at a medium-confidence address (hold: lease signed, move not confirmed); contacts not researched yet (below the top 50).</t>
  </si>
  <si>
    <t xml:space="preserve">New or renewed lease at 79 Fifth Avenue reported 2026-08-26</t>
  </si>
  <si>
    <t xml:space="preserve">https://commercialobserver.com/2026/08/thinking-machines-lab-79-fifth-avenue-lease/</t>
  </si>
  <si>
    <t xml:space="preserve">79 Fifth Avenue</t>
  </si>
  <si>
    <t xml:space="preserve">B-C-019</t>
  </si>
  <si>
    <t xml:space="preserve">https://thinkingmachines.ai</t>
  </si>
  <si>
    <t xml:space="preserve">AI research</t>
  </si>
  <si>
    <t xml:space="preserve">91</t>
  </si>
  <si>
    <t xml:space="preserve">153</t>
  </si>
  <si>
    <t xml:space="preserve">https://www.builtinnyc.com/company/thinking-machines-lab</t>
  </si>
  <si>
    <t xml:space="preserve">https://www.reveliolabs.com/companies/thinking-machines-lab/employees</t>
  </si>
  <si>
    <t xml:space="preserve">B-B-007</t>
  </si>
  <si>
    <t xml:space="preserve">https://www.builtinnyc.com/company/thinking-machines-lab/offices</t>
  </si>
  <si>
    <t xml:space="preserve">91 (Built In) and 153 (Revelio Labs) staff (whole-company count) x 5% to 100% of them in the New York office (HQ outside New York; share assumed) x 67% (Partnership for NYC, firms under 500) in on a weekday = 3 to 103, central 18; low confidence; estimate until intake replaces it.</t>
  </si>
  <si>
    <t xml:space="preserve">21,500 sf</t>
  </si>
  <si>
    <t xml:space="preserve">CO 2026-08-26: 21,500 sf, entire 4th floor of 79 Fifth Ave (between E 15th and E 16th), its first New York office; HQ San Francisco; move-in timing not stated. Built In NYC: 91 total employees (company-wide; NYC headcount not sourced). | Assembly 2026-10-24: Review round 2: band changed from 76-150 to unknown. Sources disagree: Built In shows 91 (76-150) and Revelio Labs (Thinking Machines Lab, Inc., HQ San Francisco): about 153 employees worldwide as of March 2026 (151-250). Band left unknown; founder to confirm at intake. Review round 2: corner lot: the lot-centroid pin sat 25 m from E 16 ST but 39 m from 5 AVE, so it was moved to the 5 AVE frontage near the corner (17 m from the 5 AVE centreline, 27 m from E 16 ST; 23 m from the old pin). Tax lot unchanged.</t>
  </si>
  <si>
    <t xml:space="preserve">AO-C-217</t>
  </si>
  <si>
    <t xml:space="preserve">Airtable</t>
  </si>
  <si>
    <t xml:space="preserve">Tuesday estimate 26 to 513 (low confidence), 501 to 1,000 staff company-wide, on-site 5 days a week per its profile, occupancy-unconfirmed at a low-confidence address; contacts not researched yet (below the top 50).</t>
  </si>
  <si>
    <t xml:space="preserve">https://www.builtinnyc.com/company/airtable/offices</t>
  </si>
  <si>
    <t xml:space="preserve">35 East 21st Street</t>
  </si>
  <si>
    <t xml:space="preserve">B-C-217</t>
  </si>
  <si>
    <t xml:space="preserve">https://www.airtable.com</t>
  </si>
  <si>
    <t xml:space="preserve">software (no-code database)</t>
  </si>
  <si>
    <t xml:space="preserve">900</t>
  </si>
  <si>
    <t xml:space="preserve">https://www.builtinnyc.com/company/airtable</t>
  </si>
  <si>
    <t xml:space="preserve">Built In workplace type: OnSite Workplace; typical time on-site: 5 days a week; recent job tags: 3 Remote</t>
  </si>
  <si>
    <t xml:space="preserve">900 (Built In) staff (whole-company count) x 5% to 100% of them in the New York office (HQ outside New York; share assumed) x 57% (Partnership for NYC, all Manhattan firms; no figure for 500 to 4,999) in on a weekday = 26 to 513, central 115; low confidence; estimate until intake replaces it.</t>
  </si>
  <si>
    <t xml:space="preserve">Built In lists a New York office at 35 E 21st St (zip shown as 11226, a Built In typo; the building is in 10010). HQ by WeWork took the whole building in 2018, but CO (Oct 2023) lists 35 E 21st St among WeWork's exits, so treated as not coworking. Built In shows 900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</si>
  <si>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AO-C-262</t>
  </si>
  <si>
    <t xml:space="preserve">Criteo</t>
  </si>
  <si>
    <t xml:space="preserve">Tuesday estimate 82 to 1635 (low confidence), 1,001 to 4,999 staff company-wide, on-site 5 days a week per its profile, occupied at a high-confidence address; contacts not researched yet (below the top 50).</t>
  </si>
  <si>
    <t xml:space="preserve">https://commercialobserver.com/2024/11/criteo-lease-387-park-avenue-south/</t>
  </si>
  <si>
    <t xml:space="preserve">top floor and penthouse</t>
  </si>
  <si>
    <t xml:space="preserve">B-C-262</t>
  </si>
  <si>
    <t xml:space="preserve">https://www.criteo.com</t>
  </si>
  <si>
    <t xml:space="preserve">adtech (commerce media)</t>
  </si>
  <si>
    <t xml:space="preserve">2868</t>
  </si>
  <si>
    <t xml:space="preserve">https://www.builtinnyc.com/company/criteo/offices</t>
  </si>
  <si>
    <t xml:space="preserve">2024-11-19</t>
  </si>
  <si>
    <t xml:space="preserve">2868 (Built In) staff (whole-company count) x 5% to 100% of them in the New York office (HQ city unknown; share assumed) x 57% (Partnership for NYC, all Manhattan firms; no figure for 500 to 4,999) in on a weekday = 82 to 1635, central 366; low confidence; estimate until intake replaces it.</t>
  </si>
  <si>
    <t xml:space="preserve">21,000 sf</t>
  </si>
  <si>
    <t xml:space="preserve">CO 2024-11-19: 10-year extension on the 21,000 SF penthouse it has leased since 2015 at the top of 387 PAS. Built In lists 387 Park Ave S and 100 Avenue of the Americas; 2,868 total employees. Over 500: near-miss. Review round 2: corner lot: the lot-centroid pin sat 24 m from E 27 ST but 34 m from PARK AVE S, so it was moved to the PARK AVE S frontage near the corner (13 m from the PARK AVE S centreline, 26 m from E 27 ST; 21 m from the old pin). Tax lot unchanged.</t>
  </si>
  <si>
    <t xml:space="preserve">AO-C-205</t>
  </si>
  <si>
    <t xml:space="preserve">Prophet</t>
  </si>
  <si>
    <t xml:space="preserve">Tuesday estimate 28 to 570 (low confidence), 501 to 1,000 staff company-wide, hybrid (days not stated), occupied at a medium-confidence address; contacts not researched yet (below the top 50).</t>
  </si>
  <si>
    <t xml:space="preserve">115 Fifth Avenue</t>
  </si>
  <si>
    <t xml:space="preserve">B-C-205</t>
  </si>
  <si>
    <t xml:space="preserve">https://www.prophet.com</t>
  </si>
  <si>
    <t xml:space="preserve">brand and marketing consulting</t>
  </si>
  <si>
    <t xml:space="preserve">https://www.builtinnyc.com/company/prophet</t>
  </si>
  <si>
    <t xml:space="preserve">Built In workplace type: Hybrid Workplace; typical time on-site: Not Specified; recent job tags: 2 In-Office</t>
  </si>
  <si>
    <t xml:space="preserve">https://www.builtinnyc.com/company/prophet/offices</t>
  </si>
  <si>
    <t xml:space="preserve">1000 (Built In) staff (whole-company count) x 5% to 100% of them in the New York office (HQ city unknown; share assumed) x 57% (Partnership for NYC, all Manhattan firms; no figure for 500 to 4,999) in on a weekday = 28 to 570, central 126; low confidence; estimate until intake replaces it.</t>
  </si>
  <si>
    <t xml:space="preserve">Near-miss: over 500 (Built In: 1,000 total employees) and margin (115 Fifth Ave at E 19th St). CO 2026-04-07 names Prophet as a 115 Fifth tenant; NYC office size unknown.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</si>
  <si>
    <t xml:space="preserve">AO-C-186</t>
  </si>
  <si>
    <t xml:space="preserve">Similarweb</t>
  </si>
  <si>
    <t xml:space="preserve">Tuesday estimate 26 to 527 (low confidence), 501 to 1,000 staff company-wide, on-site 5 days a week per its profile, occupancy-unconfirmed at a low-confidence address; contacts not researched yet (below the top 50).</t>
  </si>
  <si>
    <t xml:space="preserve">https://www.builtinnyc.com/company/similarweb/offices</t>
  </si>
  <si>
    <t xml:space="preserve">50 West 17th Street</t>
  </si>
  <si>
    <t xml:space="preserve">B-C-186</t>
  </si>
  <si>
    <t xml:space="preserve">https://www.similarweb.com</t>
  </si>
  <si>
    <t xml:space="preserve">software (digital market data)</t>
  </si>
  <si>
    <t xml:space="preserve">925</t>
  </si>
  <si>
    <t xml:space="preserve">https://www.builtinnyc.com/company/similarweb</t>
  </si>
  <si>
    <t xml:space="preserve">925 (Built In) staff (whole-company count) x 5% to 100% of them in the New York office (HQ city unknown; share assumed) x 57% (Partnership for NYC, all Manhattan firms; no figure for 500 to 4,999) in on a weekday = 26 to 527, central 117; low confidence; estimate until intake replaces it.</t>
  </si>
  <si>
    <t xml:space="preserve">Built In lists a New York office at 50 W 17th St (one block south of this slice, so margin). Built In shows 925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</si>
  <si>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AO-C-207</t>
  </si>
  <si>
    <t xml:space="preserve">ZGF Architects</t>
  </si>
  <si>
    <t xml:space="preserve">Tuesday estimate 21 to 427 (low confidence), 501 to 1,000 staff company-wide, no attendance signal, occupied at a medium-confidence address; contacts not researched yet (below the top 50).</t>
  </si>
  <si>
    <t xml:space="preserve">https://www.zgf.com/contact</t>
  </si>
  <si>
    <t xml:space="preserve">39 West 19th Street</t>
  </si>
  <si>
    <t xml:space="preserve">B-C-207</t>
  </si>
  <si>
    <t xml:space="preserve">https://www.zgf.com</t>
  </si>
  <si>
    <t xml:space="preserve">750</t>
  </si>
  <si>
    <t xml:space="preserve">https://en.wikipedia.org/wiki/ZGF_Architects</t>
  </si>
  <si>
    <t xml:space="preserve">B-B-025</t>
  </si>
  <si>
    <t xml:space="preserve">39 West 19th Street (Rosen family)</t>
  </si>
  <si>
    <t xml:space="preserve">https://commercialobserver.com/2020/01/zgf-architects-lease-39-west-19th-street-rosen-family/</t>
  </si>
  <si>
    <t xml:space="preserve">2020-01-10</t>
  </si>
  <si>
    <t xml:space="preserve">750 (Wikipedia) staff (whole-company count) x 5% to 100% of them in the New York office (HQ city unknown; share assumed) x 57% (Partnership for NYC, all Manhattan firms; no figure for 500 to 4,999) in on a weekday = 21 to 427, central 95; low confidence; estimate until intake replaces it.</t>
  </si>
  <si>
    <t xml:space="preserve">11,502 sf</t>
  </si>
  <si>
    <t xml:space="preserve">Contact page lists New York office at 39 West 19th Street, 12th Floor (penthouse, 11,502 sf per CO 2020). Live site counts as current; the lease article is old, so medium. Portland-based firm; NYC headcount not sourced. | Assembly 2026-10-24: Band set at assembly to over-500 from Wikipedia infobox: 750 employees (footnote cites an October 2021 article). The NYC office size is unknown; the NYC office alone may fit, founder to confirm.</t>
  </si>
  <si>
    <t xml:space="preserve">AO-C-042</t>
  </si>
  <si>
    <t xml:space="preserve">VidMob</t>
  </si>
  <si>
    <t xml:space="preserve">Tuesday estimate 22 to 60 (low confidence), under 500 staff company-wide, hybrid (days not stated) with Tuesday named as an office day, occupancy-unconfirmed at a low-confidence address; contacts not researched yet (below the top 50).</t>
  </si>
  <si>
    <t xml:space="preserve">https://commercialobserver.com/2024/12/airbnb-lease-130-fifth-avenue/</t>
  </si>
  <si>
    <t xml:space="preserve">130 Fifth Avenue</t>
  </si>
  <si>
    <t xml:space="preserve">B-C-042</t>
  </si>
  <si>
    <t xml:space="preserve">https://vidmob.com</t>
  </si>
  <si>
    <t xml:space="preserve">software (creative analytics, adtech)</t>
  </si>
  <si>
    <t xml:space="preserve">67</t>
  </si>
  <si>
    <t xml:space="preserve">90</t>
  </si>
  <si>
    <t xml:space="preserve">https://www.builtinnyc.com/company/vidmob</t>
  </si>
  <si>
    <t xml:space="preserve">https://www.reveliolabs.com/companies/vidmob/employees</t>
  </si>
  <si>
    <t xml:space="preserve">B-B-017</t>
  </si>
  <si>
    <t xml:space="preserve">130 Fifth Avenue (Olnick Organization)</t>
  </si>
  <si>
    <t xml:space="preserve">2024-12-02</t>
  </si>
  <si>
    <t xml:space="preserve">Built In workplace type: Hybrid Workplace; typical time on-site: Flexible; recent job tags: 1 Hybrid, 1 Remote</t>
  </si>
  <si>
    <t xml:space="preserve">https://www.builtinnyc.com/company/vidmob/offices</t>
  </si>
  <si>
    <t xml:space="preserve">67 (Built In) and 90 (Revelio Labs) staff (whole-company count) x 50% to 100% of them in the New York office (HQ New York; share assumed) x 67% (Partnership for NYC, firms under 500) in on a weekday = 22 to 60, central 36; low confidence; estimate until intake replaces it.</t>
  </si>
  <si>
    <t xml:space="preserve">CO Dec 2024 names data company VidMob among 130 Fifth leases, but Built In (opened 2026-10-23) lists its HQ at 500 7th Ave in a WeWork. Conflicting sources, so low. Built In shows 67 total employees. | Assembly 2026-10-24: Review round 2: band changed from 40-75 to unknown. Sources disagree: Built In shows 67 (40-75) and Revelio Labs (VidMob, Inc., HQ New York City): about 90 employees worldwide as of March 2026 (76-150). Band left unknown; founder to confirm at intake. Review round 2: corner lot: the lot-centroid pin sat 21 m from W 18 ST but 36 m from 5 AVE, so it was moved to the 5 AVE frontage near the corner (17 m from the 5 AVE centreline, 26 m from W 18 ST; 19 m from the old pin). Tax lot unchanged.</t>
  </si>
  <si>
    <t xml:space="preserve">AO-C-090</t>
  </si>
  <si>
    <t xml:space="preserve">Hungryroot</t>
  </si>
  <si>
    <t xml:space="preserve">Tuesday estimate 67 to 218 (low confidence), under 500 staff company-wide, remote-first signal, occupancy-unconfirmed at a low-confidence address; contacts not researched yet (below the top 50).</t>
  </si>
  <si>
    <t xml:space="preserve">https://commercialobserver.com/2019/11/hungryroot-lease-7-west-22nd-street/</t>
  </si>
  <si>
    <t xml:space="preserve">7 West 22nd Street</t>
  </si>
  <si>
    <t xml:space="preserve">B-C-090</t>
  </si>
  <si>
    <t xml:space="preserve">https://www.hungryroot.com</t>
  </si>
  <si>
    <t xml:space="preserve">food delivery (grocery and meal kits)</t>
  </si>
  <si>
    <t xml:space="preserve">326</t>
  </si>
  <si>
    <t xml:space="preserve">https://www.builtinnyc.com/company/hungryroot</t>
  </si>
  <si>
    <t xml:space="preserve">https://www.reveliolabs.com/companies/hungryroot/employees</t>
  </si>
  <si>
    <t xml:space="preserve">B-B-043</t>
  </si>
  <si>
    <t xml:space="preserve">2019-11-25</t>
  </si>
  <si>
    <t xml:space="preserve">Built In workplace type: Remote Workplace; recent job tags: 3 Remote</t>
  </si>
  <si>
    <t xml:space="preserve">https://www.builtinnyc.com/company/hungryroot/offices</t>
  </si>
  <si>
    <t xml:space="preserve">200 (Built In) and 326 (Revelio Labs) staff (whole-company count) x 50% to 100% of them in the New York office (HQ New York; share assumed) x 67% (Partnership for NYC, firms under 500) in on a weekday = 67 to 218, central 121; low confidence; estimate until intake replaces it.</t>
  </si>
  <si>
    <t xml:space="preserve">Five-year lease (2019) of 10,000 sf on the 6th floor; a five-year term from 2019 ends about 2024 by arithmetic, and no current confirmation was found (Built In lists HQ New York without a street; site terms show no address). Built In shows 200 total employees. Food company: possible brand-side contact too. | Assembly 2026-10-24: Review round 2: band changed from 151-250 to unknown. Sources disagree: Built In shows 200 (151-250) and Revelio Labs (Hungryroot, Inc., HQ New York City): about 326 employees worldwide as of March 2026 (251-500). Band left unknown; founder to confirm at intake.</t>
  </si>
  <si>
    <t xml:space="preserve">AO-C-224</t>
  </si>
  <si>
    <t xml:space="preserve">Trustpilot</t>
  </si>
  <si>
    <t xml:space="preserve">Tuesday estimate 27 to 542 (low confidence), 501 to 1,000 staff company-wide, hybrid 2 days or fewer, occupied at a medium-confidence address; contacts not researched yet (below the top 50).</t>
  </si>
  <si>
    <t xml:space="preserve">B-C-224</t>
  </si>
  <si>
    <t xml:space="preserve">https://www.trustpilot.com/</t>
  </si>
  <si>
    <t xml:space="preserve">Consumer review platform</t>
  </si>
  <si>
    <t xml:space="preserve">950</t>
  </si>
  <si>
    <t xml:space="preserve">https://www.builtinnyc.com/company/trustpilot/offices</t>
  </si>
  <si>
    <t xml:space="preserve">Built In workplace type: Hybrid Workplace; typical time on-site: 2 days a week</t>
  </si>
  <si>
    <t xml:space="preserve">950 (Built In) staff (whole-company count) x 5% to 100% of them in the New York office (HQ city unknown; share assumed) x 57% (Partnership for NYC, all Manhattan firms; no figure for 500 to 4,999) in on a weekday = 27 to 542, central 121; low confidence; estimate until intake replaces it.</t>
  </si>
  <si>
    <t xml:space="preserve">NYREJ Oct 2025 lists Trustpilot as an existing tenant at 50 W 23rd (Two Trees release). Built In describes its New York office as near Madison Square Park (no street). Built In: 950 total employees; Wikipedia: c. 1,000 (2025). Near-miss (over-500).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</si>
  <si>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AO-C-249</t>
  </si>
  <si>
    <t xml:space="preserve">Persona</t>
  </si>
  <si>
    <t xml:space="preserve">Tuesday estimate 17 to 342 (low confidence), 501 to 1,000 staff company-wide, hybrid 3 days with Tuesday named as an office day, occupancy-unconfirmed at a low-confidence address; contacts not researched yet (below the top 50).</t>
  </si>
  <si>
    <t xml:space="preserve">https://www.builtinnyc.com/company/persona/offices</t>
  </si>
  <si>
    <t xml:space="preserve">41 West 25th Street</t>
  </si>
  <si>
    <t xml:space="preserve">B-C-249</t>
  </si>
  <si>
    <t xml:space="preserve">https://withpersona.com/</t>
  </si>
  <si>
    <t xml:space="preserve">Software (identity verification)</t>
  </si>
  <si>
    <t xml:space="preserve">Built In workplace type: Hybrid Workplace; typical time on-site: 3 days a week; recent job tags: 1 Hybrid, 1 Remote, 1 In-Office</t>
  </si>
  <si>
    <t xml:space="preserve">600 (Built In) staff (whole-company count) x 5% to 100% of them in the New York office (HQ outside New York; share assumed) x 57% (Partnership for NYC, all Manhattan firms; no figure for 500 to 4,999) in on a weekday = 17 to 342, central 76; low confidence; estimate until intake replaces it.</t>
  </si>
  <si>
    <t xml:space="preserve">Built In only: New York office '41 W 25th St, 2nd Floor'; HQ San Francisco; 600 total employees. Company site returned 403. Founder to confirm. Near-miss (over-500). | Assembly 2026-10-24: Confidence lowered at assembly from medium to low: review round 2: the only source dated within 24 months is an undated third-party profile (Built In, Deskpass or LiquidSpace), which can only confirm a dated or own-site source.</t>
  </si>
  <si>
    <t xml:space="preserve">AO-C-099</t>
  </si>
  <si>
    <t xml:space="preserve">Chalk</t>
  </si>
  <si>
    <t xml:space="preserve">Tuesday estimate 1 to 84 (low confidence), under 500 staff company-wide, on-site 5 days a week per its profile, signed-not-occupied at a medium-confidence address (hold: lease signed, move not confirmed); contacts not researched yet (below the top 50).</t>
  </si>
  <si>
    <t xml:space="preserve">New or renewed lease at 43 West 23rd Street reported 2026-07</t>
  </si>
  <si>
    <t xml:space="preserve">https://commercialobserver.com/2026/07/chalk-ai-lease-flatiron-43-west-23rd-street/</t>
  </si>
  <si>
    <t xml:space="preserve">2026-07</t>
  </si>
  <si>
    <t xml:space="preserve">43 West 23rd Street</t>
  </si>
  <si>
    <t xml:space="preserve">B-C-099</t>
  </si>
  <si>
    <t xml:space="preserve">https://chalk.ai/</t>
  </si>
  <si>
    <t xml:space="preserve">Software (data platform for AI)</t>
  </si>
  <si>
    <t xml:space="preserve">126</t>
  </si>
  <si>
    <t xml:space="preserve">https://www.builtinnyc.com/company/chalk/offices</t>
  </si>
  <si>
    <t xml:space="preserve">https://www.reveliolabs.com/companies/chalk-ai/employees</t>
  </si>
  <si>
    <t xml:space="preserve">B-B-049</t>
  </si>
  <si>
    <t xml:space="preserve">43 West 23rd Street (Castro Properties)</t>
  </si>
  <si>
    <t xml:space="preserve">40 (Built In) and 126 (Revelio Labs) staff (whole-company count) x 5% to 100% of them in the New York office (HQ outside New York; share assumed) x 67% (Partnership for NYC, firms under 500) in on a weekday = 1 to 84, central 9; low confidence; estimate until intake replaces it.</t>
  </si>
  <si>
    <t xml:space="preserve">26,607 sf</t>
  </si>
  <si>
    <t xml:space="preserve">CO: signed 26,607 sf at 43 W 23rd St; move-in date unclear. Current NYC office is 54 West 21st Street (CO). HQ San Francisco. Built In: 40 total employees (profile may predate the expansion). FNP roundup lists the address as 43 West 24th St; the CO article body says 43 West 23rd St. | Assembly 2026-10-24: Review round 2: band changed from 40-75 to unknown. Sources disagree: Built In shows 40 (40-75) and Revelio Labs (Chalk AI, Inc., HQ San Francisco): about 126 employees worldwide as of March 2026 (76-150). Band left unknown; founder to confirm at intake.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</si>
  <si>
    <t xml:space="preserve">AO-C-084</t>
  </si>
  <si>
    <t xml:space="preserve">Synthesia</t>
  </si>
  <si>
    <t xml:space="preserve">Tuesday estimate 12 to 441 (low confidence), 501 to 1,000 staff company-wide, on-site 5 days a week per its profile, signed-not-occupied at a medium-confidence address (hold: lease signed, move not confirmed); contacts not researched yet (below the top 50).</t>
  </si>
  <si>
    <t xml:space="preserve">New or renewed lease at 675 Avenue of the Americas reported 2026-10-08</t>
  </si>
  <si>
    <t xml:space="preserve">https://commercialobserver.com/2026/10/synthesia-lease-gfp-675-avenue-of-the-americas/</t>
  </si>
  <si>
    <t xml:space="preserve">2026-10-08</t>
  </si>
  <si>
    <t xml:space="preserve">B-C-084</t>
  </si>
  <si>
    <t xml:space="preserve">https://www.synthesia.io</t>
  </si>
  <si>
    <t xml:space="preserve">software (AI video)</t>
  </si>
  <si>
    <t xml:space="preserve">774</t>
  </si>
  <si>
    <t xml:space="preserve">428</t>
  </si>
  <si>
    <t xml:space="preserve">https://www.reveliolabs.com/companies/synthesia/employees</t>
  </si>
  <si>
    <t xml:space="preserve">https://www.builtinnyc.com/company/synthesia</t>
  </si>
  <si>
    <t xml:space="preserve">https://www.builtinnyc.com/company/synthesia/offices</t>
  </si>
  <si>
    <t xml:space="preserve">774 (Revelio Labs) and 428 (Built In) staff (whole-company count) x 5% to 100% of them in the New York office (HQ outside New York; share assumed) x 57% (Partnership for NYC, all Manhattan firms; no figure for 500 to 4,999) in on a weekday = 12 to 441, central 73; low confidence; estimate until intake replaces it.</t>
  </si>
  <si>
    <t xml:space="preserve">50,000 sf;13,600 sf;6,490 sf</t>
  </si>
  <si>
    <t xml:space="preserve">50,000 sf lease for new U.S. HQ, signed Oct 2026; move date unknown. Current NYC office is 245 Fifth Avenue (NoMad, outside slice) per CO; Built In offices page lists 111 E 14th St (older). Built In shows 428 total employees; London-based company. | Assembly 2026-10-24: Review round 1 correction: the current office at 245 Fifth Ave is INSIDE the boundary (not 'outside slice'). CO 2025-08-14 (https://commercialobserver.com/2025/08/synthesia-lease-moinian-245-fifth-avenue/, opened 2026-10-24): a five-year direct lease of 13,600 sf at 245 Fifth Ave, expanding from 6,490 sf on the 16th floor taken in April 2023 when it left 111 E 14th St; CO 2026-10-08 says it will relocate from 245 Fifth to 675 Sixth Ave, date unclear. So Synthesia sits at 245 Fifth Ave today, until the move date. Built In's 111 E 14th St is stale (pre-2023). Review round 2: band moved from 251-500 to over-500, so the row moves to Near-miss. Revelio Labs (Synthesia Ltd., HQ London): about 774 employees worldwide as of March 2026. Built In shows 428 total employees (stale against Revelio; it is now the second source). Its NYC office is 13,600 sf at 245 Fifth Ave (CO 2025-08-14) against an HQ in London; the NYC office alone may fit the 40-250 band, founder to confirm. Review round 2: corner lot: the lot-centroid pin sat 39 m from W 21 ST but 46 m from AVE OF THE AMERICAS, so it was moved to the AVE OF THE AMERICAS frontage near the corner (18 m from the AVE OF THE AMERICAS centreline, 39 m from W 21 ST; 28 m from the old pin). Tax lot unchanged.</t>
  </si>
  <si>
    <t xml:space="preserve">AO-C-094</t>
  </si>
  <si>
    <t xml:space="preserve">BMF (We Are BMF)</t>
  </si>
  <si>
    <t xml:space="preserve">Tuesday estimate 23 to 47 (low confidence), under 500 staff company-wide, hybrid 2 days or fewer, occupied at a medium-confidence address; contacts not researched yet (below the top 50).</t>
  </si>
  <si>
    <t xml:space="preserve">https://commercialobserver.com/?p=544473</t>
  </si>
  <si>
    <t xml:space="preserve">B-C-094</t>
  </si>
  <si>
    <t xml:space="preserve">https://wearebmf.com/</t>
  </si>
  <si>
    <t xml:space="preserve">Marketing / experiential agency</t>
  </si>
  <si>
    <t xml:space="preserve">70</t>
  </si>
  <si>
    <t xml:space="preserve">https://www.builtinnyc.com/company/bmf/offices</t>
  </si>
  <si>
    <t xml:space="preserve">2025-09-09</t>
  </si>
  <si>
    <t xml:space="preserve">70 (Built In) staff (whole-company count) x 50% to 100% of them in the New York office (HQ New York; share assumed) x 67% (Partnership for NYC, firms under 500) in on a weekday = 23 to 47, central 33; low confidence; estimate until intake replaces it.</t>
  </si>
  <si>
    <t xml:space="preserve">CO and NYREJ both list 'marketing agency BMF' as a tenant; both derive from the same Two Trees announcement, so treated as one source. Company site shows no street address. Built In: 70 total employees, HQ New York (no street). Search snippets show '50 West 23rd Street, 7th Floor' in agency directories (not opened; floor unverified, founder to confirm).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</si>
  <si>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AO-C-225</t>
  </si>
  <si>
    <t xml:space="preserve">Ramp</t>
  </si>
  <si>
    <t xml:space="preserve">Tuesday estimate 34 to 684 (low confidence), 1,001 to 4,999 staff company-wide, no attendance signal, occupied at a high-confidence address; contacts not researched yet (below the top 50).</t>
  </si>
  <si>
    <t xml:space="preserve">https://commercialobserver.com/2026/04/manhattan-office-leasing-2026-class-a/</t>
  </si>
  <si>
    <t xml:space="preserve">28 West 23rd Street</t>
  </si>
  <si>
    <t xml:space="preserve">multiple (285,300 sf)</t>
  </si>
  <si>
    <t xml:space="preserve">B-C-225</t>
  </si>
  <si>
    <t xml:space="preserve">https://ramp.com/</t>
  </si>
  <si>
    <t xml:space="preserve">Fintech (corporate cards and spend)</t>
  </si>
  <si>
    <t xml:space="preserve">1200</t>
  </si>
  <si>
    <t xml:space="preserve">https://en.wikipedia.org/wiki/Ramp_(company)</t>
  </si>
  <si>
    <t xml:space="preserve">2026-04</t>
  </si>
  <si>
    <t xml:space="preserve">1200 (Wikipedia) staff (whole-company count) x 5% to 100% of them in the New York office (HQ city unknown; share assumed) x 57% (Partnership for NYC, all Manhattan firms; no figure for 500 to 4,999) in on a weekday = 34 to 684, central 152; low confidence; estimate until intake replaces it.</t>
  </si>
  <si>
    <t xml:space="preserve">285,303 sf</t>
  </si>
  <si>
    <t xml:space="preserve">CO Apr 2026 (Colliers Q1 data): Ramp's 285,303 sf lease at Williams Equities' 28 and 40 West 23rd Street was among the quarter's largest. Metro Manhattan broker page (Jun 2026) independently reports the same expansion. Ramp's site showed no street address. Wikipedia: 1,200 employees (2025), HQ New York City. Near-miss (over-500).</t>
  </si>
  <si>
    <t xml:space="preserve">AO-C-102</t>
  </si>
  <si>
    <t xml:space="preserve">Harvey</t>
  </si>
  <si>
    <t xml:space="preserve">Tuesday estimate 11 to 644 (low confidence), 1,001 to 4,999 staff company-wide, on-site 5 days a week per its profile, occupancy-unconfirmed at a high-confidence address; contacts not researched yet (below the top 50).</t>
  </si>
  <si>
    <t xml:space="preserve">New or renewed lease at 1 Madison Avenue reported 2026-03-09</t>
  </si>
  <si>
    <t xml:space="preserve">https://commercialobserver.com/2026/03/harvey-ai-expansion-lease-sl-green-one-madison-avenue/</t>
  </si>
  <si>
    <t xml:space="preserve">1 Madison Avenue</t>
  </si>
  <si>
    <t xml:space="preserve">6 plus expansion (185,326 sf total)</t>
  </si>
  <si>
    <t xml:space="preserve">B-C-102</t>
  </si>
  <si>
    <t xml:space="preserve">https://www.harvey.ai/</t>
  </si>
  <si>
    <t xml:space="preserve">Legal AI software</t>
  </si>
  <si>
    <t xml:space="preserve">1130</t>
  </si>
  <si>
    <t xml:space="preserve">373</t>
  </si>
  <si>
    <t xml:space="preserve">https://www.reveliolabs.com/companies/harvey-ai/employees</t>
  </si>
  <si>
    <t xml:space="preserve">https://www.builtinnyc.com/company/harvey/offices</t>
  </si>
  <si>
    <t xml:space="preserve">https://flatironnomad.nyc/newsletter/april-23-2026-flatiron-nomad-economic-development-snapshot-q1-2026/</t>
  </si>
  <si>
    <t xml:space="preserve">2026-04-23</t>
  </si>
  <si>
    <t xml:space="preserve">1130 (Revelio Labs) and 373 (Built In) staff (whole-company count) x 5% to 100% of them in the New York office (HQ outside New York; share assumed) x 57% (Partnership for NYC, all Manhattan firms; no figure for 500 to 4,999) in on a weekday = 11 to 644, central 84; low confidence; estimate until intake replaces it.</t>
  </si>
  <si>
    <t xml:space="preserve">92,663 sf;185,326 sf;34,100 sf</t>
  </si>
  <si>
    <t xml:space="preserve">CO Oct 2025: 10-yr lease, entire 6th floor (92,663 sf); CO Mar 2026: doubled to 185,326 sf at One Madison. Flatiron NoMad Partnership Q1 2026 snapshot confirms. Harvey also had 34,100 sf at 315 Park Ave S (CO, Oct 2024); unclear if kept. Built In: 373 total employees, NY office zip 10010 (live profile, undated; count may predate recent growth). HQ San Francisco. | Assembly 2026-10-24: Review round 2: band moved from 251-500 to over-500, so the row moves to Near-miss. Revelio Labs (Harvey AI Corp., HQ San Francisco): about 1,130 employees worldwide as of March 2026. Built In shows 373 total employees (stale against Revelio; it is now the second source).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</si>
  <si>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AO-C-123</t>
  </si>
  <si>
    <t xml:space="preserve">Trexquant</t>
  </si>
  <si>
    <t xml:space="preserve">Tuesday estimate 2 to 228 (low confidence), under 500 staff company-wide, hybrid (days not stated), signed-not-occupied at a high-confidence address (hold: lease signed, move not confirmed); contacts not researched yet (below the top 50).</t>
  </si>
  <si>
    <t xml:space="preserve">https://www.connectcre.com/stories/bxp-secures-230k-sf-of-leases-at-360-park-ave-south/</t>
  </si>
  <si>
    <t xml:space="preserve">B-C-123</t>
  </si>
  <si>
    <t xml:space="preserve">https://www.trexquant.com/</t>
  </si>
  <si>
    <t xml:space="preserve">Quantitative investment manager</t>
  </si>
  <si>
    <t xml:space="preserve">340</t>
  </si>
  <si>
    <t xml:space="preserve">https://www.builtinnyc.com/company/trexquant-investment/offices</t>
  </si>
  <si>
    <t xml:space="preserve">https://www.reveliolabs.com/companies/trexquant-management/employees</t>
  </si>
  <si>
    <t xml:space="preserve">Stamford</t>
  </si>
  <si>
    <t xml:space="preserve">2026-03-16</t>
  </si>
  <si>
    <t xml:space="preserve">https://commercialobserver.com/?p=563472</t>
  </si>
  <si>
    <t xml:space="preserve">Built In workplace type: Hybrid Workplace; typical time on-site: Not Specified; recent job tags: 3 In-Office</t>
  </si>
  <si>
    <t xml:space="preserve">67 (Built In) and 340 (Revelio Labs) staff (whole-company count) x 5% to 100% of them in the New York office (HQ outside New York; share assumed) x 67% (Partnership for NYC, firms under 500) in on a weekday = 2 to 228, central 21; low confidence; estimate until intake replaces it.</t>
  </si>
  <si>
    <t xml:space="preserve">23,000 sf</t>
  </si>
  <si>
    <t xml:space="preserve">ConnectCRE and CO Mar 2026: about 23,000 sf, its first New York City presence; HQ Stamford CT. Built In: 67 total employees (HQ Stamford). Move-in date not stated. | Assembly 2026-10-24: Review round 2: band changed from 40-75 to unknown. Sources disagree: Built In shows 67 (40-75) and Revelio Labs (Trexquant Investment LP, HQ Stamford): about 340 employees worldwide as of March 2026 (251-500). Band left unknown; founder to confirm at intake. Review round 2: corner lot: the lot-centroid pin sat 22 m from E 26 ST but 36 m from PARK AVE S, so it was moved to the PARK AVE S frontage near the corner (13 m from the PARK AVE S centreline, 27 m from E 26 ST; 23 m from the old pin). Tax lot unchanged.</t>
  </si>
  <si>
    <t xml:space="preserve">AO-C-255</t>
  </si>
  <si>
    <t xml:space="preserve">Vercel</t>
  </si>
  <si>
    <t xml:space="preserve">Tuesday estimate 16 to 314 (low confidence), 501 to 1,000 staff company-wide, no attendance signal, occupancy-unconfirmed at a high-confidence address; contacts not researched yet (below the top 50).</t>
  </si>
  <si>
    <t xml:space="preserve">9 plus expansion (46,076 sf)</t>
  </si>
  <si>
    <t xml:space="preserve">B-C-255</t>
  </si>
  <si>
    <t xml:space="preserve">https://vercel.com/</t>
  </si>
  <si>
    <t xml:space="preserve">Software (web development platform)</t>
  </si>
  <si>
    <t xml:space="preserve">550</t>
  </si>
  <si>
    <t xml:space="preserve">https://en.wikipedia.org/wiki/Vercel</t>
  </si>
  <si>
    <t xml:space="preserve">https://commercialobserver.com/2026/09/rogo-technologies-360-park-avenue-south-lease-expansion/</t>
  </si>
  <si>
    <t xml:space="preserve">2026-09-22</t>
  </si>
  <si>
    <t xml:space="preserve">550 (Wikipedia) staff (whole-company count) x 5% to 100% of them in the New York office (HQ city unknown; share assumed) x 57% (Partnership for NYC, all Manhattan firms; no figure for 500 to 4,999) in on a weekday = 16 to 314, central 71; low confidence; estimate until intake replaces it.</t>
  </si>
  <si>
    <t xml:space="preserve">23,000 sf;46,076 sf</t>
  </si>
  <si>
    <t xml:space="preserve">ConnectCRE Mar 2026 (BXP release): about 23,000 sf; CO Sep 2026: apparent expansion to 46,076 sf per a CBRE report. HQ San Francisco; Built In NY office still shows '47th Street' (stale). Wikipedia infobox: 550 employees (2025), just over 500. Near-miss (over-500). Review round 2: corner lot: the lot-centroid pin sat 22 m from E 26 ST but 36 m from PARK AVE S, so it was moved to the PARK AVE S frontage near the corner (13 m from the PARK AVE S centreline, 27 m from E 26 ST; 23 m from the old pin). Tax lot unchanged.</t>
  </si>
  <si>
    <t xml:space="preserve">AO-C-027</t>
  </si>
  <si>
    <t xml:space="preserve">Selldorf Architects</t>
  </si>
  <si>
    <t xml:space="preserve">Tuesday estimate 22 to 44 (low confidence), under 500 staff company-wide, no attendance signal, occupied at a medium-confidence address; contacts not researched yet (below the top 50).</t>
  </si>
  <si>
    <t xml:space="preserve">New or renewed lease at 860 Broadway reported 2026-08-07</t>
  </si>
  <si>
    <t xml:space="preserve">B-C-027</t>
  </si>
  <si>
    <t xml:space="preserve">https://www.selldorf.com</t>
  </si>
  <si>
    <t xml:space="preserve">https://en.wikipedia.org/wiki/Selldorf_Architects</t>
  </si>
  <si>
    <t xml:space="preserve">https://www.connectcre.com/stories/selldorf-architects-signs-long-term-renewal-at-860-broadway/</t>
  </si>
  <si>
    <t xml:space="preserve">65 (Wikipedia) staff (whole-company count) x 50% to 100% of them in the New York office (HQ New York; share assumed) x 67% (Partnership for NYC, firms under 500) in on a weekday = 22 to 44, central 31; low confidence; estimate until intake replaces it.</t>
  </si>
  <si>
    <t xml:space="preserve">10-year 13,815 sf renewal; at 860 Broadway about two decades. Both articles trace to the same Colliers deal announcement. Headcount not found in an opened source. Wikipedia (Annabelle Selldorf article): the practice 'today employs upwards of 65 employees'; undated statement, founder to confirm. | Assembly 2026-10-24: Confidence lowered at assembly from high to medium: both articles trace to one broker announcement.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</si>
  <si>
    <t xml:space="preserve">AO-C-219</t>
  </si>
  <si>
    <t xml:space="preserve">e.l.f. Beauty</t>
  </si>
  <si>
    <t xml:space="preserve">Tuesday estimate 31 to 625 (low confidence), 1,001 to 4,999 staff company-wide, on-site 5 days a week per its profile, occupancy-unconfirmed at a low-confidence address; contacts not researched yet (below the top 50).</t>
  </si>
  <si>
    <t xml:space="preserve">https://commercialobserver.com/2024/08/elf-beauty-lease-gfp-real-estate-16-west-22nd-street/</t>
  </si>
  <si>
    <t xml:space="preserve">16 West 22nd Street</t>
  </si>
  <si>
    <t xml:space="preserve">B-C-219</t>
  </si>
  <si>
    <t xml:space="preserve">https://www.elfcosmetics.com</t>
  </si>
  <si>
    <t xml:space="preserve">cosmetics brand (NYC office)</t>
  </si>
  <si>
    <t xml:space="preserve">1096</t>
  </si>
  <si>
    <t xml:space="preserve">https://www.builtinnyc.com/company/elf-beauty</t>
  </si>
  <si>
    <t xml:space="preserve">Oakland</t>
  </si>
  <si>
    <t xml:space="preserve">B-B-041</t>
  </si>
  <si>
    <t xml:space="preserve">16 West 22nd Street (Meysar Realty / GFP)</t>
  </si>
  <si>
    <t xml:space="preserve">Built In workplace type: OnSite Workplace; typical time on-site: 5 days a week; recent job tags: 2 Hybrid, 1 Remote</t>
  </si>
  <si>
    <t xml:space="preserve">https://www.builtinnyc.com/company/elf-beauty/offices</t>
  </si>
  <si>
    <t xml:space="preserve">1096 (Built In) staff (whole-company count) x 5% to 100% of them in the New York office (HQ outside New York; share assumed) x 57% (Partnership for NYC, all Manhattan firms; no figure for 500 to 4,999) in on a weekday = 31 to 625, central 139; low confidence; estimate until intake replaces it.</t>
  </si>
  <si>
    <t xml:space="preserve">26,000 sf;39,000 sf</t>
  </si>
  <si>
    <t xml:space="preserve">10-year lease adding 26,000 sf (39,000 sf total) in Aug 2024; in the building since 2020. Source predates 2024-10-23 and not re-confirmed. Built In shows 1,096 total employees, HQ Oakland CA. Over 500. | Assembly 2026-10-24: Review round 3: lease status set from occupied to occupancy-unconfirmed: no source under 24 months places it here.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</si>
  <si>
    <t xml:space="preserve">AO-C-259</t>
  </si>
  <si>
    <t xml:space="preserve">Lutron Electronics</t>
  </si>
  <si>
    <t xml:space="preserve">Tuesday estimate 59 to 1176 (low confidence), 1,001 to 4,999 staff company-wide, on-site 5 days a week per its profile, occupancy-unconfirmed at a medium-confidence address; contacts not researched yet (below the top 50).</t>
  </si>
  <si>
    <t xml:space="preserve">https://commercialobserver.com/2025/10/lutron-electronics-office-lease-11-east-26th-street/</t>
  </si>
  <si>
    <t xml:space="preserve">21</t>
  </si>
  <si>
    <t xml:space="preserve">B-C-259</t>
  </si>
  <si>
    <t xml:space="preserve">https://www.lutron.com</t>
  </si>
  <si>
    <t xml:space="preserve">lighting controls manufacturer</t>
  </si>
  <si>
    <t xml:space="preserve">2063</t>
  </si>
  <si>
    <t xml:space="preserve">https://www.builtinnyc.com/company/lutron-electronics/offices</t>
  </si>
  <si>
    <t xml:space="preserve">Coopersburg</t>
  </si>
  <si>
    <t xml:space="preserve">2025-10-22</t>
  </si>
  <si>
    <t xml:space="preserve">2063 (Built In) staff (whole-company count) x 5% to 100% of them in the New York office (HQ outside New York; share assumed) x 57% (Partnership for NYC, all Manhattan firms; no figure for 500 to 4,999) in on a weekday = 59 to 1176, central 263; low confidence; estimate until intake replaces it.</t>
  </si>
  <si>
    <t xml:space="preserve">12,074 sf</t>
  </si>
  <si>
    <t xml:space="preserve">11-year lease, 12,074 SF, full 21st floor; relocation and expansion. CO says Lutron also has NYC offices or showrooms at 3 East 28th Street (in this slice), 979 Third Ave and 1 Penn Plaza. Built In: 2,063 total employees, HQ Coopersburg PA. Over 500: near-miss.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</si>
  <si>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AO-C-158</t>
  </si>
  <si>
    <t xml:space="preserve">Sigma Computing</t>
  </si>
  <si>
    <t xml:space="preserve">Tuesday estimate 9 to 549 (low confidence), 501 to 1,000 staff company-wide, on-site 5 days a week per its profile, signed-not-occupied at a medium-confidence address (hold: lease signed, move not confirmed); contacts not researched yet (below the top 50).</t>
  </si>
  <si>
    <t xml:space="preserve">5-6</t>
  </si>
  <si>
    <t xml:space="preserve">B-C-158</t>
  </si>
  <si>
    <t xml:space="preserve">https://www.sigmacomputing.com</t>
  </si>
  <si>
    <t xml:space="preserve">software (cloud analytics)</t>
  </si>
  <si>
    <t xml:space="preserve">964</t>
  </si>
  <si>
    <t xml:space="preserve">329</t>
  </si>
  <si>
    <t xml:space="preserve">https://www.reveliolabs.com/companies/sigma-computing/employees</t>
  </si>
  <si>
    <t xml:space="preserve">https://www.builtinnyc.com/company/sigma-computing</t>
  </si>
  <si>
    <t xml:space="preserve">hows 329 total employees, HQ San Francisco, a New York office without street address, NYC jobs marked In-Office. | Assembly 2026-10-24: Revie</t>
  </si>
  <si>
    <t xml:space="preserve">https://www.builtinnyc.com/company/sigma-computing/offices</t>
  </si>
  <si>
    <t xml:space="preserve">2026-08-31</t>
  </si>
  <si>
    <t xml:space="preserve">964 (Revelio Labs) and 329 (Built In) staff (whole-company count) x 5% to 100% of them in the New York office (HQ outside New York; share assumed) x 57% (Partnership for NYC, all Manhattan firms; no figure for 500 to 4,999) in on a weekday = 9 to 549, central 70; low confidence; estimate until intake replaces it.</t>
  </si>
  <si>
    <t xml:space="preserve">Signed 26,252 SF on floors 5-6; relocating from Zero Irving (move-in date not stated). Built In shows 329 total employees, HQ San Francisco, a New York office without street address, NYC jobs marked In-Office. | Assembly 2026-10-24: Review round 2: band moved from 251-500 to over-500, so the row moves to Near-miss. Revelio Labs (Sigma Computing, Inc., HQ San Francisco): about 964 employees worldwide as of March 2026. Built In shows 329 total employees (stale against Revelio; it is now the second source). Its NYC lease is 26,252 sf (row notes) against an HQ in San Francisco; the NYC office alone may fit the 40-250 band,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</si>
  <si>
    <t xml:space="preserve">AO-C-014</t>
  </si>
  <si>
    <t xml:space="preserve">Mirage (formerly Captions)</t>
  </si>
  <si>
    <t xml:space="preserve">Tuesday estimate 3 to 50 (low confidence), under 500 staff company-wide, on-site 5 days a week per its profile, occupancy-unconfirmed at a low-confidence address; contacts not researched yet (below the top 50).</t>
  </si>
  <si>
    <t xml:space="preserve">https://rebusinessonline.com/?p=393709</t>
  </si>
  <si>
    <t xml:space="preserve">71 Fifth Avenue</t>
  </si>
  <si>
    <t xml:space="preserve">B-C-014</t>
  </si>
  <si>
    <t xml:space="preserve">https://www.captions.ai</t>
  </si>
  <si>
    <t xml:space="preserve">AI video software</t>
  </si>
  <si>
    <t xml:space="preserve">https://www.builtinnyc.com/company/captions</t>
  </si>
  <si>
    <t xml:space="preserve">B-B-004</t>
  </si>
  <si>
    <t xml:space="preserve">2024-03-01</t>
  </si>
  <si>
    <t xml:space="preserve">https://www.builtinnyc.com/company/captions/offices</t>
  </si>
  <si>
    <t xml:space="preserve">75 (Built In) staff (whole-company count) x 5% to 100% of them in the New York office (HQ city unknown; share assumed) x 67% (Partnership for NYC, firms under 500) in on a weekday = 3 to 50, central 12; low confidence; estimate until intake replaces it.</t>
  </si>
  <si>
    <t xml:space="preserve">15,202 sf</t>
  </si>
  <si>
    <t xml:space="preserve">REBusiness 2024-03-01: Captions took the entire 6th floor, 15,202 sf. Source older than 24 months and no current confirmation found (company site lists no address), so low. Built In NYC profile now titled Mirage, 75 total employees. Review round 2: corner lot: the lot-centroid pin sat 21 m from E 15 ST but 40 m from 5 AVE, so it was moved to the 5 AVE frontage near the corner (17 m from the 5 AVE centreline, 26 m from E 15 ST; 24 m from the old pin). Tax lot unchanged.</t>
  </si>
  <si>
    <t xml:space="preserve">AO-C-044</t>
  </si>
  <si>
    <t xml:space="preserve">Galvanize Climate Solutions</t>
  </si>
  <si>
    <t xml:space="preserve">Tuesday estimate 2 to 49 (low confidence), under 500 staff company-wide, on-site 5 days a week per its profile, signed-not-occupied at a medium-confidence address (hold: lease signed, move not confirmed); contacts not researched yet (below the top 50).</t>
  </si>
  <si>
    <t xml:space="preserve">B-C-044</t>
  </si>
  <si>
    <t xml:space="preserve">https://galvanizeclimate.com</t>
  </si>
  <si>
    <t xml:space="preserve">climate investment</t>
  </si>
  <si>
    <t xml:space="preserve">73</t>
  </si>
  <si>
    <t xml:space="preserve">https://www.builtinnyc.com/company/galvanize-climate-solutions</t>
  </si>
  <si>
    <t xml:space="preserve">Built In workplace type: OnSite Workplace; typical time on-site: 5 days a week; recent job tags: 2 In-Office</t>
  </si>
  <si>
    <t xml:space="preserve">https://www.builtinnyc.com/company/galvanize-climate-solutions/offices</t>
  </si>
  <si>
    <t xml:space="preserve">73 (Built In) staff (whole-company count) x 5% to 100% of them in the New York office (HQ outside New York; share assumed) x 67% (Partnership for NYC, firms under 500) in on a weekday = 2 to 49, central 10; low confidence; estimate until intake replaces it.</t>
  </si>
  <si>
    <t xml:space="preserve">CO 2026-04-07: 20,000 sf on the 3rd floor of 111 Fifth Ave, 10-year lease; move-in timing not stated. Built In NYC: 73 total employees, HQ San Francisco. Review round 2: corner lot: the lot-centroid pin sat 24 m from E 18 ST but 45 m from 5 AVE, so it was moved to the 5 AVE frontage near the corner (17 m from the 5 AVE centreline, 27 m from E 18 ST; 29 m from the old pin). Tax lot unchanged.</t>
  </si>
  <si>
    <t xml:space="preserve">AO-C-268</t>
  </si>
  <si>
    <t xml:space="preserve">Bridgewater Associates (first Manhattan office)</t>
  </si>
  <si>
    <t xml:space="preserve">Tuesday estimate 45 to 910 (low confidence), 1,001 to 4,999 staff company-wide, on-site 5 days a week per its profile, occupancy-unconfirmed at a low-confidence address; contacts not researched yet (below the top 50).</t>
  </si>
  <si>
    <t xml:space="preserve">https://commercialobserver.com/2024/09/bridgewater-associates-lease-295-fifth-avenue/</t>
  </si>
  <si>
    <t xml:space="preserve">B-C-268</t>
  </si>
  <si>
    <t xml:space="preserve">hedge fund</t>
  </si>
  <si>
    <t xml:space="preserve">1596</t>
  </si>
  <si>
    <t xml:space="preserve">https://www.builtinnyc.com/company/bridgewater-associates/offices</t>
  </si>
  <si>
    <t xml:space="preserve">Westport</t>
  </si>
  <si>
    <t xml:space="preserve">2024-09-30</t>
  </si>
  <si>
    <t xml:space="preserve">1596 (Built In) staff (whole-company count) x 5% to 100% of them in the New York office (HQ outside New York; share assumed) x 57% (Partnership for NYC, all Manhattan firms; no figure for 500 to 4,999) in on a weekday = 45 to 910, central 202; low confidence; estimate until intake replaces it.</t>
  </si>
  <si>
    <t xml:space="preserve">60,000 sf</t>
  </si>
  <si>
    <t xml:space="preserve">60,000 SF lease for its first Manhattan office. Source is just over 24 months old; Built In (1,596 employees) lists only Westport CT. Over 500: near-miss. Margin row. Review round 2: corner lot: the lot-centroid pin sat 36 m from E 31 ST but 45 m from 5 AVE, so it was moved to the 5 AVE frontage near the corner (17 m from the 5 AVE centreline, 36 m from E 31 ST; 29 m from the old pin). Tax lot unchanged.</t>
  </si>
  <si>
    <t xml:space="preserve">AO-C-180</t>
  </si>
  <si>
    <t xml:space="preserve">Robin Hood</t>
  </si>
  <si>
    <t xml:space="preserve">Tuesday estimate 188 to 376 (low confidence), 501 to 1,000 staff company-wide, on-site 5 days a week per its profile, signed-not-occupied at a medium-confidence address (hold: lease signed, move not confirmed); contacts not researched yet (below the top 50).</t>
  </si>
  <si>
    <t xml:space="preserve">New or renewed lease at 841 Broadway reported 2026-06-22</t>
  </si>
  <si>
    <t xml:space="preserve">https://rebusinessonline.com/robin-hood-signs-53000-sf-office-lease-at-841-broadway-in-manhattan/</t>
  </si>
  <si>
    <t xml:space="preserve">2026-06-22</t>
  </si>
  <si>
    <t xml:space="preserve">5-8</t>
  </si>
  <si>
    <t xml:space="preserve">B-C-180</t>
  </si>
  <si>
    <t xml:space="preserve">https://www.robinhood.org</t>
  </si>
  <si>
    <t xml:space="preserve">nonprofit (anti-poverty philanthropy)</t>
  </si>
  <si>
    <t xml:space="preserve">659</t>
  </si>
  <si>
    <t xml:space="preserve">https://www.builtinnyc.com/company/robin-hood</t>
  </si>
  <si>
    <t xml:space="preserve">https://commercialobserver.com/2026/04/nonprofit-robin-hood-lease-841-broadway/</t>
  </si>
  <si>
    <t xml:space="preserve">2026-04-08</t>
  </si>
  <si>
    <t xml:space="preserve">https://www.builtinnyc.com/company/robin-hood/offices</t>
  </si>
  <si>
    <t xml:space="preserve">659 (Built In) staff (whole-company count) x 50% to 100% of them in the New York office (HQ New York; share assumed) x 57% (Partnership for NYC, all Manhattan firms; no figure for 500 to 4,999) in on a weekday = 188 to 376, central 266; low confidence; estimate until intake replaces it.</t>
  </si>
  <si>
    <t xml:space="preserve">53,000 sf</t>
  </si>
  <si>
    <t xml:space="preserve">841 Broadway is on the south side of 14th St (margin). REBusiness 2026-06-22: 30-year 53,000 sf lease, entire 5th-8th floors; move-in timing not stated. Built In NYC 'Robin Hood' profile (HQ New York, founded 1988) shows 659 total employees; founder to confirm, it may include non-staff counts. CO 2026-04-08: current office is 826 Broadway (outside the slice); 841 Broadway is a planned relocation with timing not stated, so confidence stays medium. | Assembly 2026-10-24: Built In's 659 for this nonprofit may include non-staff counts (S1 flag). Review round 2: corner lot: the lot-centroid pin sat 21 m from E 13 ST but 30 m from BROADWAY, so it was moved to the BROADWAY frontage near the corner (15 m from the BROADWAY centreline, 26 m from E 13 ST; 15 m from the old pin). Tax lot unchanged.</t>
  </si>
  <si>
    <t xml:space="preserve">AO-C-135</t>
  </si>
  <si>
    <t xml:space="preserve">Sierra</t>
  </si>
  <si>
    <t xml:space="preserve">Tuesday estimate 5 to 431 (low confidence), 501 to 1,000 staff company-wide, on-site 5 days a week per its profile, signed-not-occupied at a medium-confidence address (hold: lease signed, move not confirmed); contacts not researched yet (below the top 50).</t>
  </si>
  <si>
    <t xml:space="preserve">New or renewed lease at 11 East 26th Street reported 2026-05-01</t>
  </si>
  <si>
    <t xml:space="preserve">https://commercialobserver.com/2026/05/sierra-lease-rockrose-11-east-26th-street/</t>
  </si>
  <si>
    <t xml:space="preserve">2026-05-01</t>
  </si>
  <si>
    <t xml:space="preserve">B-C-135</t>
  </si>
  <si>
    <t xml:space="preserve">https://sierra.ai</t>
  </si>
  <si>
    <t xml:space="preserve">software (AI customer agents)</t>
  </si>
  <si>
    <t xml:space="preserve">756</t>
  </si>
  <si>
    <t xml:space="preserve">162</t>
  </si>
  <si>
    <t xml:space="preserve">https://www.reveliolabs.com/companies/sierra/employees</t>
  </si>
  <si>
    <t xml:space="preserve">https://www.builtinnyc.com/company/sierra/offices</t>
  </si>
  <si>
    <t xml:space="preserve">https://commercialobserver.com/2026/09/vestal-point-capital-lease-rockrose-development-11-east-26th-street/</t>
  </si>
  <si>
    <t xml:space="preserve">756 (Revelio Labs) and 162 (Built In) staff (whole-company count) x 5% to 100% of them in the New York office (HQ outside New York; share assumed) x 57% (Partnership for NYC, all Manhattan firms; no figure for 500 to 4,999) in on a weekday = 5 to 431, central 46; low confidence; estimate until intake replaces it.</t>
  </si>
  <si>
    <t xml:space="preserve">94,145 sf;14,563 sf;94,000 sf</t>
  </si>
  <si>
    <t xml:space="preserve">CO 2026-05-01 (citing a Colliers report): 94,145 SF lease at 11 E 26th St, its second NYC office after 14,563 SF at 375 West Broadway (SoHo). CO 2026-09-02 lists Sierra as a building tenant (same publication, not independent). Built In shows only San Francisco and 162 total employees; the Built In count is undated. Occupancy of the 94,000 SF space is not confirmed. | Assembly 2026-10-24: Review round 2: band moved from 151-250 to over-500, so the row moves to Near-miss. Revelio Labs (Sierra Technologies, Inc., described as 'the conversational AI platform for businesses', HQ San Francisco): about 756 employees worldwide as of March 2026. Built In shows 162 total employees (stale against Revelio; it is now the second source).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</si>
  <si>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AO-C-201</t>
  </si>
  <si>
    <t xml:space="preserve">Cole Haan</t>
  </si>
  <si>
    <t xml:space="preserve">Tuesday estimate 46 to 922 (low confidence), 1,001 to 4,999 staff company-wide, on-site 5 days a week per its profile, occupancy-unconfirmed at a low-confidence address; contacts not researched yet (below the top 50).</t>
  </si>
  <si>
    <t xml:space="preserve">https://commercialobserver.com/2024/09/cole-haan-32bj-lease-620-avenue-of-the-americas/</t>
  </si>
  <si>
    <t xml:space="preserve">620 Avenue of the Americas</t>
  </si>
  <si>
    <t xml:space="preserve">B-C-201</t>
  </si>
  <si>
    <t xml:space="preserve">https://www.colehaan.com</t>
  </si>
  <si>
    <t xml:space="preserve">footwear brand (NYC office)</t>
  </si>
  <si>
    <t xml:space="preserve">1618</t>
  </si>
  <si>
    <t xml:space="preserve">https://www.builtinnyc.com/company/cole-haan</t>
  </si>
  <si>
    <t xml:space="preserve">Greenland</t>
  </si>
  <si>
    <t xml:space="preserve">B-B-021</t>
  </si>
  <si>
    <t xml:space="preserve">Siegel-Cooper Building (RXR / Hudson Bay)</t>
  </si>
  <si>
    <t xml:space="preserve">2024-09-24</t>
  </si>
  <si>
    <t xml:space="preserve">https://www.builtinnyc.com/company/cole-haan/offices</t>
  </si>
  <si>
    <t xml:space="preserve">https://www.metro-manhattan.com/buildings/620-avenue-of-the-americas/</t>
  </si>
  <si>
    <t xml:space="preserve">1618 (Built In) staff (whole-company count) x 5% to 100% of them in the New York office (HQ outside New York; share assumed) x 57% (Partnership for NYC, all Manhattan firms; no figure for 500 to 4,999) in on a weekday = 46 to 922, central 206; low confidence; estimate until intake replaces it.</t>
  </si>
  <si>
    <t xml:space="preserve">62,262 sf</t>
  </si>
  <si>
    <t xml:space="preserve">11-year renewal of the full 3rd floor (62,262 sf), Sept 2024. Built In lists the New York office at 45 West 18th St, which geocodes to the same tax lot as 620 Avenue of the Americas (BBL 1008207505). HQ Greenland NH; Built In shows 1,618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corner lot: the lot-centroid pin sat 36 m from W 19 ST but 54 m from AVE OF THE AMERICAS, so it was moved to the AVE OF THE AMERICAS frontage near the corner (18 m from the AVE OF THE AMERICAS centreline, 36 m from W 19 ST; 36 m from the old pin). Tax lot unchanged.</t>
  </si>
  <si>
    <t xml:space="preserve">AO-C-016</t>
  </si>
  <si>
    <t xml:space="preserve">Battery Ventures</t>
  </si>
  <si>
    <t xml:space="preserve">Tuesday headcount unknown (no sourced count), company size unknown, no attendance signal, occupied at a high-confidence address; contacts not researched yet (below the top 50).</t>
  </si>
  <si>
    <t xml:space="preserve">https://www.battery.com/contact/</t>
  </si>
  <si>
    <t xml:space="preserve">B-C-016</t>
  </si>
  <si>
    <t xml:space="preserve">https://www.battery.com</t>
  </si>
  <si>
    <t xml:space="preserve">no-count</t>
  </si>
  <si>
    <t xml:space="preserve">No sourced headcount, so no Tuesday estimate; ask the Tuesday count at intake.</t>
  </si>
  <si>
    <t xml:space="preserve">10,600 sf</t>
  </si>
  <si>
    <t xml:space="preserve">Contact page: 'New York City 100 Fifth Avenue 3rd Floor New York, NY 10011'. CO 2023-11 reported a five-year 10,600 sf lease on the 3rd floor; CO 2026-08-26 lists it as a current tenant. NYC headcount not sourced; founder to confirm at intake. Review round 2: corner lot: the lot-centroid pin sat 24 m from W 15 ST but 36 m from 5 AVE, so it was moved to the 5 AVE frontage near the corner (17 m from the 5 AVE centreline, 26 m from W 15 ST; 20 m from the old pin). Tax lot unchanged.</t>
  </si>
  <si>
    <t xml:space="preserve">AO-C-140</t>
  </si>
  <si>
    <t xml:space="preserve">Collected Strategies</t>
  </si>
  <si>
    <t xml:space="preserve">https://commercialobserver.com/2025/08/comms-firm-collected-strategies-takes-10k-sf-moinians-60-madison/</t>
  </si>
  <si>
    <t xml:space="preserve">B-C-140</t>
  </si>
  <si>
    <t xml:space="preserve">https://www.collectedstrategies.com</t>
  </si>
  <si>
    <t xml:space="preserve">strategic communications</t>
  </si>
  <si>
    <t xml:space="preserve">2025-08-07</t>
  </si>
  <si>
    <t xml:space="preserve">https://www.collectedstrategies.com/</t>
  </si>
  <si>
    <t xml:space="preserve">CO 2025-08: 10,000 SF partial 10th floor, doubling its footprint, moving from 121 East 24th Street. Homepage lists 60 Madison Ave, 10th Floor. Headcount not found.</t>
  </si>
  <si>
    <t xml:space="preserve">AO-C-163</t>
  </si>
  <si>
    <t xml:space="preserve">Community Healthcare Network (administrative offices)</t>
  </si>
  <si>
    <t xml:space="preserve">https://commercialobserver.com/2025/02/community-healthcare-network-lease-44-west-28th-street/</t>
  </si>
  <si>
    <t xml:space="preserve">44 West 28th Street</t>
  </si>
  <si>
    <t xml:space="preserve">5</t>
  </si>
  <si>
    <t xml:space="preserve">B-C-163</t>
  </si>
  <si>
    <t xml:space="preserve">https://www.chnnyc.org</t>
  </si>
  <si>
    <t xml:space="preserve">nonprofit health services (administration)</t>
  </si>
  <si>
    <t xml:space="preserve">B-B-075</t>
  </si>
  <si>
    <t xml:space="preserve">44 West 28th Street (Stellar Management)</t>
  </si>
  <si>
    <t xml:space="preserve">2025-02-04</t>
  </si>
  <si>
    <t xml:space="preserve">https://www.chnnyc.org/contact/</t>
  </si>
  <si>
    <t xml:space="preserve">12,083 sf</t>
  </si>
  <si>
    <t xml:space="preserve">10-year 12,083 SF lease on full 5th floor for administrative offices (not a clinic), per CO 2025-02-04. CHN contact page lists Admin Office Address 44 W 28th Street, 5th Floor. Headcount not found.</t>
  </si>
  <si>
    <t xml:space="preserve">AO-W-013</t>
  </si>
  <si>
    <t xml:space="preserve">Cure, 345 Park Avenue South</t>
  </si>
  <si>
    <t xml:space="preserve">Tuesday headcount unknown (no sourced count), coworking operator site (one office if it controls the pantry), no attendance signal, open at a high-confidence address; contacts not researched yet (below the top 50).</t>
  </si>
  <si>
    <t xml:space="preserve">https://wewillcure.com/community/residents</t>
  </si>
  <si>
    <t xml:space="preserve">345 Park Avenue South, New York, NY 10010</t>
  </si>
  <si>
    <t xml:space="preserve">open</t>
  </si>
  <si>
    <t xml:space="preserve">coworking-operator</t>
  </si>
  <si>
    <t xml:space="preserve">B-W-013</t>
  </si>
  <si>
    <t xml:space="preserve">https://wewillcure.com</t>
  </si>
  <si>
    <t xml:space="preserve">coworking operator</t>
  </si>
  <si>
    <t xml:space="preserve">n/a (operator site)</t>
  </si>
  <si>
    <t xml:space="preserve">Cure (Cure Experience Services, LLC; Deerfield-affiliated)</t>
  </si>
  <si>
    <t xml:space="preserve">B-B-058</t>
  </si>
  <si>
    <t xml:space="preserve">345 Park Avenue South (Deerfield Management; home of Cure)</t>
  </si>
  <si>
    <t xml:space="preserve">operator-site</t>
  </si>
  <si>
    <t xml:space="preserve">https://en.wikipedia.org/wiki/Deerfield_Management</t>
  </si>
  <si>
    <t xml:space="preserve">operator</t>
  </si>
  <si>
    <t xml:space="preserve">Coworking site: member headcount not sourced; treat as one office if the operator controls the pantry and ask the Tuesday count at intake.</t>
  </si>
  <si>
    <t xml:space="preserve">Healthcare innovation hub with a 'Collaboration Residency', hot desks, labs and offices. Footer: '(c) 2026 Cure Experience Services, LLC'. Residents listed include Deerfield Management Company, Lexeo Therapeutics and Insilico Medicine (flagged in_coworking = Y) and Advancium, ANVIA, Apertura, Ascertain, Buckle Therapeutics, CobiCure, Concerto Care, Deerfield Catalyst, Helaina, Hop Labs, Panacea Capital, Plum Alley Ventures, Protara, Sparian, Wandercraft (not recorded as rows). Address: the site's Facebook link 'CureAt345ParkAveSouth' and S3's building research; Wikipedia gives Deerfield's HQ and building purchase at 345 PAS. A healthcare audience may have food-policy limits near labs: ask. | pantry_control=operator (https://wewillcure.com/community/residents); exclusive food contract signal: operator-run cafe (NaCl Cafe per S3); whether outside snacks need operator approval is not sourced; ask at intake</t>
  </si>
  <si>
    <t xml:space="preserve">AO-C-053</t>
  </si>
  <si>
    <t xml:space="preserve">Extend AI</t>
  </si>
  <si>
    <t xml:space="preserve">New or renewed lease at 119 Fifth Avenue reported 2026-08-07</t>
  </si>
  <si>
    <t xml:space="preserve">https://commercialobserver.com/2026/08/extend-ai-lease-119-fifth-avenue/</t>
  </si>
  <si>
    <t xml:space="preserve">119 Fifth Avenue</t>
  </si>
  <si>
    <t xml:space="preserve">B-C-053</t>
  </si>
  <si>
    <t xml:space="preserve">https://www.extend.ai</t>
  </si>
  <si>
    <t xml:space="preserve">software (AI document processing)</t>
  </si>
  <si>
    <t xml:space="preserve">B-B-024</t>
  </si>
  <si>
    <t xml:space="preserve">https://www.extend.ai/</t>
  </si>
  <si>
    <t xml:space="preserve">8,750 sf</t>
  </si>
  <si>
    <t xml:space="preserve">Full 6th floor, 8,750 sf, relocating from 135 W 29th St. Company site structured data lists 119 5th Av FL 6. Not the same company as Built In's 'Extend' (extend.com, warranties). Review round 2: corner lot: the lot-centroid pin sat 17 m from E 19 ST but 37 m from 5 AVE, so it was moved to the 5 AVE frontage near the corner (17 m from the 5 AVE centreline, 26 m from E 19 ST; 22 m from the old pin). Tax lot unchanged. Review round 3: the pin sat 3.7 m outside its own tax lot (NYC MapPLUTO (Department of City Planning) tax-lot polygons), so it was moved to the middle of the lot's 16 m 5 AVE frontage, 3 m inside the lot line (11 m from the old pin). Tax lot unchanged.</t>
  </si>
  <si>
    <t xml:space="preserve">AO-C-165</t>
  </si>
  <si>
    <t xml:space="preserve">FCA (architecture and design)</t>
  </si>
  <si>
    <t xml:space="preserve">https://commercialobserver.com/2025/02/fca-lease-261-fifth-avenue/</t>
  </si>
  <si>
    <t xml:space="preserve">4 (Suite 408)</t>
  </si>
  <si>
    <t xml:space="preserve">B-C-165</t>
  </si>
  <si>
    <t xml:space="preserve">https://www.fcarchitects.com</t>
  </si>
  <si>
    <t xml:space="preserve">architecture and interior design</t>
  </si>
  <si>
    <t xml:space="preserve">Philadelphia</t>
  </si>
  <si>
    <t xml:space="preserve">2025-02-25</t>
  </si>
  <si>
    <t xml:space="preserve">https://www.fcarchitects.com/contact</t>
  </si>
  <si>
    <t xml:space="preserve">6,015 sf</t>
  </si>
  <si>
    <t xml:space="preserve">6,015 SF on floor 4, moved NYC office from 40 Worth St. Company contact page lists New York office at 261 Fifth Avenue Suite 408 (HQ Philadelphia). Headcount not found. Review round 2: corner lot: the lot-centroid pin sat 24 m from E 29 ST but 39 m from 5 AVE, so it was moved to the 5 AVE frontage near the corner (17 m from the 5 AVE centreline, 27 m from E 29 ST; 23 m from the old pin). Tax lot unchanged.</t>
  </si>
  <si>
    <t xml:space="preserve">AO-C-141</t>
  </si>
  <si>
    <t xml:space="preserve">Full Picture</t>
  </si>
  <si>
    <t xml:space="preserve">https://commercialobserver.com/2026/06/moinian-group-tenex-labs-lease-60-madison-avenue/</t>
  </si>
  <si>
    <t xml:space="preserve">6 per site (CO: part of 11)</t>
  </si>
  <si>
    <t xml:space="preserve">B-C-141</t>
  </si>
  <si>
    <t xml:space="preserve">https://www.fullpicture.com</t>
  </si>
  <si>
    <t xml:space="preserve">communications and brand strategy agency</t>
  </si>
  <si>
    <t xml:space="preserve">https://www.fullpicture.com/</t>
  </si>
  <si>
    <t xml:space="preserve">CO 2026-06-22: 8,000 SF on part of floor 11, relocating from its NYC HQ at 79 Madison Ave. Homepage now lists NEW YORK HQ 60 Madison Ave, 6th Fl, so the move appears done (floor differs from CO; founder to confirm). Also has an LA HQ. Headcount not found.</t>
  </si>
  <si>
    <t xml:space="preserve">AO-W-007</t>
  </si>
  <si>
    <t xml:space="preserve">Industrious 156 5th Ave</t>
  </si>
  <si>
    <t xml:space="preserve">https://www.industriousoffice.com/m/new-york-city</t>
  </si>
  <si>
    <t xml:space="preserve">156 Fifth Avenue, 4th Floor, New York, NY 10010</t>
  </si>
  <si>
    <t xml:space="preserve">4th Floor</t>
  </si>
  <si>
    <t xml:space="preserve">grp-W003-W005-W007-W008-W014-W016-W027</t>
  </si>
  <si>
    <t xml:space="preserve">B-W-007</t>
  </si>
  <si>
    <t xml:space="preserve">https://www.industriousoffice.com</t>
  </si>
  <si>
    <t xml:space="preserve">Industrious</t>
  </si>
  <si>
    <t xml:space="preserve">https://commercialobserver.com/2026/03/industrious-leases-110-east-42nd-street/</t>
  </si>
  <si>
    <t xml:space="preserve">New: Industrious NYC index lists it with 'Founding Member Discounts Available'. Independent: Commercial Observer 2026-03-19 (https://commercialobserver.com/2026/03/industrious-leases-110-east-42nd-street/) says a 24,500 sf, 202-seat location here 'will open in July'. Pantry text is Industrious brand-standard copy served on the location page: 'Daily breakfast, ample snacks' and 'Bottomless craft coffee, tea, and sparkling water'; location-specific supplier unknown. Fifth Ave at 20th St. Review round 2: corner lot: the lot-centroid pin sat 16 m from W 20 ST but 53 m from 5 AVE, so it was moved to the 5 AVE frontage near the corner (17 m from the 5 AVE centreline, 26 m from W 20 ST; 37 m from the old pin). Tax lot unchanged. | pantry_control=operator (https://www.industriousoffice.com/locations/156-5th-avenue-4th-floor-new-york); exclusive food contract signal: none found</t>
  </si>
  <si>
    <t xml:space="preserve">parent 'industrious' shared with AO-W-016, AO-W-008, AO-W-014, AO-W-005, AO-W-003, AO-W-027</t>
  </si>
  <si>
    <t xml:space="preserve">AO-W-016</t>
  </si>
  <si>
    <t xml:space="preserve">Industrious 386 Park Ave S</t>
  </si>
  <si>
    <t xml:space="preserve">386 Park Avenue South, 18th Floor, New York, NY 10016</t>
  </si>
  <si>
    <t xml:space="preserve">18th Floor</t>
  </si>
  <si>
    <t xml:space="preserve">B-W-016</t>
  </si>
  <si>
    <t xml:space="preserve">https://commercialobserver.com/2026/02/industrious-lease-386-park-avenue-south/</t>
  </si>
  <si>
    <t xml:space="preserve">Index lists 'Now Open!'. Pantry text is brand-standard copy ('Daily breakfast, ample snacks'; 'craft coffee, tea, and sparkling water'). Park Ave S at 27th St. Independent: Commercial Observer 2026-02-24 (https://commercialobserver.com/2026/02/industrious-lease-386-park-avenue-south/): 23,000 sf, entire 18th and 19th floors, space for 160 workers.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 | pantry_control=operator (https://www.industriousoffice.com/locations/386-park-avenue-south-18th-floor-new-york); exclusive food contract signal: none found</t>
  </si>
  <si>
    <t xml:space="preserve">parent 'industrious' shared with AO-W-007, AO-W-008, AO-W-014, AO-W-005, AO-W-003, AO-W-027</t>
  </si>
  <si>
    <t xml:space="preserve">AO-W-008</t>
  </si>
  <si>
    <t xml:space="preserve">Industrious 902 Broadway</t>
  </si>
  <si>
    <t xml:space="preserve">902 Broadway, 7th Floor, New York, NY 10010</t>
  </si>
  <si>
    <t xml:space="preserve">7th Floor</t>
  </si>
  <si>
    <t xml:space="preserve">B-W-008</t>
  </si>
  <si>
    <t xml:space="preserve">https://www.connectcre.com/stories/industrious-commits-to-full-floor-space-in-flatiron-district/</t>
  </si>
  <si>
    <t xml:space="preserve">Index lists 'Now Open!'. Independent: Connect CRE 2026-02-13 (https://www.connectcre.com/stories/industrious-commits-to-full-floor-space-in-flatiron-district/) reports Industrious leasing the full 7th floor, 18,200 sf. Pantry text is brand-standard copy. Broadway at 20th St. Review round 2: corner lot: the lot-centroid pin sat 27 m from E 20 ST but 31 m from BROADWAY, so it was moved to the BROADWAY frontage near the corner (15 m from the BROADWAY centreline, 27 m from E 20 ST; 16 m from the old pin). Tax lot unchanged. | pantry_control=operator (https://www.industriousoffice.com/locations/902-broadway-7th-floor-new-york); exclusive food contract signal: none found</t>
  </si>
  <si>
    <t xml:space="preserve">parent 'industrious' shared with AO-W-007, AO-W-016, AO-W-014, AO-W-005, AO-W-003, AO-W-027</t>
  </si>
  <si>
    <t xml:space="preserve">AO-W-014</t>
  </si>
  <si>
    <t xml:space="preserve">Industrious NoMad</t>
  </si>
  <si>
    <t xml:space="preserve">776A Sixth Avenue, New York, NY 10001</t>
  </si>
  <si>
    <t xml:space="preserve">B-W-014</t>
  </si>
  <si>
    <t xml:space="preserve">Index lists '3rd Floor Now Open!' (floors 2 and 3). Independent: Commercial Observer 2026-03-19 reports expansion by 24,000 sf to 49,000 sf and 332 seats. Pantry text is brand-standard copy ('Daily breakfast, ample snacks'; 'craft coffee, tea, and sparkling water'). East side of Sixth Ave at 26th-27th St, on the box's west edge. CO 2026-03-19 URL confirmed on 2026-10-24: https://commercialobserver.com/2026/03/industrious-leases-110-east-42nd-street/ ('At J.P. Morgan Investment Management's 776 Avenue of the Americas, Industrious plans to grow by 24,000 square feet'). | pantry_control=operator (https://www.industriousoffice.com/locations/776-6th-avenue-2nd-floor-new-york); exclusive food contract signal: none found</t>
  </si>
  <si>
    <t xml:space="preserve">parent 'industrious' shared with AO-W-007, AO-W-016, AO-W-008, AO-W-005, AO-W-003, AO-W-027</t>
  </si>
  <si>
    <t xml:space="preserve">AO-W-005</t>
  </si>
  <si>
    <t xml:space="preserve">Industrious Union Square on Park</t>
  </si>
  <si>
    <t xml:space="preserve">215 Park Avenue South, 11th Floor, New York, NY 10003</t>
  </si>
  <si>
    <t xml:space="preserve">11th Floor</t>
  </si>
  <si>
    <t xml:space="preserve">B-W-005</t>
  </si>
  <si>
    <t xml:space="preserve">Listed on Industrious NYC index. Pantry text is brand-standard copy ('Daily breakfast, ample snacks'; 'craft coffee, tea, and sparkling water'). Park Ave S at 17th-18th St. Independent: Deskpass NYC index lists 'Industrious - Union Square on Park: 215 Park Avenue South, 11th Floor' (https://www.deskpass.com/us-en/ny/new-york-city). Industrious holds three floors (51,765 sf, to 2035, per the 215 PAS rent roll cited by S1). The 215 PAS company rows are direct leases on that rent roll, so they are not Industrious members. Review round 3: Deskpass is an operator-written listing, so it no longer counts as the independent source. The independent source is now the 215 Park Avenue South CMBS prospectus rent roll (sec.gov, 2026-02-05, cited by research slice S1): Industrious holds three floors, 51,765 sf, to 2035. The row stays high.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 | pantry_control=operator (https://www.industriousoffice.com/locations/215-park-avenue-south-11th-floor); exclusive food contract signal: none found</t>
  </si>
  <si>
    <t xml:space="preserve">parent 'industrious' shared with AO-W-007, AO-W-016, AO-W-008, AO-W-014, AO-W-003, AO-W-027</t>
  </si>
  <si>
    <t xml:space="preserve">AO-C-170</t>
  </si>
  <si>
    <t xml:space="preserve">Innovant</t>
  </si>
  <si>
    <t xml:space="preserve">https://commercialobserver.com/2023/06/innovant-440-park-avenue-south-nomad/</t>
  </si>
  <si>
    <t xml:space="preserve">B-C-170</t>
  </si>
  <si>
    <t xml:space="preserve">https://innovant.com</t>
  </si>
  <si>
    <t xml:space="preserve">office furniture manufacturer (showroom and offices)</t>
  </si>
  <si>
    <t xml:space="preserve">2023-06-23</t>
  </si>
  <si>
    <t xml:space="preserve">https://innovant.com/contact-us/</t>
  </si>
  <si>
    <t xml:space="preserve">11,120 sf</t>
  </si>
  <si>
    <t xml:space="preserve">Contact page lists New York at 440 Park Ave South, 9th Floor. CO 2023: seven-year deal for 11,120 SF showroom and offices on the full 9th floor. Showroom plus offices; headcount not found. Review round 2: corner lot: the lot-centroid pin sat 23 m from E 30 ST but 24 m from PARK AVE S, so it was moved to the PARK AVE S frontage near the corner (13 m from the PARK AVE S centreline, 27 m from E 30 ST; 12 m from the old pin). Tax lot unchanged.</t>
  </si>
  <si>
    <t xml:space="preserve">AO-C-029</t>
  </si>
  <si>
    <t xml:space="preserve">LUMA Partners</t>
  </si>
  <si>
    <t xml:space="preserve">https://www.lumapartners.com/contact</t>
  </si>
  <si>
    <t xml:space="preserve">B-C-029</t>
  </si>
  <si>
    <t xml:space="preserve">https://www.lumapartners.com</t>
  </si>
  <si>
    <t xml:space="preserve">investment banking (digital media and marketing tech)</t>
  </si>
  <si>
    <t xml:space="preserve">Contact page: '101 Fifth Avenue 9th Floor New York NY 10003'. CO 2025-08-04 lists LUMA Partners as a 101 Fifth Ave tenant. Headcount not found. Review round 2: corner lot: the lot-centroid pin sat 27 m from E 17 ST but 30 m from 5 AVE, so it was moved to the 5 AVE frontage near the corner (17 m from the 5 AVE centreline, 27 m from E 17 ST; 13 m from the old pin). Tax lot unchanged.</t>
  </si>
  <si>
    <t xml:space="preserve">AO-C-148</t>
  </si>
  <si>
    <t xml:space="preserve">Lee &amp; Low Books</t>
  </si>
  <si>
    <t xml:space="preserve">https://www.leeandlow.com/about/</t>
  </si>
  <si>
    <t xml:space="preserve">381 Park Avenue South</t>
  </si>
  <si>
    <t xml:space="preserve">14 (Room 1401)</t>
  </si>
  <si>
    <t xml:space="preserve">B-C-148</t>
  </si>
  <si>
    <t xml:space="preserve">https://www.leeandlow.com</t>
  </si>
  <si>
    <t xml:space="preserve">book publishing (children's)</t>
  </si>
  <si>
    <t xml:space="preserve">B-B-068</t>
  </si>
  <si>
    <t xml:space="preserve">381 Park Avenue South (Olmstead Properties and Vertex)</t>
  </si>
  <si>
    <t xml:space="preserve">https://commercialobserver.com/2024/04/publisher-lee-low-moving-offices-to-6k-sf-at-381-park-avenue-south/</t>
  </si>
  <si>
    <t xml:space="preserve">2024-04-25</t>
  </si>
  <si>
    <t xml:space="preserve">5,844 sf</t>
  </si>
  <si>
    <t xml:space="preserve">Site footer lists 381 Park Ave S, Room 1401. CO 2024: three-year 5,844 SF lease on floor 14 (so term may end around 2027).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</si>
  <si>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AO-C-004</t>
  </si>
  <si>
    <t xml:space="preserve">Lepercq de Neuflize &amp; Co.</t>
  </si>
  <si>
    <t xml:space="preserve">https://www.lepercq.com/</t>
  </si>
  <si>
    <t xml:space="preserve">B-C-004</t>
  </si>
  <si>
    <t xml:space="preserve">https://www.lepercq.com</t>
  </si>
  <si>
    <t xml:space="preserve">investment management</t>
  </si>
  <si>
    <t xml:space="preserve">7,563 sf</t>
  </si>
  <si>
    <t xml:space="preserve">853 Broadway sits on the south side of 14th St (same tax block as Whole Foods Union Sq), so margin. Site footer: 853 Broadway, New York, NY 10003. NYREJ 2025-04-08: expanded to the full 16th floor, 7,563 sf, 10-year term. Headcount not sourced (no Built In total, no company figure); founder to confirm at intake.</t>
  </si>
  <si>
    <t xml:space="preserve">AO-W-010</t>
  </si>
  <si>
    <t xml:space="preserve">NeueHouse Madison Square</t>
  </si>
  <si>
    <t xml:space="preserve">https://nyrej.com/print/57154</t>
  </si>
  <si>
    <t xml:space="preserve">110 East 25th Street, New York, NY 10010</t>
  </si>
  <si>
    <t xml:space="preserve">B-W-010</t>
  </si>
  <si>
    <t xml:space="preserve">https://nyrej.com</t>
  </si>
  <si>
    <t xml:space="preserve">Convene Hospitality Group (NeueHouse)</t>
  </si>
  <si>
    <t xml:space="preserve">B-B-055</t>
  </si>
  <si>
    <t xml:space="preserve">104 East 25th Street (Williams Equities; NeueHouse Madison Square)</t>
  </si>
  <si>
    <t xml:space="preserve">2026-03-10</t>
  </si>
  <si>
    <t xml:space="preserve">https://www.neuehouse.com/private-events/madison-square/</t>
  </si>
  <si>
    <t xml:space="preserve">NYREJ 2026-03-10: Convene Hospitality Group completed its acquisition of NeueHouse, including operations of the Madison Square location at 110 E 25th St. Operator page footer reads 'A CHG Venue' and lists 'Restaurant &amp; Bar' and 'Gallery Bar: Full Service Restaurant &amp; Bar'. This is the only Convene-run workplace found inside the margin. Members club format, so mixed-company membership. Between Park Ave S and Lexington Ave. Address conflict carried: Williams Equities' building page (S3, opened 2026-10-23) places NeueHouse at 104 East 25th Street; the NYREJ acquisition item and the operator page use 110 East 25th Street. Both numbers are on the same tax lot (BBL 1008800084), so the pin holds. | pantry_control=operator (https://www.neuehouse.com/private-events/madison-square/); exclusive food contract signal: in-house full-service restaurant and bar (Gallery Bar) run by the house; whether outside food needs operator approval is not sourced; ask at intake</t>
  </si>
  <si>
    <t xml:space="preserve">AO-C-125</t>
  </si>
  <si>
    <t xml:space="preserve">OTTO Brand Lab</t>
  </si>
  <si>
    <t xml:space="preserve">https://ottobrandlab.com/contact</t>
  </si>
  <si>
    <t xml:space="preserve">25 West 26th Street</t>
  </si>
  <si>
    <t xml:space="preserve">7</t>
  </si>
  <si>
    <t xml:space="preserve">B-C-125</t>
  </si>
  <si>
    <t xml:space="preserve">https://ottobrandlab.com</t>
  </si>
  <si>
    <t xml:space="preserve">brand strategy agency</t>
  </si>
  <si>
    <t xml:space="preserve">B-B-061</t>
  </si>
  <si>
    <t xml:space="preserve">https://commercialobserver.com/2022/10/otto-brand-labs-takes-5k-sf-at-25-west-26th-street/</t>
  </si>
  <si>
    <t xml:space="preserve">2022-10-02</t>
  </si>
  <si>
    <t xml:space="preserve">5,000 sf</t>
  </si>
  <si>
    <t xml:space="preserve">Contact page lists main location 25 W 26th St, 7th Fl. CO 2022: 5,000 SF top floor. Headcount not sourced (no Built In total, no company figure); founder to confirm at intake.</t>
  </si>
  <si>
    <t xml:space="preserve">AO-C-057</t>
  </si>
  <si>
    <t xml:space="preserve">Pentagram</t>
  </si>
  <si>
    <t xml:space="preserve">https://www.pentagram.com/contact</t>
  </si>
  <si>
    <t xml:space="preserve">250 Park Avenue South</t>
  </si>
  <si>
    <t xml:space="preserve">B-C-057</t>
  </si>
  <si>
    <t xml:space="preserve">https://www.pentagram.com</t>
  </si>
  <si>
    <t xml:space="preserve">design consultancy</t>
  </si>
  <si>
    <t xml:space="preserve">B-B-028</t>
  </si>
  <si>
    <t xml:space="preserve">250 Park Avenue South (Feil Organization)</t>
  </si>
  <si>
    <t xml:space="preserve">https://commercialobserver.com/2026/01/hex-technologies-lease-feil-250-park-avenue-south/</t>
  </si>
  <si>
    <t xml:space="preserve">2026-01-09</t>
  </si>
  <si>
    <t xml:space="preserve">Contact page lists Pentagram New York at 250 Park Avenue South; CO names Pentagram Design as a current tenant. Global firm with several offices; no sourced headcount found.</t>
  </si>
  <si>
    <t xml:space="preserve">AO-C-071</t>
  </si>
  <si>
    <t xml:space="preserve">Phipps Houses</t>
  </si>
  <si>
    <t xml:space="preserve">https://www.phippsny.org/contact-us/</t>
  </si>
  <si>
    <t xml:space="preserve">11-12, 15</t>
  </si>
  <si>
    <t xml:space="preserve">B-C-071</t>
  </si>
  <si>
    <t xml:space="preserve">https://www.phippsny.org</t>
  </si>
  <si>
    <t xml:space="preserve">nonprofit affordable housing developer</t>
  </si>
  <si>
    <t xml:space="preserve">https://commercialobserver.com/2024/07/phipps-houses-feil-organization-257-park-avenue-south/</t>
  </si>
  <si>
    <t xml:space="preserve">2024-07-31</t>
  </si>
  <si>
    <t xml:space="preserve">38,862 sf</t>
  </si>
  <si>
    <t xml:space="preserve">Contact page lists 257 Park Avenue South, 12th Floor; CO July 2024 reported a 32-year, 38,862 sf HQ lease on floors 11, 12 and 15 (relocated from 902 Broadway). Headcount not sourced.</t>
  </si>
  <si>
    <t xml:space="preserve">AO-C-115</t>
  </si>
  <si>
    <t xml:space="preserve">Polar Asset Management Partners</t>
  </si>
  <si>
    <t xml:space="preserve">New or renewed lease at 41 Madison Avenue reported 2026-05-04</t>
  </si>
  <si>
    <t xml:space="preserve">https://commercialobserver.com/2026/05/polar-asset-management-partners-lease-rudin-41-madison-avenue/</t>
  </si>
  <si>
    <t xml:space="preserve">2026-05-04</t>
  </si>
  <si>
    <t xml:space="preserve">41 Madison Avenue</t>
  </si>
  <si>
    <t xml:space="preserve">36 (per site); moving to 33</t>
  </si>
  <si>
    <t xml:space="preserve">B-C-115</t>
  </si>
  <si>
    <t xml:space="preserve">https://polaramp.com</t>
  </si>
  <si>
    <t xml:space="preserve">alternative asset management</t>
  </si>
  <si>
    <t xml:space="preserve">B-B-057</t>
  </si>
  <si>
    <t xml:space="preserve">41 Madison Avenue (Rudin)</t>
  </si>
  <si>
    <t xml:space="preserve">https://polaramp.com/contact</t>
  </si>
  <si>
    <t xml:space="preserve">https://www.metro-manhattan.com/buildings/41-madison-avenue-forty-one-madison-office-space/</t>
  </si>
  <si>
    <t xml:space="preserve">9,848 sf;13,357 sf</t>
  </si>
  <si>
    <t xml:space="preserve">Toronto-based; CO 2026-05: occupies 9,848 SF across two floors and renewing for 11 years into the full 33rd floor (13,357 SF). Contact page lists New York at 41 Madison Avenue 36th Floor. NYC headcount not found. Review round 2: corner lot: the lot-centroid pin sat 30 m from E 26 ST but 44 m from MADISON AVE, so it was moved to the MADISON AVE frontage near the corner (16 m from the MADISON AVE centreline, 30 m from E 26 ST; 29 m from the old pin). Tax lot unchanged.</t>
  </si>
  <si>
    <t xml:space="preserve">AO-C-122</t>
  </si>
  <si>
    <t xml:space="preserve">Rogo</t>
  </si>
  <si>
    <t xml:space="preserve">https://rogo.com/legal/privacy-policy</t>
  </si>
  <si>
    <t xml:space="preserve">7 plus second full floor (46,000 sf)</t>
  </si>
  <si>
    <t xml:space="preserve">B-C-122</t>
  </si>
  <si>
    <t xml:space="preserve">https://rogo.com/</t>
  </si>
  <si>
    <t xml:space="preserve">Software (AI for financial services)</t>
  </si>
  <si>
    <t xml:space="preserve">46,000 sf</t>
  </si>
  <si>
    <t xml:space="preserve">Company privacy policy and terms (live) give 360 Park Avenue South, Floor 7. CO Sep 2026: doubled HQ to 46,000 sf; Empire State Development announcement (June 2026, cited by CO) ties the expansion to 422 new jobs, which is a hiring plan, not a headcount. Built In 'rogo' is a different company (Indiana), not used. Review round 2: corner lot: the lot-centroid pin sat 22 m from E 26 ST but 36 m from PARK AVE S, so it was moved to the PARK AVE S frontage near the corner (13 m from the PARK AVE S centreline, 27 m from E 26 ST; 23 m from the old pin). Tax lot unchanged.</t>
  </si>
  <si>
    <t xml:space="preserve">AO-C-043</t>
  </si>
  <si>
    <t xml:space="preserve">SEIU 32BJ and 32BJ Benefit Funds</t>
  </si>
  <si>
    <t xml:space="preserve">https://www.seiu32bj.org/contact-us/</t>
  </si>
  <si>
    <t xml:space="preserve">25 West 18th Street</t>
  </si>
  <si>
    <t xml:space="preserve">B-C-043</t>
  </si>
  <si>
    <t xml:space="preserve">https://www.seiu32bj.org</t>
  </si>
  <si>
    <t xml:space="preserve">labor union (headquarters)</t>
  </si>
  <si>
    <t xml:space="preserve">https://32bjfunds.org/contact-us/</t>
  </si>
  <si>
    <t xml:space="preserve">245,000 sf</t>
  </si>
  <si>
    <t xml:space="preserve">Contact page: 'Manhattan Office and Union Headquarters 25 West 18th Street New York, NY 10011'. This is the 18th St side of the 620 Avenue of the Americas building (Siegel-Cooper, 18th-19th, so margin). CO 2024-09: moved into 245,000 sf there in 2010, owns six condos, and signed a 20-year ground-floor expansion. Staff headcount unknown; the union represents thousands of building workers (members, not staff). | Assembly 2026-10-24: Merged at assembly: S1 found the union HQ and S2 found the related Benefit Funds at the same address and tax lot (25 W 18th St = 620 Avenue of the Americas lot, BBL 1008207505). Treated as one pantry contact until the walk or a call shows two separate offices. Sources: union contact page (seiu32bj.org, opened 2026-10-23), funds contact page (32bjfunds.org, opened 2026-10-23), CO 2024-09 (moved into 245,000 sf in 2010; ground-floor expansion). Staff count not published; the union's members are building workers, not office staff.</t>
  </si>
  <si>
    <t xml:space="preserve">AO-C-145</t>
  </si>
  <si>
    <t xml:space="preserve">SL Home Fashions</t>
  </si>
  <si>
    <t xml:space="preserve">https://commercialobserver.com/2024/10/sl-home-fashions-lease-230-fifth-avenue/</t>
  </si>
  <si>
    <t xml:space="preserve">230 Fifth Avenue</t>
  </si>
  <si>
    <t xml:space="preserve">14 (Suite 1411)</t>
  </si>
  <si>
    <t xml:space="preserve">B-C-145</t>
  </si>
  <si>
    <t xml:space="preserve">https://slhomefashions.com</t>
  </si>
  <si>
    <t xml:space="preserve">home textiles (office and showroom)</t>
  </si>
  <si>
    <t xml:space="preserve">Vernon, CA</t>
  </si>
  <si>
    <t xml:space="preserve">B-B-067</t>
  </si>
  <si>
    <t xml:space="preserve">230 Fifth Avenue (New York MarketCenter, GFP Real Estate)</t>
  </si>
  <si>
    <t xml:space="preserve">2024-10-09</t>
  </si>
  <si>
    <t xml:space="preserve">https://slhomefashions.com/contact/</t>
  </si>
  <si>
    <t xml:space="preserve">10,176 sf</t>
  </si>
  <si>
    <t xml:space="preserve">CO 2024-10-09: six-year renewal and expansion to 10,176 SF on floor 14 (office and showroom since 2013). Contact page lists New York Office at 230 Fifth Ave. Suite 1411 (HQ Vernon CA). Showroom-heavy office; headcount not found.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</si>
  <si>
    <t xml:space="preserve">AO-C-011</t>
  </si>
  <si>
    <t xml:space="preserve">Senator Investment Group</t>
  </si>
  <si>
    <t xml:space="preserve">https://www.senatorlp.com/</t>
  </si>
  <si>
    <t xml:space="preserve">20</t>
  </si>
  <si>
    <t xml:space="preserve">B-C-011</t>
  </si>
  <si>
    <t xml:space="preserve">https://www.senatorlp.com</t>
  </si>
  <si>
    <t xml:space="preserve">investment management (hedge fund)</t>
  </si>
  <si>
    <t xml:space="preserve">https://commercialobserver.com/2024/08/senator-investment-group-lease-zero-irving/</t>
  </si>
  <si>
    <t xml:space="preserve">2024-08</t>
  </si>
  <si>
    <t xml:space="preserve">12,455 sf;240,000 sf</t>
  </si>
  <si>
    <t xml:space="preserve">Site: '124 E. 14th Street 20th Floor New York, NY 10003'. CO 2024-08: 12,455 sf lease that filled the 240,000 sf building. Headcount not found. Margin: south side of 14th between Irving Pl and Third Ave.</t>
  </si>
  <si>
    <t xml:space="preserve">AO-C-116</t>
  </si>
  <si>
    <t xml:space="preserve">TenBerke (formerly Deborah Berke Partners)</t>
  </si>
  <si>
    <t xml:space="preserve">https://tenberke.com/contact/</t>
  </si>
  <si>
    <t xml:space="preserve">B-C-116</t>
  </si>
  <si>
    <t xml:space="preserve">https://tenberke.com</t>
  </si>
  <si>
    <t xml:space="preserve">https://commercialobserver.com/2022/12/deborah-berke-takes-13k-sf-at-41-madison-avenue/</t>
  </si>
  <si>
    <t xml:space="preserve">13,331 sf</t>
  </si>
  <si>
    <t xml:space="preserve">Contact page lists 41 Madison Avenue, 17th Floor. CO 2022: 10-year 13,331 SF lease on full 17th floor. Headcount not found. Review round 2: corner lot: the lot-centroid pin sat 30 m from E 26 ST but 44 m from MADISON AVE, so it was moved to the MADISON AVE frontage near the corner (16 m from the MADISON AVE centreline, 30 m from E 26 ST; 29 m from the old pin). Tax lot unchanged.</t>
  </si>
  <si>
    <t xml:space="preserve">AO-W-006</t>
  </si>
  <si>
    <t xml:space="preserve">The Malin Flatiron</t>
  </si>
  <si>
    <t xml:space="preserve">https://rebusinessonline.com/the-malin-opens-32700-sf-coworking-space-in-manhattans-flatiron-district/</t>
  </si>
  <si>
    <t xml:space="preserve">895 Broadway, 5th Floor, New York, NY 10003</t>
  </si>
  <si>
    <t xml:space="preserve">5th Floor</t>
  </si>
  <si>
    <t xml:space="preserve">grp-W006-W017</t>
  </si>
  <si>
    <t xml:space="preserve">B-W-006</t>
  </si>
  <si>
    <t xml:space="preserve">https://rebusinessonline.com</t>
  </si>
  <si>
    <t xml:space="preserve">The Malin</t>
  </si>
  <si>
    <t xml:space="preserve">B-B-027</t>
  </si>
  <si>
    <t xml:space="preserve">Equinox Building</t>
  </si>
  <si>
    <t xml:space="preserve">2025-06-19</t>
  </si>
  <si>
    <t xml:space="preserve">https://commercialobserver.com/2024/11/the-malin-lease-895-broadway</t>
  </si>
  <si>
    <t xml:space="preserve">REBusiness 2025-06-19: opened 32,700 sf over two floors at 895 Broadway (Equinox building). Commercial Observer 2024-11 reported the lease (https://commercialobserver.com/2024/11/the-malin-lease-895-broadway). Deskpass listing (active, updated 2026-10-19) tags 'Snacks Available', 'Complimentary Coffee &amp; Tea', 'Shared Kitchen'. Operator site themalin.co could not be opened from this environment. Broadway at 19th-20th St. Review round 2: corner lot: the lot-centroid pin sat 28 m from E 20 ST but 34 m from BROADWAY, so it was moved to the BROADWAY frontage near the corner (15 m from the BROADWAY centreline, 26 m from E 20 ST; 19 m from the old pin). Tax lot unchanged. | pantry_control=operator (https://api.deskpass.com/api/spaces/the-malin-flatiron); exclusive food contract signal: none found</t>
  </si>
  <si>
    <t xml:space="preserve">parent 'the malin' shared with AO-W-017</t>
  </si>
  <si>
    <t xml:space="preserve">AO-W-017</t>
  </si>
  <si>
    <t xml:space="preserve">The Malin NoMad</t>
  </si>
  <si>
    <t xml:space="preserve">387 Park Avenue South, 5th Floor, New York, NY 10016</t>
  </si>
  <si>
    <t xml:space="preserve">B-W-017</t>
  </si>
  <si>
    <t xml:space="preserve">https://commercialobserver.com</t>
  </si>
  <si>
    <t xml:space="preserve">2024-11-18</t>
  </si>
  <si>
    <t xml:space="preserve">https://api.deskpass.com/api/spaces/the-malin-nomad</t>
  </si>
  <si>
    <t xml:space="preserve">Commercial Observer 2024-11-18 (opened): The Malin NoMad at 387 Park Ave S was 'opening on Nov. 1'. Independent: Deskpass listing (active, updated 2026-10-19; https://api.deskpass.com/api/spaces/the-malin-nomad) gives the 5th floor at 387 Park Ave S at 27th St, 10 private offices, 18 dedicated desks and a kitchen, tagged 'Snacks Available', 'Complimentary Coffee &amp; Tea'. Operator site could not be opened from this environment. East side of Park Ave S. Review round 2: corner lot: the lot-centroid pin sat 24 m from E 27 ST but 34 m from PARK AVE S, so it was moved to the PARK AVE S frontage near the corner (13 m from the PARK AVE S centreline, 26 m from E 27 ST; 21 m from the old pin). Tax lot unchanged. | pantry_control=operator (https://api.deskpass.com/api/spaces/the-malin-nomad); exclusive food contract signal: none found</t>
  </si>
  <si>
    <t xml:space="preserve">parent 'the malin' shared with AO-W-006</t>
  </si>
  <si>
    <t xml:space="preserve">AO-C-008</t>
  </si>
  <si>
    <t xml:space="preserve">Union Square Hospitality Group</t>
  </si>
  <si>
    <t xml:space="preserve">https://www.ushg.com/contact</t>
  </si>
  <si>
    <t xml:space="preserve">B-C-008</t>
  </si>
  <si>
    <t xml:space="preserve">https://www.ushg.com</t>
  </si>
  <si>
    <t xml:space="preserve">hospitality (restaurant group corporate office)</t>
  </si>
  <si>
    <t xml:space="preserve">https://commercialobserver.com/2018/02/danny-meyers-union-square-hospitality-moving-within-union-square/</t>
  </si>
  <si>
    <t xml:space="preserve">2018-02</t>
  </si>
  <si>
    <t xml:space="preserve">15,000 sf</t>
  </si>
  <si>
    <t xml:space="preserve">Contact page: '853 Broadway, 17th Floor, New York, NY 10003'. CO 2018-02: 15,000 sf on the 17th and 18th floors. Corporate office headcount not sourced; any company-wide count would include restaurant staff, so it would not describe this office. Founder to confirm at intake before treating it as a pantry office. Food business: check for conflicts with snack brands.</t>
  </si>
  <si>
    <t xml:space="preserve">AO-C-073</t>
  </si>
  <si>
    <t xml:space="preserve">Vivaldi</t>
  </si>
  <si>
    <t xml:space="preserve">https://vivaldigroup.com/contact/</t>
  </si>
  <si>
    <t xml:space="preserve">B-C-073</t>
  </si>
  <si>
    <t xml:space="preserve">https://vivaldigroup.com</t>
  </si>
  <si>
    <t xml:space="preserve">brand and business strategy consultancy</t>
  </si>
  <si>
    <t xml:space="preserve">Contact page lists 30 West 21st Street, 12th Floor. CO calls it advertising agency Vivaldi, a tenant of the building.</t>
  </si>
  <si>
    <t xml:space="preserve">AO-C-138</t>
  </si>
  <si>
    <t xml:space="preserve">Warren Equity Partners</t>
  </si>
  <si>
    <t xml:space="preserve">https://commercialobserver.com/2025/06/warren-equity-partners-moving-nyc-hq-to-11-east-26th-street-in-24k-sf-lease/</t>
  </si>
  <si>
    <t xml:space="preserve">19-20</t>
  </si>
  <si>
    <t xml:space="preserve">B-C-138</t>
  </si>
  <si>
    <t xml:space="preserve">https://warrenequity.com</t>
  </si>
  <si>
    <t xml:space="preserve">Jacksonville Beach, FL</t>
  </si>
  <si>
    <t xml:space="preserve">2025-06-25</t>
  </si>
  <si>
    <t xml:space="preserve">https://warrenequity.com/contact-us/</t>
  </si>
  <si>
    <t xml:space="preserve">24,199 sf</t>
  </si>
  <si>
    <t xml:space="preserve">24,199 SF on floors 19-20 (NYC office; HQ is Jacksonville Beach FL). Company contact page lists 'New York, NY 11 East 26th, 19th Floor', so the move appears complete.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</si>
  <si>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AO-C-187</t>
  </si>
  <si>
    <t xml:space="preserve">Acxiom</t>
  </si>
  <si>
    <t xml:space="preserve">Tuesday estimate 128 to 2555 (low confidence), 1,001 to 4,999 staff company-wide, on-site 5 days a week per its profile, occupied at a medium-confidence address; contacts not researched yet (below the top 50).</t>
  </si>
  <si>
    <t xml:space="preserve">https://commercialobserver.com/2025/02/capital-one-expansion-114-fifth-avenue/</t>
  </si>
  <si>
    <t xml:space="preserve">Tuesday estimate band over-500: founder's call (set founder_ok_to_queue = Y to queue)</t>
  </si>
  <si>
    <t xml:space="preserve">114 Fifth Avenue</t>
  </si>
  <si>
    <t xml:space="preserve">B-C-187</t>
  </si>
  <si>
    <t xml:space="preserve">https://www.acxiom.com</t>
  </si>
  <si>
    <t xml:space="preserve">marketing data and technology</t>
  </si>
  <si>
    <t xml:space="preserve">4482</t>
  </si>
  <si>
    <t xml:space="preserve">https://www.builtinnyc.com/company/acxiom</t>
  </si>
  <si>
    <t xml:space="preserve">Conway</t>
  </si>
  <si>
    <t xml:space="preserve">B-B-009</t>
  </si>
  <si>
    <t xml:space="preserve">2025-02</t>
  </si>
  <si>
    <t xml:space="preserve">Built In workplace type: OnSite Workplace; typical time on-site: 5 days a week; recent job tags: 1 In-Office</t>
  </si>
  <si>
    <t xml:space="preserve">https://www.builtinnyc.com/company/acxiom/offices</t>
  </si>
  <si>
    <t xml:space="preserve">4482 (Built In) staff (whole-company count) x 5% to 100% of them in the New York office (HQ outside New York; share assumed) x 57% (Partnership for NYC, all Manhattan firms; no figure for 500 to 4,999) in on a weekday = 128 to 2555, central 572; low confidence; estimate until intake replaces it.</t>
  </si>
  <si>
    <t xml:space="preserve">Near-miss: over 500 (Built In: 4,482 total employees, HQ Conway AR). CO 2025-02 names Acxiom as a 114 Fifth Ave tenant; NYC office size unknown. Review round 2: corner lot: the lot-centroid pin sat 22 m from W 17 ST but 39 m from 5 AVE, so it was moved to the 5 AVE frontage near the corner (17 m from the 5 AVE centreline, 27 m from W 17 ST; 22 m from the old pin). Tax lot unchanged.</t>
  </si>
  <si>
    <t xml:space="preserve">AO-C-184</t>
  </si>
  <si>
    <t xml:space="preserve">Hulu</t>
  </si>
  <si>
    <t xml:space="preserve">Tuesday estimate 81 to 1621 (low confidence), 1,001 to 4,999 staff company-wide with a named parent (Disney), on-site 5 days a week per its profile, occupied at a medium-confidence address; contacts not researched yet (below the top 50).</t>
  </si>
  <si>
    <t xml:space="preserve">B-C-184</t>
  </si>
  <si>
    <t xml:space="preserve">https://www.hulu.com</t>
  </si>
  <si>
    <t xml:space="preserve">streaming media</t>
  </si>
  <si>
    <t xml:space="preserve">2844</t>
  </si>
  <si>
    <t xml:space="preserve">https://www.builtinnyc.com/company/hulu</t>
  </si>
  <si>
    <t xml:space="preserve">Santa Monica</t>
  </si>
  <si>
    <t xml:space="preserve">Disney</t>
  </si>
  <si>
    <t xml:space="preserve">https://www.builtinnyc.com/company/hulu/offices</t>
  </si>
  <si>
    <t xml:space="preserve">2844 (Built In) staff (whole-company count) x 5% to 100% of them in the New York office (HQ outside New York; share assumed) x 57% (Partnership for NYC, all Manhattan firms; no figure for 500 to 4,999) in on a weekday = 81 to 1621, central 362; low confidence; estimate until intake replaces it.</t>
  </si>
  <si>
    <t xml:space="preserve">Near-miss: over 500 (Built In: 2,844 total employees, HQ Santa Monica; part of Disney). CO 2026-08-26 lists Hulu as a 79 Fifth Ave tenant; floor and size not stated. Review round 2: corner lot: the lot-centroid pin sat 25 m from E 16 ST but 39 m from 5 AVE, so it was moved to the 5 AVE frontage near the corner (17 m from the 5 AVE centreline, 27 m from E 16 ST; 23 m from the old pin). Tax lot unchanged.</t>
  </si>
  <si>
    <t xml:space="preserve">AO-C-056</t>
  </si>
  <si>
    <t xml:space="preserve">Hex Technologies</t>
  </si>
  <si>
    <t xml:space="preserve">Tuesday estimate 5 to 155 (low confidence), under 500 staff company-wide, hybrid 2 days or fewer, signed-not-occupied at a medium-confidence address (hold: lease signed, move not confirmed); contacts not researched yet (below the top 50).</t>
  </si>
  <si>
    <t xml:space="preserve">New or renewed lease at 250 Park Avenue South reported 2026-01-09</t>
  </si>
  <si>
    <t xml:space="preserve">B-C-056</t>
  </si>
  <si>
    <t xml:space="preserve">https://hex.tech</t>
  </si>
  <si>
    <t xml:space="preserve">software (data analytics / AI)</t>
  </si>
  <si>
    <t xml:space="preserve">160</t>
  </si>
  <si>
    <t xml:space="preserve">232</t>
  </si>
  <si>
    <t xml:space="preserve">https://www.builtinnyc.com/company/hex</t>
  </si>
  <si>
    <t xml:space="preserve">https://www.reveliolabs.com/companies/hex/employees</t>
  </si>
  <si>
    <t xml:space="preserve">https://nyrej.com/print/57161</t>
  </si>
  <si>
    <t xml:space="preserve">Built In workplace type: Hybrid Workplace; typical time on-site: Flexible (box) but policy text: 2 to 3 days in person (lower figure used); recent job tags: 1 Remote, 2 Hybrid</t>
  </si>
  <si>
    <t xml:space="preserve">https://www.builtinnyc.com/company/hex/offices</t>
  </si>
  <si>
    <t xml:space="preserve">160 (Built In) and 232 (Revelio Labs) staff (whole-company count) x 5% to 100% of them in the New York office (HQ outside New York; share assumed) x 67% (Partnership for NYC, firms under 500) in on a weekday = 5 to 155, central 28; low confidence; estimate until intake replaces it.</t>
  </si>
  <si>
    <t xml:space="preserve">Five-year lease for the full 7th floor signed Jan 2026; NYREJ repeats the same landlord announcement, so treated as one source. Built In offices page (opened 2026-10-23) still lists the prior NYC office at 44 W 18th St (also in this slice). Move-in date not confirmed. Built In shows 160 total employees. | Assembly 2026-10-24: Conflict carried: lease at 250 PAS floor 7 (CO 2026-01-09); Built In still lists 44 W 18th St. Both addresses are inside the boundary. Check the 250 PAS lobby directory on the walk. Review round 2: a second count agrees with the band: Revelio Labs (Hex Technologies, Inc., HQ San Francisco): about 232 employees worldwide as of March 2026.</t>
  </si>
  <si>
    <t xml:space="preserve">AO-C-002</t>
  </si>
  <si>
    <t xml:space="preserve">Casa Komos Brand Group</t>
  </si>
  <si>
    <t xml:space="preserve">Tuesday headcount unknown (no sourced count), company size unknown, no attendance signal, occupied at a medium-confidence address; contacts not researched yet (below the top 50).</t>
  </si>
  <si>
    <t xml:space="preserve">https://commercialobserver.com/2026/01/perplexity-lease-841-broadway-union-square/</t>
  </si>
  <si>
    <t xml:space="preserve">2; part of 9</t>
  </si>
  <si>
    <t xml:space="preserve">B-C-002</t>
  </si>
  <si>
    <t xml:space="preserve">consumer beverage brand (tequila)</t>
  </si>
  <si>
    <t xml:space="preserve">https://commercialobserver.com/2024/02/tequila-brand-casa-komos-moving-offices-to-10k-sf-at-853-broadway/</t>
  </si>
  <si>
    <t xml:space="preserve">2024-02</t>
  </si>
  <si>
    <t xml:space="preserve">10,300 sf</t>
  </si>
  <si>
    <t xml:space="preserve">CO 2024-02: 10-year 10,300 sf office lease on the 2nd floor and part of the 9th. CO 2026-01-27 lists Casa Komos as a current tenant across 841-853 Broadway. Alcohol company: fine as an office host, never as a brand on this programme (alcohol is excluded). Company site failed TLS; headcount unknown. | Assembly 2026-10-24: Confidence lowered at assembly from high to medium: second source is the same publisher or missing.</t>
  </si>
  <si>
    <t xml:space="preserve">AO-C-154</t>
  </si>
  <si>
    <t xml:space="preserve">Christian Louboutin</t>
  </si>
  <si>
    <t xml:space="preserve">B-C-154</t>
  </si>
  <si>
    <t xml:space="preserve">https://us.christianlouboutin.com</t>
  </si>
  <si>
    <t xml:space="preserve">luxury footwear brand (office)</t>
  </si>
  <si>
    <t xml:space="preserve">58,000 sf</t>
  </si>
  <si>
    <t xml:space="preserve">CO names it a current tenant of the 58,000 SF office and retail building at Broadway and 27th St. Use (office or showroom) and headcount not sourced.</t>
  </si>
  <si>
    <t xml:space="preserve">AO-W-001</t>
  </si>
  <si>
    <t xml:space="preserve">Civic Hall, Union Square (Zero Irving)</t>
  </si>
  <si>
    <t xml:space="preserve">Tuesday headcount unknown (no sourced count), coworking operator site (one office if it controls the pantry), no attendance signal, open at a medium-confidence address; contacts not researched yet (below the top 50).</t>
  </si>
  <si>
    <t xml:space="preserve">https://civichall.org/contact-us/</t>
  </si>
  <si>
    <t xml:space="preserve">124 East 14th Street, New York, NY 10003</t>
  </si>
  <si>
    <t xml:space="preserve">B-W-001</t>
  </si>
  <si>
    <t xml:space="preserve">https://civichall.org</t>
  </si>
  <si>
    <t xml:space="preserve">Civic Hall</t>
  </si>
  <si>
    <t xml:space="preserve">Nonprofit tech venue with coworking memberships (single $325/month; team plans). Memberships page: 'pantry with complimentary coffee and tea'. Hot desks Mon-Fri 7am-10pm. Mostly an event and training venue, so the member base is small and mixed. On 14th St between Irving Pl and Third Ave, in the east margin. The Flatiron NoMad Partnership directory also lists Civic Hall (https://flatironnomad.nyc/business/civic-hall/). Zero Irving tenants Alpine Investors (12), GameChanger (17) and Senator (20) hold their own leases (CO), so they are not Civic Hall members. | pantry_control=operator (https://civichall.org/memberships); exclusive food contract signal: none found</t>
  </si>
  <si>
    <t xml:space="preserve">AO-C-077</t>
  </si>
  <si>
    <t xml:space="preserve">Cobalt Service Partners</t>
  </si>
  <si>
    <t xml:space="preserve">https://commercialobserver.com/2025/02/cobalt-service-partners-lease-40-west-17th-street/</t>
  </si>
  <si>
    <t xml:space="preserve">B-C-077</t>
  </si>
  <si>
    <t xml:space="preserve">https://www.cobaltsp.com</t>
  </si>
  <si>
    <t xml:space="preserve">private equity (industrial services)</t>
  </si>
  <si>
    <t xml:space="preserve">2025-02-06</t>
  </si>
  <si>
    <t xml:space="preserve">5,000 sf;1,500 sf</t>
  </si>
  <si>
    <t xml:space="preserve">Five-year, 5,000 sf lease, relocating from 1,500 sf at 40 W 17th St. A later CO article (same publisher) lists it as a current tenant. Company site shows no address. Headcount not sourced; founder to confirm at intake.</t>
  </si>
  <si>
    <t xml:space="preserve">AO-C-022</t>
  </si>
  <si>
    <t xml:space="preserve">Delos Capital</t>
  </si>
  <si>
    <t xml:space="preserve">https://commercialobserver.com/2026/10/eagle-ai-lease-office-120-fifth-avenue/</t>
  </si>
  <si>
    <t xml:space="preserve">120 Fifth Avenue</t>
  </si>
  <si>
    <t xml:space="preserve">B-C-022</t>
  </si>
  <si>
    <t xml:space="preserve">private investment</t>
  </si>
  <si>
    <t xml:space="preserve">B-B-010</t>
  </si>
  <si>
    <t xml:space="preserve">2026-10-19</t>
  </si>
  <si>
    <t xml:space="preserve">CO 2026-10-19 lists Delos Capital as an existing tenant. Headcount not sourced; founder to confirm at intake.</t>
  </si>
  <si>
    <t xml:space="preserve">AO-C-144</t>
  </si>
  <si>
    <t xml:space="preserve">EnVogue International</t>
  </si>
  <si>
    <t xml:space="preserve">https://commercialobserver.com/2025/04/envogue-international-lease-230-fifth-avenue/</t>
  </si>
  <si>
    <t xml:space="preserve">B-C-144</t>
  </si>
  <si>
    <t xml:space="preserve">home goods (office and showroom)</t>
  </si>
  <si>
    <t xml:space="preserve">30,000 sf</t>
  </si>
  <si>
    <t xml:space="preserve">Grew to 30,000 SF with a seven-year lease; at 230 Fifth (New York MarketCenter) for 25 years. Showroom building (New York MarketCenter); headcount not sourced.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</si>
  <si>
    <t xml:space="preserve">AO-C-088</t>
  </si>
  <si>
    <t xml:space="preserve">Heard City</t>
  </si>
  <si>
    <t xml:space="preserve">https://www.heardcity.com/contact</t>
  </si>
  <si>
    <t xml:space="preserve">B-C-088</t>
  </si>
  <si>
    <t xml:space="preserve">https://www.heardcity.com</t>
  </si>
  <si>
    <t xml:space="preserve">audio post-production studio</t>
  </si>
  <si>
    <t xml:space="preserve">https://commercialobserver.com/2022/02/recording-studio-heard-city-re-ups-13k-sf-lease-in-flatiron-district/</t>
  </si>
  <si>
    <t xml:space="preserve">2022-02-25</t>
  </si>
  <si>
    <t xml:space="preserve">13,000 sf</t>
  </si>
  <si>
    <t xml:space="preserve">Contact page lists 16 West 22nd St., 5th Floor; CO 2022 reported a 10-year renewal of the full 5th floor (13,000 sf).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</si>
  <si>
    <t xml:space="preserve">AO-C-131</t>
  </si>
  <si>
    <t xml:space="preserve">Holocene Advisors</t>
  </si>
  <si>
    <t xml:space="preserve">B-C-131</t>
  </si>
  <si>
    <t xml:space="preserve">https://www.holocene.com</t>
  </si>
  <si>
    <t xml:space="preserve">https://commercialobserver.com/2025/03/reckoner-capital-management-lease-11-east-26th-street/</t>
  </si>
  <si>
    <t xml:space="preserve">2025-03-12</t>
  </si>
  <si>
    <t xml:space="preserve">31,000 sf</t>
  </si>
  <si>
    <t xml:space="preserve">CO says it expanded to roughly 31,000 SF at the building in October 2023 and lists it as a current tenant in 2025. Company site is a splash page with no address.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</si>
  <si>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AO-C-121</t>
  </si>
  <si>
    <t xml:space="preserve">ICONIQ Capital</t>
  </si>
  <si>
    <t xml:space="preserve">B-C-121</t>
  </si>
  <si>
    <t xml:space="preserve">https://www.iconiq.com</t>
  </si>
  <si>
    <t xml:space="preserve">wealth management and venture capital</t>
  </si>
  <si>
    <t xml:space="preserve">Listed by CO as a tenant at 360 PAS. Floor and headcount not found (HQ San Francisco). Review round 2: corner lot: the lot-centroid pin sat 22 m from E 26 ST but 36 m from PARK AVE S, so it was moved to the PARK AVE S frontage near the corner (13 m from the PARK AVE S centreline, 27 m from E 26 ST; 23 m from the old pin). Tax lot unchanged.</t>
  </si>
  <si>
    <t xml:space="preserve">AO-C-067</t>
  </si>
  <si>
    <t xml:space="preserve">ISAIA</t>
  </si>
  <si>
    <t xml:space="preserve">New or renewed lease at 257 Park Avenue South reported 2026-07-21</t>
  </si>
  <si>
    <t xml:space="preserve">https://commercialobserver.com/2026/07/isaia-lease-feil-257-park-avenue-south/</t>
  </si>
  <si>
    <t xml:space="preserve">2026-07-21</t>
  </si>
  <si>
    <t xml:space="preserve">B-C-067</t>
  </si>
  <si>
    <t xml:space="preserve">https://www.isaia.it</t>
  </si>
  <si>
    <t xml:space="preserve">luxury menswear brand (U.S. showroom and office)</t>
  </si>
  <si>
    <t xml:space="preserve">10-year renewal of 13,000 sf corporate showroom on the 10th floor. Mainly a showroom; onsite staff count unknown.</t>
  </si>
  <si>
    <t xml:space="preserve">AO-W-003</t>
  </si>
  <si>
    <t xml:space="preserve">Industrious Union Square on Broadway</t>
  </si>
  <si>
    <t xml:space="preserve">860 Broadway, 6th Floor, New York, NY 10003</t>
  </si>
  <si>
    <t xml:space="preserve">6th Floor</t>
  </si>
  <si>
    <t xml:space="preserve">B-W-003</t>
  </si>
  <si>
    <t xml:space="preserve">https://www.deskpass.com/us-en/ny/new-york-city</t>
  </si>
  <si>
    <t xml:space="preserve">Listed on Industrious NYC index. Pantry text is brand-standard copy on the location page ('Daily breakfast, ample snacks'; 'craft coffee, tea, and sparkling water'); location-specific detail unknown. Broadway at 17th St. Independent: Deskpass NYC index lists 'Industrious - Union Square on Broadway: 860 Broadway, 6th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 | pantry_control=operator (https://www.industriousoffice.com/locations/manhattan---860-broadway-6th-floor); exclusive food contract signal: none found</t>
  </si>
  <si>
    <t xml:space="preserve">parent 'industrious' shared with AO-W-007, AO-W-016, AO-W-008, AO-W-014, AO-W-005, AO-W-027</t>
  </si>
  <si>
    <t xml:space="preserve">AO-C-161</t>
  </si>
  <si>
    <t xml:space="preserve">Institute for Integrative Nutrition</t>
  </si>
  <si>
    <t xml:space="preserve">https://commercialobserver.com/2025/03/institute-of-integrative-nutrition-moinian-group-245-fifth-avenue/</t>
  </si>
  <si>
    <t xml:space="preserve">245 Fifth Avenue</t>
  </si>
  <si>
    <t xml:space="preserve">B-C-161</t>
  </si>
  <si>
    <t xml:space="preserve">online education (health coaching)</t>
  </si>
  <si>
    <t xml:space="preserve">B-B-074</t>
  </si>
  <si>
    <t xml:space="preserve">245 Fifth Avenue (Moinian Group)</t>
  </si>
  <si>
    <t xml:space="preserve">2025-03-03</t>
  </si>
  <si>
    <t xml:space="preserve">https://www.metro-manhattan.com/buildings/245-fifth-avenue-office-space-for-lease/</t>
  </si>
  <si>
    <t xml:space="preserve">14,000 sf</t>
  </si>
  <si>
    <t xml:space="preserve">Five-year 14,000 SF renewal on floor 7. Headcount not found. Review round 2: corner lot: the lot-centroid pin sat 24 m from E 28 ST but 34 m from 5 AVE, so it was moved to the 5 AVE frontage near the corner (17 m from the 5 AVE centreline, 26 m from E 28 ST; 17 m from the old pin). Tax lot unchanged.</t>
  </si>
  <si>
    <t xml:space="preserve">AO-C-100</t>
  </si>
  <si>
    <t xml:space="preserve">LaForce</t>
  </si>
  <si>
    <t xml:space="preserve">B-C-100</t>
  </si>
  <si>
    <t xml:space="preserve">https://www.laforce.com/</t>
  </si>
  <si>
    <t xml:space="preserve">Public relations / communications agency</t>
  </si>
  <si>
    <t xml:space="preserve">CO Oct 2025 names 'public relations firm LaForce' as a current tenant at 53 W 23rd St. Company site shows no street address. Headcount not found in an opened source.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</si>
  <si>
    <t xml:space="preserve">AO-C-045</t>
  </si>
  <si>
    <t xml:space="preserve">LoveShackFancy</t>
  </si>
  <si>
    <t xml:space="preserve">https://commercialobserver.com/2025/04/radar-labs-lease-111-fifth-avenue/</t>
  </si>
  <si>
    <t xml:space="preserve">B-C-045</t>
  </si>
  <si>
    <t xml:space="preserve">https://www.loveshackfancy.com</t>
  </si>
  <si>
    <t xml:space="preserve">fashion brand</t>
  </si>
  <si>
    <t xml:space="preserve">2025-04-17</t>
  </si>
  <si>
    <t xml:space="preserve">CO (Apr 2025) lists it as a tenant on the 8th floor (20,000 sf lease signed March 2022). Contact page shows no office address. Review round 2: corner lot: the lot-centroid pin sat 24 m from E 18 ST but 45 m from 5 AVE, so it was moved to the 5 AVE frontage near the corner (17 m from the 5 AVE centreline, 27 m from E 18 ST; 29 m from the old pin). Tax lot unchanged.</t>
  </si>
  <si>
    <t xml:space="preserve">AO-W-021</t>
  </si>
  <si>
    <t xml:space="preserve">Luminary</t>
  </si>
  <si>
    <t xml:space="preserve">https://www.weareluminary.com/home</t>
  </si>
  <si>
    <t xml:space="preserve">1204 Broadway, 4th Floor, New York, NY 10001</t>
  </si>
  <si>
    <t xml:space="preserve">B-W-021</t>
  </si>
  <si>
    <t xml:space="preserve">https://www.weareluminary.com</t>
  </si>
  <si>
    <t xml:space="preserve">https://api.deskpass.com/api/spaces/luminary</t>
  </si>
  <si>
    <t xml:space="preserve">Deskpass listing (active, updated 2026-09-25): 'Amenities include phone booths, bottomless coffee and tea, wine on tap ...'; 3 floors. No snacks named. Operator site weareluminary.com not opened. Broadway at 29th-30th St. Operator site (opened 2026-10-24) lists 'NoMad, 1204 Broadway' with hours Mon-Thu 8:30am-7pm, Fri 8:30am-6pm, Sat 10am-4pm. Women-centred community workspace. Review round 3: lowered from high to medium. The second source is a listing the operator writes (Deskpass or LiquidSpace), so it does not independently confirm the operator's own page; no press, landlord or filing source was found. A walk-by can raise it. | pantry_control=operator (https://api.deskpass.com/api/spaces/luminary); exclusive food contract signal: none found</t>
  </si>
  <si>
    <t xml:space="preserve">AO-C-104</t>
  </si>
  <si>
    <t xml:space="preserve">Madison Square Park Conservancy</t>
  </si>
  <si>
    <t xml:space="preserve">https://madisonsquarepark.org/park/contact/</t>
  </si>
  <si>
    <t xml:space="preserve">B-C-104</t>
  </si>
  <si>
    <t xml:space="preserve">https://madisonsquarepark.org/</t>
  </si>
  <si>
    <t xml:space="preserve">Nonprofit (public park conservancy)</t>
  </si>
  <si>
    <t xml:space="preserve">Contact page (live): '11 Madison Avenue 15th Floor New York, NY 10010'. Headcount not sourced; founder to confirm at intake. Also a possible neighbourhood partner.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</si>
  <si>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AO-C-107</t>
  </si>
  <si>
    <t xml:space="preserve">MediaCo Holding (HOT 97, WBLS)</t>
  </si>
  <si>
    <t xml:space="preserve">https://commercialobserver.com/2026/08/sapien-ai-lease-kaufman-organization-48-west-25th-street/</t>
  </si>
  <si>
    <t xml:space="preserve">B-C-107</t>
  </si>
  <si>
    <t xml:space="preserve">https://www.mediacoholding.com/</t>
  </si>
  <si>
    <t xml:space="preserve">Media (radio and digital)</t>
  </si>
  <si>
    <t xml:space="preserve">2026-08-03</t>
  </si>
  <si>
    <t xml:space="preserve">25,000 sf</t>
  </si>
  <si>
    <t xml:space="preserve">CO Aug 2026: MediaCo Holding, parent of HOT 97 and WBLS, signed a 16-year, 25,000 sf lease at 48 W 25th St in 2023 (one of the most recent tenants before the Kaufman purchase). CO Jan 2023 headline (seen on CO tag page) reported the relocation. Headcount not found in an opened source.</t>
  </si>
  <si>
    <t xml:space="preserve">AO-C-132</t>
  </si>
  <si>
    <t xml:space="preserve">Mega 97.9 (radio station)</t>
  </si>
  <si>
    <t xml:space="preserve">B-C-132</t>
  </si>
  <si>
    <t xml:space="preserve">media (radio)</t>
  </si>
  <si>
    <t xml:space="preserve">Listed by CO as a building tenant. Owner and staff size not sourced. Studio use may mean irregular hours.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</si>
  <si>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AO-W-023</t>
  </si>
  <si>
    <t xml:space="preserve">Nomadworks 1216 Broadway</t>
  </si>
  <si>
    <t xml:space="preserve">https://nomadworks.com/</t>
  </si>
  <si>
    <t xml:space="preserve">1216 Broadway, Floor 2, New York, NY 10001</t>
  </si>
  <si>
    <t xml:space="preserve">Floor 2</t>
  </si>
  <si>
    <t xml:space="preserve">B-W-023</t>
  </si>
  <si>
    <t xml:space="preserve">https://nomadworks.com</t>
  </si>
  <si>
    <t xml:space="preserve">Nomadworks</t>
  </si>
  <si>
    <t xml:space="preserve">https://api.deskpass.com/api/spaces/nomadworks</t>
  </si>
  <si>
    <t xml:space="preserve">Deskpass listing (active, updated 2026-06-15): 30,000 sf over a corner block; tags 'Complimentary Coffee &amp; Tea', 'Shared Kitchen', 'Snacks Available'. Broadway at 30th-31st St, inside the two-street north margin. Operator site (opened 2026-10-24) lists 1216 Broadway among three NYC locations; membership includes 'Complimentary Wifi, Tea and Coffee'.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17 m from W 30 ST but 37 m from BROADWAY, so it was moved to the BROADWAY frontage near the corner (15 m from the BROADWAY centreline, 26 m from W 30 ST; 22 m from the old pin). Tax lot unchanged. Review round 3: the pin sat 0.8 m outside its own tax lot (NYC MapPLUTO (Department of City Planning) tax-lot polygons), so it was moved to the middle of the lot's 16 m BROADWAY frontage, 3 m inside the lot line (11 m from the old pin). Tax lot unchanged. | pantry_control=operator (https://api.deskpass.com/api/spaces/nomadworks); exclusive food contract signal: none found</t>
  </si>
  <si>
    <t xml:space="preserve">AO-W-022</t>
  </si>
  <si>
    <t xml:space="preserve">Sage Workspace</t>
  </si>
  <si>
    <t xml:space="preserve">https://www.sageworkspace.com/</t>
  </si>
  <si>
    <t xml:space="preserve">276 Fifth Avenue, Suite 704, New York, NY 10001</t>
  </si>
  <si>
    <t xml:space="preserve">Suite 704</t>
  </si>
  <si>
    <t xml:space="preserve">B-W-022</t>
  </si>
  <si>
    <t xml:space="preserve">https://www.sageworkspace.com</t>
  </si>
  <si>
    <t xml:space="preserve">SaGE Workspace</t>
  </si>
  <si>
    <t xml:space="preserve">https://api.deskpass.com/api/spaces/sage-workspace</t>
  </si>
  <si>
    <t xml:space="preserve">Deskpass listing (active, updated 2026-08-21) tags 'Snacks Available', 'Complimentary Coffee &amp; Tea', 'Shared Kitchen'. Small suite operator (one suite in the building). Fifth Ave at 29th-30th St. Operator site (opened 2026-10-24) footer: 276 Fifth Avenue, Suite 704, (c) 2026; offers coworking, cubicles, team offices.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25 m from W 30 ST but 38 m from 5 AVE, so it was moved to the 5 AVE frontage near the corner (17 m from the 5 AVE centreline, 27 m from W 30 ST; 22 m from the old pin). Tax lot unchanged. | pantry_control=operator (https://api.deskpass.com/api/spaces/sage-workspace); exclusive food contract signal: none found</t>
  </si>
  <si>
    <t xml:space="preserve">AO-W-011</t>
  </si>
  <si>
    <t xml:space="preserve">Select Office Suites Flatiron</t>
  </si>
  <si>
    <t xml:space="preserve">https://www.selectofficesuites.com/office-space-for-rent-flatiron-district-new-york-city/</t>
  </si>
  <si>
    <t xml:space="preserve">1115 Broadway (16 Madison Square West), Floors 9-12, New York, NY 10010</t>
  </si>
  <si>
    <t xml:space="preserve">Floors 9-12</t>
  </si>
  <si>
    <t xml:space="preserve">B-W-011</t>
  </si>
  <si>
    <t xml:space="preserve">https://www.selectofficesuites.com</t>
  </si>
  <si>
    <t xml:space="preserve">Select Office Suites</t>
  </si>
  <si>
    <t xml:space="preserve">https://liquidspace.com/US/NY/new-york/select-office-suites-flatiron</t>
  </si>
  <si>
    <t xml:space="preserve">Serviced-office operator (private suites, not open coworking). Operator page: 'On-site cafe, kitchen areas, and espresso bar at no extra cost' and 'Fresh brewed coffee compliments of Proof Coffee Roasters ... fruit infused water, and seltzer on tap'. LiquidSpace listing (https://liquidspace.com/US/NY/new-york/select-office-suites-flatiron) says 'Confirmed Open' and that the cafe sells food for an additional cost. Faces Madison Square Park at 25th St. Corporate Suites' site also lists a Flatiron virtual-office product at 1115 Broadway (https://www.corporatesuites.com/virtual-offices-nyc-flatiron-district/), a partnership between the two operators is not confirmed.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 | pantry_control=operator (https://www.selectofficesuites.com/office-space-for-rent-flatiron-district-new-york-city/); exclusive food contract signal: named coffee supplier (Proof Coffee Roasters) and wine bar stocked by Copake Wine Works; on-site cafe; no exclusive contract stated</t>
  </si>
  <si>
    <t xml:space="preserve">AO-C-039</t>
  </si>
  <si>
    <t xml:space="preserve">Stone Source</t>
  </si>
  <si>
    <t xml:space="preserve">B-C-039</t>
  </si>
  <si>
    <t xml:space="preserve">architectural stone and tile supplier</t>
  </si>
  <si>
    <t xml:space="preserve">19,092 sf</t>
  </si>
  <si>
    <t xml:space="preserve">SEC rent roll 2026-02-05: Stone Source LLC 19,092 sf, lease to 2030-11-30 (subleases Suite 2008 to Arch Equities). Use of the space not sourced; headcount not found.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</si>
  <si>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AO-C-087</t>
  </si>
  <si>
    <t xml:space="preserve">The Information</t>
  </si>
  <si>
    <t xml:space="preserve">https://www.theinformation.com/about</t>
  </si>
  <si>
    <t xml:space="preserve">20 West 22nd Street</t>
  </si>
  <si>
    <t xml:space="preserve">10 (Suite 1006)</t>
  </si>
  <si>
    <t xml:space="preserve">B-C-087</t>
  </si>
  <si>
    <t xml:space="preserve">https://www.theinformation.com</t>
  </si>
  <si>
    <t xml:space="preserve">digital media (tech news)</t>
  </si>
  <si>
    <t xml:space="preserve">B-B-040</t>
  </si>
  <si>
    <t xml:space="preserve">20 West 22nd Street (ABS Partners, managing agent)</t>
  </si>
  <si>
    <t xml:space="preserve">https://commercialobserver.com/2022/06/the-information-20-west-22nd-street/</t>
  </si>
  <si>
    <t xml:space="preserve">2022-06-15</t>
  </si>
  <si>
    <t xml:space="preserve">5,830 sf</t>
  </si>
  <si>
    <t xml:space="preserve">About page lists the East Coast Bureau at 20 West 22nd Street, Suite 1006. CO 2022: 5,830 sf on part of the 10th floor. San Francisco HQ; NYC bureau headcount not sourced.</t>
  </si>
  <si>
    <t xml:space="preserve">AO-W-015</t>
  </si>
  <si>
    <t xml:space="preserve">The Yard: Flatiron South</t>
  </si>
  <si>
    <t xml:space="preserve">https://theyard.com/the-yard-new-york-city/</t>
  </si>
  <si>
    <t xml:space="preserve">234 Fifth Avenue, 2nd Floor, New York, NY 10001</t>
  </si>
  <si>
    <t xml:space="preserve">2nd Floor</t>
  </si>
  <si>
    <t xml:space="preserve">B-W-015</t>
  </si>
  <si>
    <t xml:space="preserve">https://theyard.com</t>
  </si>
  <si>
    <t xml:space="preserve">The Yard</t>
  </si>
  <si>
    <t xml:space="preserve">https://www.deskpass.com/us-en/ny/new-york-city/coworking-space/nomad</t>
  </si>
  <si>
    <t xml:space="preserve">Operator page: 'Coffee &amp; Tea: Complimentary Infinity coffee and Harney &amp; Sons tea in our kitchens.' No snacks named. Independent: Deskpass NoMad listing (https://www.deskpass.com/us-en/ny/new-york-city/coworking-space/nomad) shows it at 234 5th Ave, 2nd Floor. Fifth Ave at 27th St. The Yard's former Flatiron North site (246 Fifth Ave) is no longer on the operator's NYC list.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14 m from W 27 ST but 45 m from 5 AVE, so it was moved to the 5 AVE frontage near the corner (17 m from the 5 AVE centreline, 27 m from W 27 ST; 31 m from the old pin). Tax lot unchanged. Review round 3: the pin sat 9.7 m outside its own tax lot (NYC MapPLUTO (Department of City Planning) tax-lot polygons), so it was moved to the middle of the lot's 9 m 5 AVE frontage, 3 m inside the lot line (14 m from the old pin). Tax lot unchanged. | pantry_control=operator (https://theyard.com/flatiron-south-coworking/); exclusive food contract signal: named beverage suppliers (Infinity coffee; Harney &amp; Sons tea); no exclusive contract stated</t>
  </si>
  <si>
    <t xml:space="preserve">AO-C-080</t>
  </si>
  <si>
    <t xml:space="preserve">Varley</t>
  </si>
  <si>
    <t xml:space="preserve">https://commercialobserver.com/2025/04/vitesse-psp-lease-155-fifth-avenue/</t>
  </si>
  <si>
    <t xml:space="preserve">155 Fifth Avenue</t>
  </si>
  <si>
    <t xml:space="preserve">B-C-080</t>
  </si>
  <si>
    <t xml:space="preserve">https://www.varley.com</t>
  </si>
  <si>
    <t xml:space="preserve">fashion brand (offices)</t>
  </si>
  <si>
    <t xml:space="preserve">B-B-037</t>
  </si>
  <si>
    <t xml:space="preserve">Scribner Building</t>
  </si>
  <si>
    <t xml:space="preserve">2025-04-25</t>
  </si>
  <si>
    <t xml:space="preserve">CO lists 'the offices of fashion retailer Varley' as the only other tenant at 155 Fifth. Contact page opened shows no address.</t>
  </si>
  <si>
    <t xml:space="preserve">AO-C-026</t>
  </si>
  <si>
    <t xml:space="preserve">Walleye Financial</t>
  </si>
  <si>
    <t xml:space="preserve">B-C-026</t>
  </si>
  <si>
    <t xml:space="preserve">investment firm</t>
  </si>
  <si>
    <t xml:space="preserve">Named 'investment firm Walleye Financial' in CO 2026-10-19. Not confirmed whether this is the same firm as Walleye Capital (Built In: 181 employees, HQ Plymouth MN); headcount left unknown.</t>
  </si>
  <si>
    <t xml:space="preserve">AO-W-004</t>
  </si>
  <si>
    <t xml:space="preserve">WeWork 18 West 18th Street</t>
  </si>
  <si>
    <t xml:space="preserve">https://www.wework.com/buildings/18-west-18th-street--new-york-city--NY</t>
  </si>
  <si>
    <t xml:space="preserve">18 West 18th Street, New York, NY 10011</t>
  </si>
  <si>
    <t xml:space="preserve">grp-W004-W018-W020-W024-W026-W029</t>
  </si>
  <si>
    <t xml:space="preserve">B-W-004</t>
  </si>
  <si>
    <t xml:space="preserve">https://www.wework.com</t>
  </si>
  <si>
    <t xml:space="preserve">WeWork</t>
  </si>
  <si>
    <t xml:space="preserve">B-B-014</t>
  </si>
  <si>
    <t xml:space="preserve">18 West 18th Street</t>
  </si>
  <si>
    <t xml:space="preserve">Operator page: 'Stocked kitchens: Enjoy complimentary filtered water, micro-roasted coffee, seltzers and tea'. Beverages only; no snacks named. Listed on WeWork NYC index (31 NYC locations) as Flatiron District. Staffed Mon-Fri 8am-5pm. Between Fifth and Sixth Ave. WeWork occupies five unnamed floors of the 12-storey building (operator page, opened 2026-10-24). WW International's 10-Q address is the 7th floor here; overlap unknown.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 | pantry_control=operator (https://www.wework.com/buildings/18-west-18th-street--new-york-city--NY); exclusive food contract signal: none found on amenity page</t>
  </si>
  <si>
    <t xml:space="preserve">parent 'wework' shared with AO-W-024, AO-W-018, AO-W-029, AO-W-026, AO-W-020</t>
  </si>
  <si>
    <t xml:space="preserve">AO-W-024</t>
  </si>
  <si>
    <t xml:space="preserve">WeWork 450 Park Ave S</t>
  </si>
  <si>
    <t xml:space="preserve">https://www.wework.com/buildings/450-park-ave-s--new-york-city--NY</t>
  </si>
  <si>
    <t xml:space="preserve">450 Park Avenue South, New York, NY 10016</t>
  </si>
  <si>
    <t xml:space="preserve">B-W-024</t>
  </si>
  <si>
    <t xml:space="preserve">B-B-081</t>
  </si>
  <si>
    <t xml:space="preserve">450 Park Avenue South</t>
  </si>
  <si>
    <t xml:space="preserve">Operator page: 'Stocked kitchens: complimentary filtered water, micro-roasted coffee, seltzers and tea'. Beverages only. Park Ave S at 30th-31st St: on the north edge, inside the two-street margin. | pantry_control=operator (https://www.wework.com/buildings/450-park-ave-s--new-york-city--NY); exclusive food contract signal: none found on amenity page</t>
  </si>
  <si>
    <t xml:space="preserve">parent 'wework' shared with AO-W-004, AO-W-018, AO-W-029, AO-W-026, AO-W-020</t>
  </si>
  <si>
    <t xml:space="preserve">AO-C-064</t>
  </si>
  <si>
    <t xml:space="preserve">William Grant &amp; Sons</t>
  </si>
  <si>
    <t xml:space="preserve">https://commercialobserver.com/2024/12/william-grant-sons-lease-902-broadway/</t>
  </si>
  <si>
    <t xml:space="preserve">B-C-064</t>
  </si>
  <si>
    <t xml:space="preserve">https://www.williamgrant.com</t>
  </si>
  <si>
    <t xml:space="preserve">spirits company (U.S. office)</t>
  </si>
  <si>
    <t xml:space="preserve">2024-12-03</t>
  </si>
  <si>
    <t xml:space="preserve">https://commercialobserver.com/2026/03/hudson-companies-broadway-builders-lease-902-broadway/</t>
  </si>
  <si>
    <t xml:space="preserve">2026-03-24</t>
  </si>
  <si>
    <t xml:space="preserve">27,160 sf</t>
  </si>
  <si>
    <t xml:space="preserve">U.S. headquarters move: 27,160 sf on floors 2 and 3 (CO Dec 2024; also TRD Jan 2025). CO Mar 2026 lists distiller William Grant &amp; Sons as a current tenant. Global company; headcount not sourced (Wikipedia infobox has none). Alcohol company. | Assembly 2026-10-24: Confidence lowered at assembly from high to medium: second source is the same publisher or missing. Review round 2: corner lot: the lot-centroid pin sat 27 m from E 20 ST but 31 m from BROADWAY, so it was moved to the BROADWAY frontage near the corner (15 m from the BROADWAY centreline, 27 m from E 20 ST; 16 m from the old pin). Tax lot unchanged.</t>
  </si>
  <si>
    <t xml:space="preserve">AO-C-020</t>
  </si>
  <si>
    <t xml:space="preserve">Mercury</t>
  </si>
  <si>
    <t xml:space="preserve">Tuesday estimate 4 to 729 (low confidence), 1,001 to 4,999 staff company-wide, on-site 5 days a week per its profile, occupancy-unconfirmed at a medium-confidence address; contacts not researched yet (below the top 50).</t>
  </si>
  <si>
    <t xml:space="preserve">B-C-020</t>
  </si>
  <si>
    <t xml:space="preserve">https://mercury.com</t>
  </si>
  <si>
    <t xml:space="preserve">fintech (business banking)</t>
  </si>
  <si>
    <t xml:space="preserve">1279</t>
  </si>
  <si>
    <t xml:space="preserve">https://www.reveliolabs.com/companies/mercury/employees</t>
  </si>
  <si>
    <t xml:space="preserve">https://www.builtinnyc.com/company/mercury</t>
  </si>
  <si>
    <t xml:space="preserve">https://www.builtinnyc.com/company/mercury/offices</t>
  </si>
  <si>
    <t xml:space="preserve">1279 (Revelio Labs) and 150 (Built In) staff (whole-company count) x 5% to 100% of them in the New York office (HQ outside New York; share assumed) x 57% (Partnership for NYC, all Manhattan firms; no figure for 500 to 4,999) in on a weekday = 4 to 729, central 54; low confidence; estimate until intake replaces it.</t>
  </si>
  <si>
    <t xml:space="preserve">CO 2025-03-27: Mercury Technologies 10,000 sf on the 10th floor. Built In NYC shows 150 total employees, HQ San Francisco; that profile count may be stale, founder to confirm on LinkedIn. | Assembly 2026-10-24: Built In's 150 total employees looks low against other reporting (S1 flag); band kept as sourced. Review round 2: band moved from 76-150 to over-500, so the row moves to Near-miss. Revelio Labs (Mercury Technologies, Inc., HQ San Francisco): about 1,279 employees worldwide as of March 2026. Built In shows 150 total employees (stale against Revelio; it is now the second source). Its NYC lease is 10,000 sf on one floor (CO 2025-03-27) against an HQ in San Francisco; the NYC office alone may fit the 40-250 band, founder to confirm.</t>
  </si>
  <si>
    <t xml:space="preserve">AO-C-251</t>
  </si>
  <si>
    <t xml:space="preserve">SharkNinja</t>
  </si>
  <si>
    <t xml:space="preserve">Tuesday estimate 114 to 2280 (low confidence), 1,001 to 4,999 staff company-wide, hybrid 3 days, occupied at a high-confidence address; contacts not researched yet (below the top 50).</t>
  </si>
  <si>
    <t xml:space="preserve">https://www.builtinnyc.com/articles/sharkninja-opens-nyc-office-20251105</t>
  </si>
  <si>
    <t xml:space="preserve">B-C-251</t>
  </si>
  <si>
    <t xml:space="preserve">https://www.sharkninja.com</t>
  </si>
  <si>
    <t xml:space="preserve">consumer products (home appliances)</t>
  </si>
  <si>
    <t xml:space="preserve">4000</t>
  </si>
  <si>
    <t xml:space="preserve">https://www.builtinnyc.com/company/sharkninja/offices</t>
  </si>
  <si>
    <t xml:space="preserve">Needham</t>
  </si>
  <si>
    <t xml:space="preserve">2025-11-05</t>
  </si>
  <si>
    <t xml:space="preserve">https://commercialobserver.com/2025/01/sharkninja-rudin-41-madison-avenue/</t>
  </si>
  <si>
    <t xml:space="preserve">2025-01-30</t>
  </si>
  <si>
    <t xml:space="preserve">Built In workplace type: Hybrid Workplace; typical time on-site: Not Specified (box) but policy text: 3 days in the office; recent job tags: 1 In-Office, 2 Remote</t>
  </si>
  <si>
    <t xml:space="preserve">4000 (Built In) staff (whole-company count) x 5% to 100% of them in the New York office (HQ outside New York; share assumed) x 57% (Partnership for NYC, all Manhattan firms; no figure for 500 to 4,999) in on a weekday = 114 to 2280, central 510; low confidence; estimate until intake replaces it.</t>
  </si>
  <si>
    <t xml:space="preserve">14,296 sf</t>
  </si>
  <si>
    <t xml:space="preserve">First NYC office, a Creative Design Hub for creative, design and marketing teams: 10-year 14,296 SF lease (CO 2025-01-30), opened Nov 2025 (Built In article 2025-11-05). Built In: 4,000 total employees, HQ Needham MA; NYC team size not stated. Over 500 company-wide: near-miss, though a consumer brand creative hub is a natural fit. Review round 2: corner lot: the lot-centroid pin sat 30 m from E 26 ST but 44 m from MADISON AVE, so it was moved to the MADISON AVE frontage near the corner (16 m from the MADISON AVE centreline, 30 m from E 26 ST; 29 m from the old pin). Tax lot unchanged.</t>
  </si>
  <si>
    <t xml:space="preserve">AO-C-258</t>
  </si>
  <si>
    <t xml:space="preserve">Jump Trading</t>
  </si>
  <si>
    <t xml:space="preserve">Tuesday estimate 57 to 1140 (low confidence), 1,001 to 4,999 staff company-wide, no attendance signal, occupied at a medium-confidence address; contacts not researched yet (below the top 50).</t>
  </si>
  <si>
    <t xml:space="preserve">B-C-258</t>
  </si>
  <si>
    <t xml:space="preserve">https://www.jumptrading.com</t>
  </si>
  <si>
    <t xml:space="preserve">2000</t>
  </si>
  <si>
    <t xml:space="preserve">https://en.wikipedia.org/wiki/Jump_Trading</t>
  </si>
  <si>
    <t xml:space="preserve">2000 (Wikipedia) staff (whole-company count) x 5% to 100% of them in the New York office (HQ city unknown; share assumed) x 57% (Partnership for NYC, all Manhattan firms; no figure for 500 to 4,999) in on a weekday = 57 to 1140, central 255; low confidence; estimate until intake replaces it.</t>
  </si>
  <si>
    <t xml:space="preserve">Named as a building tenant in two CO articles. HQ Chicago; size of NYC office not found. The slice opened no headcount source (the Wikipedia figure added at assembly is below). | Assembly 2026-10-24: Band set at assembly to over-500 from Wikipedia infobox: '2000+' employees (no year given). The NYC office size is unknown; the NYC office alone may fit, founder to confirm.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</si>
  <si>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AO-C-191</t>
  </si>
  <si>
    <t xml:space="preserve">Kaltura</t>
  </si>
  <si>
    <t xml:space="preserve">Tuesday estimate 208 to 416 (low confidence), 501 to 1,000 staff company-wide, hybrid (days not stated), occupied at a medium-confidence address; contacts not researched yet (below the top 50).</t>
  </si>
  <si>
    <t xml:space="preserve">B-C-191</t>
  </si>
  <si>
    <t xml:space="preserve">https://corp.kaltura.com</t>
  </si>
  <si>
    <t xml:space="preserve">video software</t>
  </si>
  <si>
    <t xml:space="preserve">730</t>
  </si>
  <si>
    <t xml:space="preserve">https://www.builtinnyc.com/company/kaltura-inc</t>
  </si>
  <si>
    <t xml:space="preserve">https://commercialobserver.com/2022/01/kaltura-lease-860-broadway-gordon-property-group/</t>
  </si>
  <si>
    <t xml:space="preserve">2022-01</t>
  </si>
  <si>
    <t xml:space="preserve">Built In workplace type: Hybrid Workplace; typical time on-site: Flexible; recent job tags: 3 Remote</t>
  </si>
  <si>
    <t xml:space="preserve">https://www.builtinnyc.com/company/kaltura-inc/offices</t>
  </si>
  <si>
    <t xml:space="preserve">730 (Built In) staff (whole-company count) x 50% to 100% of them in the New York office (HQ New York; share assumed) x 57% (Partnership for NYC, all Manhattan firms; no figure for 500 to 4,999) in on a weekday = 208 to 416, central 294; low confidence; estimate until intake replaces it.</t>
  </si>
  <si>
    <t xml:space="preserve">Near-miss: over 500. Built In NYC: 730 total employees, HQ New York. CO 2026-08-07 names Kaltura as a current 860 Broadway tenant. CO 2022-01: took the entire 3rd floor (Warhol Factory floor) as its NYC HQ, moving from 250 Park Ave S. | Assembly 2026-10-24: Conflict resolved at assembly: S2 saw an SEC business address of 250 Park Ave S, 10th floor. CO 2022-01 says Kaltura took the entire 3rd floor of 860 Broadway 'moving from 250 Park Ave S', and CO 2026-08-07 names it a current 860 Broadway tenant, so the SEC address is a stale registrant address. Kept at 860 Broadway. Over 500 either way. Confidence lowered at assembly from high to medium: second source is the same publisher or missing.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</si>
  <si>
    <t xml:space="preserve">AO-C-185</t>
  </si>
  <si>
    <t xml:space="preserve">Faire</t>
  </si>
  <si>
    <t xml:space="preserve">Tuesday estimate 34 to 684 (low confidence), 1,001 to 4,999 staff company-wide, hybrid (days not stated), occupancy-unconfirmed at a medium-confidence address; contacts not researched yet (below the top 50).</t>
  </si>
  <si>
    <t xml:space="preserve">9; 12</t>
  </si>
  <si>
    <t xml:space="preserve">B-C-185</t>
  </si>
  <si>
    <t xml:space="preserve">https://www.faire.com</t>
  </si>
  <si>
    <t xml:space="preserve">B2B wholesale marketplace</t>
  </si>
  <si>
    <t xml:space="preserve">https://www.builtinnyc.com/company/faire</t>
  </si>
  <si>
    <t xml:space="preserve">https://www.builtinnyc.com/company/faire/offices</t>
  </si>
  <si>
    <t xml:space="preserve">1200 (Built In) staff (whole-company count) x 5% to 100% of them in the New York office (HQ outside New York; share assumed) x 57% (Partnership for NYC, all Manhattan firms; no figure for 500 to 4,999) in on a weekday = 34 to 684, central 152; low confidence; estimate until intake replaces it.</t>
  </si>
  <si>
    <t xml:space="preserve">Near-miss: over 500. Built In NYC: 1,200 total employees, HQ San Francisco. CO 2025-03-27: about 20,000 sf on floors 9 and 12; article says the NYC office had about 50 employees when it opened in Greenwich Village in 2022 (old, not used for band).</t>
  </si>
  <si>
    <t xml:space="preserve">AO-C-040</t>
  </si>
  <si>
    <t xml:space="preserve">Farmacy Beauty</t>
  </si>
  <si>
    <t xml:space="preserve">Tuesday headcount unknown (no sourced count), company size unknown with a named parent (Procter &amp; Gamble), no attendance signal, occupied at a high-confidence address; contacts not researched yet (below the top 50).</t>
  </si>
  <si>
    <t xml:space="preserve">https://www.farmacybeauty.com/pages/contact-us</t>
  </si>
  <si>
    <t xml:space="preserve">B-C-040</t>
  </si>
  <si>
    <t xml:space="preserve">https://www.farmacybeauty.com</t>
  </si>
  <si>
    <t xml:space="preserve">skincare brand</t>
  </si>
  <si>
    <t xml:space="preserve">Procter &amp; Gamble</t>
  </si>
  <si>
    <t xml:space="preserve">Contact page mailing address 130 5th Ave, 4th fl; CO Dec 2024 names Farmacy Beauty among 130 Fifth leases. Review round 2: corner lot: the lot-centroid pin sat 21 m from W 18 ST but 36 m from 5 AVE, so it was moved to the 5 AVE frontage near the corner (17 m from the 5 AVE centreline, 26 m from W 18 ST; 19 m from the old pin). Tax lot unchanged.</t>
  </si>
  <si>
    <t xml:space="preserve">AO-C-005</t>
  </si>
  <si>
    <t xml:space="preserve">Nourish</t>
  </si>
  <si>
    <t xml:space="preserve">Tuesday estimate 90 to 2327 (low confidence), 1,001 to 4,999 staff company-wide, hybrid (days not stated), occupied at a high-confidence address; contacts not researched yet (below the top 50).</t>
  </si>
  <si>
    <t xml:space="preserve">B-C-005</t>
  </si>
  <si>
    <t xml:space="preserve">https://www.usenourish.com</t>
  </si>
  <si>
    <t xml:space="preserve">health tech (dietitian telehealth)</t>
  </si>
  <si>
    <t xml:space="preserve">4082</t>
  </si>
  <si>
    <t xml:space="preserve">315</t>
  </si>
  <si>
    <t xml:space="preserve">https://www.reveliolabs.com/companies/nourish/employees</t>
  </si>
  <si>
    <t xml:space="preserve">https://www.builtinnyc.com/company/nourish</t>
  </si>
  <si>
    <t xml:space="preserve">https://commercialobserver.com/2025/02/nourish-lease-853-broadway/</t>
  </si>
  <si>
    <t xml:space="preserve">https://www.builtinnyc.com/company/nourish/offices</t>
  </si>
  <si>
    <t xml:space="preserve">4082 (Revelio Labs) and 315 (Built In) staff (whole-company count) x 50% to 100% of them in the New York office (HQ New York; share assumed) x 57% (Partnership for NYC, all Manhattan firms; no figure for 500 to 4,999) in on a weekday = 90 to 2327, central 458; low confidence; estimate until intake replaces it.</t>
  </si>
  <si>
    <t xml:space="preserve">NYREJ 2025-04-08: entire 15th floor, 7,563 sf, five years, already moved in. Built In NYC: 315 total employees, HQ New York; NYC office headcount not sourced; founder to confirm at intake. CO 2025-02 independently reports the same 15th-floor lease. | Assembly 2026-10-24: Review round 2: band moved from 251-500 to over-500, so the row moves to Near-miss. Revelio Labs (Nourish, Inc. (New York), HQ Austin): about 4,082 employees worldwide as of March 2026. Built In shows 315 total employees (stale against Revelio; it is now the second source). Its NYC office is one 7,563 sf floor (NYREJ 2025-04-08); Revelio's page describes a dietitian telehealth service; the NYC office alone may fit the 40-250 band, founder to confirm.</t>
  </si>
  <si>
    <t xml:space="preserve">AO-C-254</t>
  </si>
  <si>
    <t xml:space="preserve">Superhuman (formerly Grammarly)</t>
  </si>
  <si>
    <t xml:space="preserve">Tuesday estimate 43 to 855 (low confidence), 1,001 to 4,999 staff company-wide, hybrid (days not stated), occupancy-unconfirmed at a medium-confidence address; contacts not researched yet (below the top 50).</t>
  </si>
  <si>
    <t xml:space="preserve">https://commercialobserver.com/2025/09/grammarly-bxps-360-park-avenue-south/</t>
  </si>
  <si>
    <t xml:space="preserve">one full floor (23,038 sf)</t>
  </si>
  <si>
    <t xml:space="preserve">B-C-254</t>
  </si>
  <si>
    <t xml:space="preserve">https://www.grammarly.com/</t>
  </si>
  <si>
    <t xml:space="preserve">Software (AI writing assistant)</t>
  </si>
  <si>
    <t xml:space="preserve">https://www.builtinnyc.com/company/superhuman-1/offices</t>
  </si>
  <si>
    <t xml:space="preserve">2025-09-02</t>
  </si>
  <si>
    <t xml:space="preserve">https://commercialobserver.com/2026/01/betches-coming-360-park-avenue-south/</t>
  </si>
  <si>
    <t xml:space="preserve">2026-01-22</t>
  </si>
  <si>
    <t xml:space="preserve">CO Sep 2025: 23,038 sf full floor; NYC address at the time was 29 West 30th St; move date unclear. CO Jan 2026 lists Grammarly as a current 360 PAS tenant (same publisher). HQ San Francisco. Wikipedia infobox has no employee count; headcount unknown. Possible overlap: S4 lists 'Superhuman (formerly Grammarly)' at 450 Park Ave S; the CO sources here place Grammarly's new NYC hub at 360 PAS. Founder to confirm which office is current; do not count twice. | Assembly 2026-10-24: Merged at assembly: S3 (Grammarly, 360 PAS) and S4 (Superhuman, 450 PAS) are one company. CO 2025-09-02 reports a 23,038 sf full-floor lease at 360 Park Ave S (its NYC address then was 29 W 30th St) and CO 2026-01-22 lists Grammarly as a current 360 PAS tenant, so 360 PAS is used. Built In's 450 Park Ave S address is the building of WeWork 450 Park Ave S and looks like a coworking membership or a stale entry. Built In: 1,500 total employees, so over 500 either way: near-miss. Review round 2: corner lot: the lot-centroid pin sat 22 m from E 26 ST but 36 m from PARK AVE S, so it was moved to the PARK AVE S frontage near the corner (13 m from the PARK AVE S centreline, 27 m from E 26 ST; 23 m from the old pin). Tax lot unchanged.</t>
  </si>
  <si>
    <t xml:space="preserve">AO-C-179</t>
  </si>
  <si>
    <t xml:space="preserve">Movable Ink</t>
  </si>
  <si>
    <t xml:space="preserve">Tuesday estimate 171 to 342 (low confidence), 501 to 1,000 staff company-wide, hybrid (days not stated), occupancy-unconfirmed at a low-confidence address; contacts not researched yet (below the top 50).</t>
  </si>
  <si>
    <t xml:space="preserve">B-C-179</t>
  </si>
  <si>
    <t xml:space="preserve">https://movableink.com</t>
  </si>
  <si>
    <t xml:space="preserve">marketing tech (email personalization)</t>
  </si>
  <si>
    <t xml:space="preserve">https://www.builtinnyc.com/company/movable-ink</t>
  </si>
  <si>
    <t xml:space="preserve">https://www.builtinnyc.com/company/movable-ink/offices</t>
  </si>
  <si>
    <t xml:space="preserve">600 (Built In) staff (whole-company count) x 50% to 100% of them in the New York office (HQ New York; share assumed) x 57% (Partnership for NYC, all Manhattan firms; no figure for 500 to 4,999) in on a weekday = 171 to 342, central 242; low confidence; estimate until intake replaces it.</t>
  </si>
  <si>
    <t xml:space="preserve">Near-miss: over 500 (Built In: 600 total employees, HQ New York) and margin. CO 2024-06: about 14,000 sf long-term lease at 841 Broadway, moving from 5 Bryant Park. Source older than 24 months, no current confirmation found. Review round 2: corner lot: the lot-centroid pin sat 21 m from E 13 ST but 30 m from BROADWAY, so it was moved to the BROADWAY frontage near the corner (15 m from the BROADWAY centreline, 26 m from E 13 ST; 15 m from the old pin). Tax lot unchanged.</t>
  </si>
  <si>
    <t xml:space="preserve">AO-C-006</t>
  </si>
  <si>
    <t xml:space="preserve">Perplexity</t>
  </si>
  <si>
    <t xml:space="preserve">Tuesday headcount unknown (no sourced count), company size unknown, no attendance signal, occupancy-unconfirmed at a high-confidence address; contacts not researched yet (below the top 50).</t>
  </si>
  <si>
    <t xml:space="preserve">New or renewed lease at 853 Broadway reported 2026-03-05</t>
  </si>
  <si>
    <t xml:space="preserve">https://nyrej.com/perplexity-expands-presence-at-841-853-broadway</t>
  </si>
  <si>
    <t xml:space="preserve">2026-03-05</t>
  </si>
  <si>
    <t xml:space="preserve">4 (plus 4th floor of adjoining 841 Broadway)</t>
  </si>
  <si>
    <t xml:space="preserve">B-C-006</t>
  </si>
  <si>
    <t xml:space="preserve">https://www.perplexity.ai</t>
  </si>
  <si>
    <t xml:space="preserve">AI search</t>
  </si>
  <si>
    <t xml:space="preserve">22,000 sf;14,000 sf;8,000 sf</t>
  </si>
  <si>
    <t xml:space="preserve">NYREJ 2026-03-05 (Feil Organization): entire 4th floor of 853 Broadway leased the prior June, plus the full 4th floor of 841 Broadway; 22,000 sf combined, wall to be removed. HQ San Francisco. Built In NYC shows only 41 employees, which conflicts with its growth; band left unknown. Margin (south side of 14th). CO 2026-01-27: new 14,000 sf full 4th floor at 841 Broadway on top of the 8,000 sf 4th floor at 853 Broadway.</t>
  </si>
  <si>
    <t xml:space="preserve">AO-C-025</t>
  </si>
  <si>
    <t xml:space="preserve">Kharon</t>
  </si>
  <si>
    <t xml:space="preserve">Tuesday estimate 2 to 44 (low confidence), under 500 staff company-wide, hybrid (days not stated), occupancy-unconfirmed at a medium-confidence address; contacts not researched yet (below the top 50).</t>
  </si>
  <si>
    <t xml:space="preserve">B-C-025</t>
  </si>
  <si>
    <t xml:space="preserve">https://www.kharon.com</t>
  </si>
  <si>
    <t xml:space="preserve">risk intelligence software (sanctions and financial crime)</t>
  </si>
  <si>
    <t xml:space="preserve">https://www.builtinnyc.com/company/kharon</t>
  </si>
  <si>
    <t xml:space="preserve">Los Angeles</t>
  </si>
  <si>
    <t xml:space="preserve">https://www.builtinnyc.com/company/kharon/offices</t>
  </si>
  <si>
    <t xml:space="preserve">65 (Built In) staff (whole-company count) x 5% to 100% of them in the New York office (HQ outside New York; share assumed) x 67% (Partnership for NYC, firms under 500) in on a weekday = 2 to 44, central 9; low confidence; estimate until intake replaces it.</t>
  </si>
  <si>
    <t xml:space="preserve">6,500 sf</t>
  </si>
  <si>
    <t xml:space="preserve">CO 2026-10-19: Kharon took 6,500 sf at 120 Fifth Ave in August 2026 (Bromley prebuilt full floors). Built In NYC: 65 total employees, HQ Los Angeles, so the band describes the whole company; NYC headcount not sourced.</t>
  </si>
  <si>
    <t xml:space="preserve">AO-C-010</t>
  </si>
  <si>
    <t xml:space="preserve">GameChanger</t>
  </si>
  <si>
    <t xml:space="preserve">Tuesday estimate 74 to 380 (low confidence), 501 to 1,000 staff company-wide with a named parent (Dick's Sporting Goods), remote-first signal, occupied at a high-confidence address; contacts not researched yet (below the top 50).</t>
  </si>
  <si>
    <t xml:space="preserve">https://gc.com/about</t>
  </si>
  <si>
    <t xml:space="preserve">B-C-010</t>
  </si>
  <si>
    <t xml:space="preserve">https://gc.com</t>
  </si>
  <si>
    <t xml:space="preserve">sports tech (youth sports streaming and scorekeeping)</t>
  </si>
  <si>
    <t xml:space="preserve">667</t>
  </si>
  <si>
    <t xml:space="preserve">260</t>
  </si>
  <si>
    <t xml:space="preserve">https://www.reveliolabs.com/companies/gamechanger-media/employees</t>
  </si>
  <si>
    <t xml:space="preserve">https://www.builtinnyc.com/company/gamechanger</t>
  </si>
  <si>
    <t xml:space="preserve">Dick's Sporting Goods</t>
  </si>
  <si>
    <t xml:space="preserve">Built In workplace type: Remote Workplace; recent job tags: 1 Hybrid, 2 Remote</t>
  </si>
  <si>
    <t xml:space="preserve">https://www.builtinnyc.com/company/gamechanger/offices</t>
  </si>
  <si>
    <t xml:space="preserve">667 (Revelio Labs) and 260 (Built In) staff (whole-company count) x 50% to 100% of them in the New York office (HQ New York; share assumed) x 57% (Partnership for NYC, all Manhattan firms; no figure for 500 to 4,999) in on a weekday = 74 to 380, central 168; low confidence; estimate until intake replaces it.</t>
  </si>
  <si>
    <t xml:space="preserve">25,600 sf</t>
  </si>
  <si>
    <t xml:space="preserve">Site footer: '124 East 14th Street 17th Floor New York, NY 10003'. CO 2022-12 and 2024-08: Dick's Sporting Goods leased 25,600 sf for GameChanger at Zero Irving. Built In NYC: 260 total employees, HQ New York. Owned by Dick's Sporting Goods (parent far over 500). Margin: south side of 14th between Irving Pl and Third Ave. | Assembly 2026-10-24: Review round 2: band moved from 251-500 to over-500, so the row moves to Near-miss. Revelio Labs (GameChanger Media, Inc., HQ New York City): about 667 employees worldwide as of March 2026. Built In shows 260 total employees (stale against Revelio; it is now the second source).</t>
  </si>
  <si>
    <t xml:space="preserve">AO-C-041</t>
  </si>
  <si>
    <t xml:space="preserve">Fresh (LVMH)</t>
  </si>
  <si>
    <t xml:space="preserve">Tuesday headcount unknown (no sourced count), company size unknown with a named parent (LVMH), no attendance signal, occupied at a medium-confidence address; contacts not researched yet (below the top 50).</t>
  </si>
  <si>
    <t xml:space="preserve">B-C-041</t>
  </si>
  <si>
    <t xml:space="preserve">https://www.fresh.com</t>
  </si>
  <si>
    <t xml:space="preserve">cosmetics brand</t>
  </si>
  <si>
    <t xml:space="preserve">LVMH</t>
  </si>
  <si>
    <t xml:space="preserve">26,600 sf</t>
  </si>
  <si>
    <t xml:space="preserve">Renewed 26,600 sf in Sept 2024. Division of LVMH (parent far over 500); Fresh's own headcount not sourced. Review round 2: corner lot: the lot-centroid pin sat 21 m from W 18 ST but 36 m from 5 AVE, so it was moved to the 5 AVE frontage near the corner (17 m from the 5 AVE centreline, 26 m from W 18 ST; 19 m from the old pin). Tax lot unchanged.</t>
  </si>
  <si>
    <t xml:space="preserve">AO-C-015</t>
  </si>
  <si>
    <t xml:space="preserve">Gresham Investment Management</t>
  </si>
  <si>
    <t xml:space="preserve">Tuesday headcount unknown (no sourced count), company size unknown with a named parent (Nuveen), no attendance signal, occupied at a medium-confidence address; contacts not researched yet (below the top 50).</t>
  </si>
  <si>
    <t xml:space="preserve">https://www.greshamllc.com/contact</t>
  </si>
  <si>
    <t xml:space="preserve">19 Union Square West</t>
  </si>
  <si>
    <t xml:space="preserve">B-C-015</t>
  </si>
  <si>
    <t xml:space="preserve">https://www.greshamllc.com</t>
  </si>
  <si>
    <t xml:space="preserve">investment management (commodities)</t>
  </si>
  <si>
    <t xml:space="preserve">Nuveen</t>
  </si>
  <si>
    <t xml:space="preserve">B-B-005</t>
  </si>
  <si>
    <t xml:space="preserve">https://www.mannpublications.com/mannreport/2024/06/10/hedge-fund-manager-relocates-to-19-union-square-west/</t>
  </si>
  <si>
    <t xml:space="preserve">2024-06-10</t>
  </si>
  <si>
    <t xml:space="preserve">Contact page: 'Gresham Investment Management LLC 19 Union Square West, 11th Floor New York, NY 10003'. Nuveen subsidiary. The Mann Report 2024-06 item was seen in search results only, not opened, so it is not counted toward confidence. Headcount not sourced; founder to confirm at intake. Review round 2: corner lot: the lot-centroid pin sat 17 m from E 15 ST but 33 m from UNION SQ W, so it was moved to the UNION SQ W frontage near the corner (12 m from the UNION SQ W centreline, 27 m from E 15 ST; 23 m from the old pin). Tax lot unchanged. Review round 3: the pin sat 3.1 m outside its own tax lot (NYC MapPLUTO (Department of City Planning) tax-lot polygons), so it was moved to the middle of the lot's 17 m UNION SQ W frontage, 3 m inside the lot line (12 m from the old pin). Tax lot unchanged.</t>
  </si>
  <si>
    <t xml:space="preserve">AO-C-093</t>
  </si>
  <si>
    <t xml:space="preserve">Kodansha USA</t>
  </si>
  <si>
    <t xml:space="preserve">Tuesday headcount unknown (no sourced count), company size unknown with a named parent (Kodansha), no attendance signal, occupied at a medium-confidence address; contacts not researched yet (below the top 50).</t>
  </si>
  <si>
    <t xml:space="preserve">https://kodansha.us/privacy-policy/</t>
  </si>
  <si>
    <t xml:space="preserve">25 East 22nd Street</t>
  </si>
  <si>
    <t xml:space="preserve">building owner-occupant</t>
  </si>
  <si>
    <t xml:space="preserve">B-C-093</t>
  </si>
  <si>
    <t xml:space="preserve">https://kodansha.us/</t>
  </si>
  <si>
    <t xml:space="preserve">Publishing (manga and books)</t>
  </si>
  <si>
    <t xml:space="preserve">Kodansha</t>
  </si>
  <si>
    <t xml:space="preserve">B-B-045</t>
  </si>
  <si>
    <t xml:space="preserve">25 East 22nd Street (owner-occupied by Kodansha)</t>
  </si>
  <si>
    <t xml:space="preserve">https://flatironnomad.nyc/2024/02/07/january-news-roundup-5/</t>
  </si>
  <si>
    <t xml:space="preserve">2024-02-07</t>
  </si>
  <si>
    <t xml:space="preserve">17,000 sf</t>
  </si>
  <si>
    <t xml:space="preserve">Kodansha USA privacy policy (live) gives 25 East 22nd Street, New York, NY 10010. FNP Feb 2024 roundup (citing Crain's) reports Kodansha bought the six-story, 17,000 sf building. Headcount not found in an opened source.</t>
  </si>
  <si>
    <t xml:space="preserve">AO-C-036</t>
  </si>
  <si>
    <t xml:space="preserve">Matador Content</t>
  </si>
  <si>
    <t xml:space="preserve">Tuesday headcount unknown (no sourced count), company size unknown with a named parent (Boat Rocker Media), no attendance signal, occupied at a medium-confidence address; contacts not researched yet (below the top 50).</t>
  </si>
  <si>
    <t xml:space="preserve">B-C-036</t>
  </si>
  <si>
    <t xml:space="preserve">TV and film production</t>
  </si>
  <si>
    <t xml:space="preserve">Boat Rocker Media</t>
  </si>
  <si>
    <t xml:space="preserve">17,255 sf</t>
  </si>
  <si>
    <t xml:space="preserve">SEC rent roll 2026-02-05: Matador Content LLC 17,255 sf, lease to 2028-08-31; it subleases parts of its 8th floor to OBB Media, LLC and Initial Group Global LLC through 2026-12-31, so part of its floor is sublet; its own headcount is not sourced. Website and headcount not confirmed.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</si>
  <si>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AO-C-232</t>
  </si>
  <si>
    <t xml:space="preserve">TKO Group Holdings</t>
  </si>
  <si>
    <t xml:space="preserve">Tuesday estimate 114 to 2280 (low confidence), 1,001 to 4,999 staff company-wide, no attendance signal, occupied at a high-confidence address; contacts not researched yet (below the top 50).</t>
  </si>
  <si>
    <t xml:space="preserve">https://tkogrp.com/privacy-policy/</t>
  </si>
  <si>
    <t xml:space="preserve">200 Fifth Avenue</t>
  </si>
  <si>
    <t xml:space="preserve">B-C-232</t>
  </si>
  <si>
    <t xml:space="preserve">https://tkogrp.com/</t>
  </si>
  <si>
    <t xml:space="preserve">Sports entertainment (WWE, UFC parent)</t>
  </si>
  <si>
    <t xml:space="preserve">https://en.wikipedia.org/wiki/TKO_Group_Holdings</t>
  </si>
  <si>
    <t xml:space="preserve">https://en.wikipedia.org/wiki/200_Fifth_Avenue</t>
  </si>
  <si>
    <t xml:space="preserve">4000 (Wikipedia) staff (whole-company count) x 5% to 100% of them in the New York office (HQ city unknown; share assumed) x 57% (Partnership for NYC, all Manhattan firms; no figure for 500 to 4,999) in on a weekday = 114 to 2280, central 510; low confidence; estimate until intake replaces it.</t>
  </si>
  <si>
    <t xml:space="preserve">Company privacy policy and terms (live) give '200 5th Ave, New York, NY 10010'. Wikipedia's 200 Fifth Avenue article lists TKO as a tenant; TKO's own Wikipedia infobox gives HQ 200 Fifth Avenue and c. 4,000 employees (2025). Near-miss (over-500). Review round 2: corner lot: the lot-centroid pin sat 36 m from W 24 ST but 53 m from 5 AVE, so it was moved to the 5 AVE frontage near the corner (15 m from the 5 AVE centreline, 37 m from W 24 ST; 38 m from the old pin). Tax lot unchanged.</t>
  </si>
  <si>
    <t xml:space="preserve">AO-C-223</t>
  </si>
  <si>
    <t xml:space="preserve">MSQ Partners</t>
  </si>
  <si>
    <t xml:space="preserve">Tuesday estimate 53 to 1054 (low confidence), 1,001 to 4,999 staff company-wide, no attendance signal, occupancy-unconfirmed at a medium-confidence address; contacts not researched yet (below the top 50).</t>
  </si>
  <si>
    <t xml:space="preserve">8 and part of 7</t>
  </si>
  <si>
    <t xml:space="preserve">B-C-223</t>
  </si>
  <si>
    <t xml:space="preserve">https://www.msqpartners.com/</t>
  </si>
  <si>
    <t xml:space="preserve">Marketing / creative agency</t>
  </si>
  <si>
    <t xml:space="preserve">1850</t>
  </si>
  <si>
    <t xml:space="preserve">https://www.msqpartners.com/about</t>
  </si>
  <si>
    <t xml:space="preserve">1850 (msqpartners.com) staff (whole-company count) x 5% to 100% of them in the New York office (HQ city unknown; share assumed) x 57% (Partnership for NYC, all Manhattan firms; no figure for 500 to 4,999) in on a weekday = 53 to 1054, central 236; low confidence; estimate until intake replaces it.</t>
  </si>
  <si>
    <t xml:space="preserve">38,273 sf</t>
  </si>
  <si>
    <t xml:space="preserve">CO Sep 2025: 10-yr lease, 38,273 sf, entire 8th floor and part of the 7th; MSQ North America's president calls it the North American headquarters. NYREJ repeats the same landlord release. London-based group; its About page (live) gives '1850+' people across 24 global offices, so the company is over 500 (near-miss). New York headcount not stated.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</si>
  <si>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AO-C-166</t>
  </si>
  <si>
    <t xml:space="preserve">Atlantic Vantage Point (AVP, formerly AXA Venture Partners)</t>
  </si>
  <si>
    <t xml:space="preserve">Tuesday headcount unknown (no sourced count), company size unknown, no attendance signal, occupancy-unconfirmed at a medium-confidence address; contacts not researched yet (below the top 50).</t>
  </si>
  <si>
    <t xml:space="preserve">https://commercialobserver.com/2025/09/investment-firm-atlantic-vantage-point-takes-8k-sf-at-99-madison-avenue/</t>
  </si>
  <si>
    <t xml:space="preserve">99 Madison Avenue</t>
  </si>
  <si>
    <t xml:space="preserve">B-C-166</t>
  </si>
  <si>
    <t xml:space="preserve">https://www.avp.vc</t>
  </si>
  <si>
    <t xml:space="preserve">venture capital and growth equity</t>
  </si>
  <si>
    <t xml:space="preserve">B-B-078</t>
  </si>
  <si>
    <t xml:space="preserve">99 Madison Avenue (Windsor Management)</t>
  </si>
  <si>
    <t xml:space="preserve">2025-09-22</t>
  </si>
  <si>
    <t xml:space="preserve">8,264 sf</t>
  </si>
  <si>
    <t xml:space="preserve">10-year 8,264 SF lease; NYC HQ moving from 1330 Avenue of the Americas. Note avp.vc now shows 'Advance Venture Partners' (San Francisco and New York) with no street address; founder to confirm the name. Headcount not found. Review round 2: corner lot: the lot-centroid pin sat 18 m from E 29 ST but 23 m from MADISON AVE, so it was moved to the MADISON AVE frontage near the corner (16 m from the MADISON AVE centreline, 26 m from E 29 ST; 11 m from the old pin). Tax lot unchanged.</t>
  </si>
  <si>
    <t xml:space="preserve">AO-C-112</t>
  </si>
  <si>
    <t xml:space="preserve">BrightTower</t>
  </si>
  <si>
    <t xml:space="preserve">New or renewed lease at 41 Madison Avenue reported 2026-03-09</t>
  </si>
  <si>
    <t xml:space="preserve">https://commercialobserver.com/2026/03/brighttower-lease-rudin-41-madison-avenue/</t>
  </si>
  <si>
    <t xml:space="preserve">B-C-112</t>
  </si>
  <si>
    <t xml:space="preserve">https://brighttower.com</t>
  </si>
  <si>
    <t xml:space="preserve">investment banking (M&amp;A advisory)</t>
  </si>
  <si>
    <t xml:space="preserve">13,857 sf</t>
  </si>
  <si>
    <t xml:space="preserve">13,857 SF full 32nd floor; HQ move from 110 East 25th Street planned for Q2 2026 (not confirmed complete). Company site has no address text. Headcount not found. | Assembly 2026-10-24: Review round 2: the planned Q2 2026 move date has passed. brighttower.com (home page opened 2026-10-24) prints no address, so the move is not confirmed. Check the 41 Madison Ave lobby directory on the walk. Review round 2: corner lot: the lot-centroid pin sat 30 m from E 26 ST but 44 m from MADISON AVE, so it was moved to the MADISON AVE frontage near the corner (16 m from the MADISON AVE centreline, 30 m from E 26 ST; 29 m from the old pin). Tax lot unchanged.</t>
  </si>
  <si>
    <t xml:space="preserve">AO-C-167</t>
  </si>
  <si>
    <t xml:space="preserve">Davies Group</t>
  </si>
  <si>
    <t xml:space="preserve">New or renewed lease at 99 Madison Avenue reported 2025-11-04</t>
  </si>
  <si>
    <t xml:space="preserve">https://commercialobserver.com/2025/11/davies-group-lease-99-madison-avenue/</t>
  </si>
  <si>
    <t xml:space="preserve">2025-11-04</t>
  </si>
  <si>
    <t xml:space="preserve">B-C-167</t>
  </si>
  <si>
    <t xml:space="preserve">professional services and technology (insurance claims and consulting)</t>
  </si>
  <si>
    <t xml:space="preserve">U.K.-based; five-year 8,264 SF lease on floor 3, consolidating its NYC offices. Company-wide headcount not sourced. Building said to be fully leased. Review round 2: corner lot: the lot-centroid pin sat 18 m from E 29 ST but 23 m from MADISON AVE, so it was moved to the MADISON AVE frontage near the corner (16 m from the MADISON AVE centreline, 26 m from E 29 ST; 11 m from the old pin). Tax lot unchanged.</t>
  </si>
  <si>
    <t xml:space="preserve">AO-C-076</t>
  </si>
  <si>
    <t xml:space="preserve">Euclidean Capital</t>
  </si>
  <si>
    <t xml:space="preserve">https://commercialobserver.com/2025/01/euclidean-capital-lease-149-fifth-avenue/</t>
  </si>
  <si>
    <t xml:space="preserve">149 Fifth Avenue</t>
  </si>
  <si>
    <t xml:space="preserve">B-C-076</t>
  </si>
  <si>
    <t xml:space="preserve">investment management (family office)</t>
  </si>
  <si>
    <t xml:space="preserve">B-B-035</t>
  </si>
  <si>
    <t xml:space="preserve">2025-01-08</t>
  </si>
  <si>
    <t xml:space="preserve">23,000 sf on two floors; CO says it also has offices at 160 Fifth Avenue (per its LinkedIn page, which we did not open). Family office of the late Jim Simons. Website not confirmed (euclidean.com opened but shows no address).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</si>
  <si>
    <t xml:space="preserve">AO-C-092</t>
  </si>
  <si>
    <t xml:space="preserve">Flexible Finance (Flex)</t>
  </si>
  <si>
    <t xml:space="preserve">top three floors</t>
  </si>
  <si>
    <t xml:space="preserve">B-C-092</t>
  </si>
  <si>
    <t xml:space="preserve">fintech (flexible rent payments)</t>
  </si>
  <si>
    <t xml:space="preserve">https://therealdeal.com/new-york/2025/09/02/top-office-leases-nyc-in-august-2025/</t>
  </si>
  <si>
    <t xml:space="preserve">41,000 sf</t>
  </si>
  <si>
    <t xml:space="preserve">41,000 sf lease of the top three floors, relocating from 33 Irving Place (also margin). TRD's August 2025 top-leases list repeats the deal. 300 PAS is on the 22nd-23rd St block, so margin. Company website not confirmed; headcount not sourced (Built In 'flex' is a different LA company). Review round 2: corner lot: the lot-centroid pin sat 24 m from E 22 ST but 25 m from PARK AVE S, so it was moved to the PARK AVE S frontage near the corner (13 m from the PARK AVE S centreline, 27 m from E 22 ST; 12 m from the old pin). Tax lot unchanged.</t>
  </si>
  <si>
    <t xml:space="preserve">AO-C-024</t>
  </si>
  <si>
    <t xml:space="preserve">Iterative Scopes</t>
  </si>
  <si>
    <t xml:space="preserve">B-C-024</t>
  </si>
  <si>
    <t xml:space="preserve">AI health care (gastroenterology software)</t>
  </si>
  <si>
    <t xml:space="preserve">CO 2026-10-19: took 6,500 sf at 120 Fifth Ave in April 2026. Website and headcount not confirmed.</t>
  </si>
  <si>
    <t xml:space="preserve">AO-C-062</t>
  </si>
  <si>
    <t xml:space="preserve">Manifest Law</t>
  </si>
  <si>
    <t xml:space="preserve">New or renewed lease at 902 Broadway reported 2026-08-06</t>
  </si>
  <si>
    <t xml:space="preserve">https://commercialobserver.com/2026/08/manifest-law-sublease-koeppel-rosen-902-broadway/</t>
  </si>
  <si>
    <t xml:space="preserve">2026-08-06</t>
  </si>
  <si>
    <t xml:space="preserve">B-C-062</t>
  </si>
  <si>
    <t xml:space="preserve">https://www.manifestlaw.com</t>
  </si>
  <si>
    <t xml:space="preserve">law firm (immigration, tech-enabled)</t>
  </si>
  <si>
    <t xml:space="preserve">18,200 sf</t>
  </si>
  <si>
    <t xml:space="preserve">18,200 sf sublease of the full 8th floor from Adaptive Security; relocating from 333 Park Avenue South. Company site returned 403 to our fetch (2026-10-23). Review round 2: corner lot: the lot-centroid pin sat 27 m from E 20 ST but 31 m from BROADWAY, so it was moved to the BROADWAY frontage near the corner (15 m from the BROADWAY centreline, 27 m from E 20 ST; 16 m from the old pin). Tax lot unchanged.</t>
  </si>
  <si>
    <t xml:space="preserve">AO-C-156</t>
  </si>
  <si>
    <t xml:space="preserve">Modern FL</t>
  </si>
  <si>
    <t xml:space="preserve">B-C-156</t>
  </si>
  <si>
    <t xml:space="preserve">furniture and lighting</t>
  </si>
  <si>
    <t xml:space="preserve">13,121 sf</t>
  </si>
  <si>
    <t xml:space="preserve">U.K.-based furniture and lighting firm; 13,121 SF on floor 9. CO says unclear whether this is its first NYC office. Use may be office or showroom; size unknown,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</si>
  <si>
    <t xml:space="preserve">AO-C-049</t>
  </si>
  <si>
    <t xml:space="preserve">Phia</t>
  </si>
  <si>
    <t xml:space="preserve">New or renewed lease at 37 East 18th Street reported 2026-06-03</t>
  </si>
  <si>
    <t xml:space="preserve">penthouse</t>
  </si>
  <si>
    <t xml:space="preserve">B-C-049</t>
  </si>
  <si>
    <t xml:space="preserve">https://phia.com</t>
  </si>
  <si>
    <t xml:space="preserve">AI shopping assistant (consumer tech)</t>
  </si>
  <si>
    <t xml:space="preserve">8,900 sf</t>
  </si>
  <si>
    <t xml:space="preserve">CO 2026-06-03: 8,900 sf penthouse level at Zar Property NY's 37 East 18th St, a block north of Union Square. A Built In NYC 'Phia' profile (HQ Fairfax, 77 employees, founded 2025) could not be confirmed as the same company, so band left unknown. Website domain not verified. 37 E 18th St is on the north side of 18th (tax block 847, the 18th-19th block), so margin.</t>
  </si>
  <si>
    <t xml:space="preserve">AO-C-110</t>
  </si>
  <si>
    <t xml:space="preserve">Purple (PR)</t>
  </si>
  <si>
    <t xml:space="preserve">New or renewed lease at 16 Madison Square West reported 2026-01-08</t>
  </si>
  <si>
    <t xml:space="preserve">full floor (number not stated)</t>
  </si>
  <si>
    <t xml:space="preserve">B-C-110</t>
  </si>
  <si>
    <t xml:space="preserve">https://purplepr.com/</t>
  </si>
  <si>
    <t xml:space="preserve">Public relations / lifestyle communications</t>
  </si>
  <si>
    <t xml:space="preserve">https://flatironnomad.nyc/2026/02/18/january-news-roundup-7/</t>
  </si>
  <si>
    <t xml:space="preserve">24,000 sf</t>
  </si>
  <si>
    <t xml:space="preserve">CO Jan 2026: 10-yr lease, about 24,000 sf full floor, relocating from 322 Eighth Ave. London-based with offices in LA, Miami, Hong Kong. Move-in date not stated. FNP roundup repeats the CO report. Not the mattress company Purple.</t>
  </si>
  <si>
    <t xml:space="preserve">AO-C-134</t>
  </si>
  <si>
    <t xml:space="preserve">Reckoner Capital Management</t>
  </si>
  <si>
    <t xml:space="preserve">B-C-134</t>
  </si>
  <si>
    <t xml:space="preserve">https://reckoner.com</t>
  </si>
  <si>
    <t xml:space="preserve">asset management (alternative credit)</t>
  </si>
  <si>
    <t xml:space="preserve">12,124 sf</t>
  </si>
  <si>
    <t xml:space="preserve">12,124 SF on full 10th floor, its first NYC office (firm launched Feb 2025, backed by RedBird). Second item is the same publication, so not counted as independent.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</si>
  <si>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AO-C-149</t>
  </si>
  <si>
    <t xml:space="preserve">SWA Group</t>
  </si>
  <si>
    <t xml:space="preserve">https://commercialobserver.com/2026/08/swa-group-lease-381-park-avenue-south/</t>
  </si>
  <si>
    <t xml:space="preserve">12 (part)</t>
  </si>
  <si>
    <t xml:space="preserve">B-C-149</t>
  </si>
  <si>
    <t xml:space="preserve">landscape architecture and urban design</t>
  </si>
  <si>
    <t xml:space="preserve">2026-08-11</t>
  </si>
  <si>
    <t xml:space="preserve">5,789 sf</t>
  </si>
  <si>
    <t xml:space="preserve">10.5-year 5,789 SF lease on part of floor 12, relocating from 31 West 27th Street (also in this slice).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</si>
  <si>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AO-C-117</t>
  </si>
  <si>
    <t xml:space="preserve">Urban Atelier Group</t>
  </si>
  <si>
    <t xml:space="preserve">https://commercialobserver.com/2024/11/urban-atelier-group-lease-41-madison-avenue/</t>
  </si>
  <si>
    <t xml:space="preserve">12-13</t>
  </si>
  <si>
    <t xml:space="preserve">B-C-117</t>
  </si>
  <si>
    <t xml:space="preserve">construction management and design-build</t>
  </si>
  <si>
    <t xml:space="preserve">2024-11-04</t>
  </si>
  <si>
    <t xml:space="preserve">25,268 sf</t>
  </si>
  <si>
    <t xml:space="preserve">15-year 25,268 SF lease on floors 12-13 for its new HQ (relocation and expansion). Headcount not found. Review round 2: corner lot: the lot-centroid pin sat 30 m from E 26 ST but 44 m from MADISON AVE, so it was moved to the MADISON AVE frontage near the corner (16 m from the MADISON AVE centreline, 30 m from E 26 ST; 29 m from the old pin). Tax lot unchanged.</t>
  </si>
  <si>
    <t xml:space="preserve">AO-C-081</t>
  </si>
  <si>
    <t xml:space="preserve">Vitesse PSP</t>
  </si>
  <si>
    <t xml:space="preserve">B-C-081</t>
  </si>
  <si>
    <t xml:space="preserve">https://www.vitesse.io</t>
  </si>
  <si>
    <t xml:space="preserve">fintech (payments and treasury)</t>
  </si>
  <si>
    <t xml:space="preserve">5,200 sf</t>
  </si>
  <si>
    <t xml:space="preserve">5,200 sf lease (CO citing Crain's). London-based; NYC headcount not sourced.</t>
  </si>
  <si>
    <t xml:space="preserve">AO-W-018</t>
  </si>
  <si>
    <t xml:space="preserve">WeWork 245 5th Ave</t>
  </si>
  <si>
    <t xml:space="preserve">Tuesday headcount unknown (no sourced count), coworking operator site (one office if it controls the pantry), no attendance signal, open-unverified at a medium-confidence address; contacts not researched yet (below the top 50).</t>
  </si>
  <si>
    <t xml:space="preserve">https://www.wework.com/buildings/245-5th-ave--new-york-city--NY</t>
  </si>
  <si>
    <t xml:space="preserve">245 Fifth Avenue, New York, NY 10016</t>
  </si>
  <si>
    <t xml:space="preserve">open-unverified</t>
  </si>
  <si>
    <t xml:space="preserve">B-W-018</t>
  </si>
  <si>
    <t xml:space="preserve">New location: search snippet of this page read 'Opening Summer 2026!' (2nd, 4th, 5th and 6th floors, 55,090 RSF). Page opened 2026-10-23 shows staffed hours and availability; open status unverified, founder to confirm. 'Stocked kitchens: complimentary filtered water, micro-roasted coffee, seltzers and tea'. Fifth Ave at 28th St. Not on WeWork's NYC index as opened 2026-10-24, but a wework.com listing page shows a '4th Floor' office at 245 5th Ave; open status unverified, founder to confirm. Review round 2: corner lot: the lot-centroid pin sat 24 m from E 28 ST but 34 m from 5 AVE, so it was moved to the 5 AVE frontage near the corner (17 m from the 5 AVE centreline, 26 m from E 28 ST; 17 m from the old pin). Tax lot unchanged. | pantry_control=operator (https://www.wework.com/buildings/245-5th-ave--new-york-city--NY); exclusive food contract signal: none found on amenity page</t>
  </si>
  <si>
    <t xml:space="preserve">parent 'wework' shared with AO-W-004, AO-W-024, AO-W-029, AO-W-026, AO-W-020</t>
  </si>
  <si>
    <t xml:space="preserve">AO-C-200</t>
  </si>
  <si>
    <t xml:space="preserve">Ro</t>
  </si>
  <si>
    <t xml:space="preserve">Tuesday estimate 235 to 470 (low confidence), 501 to 1,000 staff company-wide, hybrid 2 days or fewer, occupied at a high-confidence address; contacts not researched yet (below the top 50).</t>
  </si>
  <si>
    <t xml:space="preserve">https://www.builtinnyc.com/company/ro/offices</t>
  </si>
  <si>
    <t xml:space="preserve">B-C-200</t>
  </si>
  <si>
    <t xml:space="preserve">https://ro.co</t>
  </si>
  <si>
    <t xml:space="preserve">telehealth</t>
  </si>
  <si>
    <t xml:space="preserve">824</t>
  </si>
  <si>
    <t xml:space="preserve">https://www.builtinnyc.com/company/ro</t>
  </si>
  <si>
    <t xml:space="preserve">824 (Built In) staff (whole-company count) x 50% to 100% of them in the New York office (HQ New York; share assumed) x 57% (Partnership for NYC, all Manhattan firms; no figure for 500 to 4,999) in on a weekday = 235 to 470, central 332; low confidence; estimate until intake replaces it.</t>
  </si>
  <si>
    <t xml:space="preserve">Built In lists 'Ro HQ 625 6th Ave, 4th Floor'; CO Nov 2024 says Ro moved its HQ to 35,156 sf there under a 10-year lease signed Nov 2023. Built In shows 824 total employees. Over 500. Review round 2: corner lot: the lot-centroid pin sat 37 m from W 19 ST but 38 m from AVE OF THE AMERICAS, so it was moved to the AVE OF THE AMERICAS frontage near the corner (18 m from the AVE OF THE AMERICAS centreline, 37 m from W 19 ST; 20 m from the old pin). Tax lot unchanged.</t>
  </si>
  <si>
    <t xml:space="preserve">AO-C-190</t>
  </si>
  <si>
    <t xml:space="preserve">U.S. News &amp; World Report</t>
  </si>
  <si>
    <t xml:space="preserve">Tuesday estimate 15 to 309 (low confidence), 501 to 1,000 staff company-wide, hybrid (days not stated), moving-out at a low-confidence address (hold: moving out of this address); contacts not researched yet (below the top 50).</t>
  </si>
  <si>
    <t xml:space="preserve">moving-out</t>
  </si>
  <si>
    <t xml:space="preserve">moving out of this address: confirm where the office will be before outreach (B)</t>
  </si>
  <si>
    <t xml:space="preserve">B-C-190</t>
  </si>
  <si>
    <t xml:space="preserve">media and rankings</t>
  </si>
  <si>
    <t xml:space="preserve">https://www.builtinnyc.com/company/us-news-world-report</t>
  </si>
  <si>
    <t xml:space="preserve">Washington</t>
  </si>
  <si>
    <t xml:space="preserve">https://www.builtinnyc.com/company/us-news-world-report/offices</t>
  </si>
  <si>
    <t xml:space="preserve">542 (Built In) staff (whole-company count) x 5% to 100% of them in the New York office (HQ outside New York; share assumed) x 57% (Partnership for NYC, all Manhattan firms; no figure for 500 to 4,999) in on a weekday = 15 to 309, central 68; low confidence; estimate until intake replaces it.</t>
  </si>
  <si>
    <t xml:space="preserve">10,236 sf</t>
  </si>
  <si>
    <t xml:space="preserve">Near-miss: over 500 (Built In NYC: 542 total employees, HQ Washington, 3 offices). CO 2026-10-19 lists it as a tenant at 120 Fifth; NYC office headcount not sourced. Conflict: CO 2026-04-28 reports U.S. News moving its offices from 129 West 29th St to 10,236 sf at 31 Penn Plaza, so the 120 Fifth listing may be stale or a second office. Website not loadable from here, left blank. | Assembly 2026-10-24: Conflict carried: CO 2026-04-28 reports offices moving from 129 W 29th St to 31 Penn Plaza; CO 2026-10-19 lists it at 120 Fifth. Not resolvable from public sources; over 500 either way.</t>
  </si>
  <si>
    <t xml:space="preserve">AO-C-234</t>
  </si>
  <si>
    <t xml:space="preserve">Coinbase</t>
  </si>
  <si>
    <t xml:space="preserve">Tuesday estimate 108 to 2150 (low confidence), 1,001 to 4,999 staff company-wide, no attendance signal, occupied at a medium-confidence address; contacts not researched yet (below the top 50).</t>
  </si>
  <si>
    <t xml:space="preserve">https://slgreen.com/sl-green-signs-new-64000-square-foot-lease-with-sigma-computing-at-one-madison-avenue/</t>
  </si>
  <si>
    <t xml:space="preserve">B-C-234</t>
  </si>
  <si>
    <t xml:space="preserve">https://www.coinbase.com/</t>
  </si>
  <si>
    <t xml:space="preserve">Crypto exchange / fintech</t>
  </si>
  <si>
    <t xml:space="preserve">3772</t>
  </si>
  <si>
    <t xml:space="preserve">https://en.wikipedia.org/wiki/Coinbase</t>
  </si>
  <si>
    <t xml:space="preserve">2025-07-16</t>
  </si>
  <si>
    <t xml:space="preserve">press-release</t>
  </si>
  <si>
    <t xml:space="preserve">3772 (Wikipedia) staff (whole-company count) x 5% to 100% of them in the New York office (HQ city unknown; share assumed) x 57% (Partnership for NYC, all Manhattan firms; no figure for 500 to 4,999) in on a weekday = 108 to 2150, central 482; low confidence; estimate until intake replaces it.</t>
  </si>
  <si>
    <t xml:space="preserve">SL Green Jul 2025 release names Coinbase on the One Madison roster. Built In lists a New York office without street. Wikipedia: 3,772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</si>
  <si>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AO-C-119</t>
  </si>
  <si>
    <t xml:space="preserve">Betches Media</t>
  </si>
  <si>
    <t xml:space="preserve">Tuesday headcount unknown (no sourced count), company size unknown, no attendance signal, signed-not-occupied at a high-confidence address (hold: lease signed, move not confirmed); contacts not researched yet (below the top 50).</t>
  </si>
  <si>
    <t xml:space="preserve">New or renewed lease at 360 Park Avenue South reported 2026-01-22</t>
  </si>
  <si>
    <t xml:space="preserve">B-C-119</t>
  </si>
  <si>
    <t xml:space="preserve">https://betches.com/</t>
  </si>
  <si>
    <t xml:space="preserve">Digital media (women's humor and lifestyle brand)</t>
  </si>
  <si>
    <t xml:space="preserve">CO Jan 2026: 10-yr lease, entire 23,000 sf 6th floor, leaving 43 West 24th Street (also in this slice). ConnectCRE Mar 2026 (BXP release) confirms. Move-in date not stated; founder to confirm which address is current. Headcount not found in an opened source (Built In betches-media profile shows no count and an old 401 PAS address). Review round 2: corner lot: the lot-centroid pin sat 22 m from E 26 ST but 36 m from PARK AVE S, so it was moved to the PARK AVE S frontage near the corner (13 m from the PARK AVE S centreline, 27 m from E 26 ST; 23 m from the old pin). Tax lot unchanged.</t>
  </si>
  <si>
    <t xml:space="preserve">AO-C-246</t>
  </si>
  <si>
    <t xml:space="preserve">Tempus AI</t>
  </si>
  <si>
    <t xml:space="preserve">Tuesday estimate 66 to 1311 (low confidence), 1,001 to 4,999 staff company-wide, no attendance signal, occupancy-unconfirmed at a medium-confidence address; contacts not researched yet (below the top 50).</t>
  </si>
  <si>
    <t xml:space="preserve">B-C-246</t>
  </si>
  <si>
    <t xml:space="preserve">https://www.tempus.com/</t>
  </si>
  <si>
    <t xml:space="preserve">Healthcare technology / AI</t>
  </si>
  <si>
    <t xml:space="preserve">2300</t>
  </si>
  <si>
    <t xml:space="preserve">https://en.wikipedia.org/wiki/Tempus_AI</t>
  </si>
  <si>
    <t xml:space="preserve">https://commercialobserver.com/2026/07/ai-firm-legora-takes-98k-sl-greens-11-madison-avenue/</t>
  </si>
  <si>
    <t xml:space="preserve">2026-07-23</t>
  </si>
  <si>
    <t xml:space="preserve">2300 (Wikipedia) staff (whole-company count) x 5% to 100% of them in the New York office (HQ city unknown; share assumed) x 57% (Partnership for NYC, all Manhattan firms; no figure for 500 to 4,999) in on a weekday = 66 to 1311, central 294; low confidence; estimate until intake replaces it.</t>
  </si>
  <si>
    <t xml:space="preserve">39,565 sf</t>
  </si>
  <si>
    <t xml:space="preserve">CO Mar 2026 and Jul 2026: 39,565 sf, 10-yr lease signed Aug 2025 (both CO, treated as one publisher). HQ Chicago. Wikipedia: 2,300 employees (2024); Built In: 3,775.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</si>
  <si>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AO-C-218</t>
  </si>
  <si>
    <t xml:space="preserve">M&amp;C Saatchi Group (New York)</t>
  </si>
  <si>
    <t xml:space="preserve">Tuesday estimate 57 to 1142 (low confidence), 1,001 to 4,999 staff company-wide, hybrid (days not stated), occupancy-unconfirmed at a low-confidence address; contacts not researched yet (below the top 50).</t>
  </si>
  <si>
    <t xml:space="preserve">https://www.builtinnyc.com/company/m-c-saatchi-group/offices</t>
  </si>
  <si>
    <t xml:space="preserve">B-C-218</t>
  </si>
  <si>
    <t xml:space="preserve">https://www.mcsaatchi.com/</t>
  </si>
  <si>
    <t xml:space="preserve">Advertising / creative agency</t>
  </si>
  <si>
    <t xml:space="preserve">2003</t>
  </si>
  <si>
    <t xml:space="preserve">https://en.wikipedia.org/wiki/M%26C_Saatchi</t>
  </si>
  <si>
    <t xml:space="preserve">https://flatironnomad.nyc/2024/01/03/december-news-roundup-4/</t>
  </si>
  <si>
    <t xml:space="preserve">2024-01-03</t>
  </si>
  <si>
    <t xml:space="preserve">Built In workplace type: Hybrid Workplace; typical time on-site: None; recent job tags: 2 Hybrid, 1 In-Office</t>
  </si>
  <si>
    <t xml:space="preserve">2003 (Wikipedia) staff (whole-company count) x 5% to 100% of them in the New York office (HQ city unknown; share assumed) x 57% (Partnership for NYC, all Manhattan firms; no figure for 500 to 4,999) in on a weekday = 57 to 1142, central 255; low confidence; estimate until intake replaces it.</t>
  </si>
  <si>
    <t xml:space="preserve">Built In (live) lists the New York office at 16 West 22nd Street, 9th Floor. FNP Jan 2024 roundup (citing CRE Connect): 10-yr lease for the entire 9th floor, about 13,000 sf. London-based group; Wikipedia infobox gives 2,003 employees for the whole group (lead says more than 2,400), so near-miss (over-500). NYC office headcount unknown and may itself be in range; founder to confirm.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</si>
  <si>
    <t xml:space="preserve">AO-C-189</t>
  </si>
  <si>
    <t xml:space="preserve">Chainalysis</t>
  </si>
  <si>
    <t xml:space="preserve">Tuesday estimate 199 to 399 (low confidence), 501 to 1,000 staff company-wide, hybrid (days not stated), occupancy-unconfirmed at a low-confidence address; contacts not researched yet (below the top 50).</t>
  </si>
  <si>
    <t xml:space="preserve">https://commercialobserver.com/2022/01/chainalysis-78k-sf-114-fifth-avenue/</t>
  </si>
  <si>
    <t xml:space="preserve">4 floors (not named)</t>
  </si>
  <si>
    <t xml:space="preserve">B-C-189</t>
  </si>
  <si>
    <t xml:space="preserve">https://www.chainalysis.com</t>
  </si>
  <si>
    <t xml:space="preserve">blockchain data and compliance software</t>
  </si>
  <si>
    <t xml:space="preserve">700</t>
  </si>
  <si>
    <t xml:space="preserve">https://www.builtinnyc.com/company/chainalysis</t>
  </si>
  <si>
    <t xml:space="preserve">https://www.builtinnyc.com/company/chainalysis/offices</t>
  </si>
  <si>
    <t xml:space="preserve">700 (Built In) staff (whole-company count) x 50% to 100% of them in the New York office (HQ New York; share assumed) x 57% (Partnership for NYC, all Manhattan firms; no figure for 500 to 4,999) in on a weekday = 199 to 399, central 282; low confidence; estimate until intake replaces it.</t>
  </si>
  <si>
    <t xml:space="preserve">77,608 sf</t>
  </si>
  <si>
    <t xml:space="preserve">Near-miss: over 500 (Built In: 700 total employees, HQ New York). CO 2022-01: 77,608 sf on four floors, direct lease running through 2036. Source older than 24 months and the company site shows no street address, so low until confirmed. Review round 2: corner lot: the lot-centroid pin sat 22 m from W 17 ST but 39 m from 5 AVE, so it was moved to the 5 AVE frontage near the corner (17 m from the 5 AVE centreline, 27 m from W 17 ST; 22 m from the old pin). Tax lot unchanged.</t>
  </si>
  <si>
    <t xml:space="preserve">AO-C-226</t>
  </si>
  <si>
    <t xml:space="preserve">IMG Worldwide (WME Group)</t>
  </si>
  <si>
    <t xml:space="preserve">Tuesday estimate 85 to 1710 (low confidence), 1,001 to 4,999 staff company-wide with a named parent (WME Group), no attendance signal, occupied at a medium-confidence address; contacts not researched yet (below the top 50).</t>
  </si>
  <si>
    <t xml:space="preserve">https://commercialobserver.com/2026/09/img-worldwide-lease-renewal-304-park-avenue-south/</t>
  </si>
  <si>
    <t xml:space="preserve">304 Park Avenue South</t>
  </si>
  <si>
    <t xml:space="preserve">part 2, 8-12, PH</t>
  </si>
  <si>
    <t xml:space="preserve">B-C-226</t>
  </si>
  <si>
    <t xml:space="preserve">https://www.img.com</t>
  </si>
  <si>
    <t xml:space="preserve">talent and modeling agency</t>
  </si>
  <si>
    <t xml:space="preserve">3000</t>
  </si>
  <si>
    <t xml:space="preserve">https://en.wikipedia.org/wiki/IMG_(company)</t>
  </si>
  <si>
    <t xml:space="preserve">WME Group</t>
  </si>
  <si>
    <t xml:space="preserve">2026-09-16</t>
  </si>
  <si>
    <t xml:space="preserve">https://therealdeal.com/new-york/2026/10/07/new-york-citys-top-office-leases-in-september/</t>
  </si>
  <si>
    <t xml:space="preserve">2026-10-07</t>
  </si>
  <si>
    <t xml:space="preserve">3000 (Wikipedia) staff (whole-company count) x 5% to 100% of them in the New York office (HQ city unknown; share assumed) x 57% (Partnership for NYC, all Manhattan firms; no figure for 500 to 4,999) in on a weekday = 85 to 1710, central 381; low confidence; estimate until intake replaces it.</t>
  </si>
  <si>
    <t xml:space="preserve">90,202 sf</t>
  </si>
  <si>
    <t xml:space="preserve">Five-year renewal of 90,202 sf (Sept 2026); occupies part of floor 2, floors 8-12 and a penthouse in this building between E 22nd and E 23rd St (margin). Part of WME Group; the slice found no count (the Wikipedia figure added at assembly is below). | Assembly 2026-10-24: Band set at assembly to over-500 from Wikipedia infobox: '3,000+' employees (no year given). The NYC office size is unknown; the NYC office alone may fit, founder to confirm. Review round 2: corner lot: the lot-centroid pin sat 29 m from E 23 ST but 38 m from PARK AVE S, so it was moved to the PARK AVE S frontage near the corner (13 m from the PARK AVE S centreline, 28 m from E 23 ST; 25 m from the old pin). Tax lot unchanged.</t>
  </si>
  <si>
    <t xml:space="preserve">AO-C-245</t>
  </si>
  <si>
    <t xml:space="preserve">Suntory Global Spirits (Jim Beam Brands)</t>
  </si>
  <si>
    <t xml:space="preserve">Tuesday estimate 138 to 2760 (low confidence), 5,000+ staff company-wide, no attendance signal, occupied at a high-confidence address; contacts not researched yet (below the top 50).</t>
  </si>
  <si>
    <t xml:space="preserve">https://slgreen.com/?p=12833</t>
  </si>
  <si>
    <t xml:space="preserve">B-C-245</t>
  </si>
  <si>
    <t xml:space="preserve">https://www.suntoryglobalspirits.com/</t>
  </si>
  <si>
    <t xml:space="preserve">Consumer brand (spirits)</t>
  </si>
  <si>
    <t xml:space="preserve">6000</t>
  </si>
  <si>
    <t xml:space="preserve">https://en.wikipedia.org/wiki/Suntory_Global_Spirits</t>
  </si>
  <si>
    <t xml:space="preserve">5000+</t>
  </si>
  <si>
    <t xml:space="preserve">2026-07-22</t>
  </si>
  <si>
    <t xml:space="preserve">6000 (Wikipedia) staff (whole-company count) x 5% to 100% of them in the New York office (HQ city unknown; share assumed) x 46% (Partnership for NYC, firms over 5,000) in on a weekday = 138 to 2760, central 617; low confidence; estimate until intake replaces it.</t>
  </si>
  <si>
    <t xml:space="preserve">not-near (5,000 or more)</t>
  </si>
  <si>
    <t xml:space="preserve">100,000 sf</t>
  </si>
  <si>
    <t xml:space="preserve">SL Green Jul 2026 release and CO Jul 2026 list 'Jim Beam Brands' at 11 Madison. REBusiness Oct 2022: Suntory signed a 100,000 sf full-floor HQ lease at 11 Madison, relocating from Chicago; 'About 150 employees will work in the full-floor space' (a 2022 planning figure for this office, not a current count). Wikipedia: Suntory Global Spirits, HQ New York City, 6,000 employees. Whole company over 500, so near-miss; the NYC office alone may fit the 40-250 band, founder to confirm. Alcohol company: fine as an office host, but the programme's brands exclude alcohol.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</si>
  <si>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AO-C-139</t>
  </si>
  <si>
    <t xml:space="preserve">Arca Financial Group</t>
  </si>
  <si>
    <t xml:space="preserve">Tuesday headcount unknown (no sourced count), company size unknown, no attendance signal, signed-not-occupied at a medium-confidence address (hold: lease signed, move not confirmed); contacts not researched yet (below the top 50).</t>
  </si>
  <si>
    <t xml:space="preserve">New or renewed lease at 60 Madison Avenue reported 2026-08-27</t>
  </si>
  <si>
    <t xml:space="preserve">https://commercialobserver.com/2026/08/arca-financial-lease-60-madison-avenue-moinian/</t>
  </si>
  <si>
    <t xml:space="preserve">2026-08-27</t>
  </si>
  <si>
    <t xml:space="preserve">B-C-139</t>
  </si>
  <si>
    <t xml:space="preserve">wealth management</t>
  </si>
  <si>
    <t xml:space="preserve">7,500 sf</t>
  </si>
  <si>
    <t xml:space="preserve">Five-year 7,500 SF prebuilt on floor 10, signed Aug 2026; 'moving into a new office'. Headcount not sourced; founder to confirm at intake.</t>
  </si>
  <si>
    <t xml:space="preserve">AO-C-065</t>
  </si>
  <si>
    <t xml:space="preserve">Argentic Investment Management</t>
  </si>
  <si>
    <t xml:space="preserve">New or renewed lease at 257 Park Avenue South reported 2026-04-20</t>
  </si>
  <si>
    <t xml:space="preserve">https://commercialobserver.com/2026/04/argentic-investment-management-lease-257-park-avenue-south/</t>
  </si>
  <si>
    <t xml:space="preserve">2026-04-20</t>
  </si>
  <si>
    <t xml:space="preserve">B-C-065</t>
  </si>
  <si>
    <t xml:space="preserve">https://www.argentic.com</t>
  </si>
  <si>
    <t xml:space="preserve">commercial real estate finance</t>
  </si>
  <si>
    <t xml:space="preserve">https://rebusinessonline.com/argentic-investment-management-signs-13000-sf-office-lease-in-manhattans-flatiron-district/</t>
  </si>
  <si>
    <t xml:space="preserve">2026-07-02</t>
  </si>
  <si>
    <t xml:space="preserve">Long-term lease of the full 20th floor (13,000 sf). Company contact page opened 2026-10-23 still lists 31 W. 27th Street, 12th Floor; move date unknown.</t>
  </si>
  <si>
    <t xml:space="preserve">AO-C-023</t>
  </si>
  <si>
    <t xml:space="preserve">Eagle AI</t>
  </si>
  <si>
    <t xml:space="preserve">New or renewed lease at 120 Fifth Avenue reported 2026-10-19</t>
  </si>
  <si>
    <t xml:space="preserve">B-C-023</t>
  </si>
  <si>
    <t xml:space="preserve">AI solutions</t>
  </si>
  <si>
    <t xml:space="preserve">CO 2026-10-19: 6,500 sf full floor signed September 2026; CO says its website lists 5 Penn Plaza, so this is a relocation that may not have happened yet. Confirm move-in date before outreach.</t>
  </si>
  <si>
    <t xml:space="preserve">AO-C-018</t>
  </si>
  <si>
    <t xml:space="preserve">Fundraise Up</t>
  </si>
  <si>
    <t xml:space="preserve">B-C-018</t>
  </si>
  <si>
    <t xml:space="preserve">https://fundraiseup.com</t>
  </si>
  <si>
    <t xml:space="preserve">nonprofit fundraising software</t>
  </si>
  <si>
    <t xml:space="preserve">9,522 sf</t>
  </si>
  <si>
    <t xml:space="preserve">CO 2026-08-26: 9,522 sf, entire 7th floor of 100-104 Fifth Ave, relocating from 219 36th Street, Industry City, Brooklyn. Move-in timing not stated. Headcount not found. Review round 2: corner lot: the lot-centroid pin sat 24 m from W 15 ST but 36 m from 5 AVE, so it was moved to the 5 AVE frontage near the corner (17 m from the 5 AVE centreline, 26 m from W 15 ST; 20 m from the old pin). Tax lot unchanged.</t>
  </si>
  <si>
    <t xml:space="preserve">AO-C-142</t>
  </si>
  <si>
    <t xml:space="preserve">GovWell Technologies</t>
  </si>
  <si>
    <t xml:space="preserve">B-C-142</t>
  </si>
  <si>
    <t xml:space="preserve">software (AI for government)</t>
  </si>
  <si>
    <t xml:space="preserve">17,500 sf</t>
  </si>
  <si>
    <t xml:space="preserve">17,500 SF full 8th floor, apparent relocation from 25 West 36th Street. Built In profile (govwell) shows HQ New York, no street or headcount.</t>
  </si>
  <si>
    <t xml:space="preserve">AO-C-120</t>
  </si>
  <si>
    <t xml:space="preserve">Hunter Point Capital</t>
  </si>
  <si>
    <t xml:space="preserve">B-C-120</t>
  </si>
  <si>
    <t xml:space="preserve">https://www.hunterpointcapital.com/</t>
  </si>
  <si>
    <t xml:space="preserve">Investment firm (GP stakes / asset management)</t>
  </si>
  <si>
    <t xml:space="preserve">ConnectCRE and CO Mar 2026: about 46,000 sf at 360 PAS. The firm's website (live, opened 2026-10-24) still gives '610 Broadway 4th Floor, New York, NY 10012', so the move is not confirmed; CO also said it was unclear whether this is a relocation or added space. Downgraded to medium. Headcount not stated on its site. Review round 2: corner lot: the lot-centroid pin sat 22 m from E 26 ST but 36 m from PARK AVE S, so it was moved to the PARK AVE S frontage near the corner (13 m from the PARK AVE S centreline, 27 m from E 26 ST; 23 m from the old pin). Tax lot unchanged.</t>
  </si>
  <si>
    <t xml:space="preserve">AO-C-168</t>
  </si>
  <si>
    <t xml:space="preserve">Mediaplus Group (North America)</t>
  </si>
  <si>
    <t xml:space="preserve">New or renewed lease at 432 Park Avenue South reported 2026-06-08</t>
  </si>
  <si>
    <t xml:space="preserve">https://commercialobserver.com/2026/06/mediaplus-group-lease-432-park-avenue-south/</t>
  </si>
  <si>
    <t xml:space="preserve">2026-06-08</t>
  </si>
  <si>
    <t xml:space="preserve">B-C-168</t>
  </si>
  <si>
    <t xml:space="preserve">media agency</t>
  </si>
  <si>
    <t xml:space="preserve">9,800 sf</t>
  </si>
  <si>
    <t xml:space="preserve">10-year 9,800 SF lease, full 11th floor, turnkey; relocating and doubling from 490 Broadway. Media arm of Serviceplan Group. Move date not stated. Headcount not found.</t>
  </si>
  <si>
    <t xml:space="preserve">AO-C-068</t>
  </si>
  <si>
    <t xml:space="preserve">Options Group</t>
  </si>
  <si>
    <t xml:space="preserve">B-C-068</t>
  </si>
  <si>
    <t xml:space="preserve">https://www.optionsgroup.com</t>
  </si>
  <si>
    <t xml:space="preserve">executive search and consulting</t>
  </si>
  <si>
    <t xml:space="preserve">12,600 sf</t>
  </si>
  <si>
    <t xml:space="preserve">13-year lease for the full 7th floor (12,600 sf). Company contact page opened 2026-10-23 still lists 121 East 18th Street (margin, east of Park Ave S), so move status unconfirmed; either way it is in or next to this slice.</t>
  </si>
  <si>
    <t xml:space="preserve">AO-C-012</t>
  </si>
  <si>
    <t xml:space="preserve">Profound</t>
  </si>
  <si>
    <t xml:space="preserve">New or renewed lease at 5 Union Square West reported 2026-05-18</t>
  </si>
  <si>
    <t xml:space="preserve">2 full floors (not named)</t>
  </si>
  <si>
    <t xml:space="preserve">B-C-012</t>
  </si>
  <si>
    <t xml:space="preserve">https://www.tryprofound.com</t>
  </si>
  <si>
    <t xml:space="preserve">marketing tech (AI search analytics)</t>
  </si>
  <si>
    <t xml:space="preserve">https://fortune.com/2026/02/24/exclusive-as-ai-threatens-search-profound-raises-96-million-to-help-brands-stay-visible/</t>
  </si>
  <si>
    <t xml:space="preserve">30,000 sf;7,500 sf</t>
  </si>
  <si>
    <t xml:space="preserve">CO 2026-05-18: new 30,000 sf lease, two full floors at 5-9 Union Square West (Spingler Bldg); existing 7,500 sf office next door at 1 Union Square West. Move-in date not stated. Fortune 2026-02-24 says 'fewer than 120 employees' so band 40-75 vs 76-150 cannot be fixed; growing fast. Built In NYC lists HQ New York only. | Assembly 2026-10-24: Scope set to unknown at review round 1 (was whole-company): the band is unknown.</t>
  </si>
  <si>
    <t xml:space="preserve">AO-C-108</t>
  </si>
  <si>
    <t xml:space="preserve">Sapien AI</t>
  </si>
  <si>
    <t xml:space="preserve">New or renewed lease at 48 West 25th Street reported 2026-08-03</t>
  </si>
  <si>
    <t xml:space="preserve">B-C-108</t>
  </si>
  <si>
    <t xml:space="preserve">Software (AI financial and operations analytics)</t>
  </si>
  <si>
    <t xml:space="preserve">https://flatironnomad.nyc/2026/09/02/august-news-roundup-7/</t>
  </si>
  <si>
    <t xml:space="preserve">10,500 sf</t>
  </si>
  <si>
    <t xml:space="preserve">CO Aug 2026: about 10,500 sf, entire 5th floor, relocating from 184 Fifth Avenue. FNP roundup repeats the CO report. Website and headcount not confirmed (Built In 'sapien' profile is a 5-person Berkeley firm; not used, as nothing ties it to this company).</t>
  </si>
  <si>
    <t xml:space="preserve">AO-C-143</t>
  </si>
  <si>
    <t xml:space="preserve">Tenex Labs</t>
  </si>
  <si>
    <t xml:space="preserve">New or renewed lease at 60 Madison Avenue reported 2026-06-22</t>
  </si>
  <si>
    <t xml:space="preserve">12 and penthouse</t>
  </si>
  <si>
    <t xml:space="preserve">B-C-143</t>
  </si>
  <si>
    <t xml:space="preserve">software (web development)</t>
  </si>
  <si>
    <t xml:space="preserve">25,000 SF on the full 12th floor and penthouse; prior location unclear; move-in date not stated. Headcount not found.</t>
  </si>
  <si>
    <t xml:space="preserve">AO-C-063</t>
  </si>
  <si>
    <t xml:space="preserve">The Hudson Companies and Broadway Builders</t>
  </si>
  <si>
    <t xml:space="preserve">New or renewed lease at 902 Broadway reported 2026-03-24</t>
  </si>
  <si>
    <t xml:space="preserve">B-C-063</t>
  </si>
  <si>
    <t xml:space="preserve">https://www.hudsoninc.com</t>
  </si>
  <si>
    <t xml:space="preserve">real estate development</t>
  </si>
  <si>
    <t xml:space="preserve">https://rebusinessonline.com/hudson-cos-broadway-builders-sign-18200-sf-office-lease-in-manhattans-flatiron-district/</t>
  </si>
  <si>
    <t xml:space="preserve">2026-06-09</t>
  </si>
  <si>
    <t xml:space="preserve">11-year lease of the full 12th floor shared with affiliate Broadway Builders. Company contact page opened 2026-10-23 still lists 826 Broadway, 11th floor (outside slice), so the move date is unconfirmed. | Assembly 2026-10-24: Merged at assembly: affiliates sharing one full-floor 12th-floor tenancy at 902 Broadway (CO 2026-03-24, CO 2026-06-09), so one pantry. Both websites still list 826 Broadway, 11th floor (opened 2026-10-23), so the move date is unconfirmed. Review round 2: corner lot: the lot-centroid pin sat 27 m from E 20 ST but 31 m from BROADWAY, so it was moved to the BROADWAY frontage near the corner (15 m from the BROADWAY centreline, 27 m from E 20 ST; 16 m from the old pin). Tax lot unchanged.</t>
  </si>
  <si>
    <t xml:space="preserve">AO-C-058</t>
  </si>
  <si>
    <t xml:space="preserve">Wilson Daniels</t>
  </si>
  <si>
    <t xml:space="preserve">https://commercialobserver.com/2025/06/wilson-daniels-lease-250-park-avenue-south/</t>
  </si>
  <si>
    <t xml:space="preserve">B-C-058</t>
  </si>
  <si>
    <t xml:space="preserve">https://www.wilsondaniels.com</t>
  </si>
  <si>
    <t xml:space="preserve">wine import and marketing (consumer brand)</t>
  </si>
  <si>
    <t xml:space="preserve">2025-06-05</t>
  </si>
  <si>
    <t xml:space="preserve">12,000 sf</t>
  </si>
  <si>
    <t xml:space="preserve">10-year lease for the full 8th floor (12,000 sf). CO Jan 2026 names it as a current tenant (same publisher). Company contact page opened 2026-10-23 still lists 19 West 24th St, 7th Floor, so occupancy is unconfirmed. Alcohol company: note for brand-fit, not office-fit.</t>
  </si>
  <si>
    <t xml:space="preserve">AO-C-066</t>
  </si>
  <si>
    <t xml:space="preserve">Beachwold Residential</t>
  </si>
  <si>
    <t xml:space="preserve">Tuesday headcount unknown (no sourced count), company size unknown, no attendance signal, occupancy-unconfirmed at a low-confidence address; contacts not researched yet (below the top 50).</t>
  </si>
  <si>
    <t xml:space="preserve">https://commercialobserver.com/2022/07/paul-smith-beachwold-residential-sign-for-full-floors-at-257-park-avenue-south/</t>
  </si>
  <si>
    <t xml:space="preserve">13</t>
  </si>
  <si>
    <t xml:space="preserve">B-C-066</t>
  </si>
  <si>
    <t xml:space="preserve">https://www.beachwold.com</t>
  </si>
  <si>
    <t xml:space="preserve">real estate (multifamily owner/operator)</t>
  </si>
  <si>
    <t xml:space="preserve">2022-07-06</t>
  </si>
  <si>
    <t xml:space="preserve">12,637 sf</t>
  </si>
  <si>
    <t xml:space="preserve">HQ move to the full 13th floor (12,637 sf) in 2022 from 192 Lexington Ave. Not re-confirmed (company contact page returned 404).</t>
  </si>
  <si>
    <t xml:space="preserve">AO-C-164</t>
  </si>
  <si>
    <t xml:space="preserve">Biologique Recherche (US)</t>
  </si>
  <si>
    <t xml:space="preserve">https://commercialobserver.com/2023/01/beauty-pr-firm-french-skin-care-manufacturer-ink-deals-at-261-fifth-ave/</t>
  </si>
  <si>
    <t xml:space="preserve">B-C-164</t>
  </si>
  <si>
    <t xml:space="preserve">skin care brand</t>
  </si>
  <si>
    <t xml:space="preserve">2023-01-24</t>
  </si>
  <si>
    <t xml:space="preserve">6,290 sf</t>
  </si>
  <si>
    <t xml:space="preserve">Renewed and expanded to 6,290 SF prebuilt suite on floor 2. Older source, not reconfirmed; headcount not sourced; founder to confirm at intake. Review round 2: corner lot: the lot-centroid pin sat 24 m from E 29 ST but 39 m from 5 AVE, so it was moved to the 5 AVE frontage near the corner (17 m from the 5 AVE centreline, 27 m from E 29 ST; 23 m from the old pin). Tax lot unchanged.</t>
  </si>
  <si>
    <t xml:space="preserve">AO-C-146</t>
  </si>
  <si>
    <t xml:space="preserve">Caudalie (US headquarters)</t>
  </si>
  <si>
    <t xml:space="preserve">https://commercialobserver.com/2024/01/skin-care-brand-caudalie-signs-14k-sf-lease-at-381-park-avenue-south/</t>
  </si>
  <si>
    <t xml:space="preserve">B-C-146</t>
  </si>
  <si>
    <t xml:space="preserve">https://us.caudalie.com</t>
  </si>
  <si>
    <t xml:space="preserve">2024-01-11</t>
  </si>
  <si>
    <t xml:space="preserve">10-year 14,000 SF lease signed Dec 2023 and already moved from 70 W 36th St. Older than 24 months; US site contact pages returned 404, so not reconfirmed. Consumer brand fit.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</si>
  <si>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AO-C-113</t>
  </si>
  <si>
    <t xml:space="preserve">Clarick Gueron Reisbaum</t>
  </si>
  <si>
    <t xml:space="preserve">https://commercialobserver.com/2024/06/law-firm-clarick-gueron-reisbaum-signs-13k-sf-lease-at-rudins-41-madison-avenue/</t>
  </si>
  <si>
    <t xml:space="preserve">23</t>
  </si>
  <si>
    <t xml:space="preserve">B-C-113</t>
  </si>
  <si>
    <t xml:space="preserve">law firm (commercial litigation)</t>
  </si>
  <si>
    <t xml:space="preserve">2024-06-24</t>
  </si>
  <si>
    <t xml:space="preserve">13,394 sf</t>
  </si>
  <si>
    <t xml:space="preserve">11-year 13,394 SF lease on floor 23, moving from 220 Fifth Ave. Source is just over 24 months old and the firm site could not be opened (TLS error), so low until confirmed. Review round 2: corner lot: the lot-centroid pin sat 30 m from E 26 ST but 44 m from MADISON AVE, so it was moved to the MADISON AVE frontage near the corner (16 m from the MADISON AVE centreline, 30 m from E 26 ST; 29 m from the old pin). Tax lot unchanged.</t>
  </si>
  <si>
    <t xml:space="preserve">AO-C-147</t>
  </si>
  <si>
    <t xml:space="preserve">Eton (US office and showroom)</t>
  </si>
  <si>
    <t xml:space="preserve">https://commercialobserver.com/2024/03/mens-clothing-company-eton-signs-5k-sf-lease-at-381-park-avenue-south/</t>
  </si>
  <si>
    <t xml:space="preserve">B-C-147</t>
  </si>
  <si>
    <t xml:space="preserve">https://www.etonshirts.com</t>
  </si>
  <si>
    <t xml:space="preserve">menswear brand</t>
  </si>
  <si>
    <t xml:space="preserve">2024-03-20</t>
  </si>
  <si>
    <t xml:space="preserve">5,000 SF office and showroom (10-year 9-month term) moved from 833 Madison Ave. Older source, not reconfirmed; NYC headcount not sourced.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</si>
  <si>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AO-C-126</t>
  </si>
  <si>
    <t xml:space="preserve">Idesco</t>
  </si>
  <si>
    <t xml:space="preserve">https://commercialobserver.com/2023/10/idesco-renewal-37-west-26th-street/</t>
  </si>
  <si>
    <t xml:space="preserve">37 West 26th Street</t>
  </si>
  <si>
    <t xml:space="preserve">B-C-126</t>
  </si>
  <si>
    <t xml:space="preserve">ID card and security systems</t>
  </si>
  <si>
    <t xml:space="preserve">B-B-062</t>
  </si>
  <si>
    <t xml:space="preserve">2023-10-12</t>
  </si>
  <si>
    <t xml:space="preserve">7,260 sf</t>
  </si>
  <si>
    <t xml:space="preserve">Seven-year renewal of 7,260 SF on floor 10 (at the building since at least 1987). Older source, not reconfirmed; size unknown.</t>
  </si>
  <si>
    <t xml:space="preserve">AO-C-114</t>
  </si>
  <si>
    <t xml:space="preserve">Kensington Vanguard National Land Services</t>
  </si>
  <si>
    <t xml:space="preserve">https://commercialobserver.com/2023/11/law-firm-kensington-vanguard-signs-13k-sf-lease-at-41-madison/</t>
  </si>
  <si>
    <t xml:space="preserve">B-C-114</t>
  </si>
  <si>
    <t xml:space="preserve">https://www.kvnational.com</t>
  </si>
  <si>
    <t xml:space="preserve">title insurance</t>
  </si>
  <si>
    <t xml:space="preserve">2023-11-01</t>
  </si>
  <si>
    <t xml:space="preserve">10-year 13,394 SF lease on full 21st floor (NYC office), moving from 39 W 37th St. Older source; company homepage opened but shows no address. Review round 2: corner lot: the lot-centroid pin sat 30 m from E 26 ST but 44 m from MADISON AVE, so it was moved to the MADISON AVE frontage near the corner (16 m from the MADISON AVE centreline, 30 m from E 26 ST; 29 m from the old pin). Tax lot unchanged.</t>
  </si>
  <si>
    <t xml:space="preserve">AO-C-054</t>
  </si>
  <si>
    <t xml:space="preserve">Left/Right</t>
  </si>
  <si>
    <t xml:space="preserve">https://commercialobserver.com/2019/10/left-right-lease-39-west-19th-street-rosen-family/</t>
  </si>
  <si>
    <t xml:space="preserve">7, 9-10</t>
  </si>
  <si>
    <t xml:space="preserve">B-C-054</t>
  </si>
  <si>
    <t xml:space="preserve">TV and documentary production</t>
  </si>
  <si>
    <t xml:space="preserve">2019-10-28</t>
  </si>
  <si>
    <t xml:space="preserve">10-year renewal (2019) of 34,000 sf on floors 7, 9 and 10 with production and editing space. Not re-confirmed.</t>
  </si>
  <si>
    <t xml:space="preserve">AO-C-069</t>
  </si>
  <si>
    <t xml:space="preserve">Paul Smith</t>
  </si>
  <si>
    <t xml:space="preserve">B-C-069</t>
  </si>
  <si>
    <t xml:space="preserve">https://www.paulsmith.com</t>
  </si>
  <si>
    <t xml:space="preserve">fashion brand (U.S. showroom and office)</t>
  </si>
  <si>
    <t xml:space="preserve">12,617 sf</t>
  </si>
  <si>
    <t xml:space="preserve">Full 5th floor (12,617 sf) for showroom and office, 2022. Not re-confirmed; the brand's site contact page shows no office address.</t>
  </si>
  <si>
    <t xml:space="preserve">AO-C-070</t>
  </si>
  <si>
    <t xml:space="preserve">Pei Architects</t>
  </si>
  <si>
    <t xml:space="preserve">https://commercialobserver.com/2024/04/pei-architects-renewals-13k-sf-at-257-park-avenue-south/</t>
  </si>
  <si>
    <t xml:space="preserve">B-C-070</t>
  </si>
  <si>
    <t xml:space="preserve">2024-04-15</t>
  </si>
  <si>
    <t xml:space="preserve">10-year renewal (2024) of 12,617 sf on the 19th floor, its primary HQ. Source predates 2024-10-23; company site (pei-architects.com) did not load. Headcount not sourced.</t>
  </si>
  <si>
    <t xml:space="preserve">AO-C-086</t>
  </si>
  <si>
    <t xml:space="preserve">Sharma Brands</t>
  </si>
  <si>
    <t xml:space="preserve">https://commercialobserver.com/2022/11/sharma-brands-leases-6k-sf-at-56-west-22nd-street/</t>
  </si>
  <si>
    <t xml:space="preserve">B-C-086</t>
  </si>
  <si>
    <t xml:space="preserve">https://sharmabrands.com</t>
  </si>
  <si>
    <t xml:space="preserve">brand strategy agency / brand holding company</t>
  </si>
  <si>
    <t xml:space="preserve">2022-11-29</t>
  </si>
  <si>
    <t xml:space="preserve">Five-year lease (2022) of the full 11th floor (5,508 sf), shared with portfolio company 1180 Media. Not re-confirmed; site shows no address.</t>
  </si>
  <si>
    <t xml:space="preserve">AO-C-089</t>
  </si>
  <si>
    <t xml:space="preserve">Sussex Publishers (Psychology Today)</t>
  </si>
  <si>
    <t xml:space="preserve">https://commercialobserver.com/2023/11/psychology-today-16-west-22nd-street-lease-relocation/</t>
  </si>
  <si>
    <t xml:space="preserve">B-C-089</t>
  </si>
  <si>
    <t xml:space="preserve">https://www.psychologytoday.com</t>
  </si>
  <si>
    <t xml:space="preserve">publishing / digital media</t>
  </si>
  <si>
    <t xml:space="preserve">2023-11-27</t>
  </si>
  <si>
    <t xml:space="preserve">3,285 sf</t>
  </si>
  <si>
    <t xml:space="preserve">Six-year, 3,285 sf lease on the 2nd floor (2023), relocating from 115 W 23rd St.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</si>
  <si>
    <t xml:space="preserve">AO-C-150</t>
  </si>
  <si>
    <t xml:space="preserve">The Corcoran Group</t>
  </si>
  <si>
    <t xml:space="preserve">Tuesday headcount unknown (no sourced count), company size unknown with a named parent (Compass, Inc.), no attendance signal, occupancy-unconfirmed at a medium-confidence address; contacts not researched yet (below the top 50).</t>
  </si>
  <si>
    <t xml:space="preserve">New or renewed lease at 381 Park Avenue South reported 2026-04-01</t>
  </si>
  <si>
    <t xml:space="preserve">https://commercialobserver.com/2026/04/corcoran-group-lease-381-park-avenue-south/</t>
  </si>
  <si>
    <t xml:space="preserve">2026-04-01</t>
  </si>
  <si>
    <t xml:space="preserve">B-C-150</t>
  </si>
  <si>
    <t xml:space="preserve">https://www.corcoran.com</t>
  </si>
  <si>
    <t xml:space="preserve">Compass, Inc.</t>
  </si>
  <si>
    <t xml:space="preserve">14,710 sf</t>
  </si>
  <si>
    <t xml:space="preserve">14,710 SF full floor; relocating one block from 387 Park Avenue South, move planned for summer 2026. A residential brokerage sales office; whether agents work fixed hours here is not sourced. Headcount not sourced. | Assembly 2026-10-24: Review round 2: the planned summer 2026 move has passed. corcoran.com (opened 2026-10-24) lists only its 590 Madison Ave head office, so the move from 387 to 381 Park Ave S is not confirmed; both addresses are inside the line. Check the 381 PAS lobby directory on the walk. Review round 3: parent Compass, Inc. (Wikipedia, opened 2026-10-24); Corcoran's own headcount is not sourced; founder to confirm before approach.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</si>
  <si>
    <t xml:space="preserve">AO-C-136</t>
  </si>
  <si>
    <t xml:space="preserve">Suvretta Capital Management</t>
  </si>
  <si>
    <t xml:space="preserve">Tuesday headcount unknown (no sourced count), company size unknown, no attendance signal, signed-not-occupied at a low-confidence address (hold: lease signed, move not confirmed); contacts not researched yet (below the top 50).</t>
  </si>
  <si>
    <t xml:space="preserve">https://commercialobserver.com/2025/05/suvretta-capital-managment-lease-11-east-26th-street/</t>
  </si>
  <si>
    <t xml:space="preserve">B-C-136</t>
  </si>
  <si>
    <t xml:space="preserve">https://www.suvcap.com</t>
  </si>
  <si>
    <t xml:space="preserve">2025-05-27</t>
  </si>
  <si>
    <t xml:space="preserve">12,134 SF on full 16th floor. Downgraded to low: the company site (suvcap.com, opened 2026-10-23) still shows 540 Madison Avenue, 7th floor, so the move may not have happened. Later CO items (2025-09-30, 2025-10-22) list it as a building tenant.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</si>
  <si>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AO-C-137</t>
  </si>
  <si>
    <t xml:space="preserve">Vestal Point Capital</t>
  </si>
  <si>
    <t xml:space="preserve">New or renewed lease at 11 East 26th Street reported 2026-09-02</t>
  </si>
  <si>
    <t xml:space="preserve">B-C-137</t>
  </si>
  <si>
    <t xml:space="preserve">12,139 sf</t>
  </si>
  <si>
    <t xml:space="preserve">Long-term 12,139 SF lease on full 12th floor signed 2026-09; CO says current office is 632 Broadway and move date is unclear. Downgraded to low because no source confirms it has moved 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</si>
  <si>
    <t xml:space="preserve">AO-C-118</t>
  </si>
  <si>
    <t xml:space="preserve">Zip (digital banking)</t>
  </si>
  <si>
    <t xml:space="preserve">https://commercialobserver.com/2026/09/zip-lease-rudin-41-madison-avenue/</t>
  </si>
  <si>
    <t xml:space="preserve">18 (from April 2027)</t>
  </si>
  <si>
    <t xml:space="preserve">B-C-118</t>
  </si>
  <si>
    <t xml:space="preserve">fintech (credit and payments)</t>
  </si>
  <si>
    <t xml:space="preserve">2026-09-17</t>
  </si>
  <si>
    <t xml:space="preserve">2027-04</t>
  </si>
  <si>
    <t xml:space="preserve">Will move in April 2027 to the full 18th floor (13,394 SF); CO describes Zip as a digital banking company specializing in credit and payment services. Not in the building yet, so low. The Built In profile named zip (ziphq.com, procurement software) is a different company, so no headcount is recorded. Near-miss on timing. Review round 2: corner lot: the lot-centroid pin sat 30 m from E 26 ST but 44 m from MADISON AVE, so it was moved to the MADISON AVE frontage near the corner (16 m from the MADISON AVE centreline, 30 m from E 26 ST; 29 m from the old pin). Tax lot unchanged.</t>
  </si>
  <si>
    <t xml:space="preserve">AO-C-241</t>
  </si>
  <si>
    <t xml:space="preserve">United Talent Agency (UTA)</t>
  </si>
  <si>
    <t xml:space="preserve">Tuesday estimate 63 to 1254 (low confidence), 1,001 to 4,999 staff company-wide, no attendance signal, moving-out at a medium-confidence address (hold: moving out of this address); contacts not researched yet (below the top 50).</t>
  </si>
  <si>
    <t xml:space="preserve">New or renewed lease at 27 West 24th Street reported 2026-07</t>
  </si>
  <si>
    <t xml:space="preserve">https://commercialobserver.com/2026/07/united-talent-agency-lease-esrt-empire-state-building/</t>
  </si>
  <si>
    <t xml:space="preserve">27 West 24th Street</t>
  </si>
  <si>
    <t xml:space="preserve">B-C-241</t>
  </si>
  <si>
    <t xml:space="preserve">https://www.unitedtalent.com/</t>
  </si>
  <si>
    <t xml:space="preserve">Talent agency / entertainment</t>
  </si>
  <si>
    <t xml:space="preserve">2200</t>
  </si>
  <si>
    <t xml:space="preserve">https://en.wikipedia.org/wiki/United_Talent_Agency</t>
  </si>
  <si>
    <t xml:space="preserve">2200 (Wikipedia) staff (whole-company count) x 5% to 100% of them in the New York office (HQ city unknown; share assumed) x 57% (Partnership for NYC, all Manhattan firms; no figure for 500 to 4,999) in on a weekday = 63 to 1254, central 281; low confidence; estimate until intake replaces it.</t>
  </si>
  <si>
    <t xml:space="preserve">CO Jul 2026: UTA's website lists New York offices at 888 Seventh Ave and 27 West 24th St; it will consolidate into the Empire State Building, slated for summer 2027, so this office is likely temporary. UTA site did not render for me. Wikipedia: 2,200 employees (2024). Near-miss (over-500). | Assembly 2026-10-24: Move to the Empire State Building planned for summer 2027 (row sources).</t>
  </si>
  <si>
    <t xml:space="preserve">AO-C-230</t>
  </si>
  <si>
    <t xml:space="preserve">Goodwin Procter</t>
  </si>
  <si>
    <t xml:space="preserve">Tuesday estimate 80 to 1596 (low confidence), 1,001 to 4,999 staff company-wide, no attendance signal, signed-not-occupied at a medium-confidence address (hold: lease signed, move not confirmed); contacts not researched yet (below the top 50).</t>
  </si>
  <si>
    <t xml:space="preserve">https://therealdeal.com/new-york/2025/04/03/bxps-200-fifth-avenue-lands-law-firm-tenant</t>
  </si>
  <si>
    <t xml:space="preserve">2-5</t>
  </si>
  <si>
    <t xml:space="preserve">B-C-230</t>
  </si>
  <si>
    <t xml:space="preserve">https://www.goodwinlaw.com/</t>
  </si>
  <si>
    <t xml:space="preserve">Law firm</t>
  </si>
  <si>
    <t xml:space="preserve">2800</t>
  </si>
  <si>
    <t xml:space="preserve">https://en.wikipedia.org/wiki/Goodwin_Procter</t>
  </si>
  <si>
    <t xml:space="preserve">2025-04-03</t>
  </si>
  <si>
    <t xml:space="preserve">https://flatironnomad.nyc/2025/05/07/april-news-roundup-6/</t>
  </si>
  <si>
    <t xml:space="preserve">2025-05-07</t>
  </si>
  <si>
    <t xml:space="preserve">2800 (Wikipedia) staff (whole-company count) x 5% to 100% of them in the New York office (HQ city unknown; share assumed) x 57% (Partnership for NYC, all Manhattan firms; no figure for 500 to 4,999) in on a weekday = 80 to 1596, central 357; low confidence; estimate until intake replaces it.</t>
  </si>
  <si>
    <t xml:space="preserve">250,000 sf</t>
  </si>
  <si>
    <t xml:space="preserve">TRD Apr 2025: 20-yr, 250,000 sf lease, full floors 2-5; relocating from 620 Eighth Ave in late 2026, so may not be in occupancy yet. Wikipedia infobox: about 2,800 employees. Near-miss (over-500). | Assembly 2026-10-24: Move planned for late 2026 (row sources). Review round 2: corner lot: the lot-centroid pin sat 36 m from W 24 ST but 53 m from 5 AVE, so it was moved to the 5 AVE frontage near the corner (15 m from the 5 AVE centreline, 37 m from W 24 ST; 38 m from the old pin). Tax lot unchanged.</t>
  </si>
  <si>
    <t xml:space="preserve">AO-C-162</t>
  </si>
  <si>
    <t xml:space="preserve">MCM Worldwide</t>
  </si>
  <si>
    <t xml:space="preserve">Tuesday headcount unknown (no sourced count), company size unknown with a named parent (Sungjoo Group), no attendance signal, signed-not-occupied at a medium-confidence address (hold: lease signed, move not confirmed); contacts not researched yet (below the top 50).</t>
  </si>
  <si>
    <t xml:space="preserve">https://commercialobserver.com/2025/11/mcm-lease-245-fifth-avenue/</t>
  </si>
  <si>
    <t xml:space="preserve">25</t>
  </si>
  <si>
    <t xml:space="preserve">B-C-162</t>
  </si>
  <si>
    <t xml:space="preserve">https://us.mcmworldwide.com</t>
  </si>
  <si>
    <t xml:space="preserve">luxury leather goods (brand HQ office)</t>
  </si>
  <si>
    <t xml:space="preserve">Sungjoo Group</t>
  </si>
  <si>
    <t xml:space="preserve">2025-11-10</t>
  </si>
  <si>
    <t xml:space="preserve">9,000 sf</t>
  </si>
  <si>
    <t xml:space="preserve">10-year 9,000 SF lease on full 25th floor; described as moving its (US) headquarters to Midtown South and its first NYC office. Move-in date not stated. Headcount not found. Review round 2: corner lot: the lot-centroid pin sat 24 m from E 28 ST but 34 m from 5 AVE, so it was moved to the 5 AVE frontage near the corner (17 m from the 5 AVE centreline, 26 m from E 28 ST; 17 m from the old pin). Tax lot unchanged.</t>
  </si>
  <si>
    <t xml:space="preserve">AO-C-152</t>
  </si>
  <si>
    <t xml:space="preserve">Everlast Worldwide (US headquarters)</t>
  </si>
  <si>
    <t xml:space="preserve">Tuesday headcount unknown (no sourced count), company size unknown with a named parent (Frasers Group), no attendance signal, occupancy-unconfirmed at a low-confidence address; contacts not researched yet (below the top 50).</t>
  </si>
  <si>
    <t xml:space="preserve">https://commercialobserver.com/2023/12/boxing-equipment-maker-everlast-signs-office-lease-15-west-27th-street/</t>
  </si>
  <si>
    <t xml:space="preserve">B-C-152</t>
  </si>
  <si>
    <t xml:space="preserve">https://www.everlast.com</t>
  </si>
  <si>
    <t xml:space="preserve">sporting goods brand</t>
  </si>
  <si>
    <t xml:space="preserve">Frasers Group</t>
  </si>
  <si>
    <t xml:space="preserve">2023-12-14</t>
  </si>
  <si>
    <t xml:space="preserve">5,900 sf</t>
  </si>
  <si>
    <t xml:space="preserve">CO 2023: one-year deal for 5,900 SF on full 2nd floor for its US HQ. Term was one year, so the lease as reported has ended; not reconfirmed.</t>
  </si>
  <si>
    <t xml:space="preserve">AO-C-074</t>
  </si>
  <si>
    <t xml:space="preserve">General Assembly</t>
  </si>
  <si>
    <t xml:space="preserve">Tuesday headcount unknown (no sourced count), company size unknown with a named parent (The Adecco Group), no attendance signal, occupancy-unconfirmed at a low-confidence address; contacts not researched yet (below the top 50).</t>
  </si>
  <si>
    <t xml:space="preserve">https://commercialobserver.com/2021/04/tech-educator-general-assembly-renews-at-915-broadway/</t>
  </si>
  <si>
    <t xml:space="preserve">2-4</t>
  </si>
  <si>
    <t xml:space="preserve">B-C-074</t>
  </si>
  <si>
    <t xml:space="preserve">tech education</t>
  </si>
  <si>
    <t xml:space="preserve">The Adecco Group</t>
  </si>
  <si>
    <t xml:space="preserve">2021-04-15</t>
  </si>
  <si>
    <t xml:space="preserve">2025-10-29</t>
  </si>
  <si>
    <t xml:space="preserve">40,158 sf</t>
  </si>
  <si>
    <t xml:space="preserve">10-year renewal (2021) of 40,158 sf on floors 2-4; a broker building page (modified 2025-10-29) still lists General Assembly as a tenant, but broker lists are often stale. Campus with classrooms; staff count not sourced. generalassembly.ly did not connect (2026-10-24), so website left blank. Review round 2: corner lot: the lot-centroid pin sat 22 m from E 21 ST but 34 m from BROADWAY, so it was moved to the BROADWAY frontage near the corner (15 m from the BROADWAY centreline, 27 m from E 21 ST; 21 m from the old pin). Tax lot unchanged.</t>
  </si>
  <si>
    <t xml:space="preserve">AO-C-236</t>
  </si>
  <si>
    <t xml:space="preserve">Franklin Templeton</t>
  </si>
  <si>
    <t xml:space="preserve">Tuesday estimate 225 to 4508 (low confidence), 5,000+ staff company-wide, no attendance signal, occupied at a high-confidence address; contacts not researched yet (below the top 50).</t>
  </si>
  <si>
    <t xml:space="preserve">B-C-236</t>
  </si>
  <si>
    <t xml:space="preserve">https://www.franklintempleton.com/</t>
  </si>
  <si>
    <t xml:space="preserve">Asset management</t>
  </si>
  <si>
    <t xml:space="preserve">9800</t>
  </si>
  <si>
    <t xml:space="preserve">https://en.wikipedia.org/wiki/Franklin_Templeton</t>
  </si>
  <si>
    <t xml:space="preserve">https://rebusinessonline.com/franklin-templeton-signs-347474-sf-office-lease-at-one-madison-avenue-in-manhattan/</t>
  </si>
  <si>
    <t xml:space="preserve">2022-10-03</t>
  </si>
  <si>
    <t xml:space="preserve">9800 (Wikipedia) staff (whole-company count) x 5% to 100% of them in the New York office (HQ city unknown; share assumed) x 46% (Partnership for NYC, firms over 5,000) in on a weekday = 225 to 4508, central 1007; low confidence; estimate until intake replaces it.</t>
  </si>
  <si>
    <t xml:space="preserve">347,474 sf</t>
  </si>
  <si>
    <t xml:space="preserve">SL Green Jul 2025 release names Franklin Templeton on the One Madison roster. REBusiness Oct 2022: signed a 347,474 sf lease at One Madison (older, independent confirmation). Wikipedia: 9,800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</si>
  <si>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AO-C-248</t>
  </si>
  <si>
    <t xml:space="preserve">WME</t>
  </si>
  <si>
    <t xml:space="preserve">Tuesday estimate 230 to 4600 (low confidence), 5,000+ staff company-wide, no attendance signal, occupied at a high-confidence address; contacts not researched yet (below the top 50).</t>
  </si>
  <si>
    <t xml:space="preserve">B-C-248</t>
  </si>
  <si>
    <t xml:space="preserve">https://www.wmeagency.com/</t>
  </si>
  <si>
    <t xml:space="preserve">10000</t>
  </si>
  <si>
    <t xml:space="preserve">https://en.wikipedia.org/wiki/William_Morris_Endeavor</t>
  </si>
  <si>
    <t xml:space="preserve">10000 (Wikipedia) staff (whole-company count) x 5% to 100% of them in the New York office (HQ city unknown; share assumed) x 46% (Partnership for NYC, firms over 5,000) in on a weekday = 230 to 4600, central 1029; low confidence; estimate until intake replaces it.</t>
  </si>
  <si>
    <t xml:space="preserve">SL Green Jul 2026 release and CO Jul 2026 list WME at 11 Madison. 160over90 (WME Group) says its NYC office 'sits right on the beautiful Madison Square Park' near other WME Group businesses (160over90.com/locations/nyc, no street given). Wikipedia: c. 10,000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</si>
  <si>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AO-C-243</t>
  </si>
  <si>
    <t xml:space="preserve">Pinterest</t>
  </si>
  <si>
    <t xml:space="preserve">Tuesday estimate 133 to 2660 (low confidence), 1,001 to 4,999 staff company-wide, no attendance signal, signed-not-occupied at a high-confidence address (hold: lease signed, move not confirmed); contacts not researched yet (below the top 50).</t>
  </si>
  <si>
    <t xml:space="preserve">B-C-243</t>
  </si>
  <si>
    <t xml:space="preserve">https://www.pinterest.com/</t>
  </si>
  <si>
    <t xml:space="preserve">Social media / technology</t>
  </si>
  <si>
    <t xml:space="preserve">4666</t>
  </si>
  <si>
    <t xml:space="preserve">https://en.wikipedia.org/wiki/Pinterest</t>
  </si>
  <si>
    <t xml:space="preserve">4666 (Wikipedia) staff (whole-company count) x 5% to 100% of them in the New York office (HQ city unknown; share assumed) x 57% (Partnership for NYC, all Manhattan firms; no figure for 500 to 4,999) in on a weekday = 133 to 2660, central 595; low confidence; estimate until intake replaces it.</t>
  </si>
  <si>
    <t xml:space="preserve">83,000 sf</t>
  </si>
  <si>
    <t xml:space="preserve">CO Jul 2026: 83,000 sf, entire 13th floor, 11-yr lease signed June 2025. SL Green Jul 2026 release names Pinterest on the 11 Madison roster. Built In still lists a NY office at 1450 Broadway (stale). Wikipedia infobox: 4,666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</si>
  <si>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AO-C-182</t>
  </si>
  <si>
    <t xml:space="preserve">Adyen</t>
  </si>
  <si>
    <t xml:space="preserve">Tuesday estimate 136 to 2719 (low confidence), 1,001 to 4,999 staff company-wide, hybrid (days not stated), moving-out at a high-confidence address (hold: moving out of this address); contacts not researched yet (below the top 50).</t>
  </si>
  <si>
    <t xml:space="preserve">https://www.adyen.com/offices</t>
  </si>
  <si>
    <t xml:space="preserve">B-C-182</t>
  </si>
  <si>
    <t xml:space="preserve">https://www.adyen.com</t>
  </si>
  <si>
    <t xml:space="preserve">payments</t>
  </si>
  <si>
    <t xml:space="preserve">4771</t>
  </si>
  <si>
    <t xml:space="preserve">https://www.builtinnyc.com/company/adyen</t>
  </si>
  <si>
    <t xml:space="preserve">https://www.connectcre.com/stories/ayden-doubles-footprint-of-union-square-offices/</t>
  </si>
  <si>
    <t xml:space="preserve">2021-09-02</t>
  </si>
  <si>
    <t xml:space="preserve">https://www.builtinnyc.com/company/adyen/offices</t>
  </si>
  <si>
    <t xml:space="preserve">4771 (Built In) staff (whole-company count) x 5% to 100% of them in the New York office (HQ city unknown; share assumed) x 57% (Partnership for NYC, all Manhattan firms; no figure for 500 to 4,999) in on a weekday = 136 to 2719, central 608; low confidence; estimate until intake replaces it.</t>
  </si>
  <si>
    <t xml:space="preserve">30,415 sf;90,000 sf</t>
  </si>
  <si>
    <t xml:space="preserve">Near-miss: over 500 (Built In: 4,771 total employees). Offices page: '71 5th Avenue, 11th Floor New York, NY 10003'. Connect CRE 2021: 30,415 sf on floors 10 and 11. CO 2026-04-07: Adyen signed a 90,000 sf, 10-year lease at 111 and 115 Fifth Ave (floors 4-5 at 111, floor 4 at 115), so it will likely leave 71 Fifth; move date not stated. | Assembly 2026-10-24: Conflict resolved at assembly: current office is 71 Fifth (own offices page, opened 2026-10-23). It signed 90,000 sf across 111 and 115 Fifth (CO 2026-04-07), move date not stated. Both addresses are inside the boundary; over 500 either way. Review round 2: corner lot: the lot-centroid pin sat 21 m from E 15 ST but 40 m from 5 AVE, so it was moved to the 5 AVE frontage near the corner (17 m from the 5 AVE centreline, 26 m from E 15 ST; 24 m from the old pin). Tax lot unchanged.</t>
  </si>
  <si>
    <t xml:space="preserve">AO-C-269</t>
  </si>
  <si>
    <t xml:space="preserve">Octus (formerly Reorg)</t>
  </si>
  <si>
    <t xml:space="preserve">Tuesday estimate 230 to 461 (low confidence), 501 to 1,000 staff company-wide, hybrid 2 days or fewer, signed-not-occupied at a medium-confidence address (hold: lease signed, move not confirmed); contacts not researched yet (below the top 50).</t>
  </si>
  <si>
    <t xml:space="preserve">https://commercialobserver.com/2025/03/octus-lease-295-fifth-avenue/</t>
  </si>
  <si>
    <t xml:space="preserve">B-C-269</t>
  </si>
  <si>
    <t xml:space="preserve">https://octus.com</t>
  </si>
  <si>
    <t xml:space="preserve">credit data and intelligence</t>
  </si>
  <si>
    <t xml:space="preserve">808</t>
  </si>
  <si>
    <t xml:space="preserve">https://www.builtinnyc.com/company/octus/offices</t>
  </si>
  <si>
    <t xml:space="preserve">2025-03-31</t>
  </si>
  <si>
    <t xml:space="preserve">808 (Built In) staff (whole-company count) x 50% to 100% of them in the New York office (HQ New York; share assumed) x 57% (Partnership for NYC, all Manhattan firms; no figure for 500 to 4,999) in on a weekday = 230 to 461, central 326; low confidence; estimate until intake replaces it.</t>
  </si>
  <si>
    <t xml:space="preserve">43,000 sf</t>
  </si>
  <si>
    <t xml:space="preserve">43,000 SF on floor 6 for its NYC HQ, moving from the 12th floor of 11 E 26th St. Built In (808 employees) still describes an office across from Madison Square Park, so the move date is unclear. Over 500: near-miss. Margin row. Review round 2: corner lot: the lot-centroid pin sat 36 m from E 31 ST but 45 m from 5 AVE, so it was moved to the 5 AVE frontage near the corner (17 m from the 5 AVE centreline, 36 m from E 31 ST; 29 m from the old pin). Tax lot unchanged.</t>
  </si>
  <si>
    <t xml:space="preserve">AO-C-202</t>
  </si>
  <si>
    <t xml:space="preserve">Palantir Technologies</t>
  </si>
  <si>
    <t xml:space="preserve">Tuesday estimate 126 to 2525 (low confidence), 1,001 to 4,999 staff company-wide, no attendance signal, occupancy-unconfirmed at a low-confidence address; contacts not researched yet (below the top 50).</t>
  </si>
  <si>
    <t xml:space="preserve">https://commercialobserver.com/2024/05/palantir-lease-620-avenue-of-the-americas/</t>
  </si>
  <si>
    <t xml:space="preserve">B-C-202</t>
  </si>
  <si>
    <t xml:space="preserve">https://www.palantir.com</t>
  </si>
  <si>
    <t xml:space="preserve">data analytics software</t>
  </si>
  <si>
    <t xml:space="preserve">4429</t>
  </si>
  <si>
    <t xml:space="preserve">https://en.wikipedia.org/wiki/Palantir_Technologies</t>
  </si>
  <si>
    <t xml:space="preserve">2024-05</t>
  </si>
  <si>
    <t xml:space="preserve">4429 (Wikipedia) staff (whole-company count) x 5% to 100% of them in the New York office (HQ city unknown; share assumed) x 57% (Partnership for NYC, all Manhattan firms; no figure for 500 to 4,999) in on a weekday = 126 to 2525, central 564; low confidence; estimate until intake replaces it.</t>
  </si>
  <si>
    <t xml:space="preserve">140,345 sf</t>
  </si>
  <si>
    <t xml:space="preserve">CO 2024-05: direct renewal of 140,345 sf with RXR after WeWork's bankruptcy (space was a WeWork-signed footprint). Far above the pantry model; headcount not found in an opened source. Source older than 24 months, so low. | Assembly 2026-10-24: Band set at assembly to over-500 from Wikipedia infobox: 4,429 employees (2025). The NYC office size is unknown; the NYC office alone may fit, founder to confirm. Review round 3: lease status set from occupied to occupancy-unconfirmed: no source under 24 months places it here. Check the lobby directory on the walk. Review round 3: headcount_source_date left blank (date not stated): the Wikipedia infobox dates the 4,429 employee figure to 2025 with no month. Review round 2: corner lot: the lot-centroid pin sat 36 m from W 19 ST but 54 m from AVE OF THE AMERICAS, so it was moved to the AVE OF THE AMERICAS frontage near the corner (18 m from the AVE OF THE AMERICAS centreline, 36 m from W 19 ST; 36 m from the old pin). Tax lot unchanged.</t>
  </si>
  <si>
    <t xml:space="preserve">AO-C-222</t>
  </si>
  <si>
    <t xml:space="preserve">Instacart</t>
  </si>
  <si>
    <t xml:space="preserve">Tuesday estimate 85 to 1710 (low confidence), 1,001 to 4,999 staff company-wide, hybrid (days not stated), moving-out at a low-confidence address (hold: moving out of this address); contacts not researched yet (below the top 50).</t>
  </si>
  <si>
    <t xml:space="preserve">B-C-222</t>
  </si>
  <si>
    <t xml:space="preserve">https://www.instacart.com/</t>
  </si>
  <si>
    <t xml:space="preserve">Grocery delivery technology</t>
  </si>
  <si>
    <t xml:space="preserve">https://www.builtinnyc.com/company/instacart/offices</t>
  </si>
  <si>
    <t xml:space="preserve">https://commercialobserver.com/2026/07/instacart-lease-esrt-111-west-33rd-street/</t>
  </si>
  <si>
    <t xml:space="preserve">2026-07-20</t>
  </si>
  <si>
    <t xml:space="preserve">3000 (Built In) staff (whole-company count) x 5% to 100% of them in the New York office (HQ outside New York; share assumed) x 57% (Partnership for NYC, all Manhattan firms; no figure for 500 to 4,999) in on a weekday = 85 to 1710, central 381; low confidence; estimate until intake replaces it.</t>
  </si>
  <si>
    <t xml:space="preserve">21,000 sf;26,134 sf</t>
  </si>
  <si>
    <t xml:space="preserve">Named as an existing tenant at 50 W 23rd St in the Two Trees Oct 2025 release (NYREJ). CO Jul 2026: Instacart (21,000 sf sublease at 50 W 23rd since 2023) signed 26,134 sf at 111 W 33rd St; unclear whether it will leave 50 W 23rd. Downgraded to low until confirmed. Built In: 3,000 total employees. HQ San Francisco. Near-miss (over-500). | Assembly 2026-10-24: Conflict carried: CO 2026-07-20 reports a new 26,134 sf lease at 111 W 33rd St; whether it leaves 50 W 23rd is not stated. Kept low. Over 500: near-miss.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</si>
  <si>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AO-C-212</t>
  </si>
  <si>
    <t xml:space="preserve">MillerKnoll</t>
  </si>
  <si>
    <t xml:space="preserve">Tuesday estimate 219 to 4380 (low confidence), 5,000+ staff company-wide, remote-first signal, occupancy-unconfirmed at a low-confidence address; contacts not researched yet (below the top 50).</t>
  </si>
  <si>
    <t xml:space="preserve">https://commercialobserver.com/2023/05/office-furniture-giant-millerknoll-adds-15k-sf-to-251-park-avenue-south-footprint/</t>
  </si>
  <si>
    <t xml:space="preserve">251 Park Avenue South</t>
  </si>
  <si>
    <t xml:space="preserve">incl. 6-7</t>
  </si>
  <si>
    <t xml:space="preserve">B-C-212</t>
  </si>
  <si>
    <t xml:space="preserve">https://www.millerknoll.com</t>
  </si>
  <si>
    <t xml:space="preserve">office furniture (showroom and office)</t>
  </si>
  <si>
    <t xml:space="preserve">9522</t>
  </si>
  <si>
    <t xml:space="preserve">https://www.builtinnyc.com/company/millerknoll</t>
  </si>
  <si>
    <t xml:space="preserve">Zeeland</t>
  </si>
  <si>
    <t xml:space="preserve">2023-05-08</t>
  </si>
  <si>
    <t xml:space="preserve">Built In workplace type: Remote Workplace; recent job tags: 1 Remote</t>
  </si>
  <si>
    <t xml:space="preserve">https://www.builtinnyc.com/company/millerknoll/offices</t>
  </si>
  <si>
    <t xml:space="preserve">9522 (Built In) staff (whole-company count) x 5% to 100% of them in the New York office (HQ outside New York; share assumed) x 46% (Partnership for NYC, firms over 5,000) in on a weekday = 219 to 4380, central 979; low confidence; estimate until intake replaces it.</t>
  </si>
  <si>
    <t xml:space="preserve">In the building since 2016; 2023 expansion added floors 6 and 7 for about 60,000 sf total (CO May 2023). Source older than 24 months, not re-confirmed. Built In shows 9,522 total employees. Over 500. Review round 2: corner lot: the lot-centroid pin sat 19 m from E 20 ST but 22 m from PARK AVE S, so it was moved to the PARK AVE S frontage near the corner (13 m from the PARK AVE S centreline, 27 m from E 20 ST; 11 m from the old pin). Tax lot unchanged.</t>
  </si>
  <si>
    <t xml:space="preserve">AO-C-271</t>
  </si>
  <si>
    <t xml:space="preserve">RepRally</t>
  </si>
  <si>
    <t xml:space="preserve">Gated out: outside the cluster (1.7 blocks outside the line).</t>
  </si>
  <si>
    <t xml:space="preserve">https://www.reprally.com/company/msa</t>
  </si>
  <si>
    <t xml:space="preserve">137 East 25th Street</t>
  </si>
  <si>
    <t xml:space="preserve">fail</t>
  </si>
  <si>
    <t xml:space="preserve">outside the cluster (1.7 blocks outside the line)</t>
  </si>
  <si>
    <t xml:space="preserve">B-C-271</t>
  </si>
  <si>
    <t xml:space="preserve">https://www.reprally.com/</t>
  </si>
  <si>
    <t xml:space="preserve">B2B wholesale platform for independent retailers (snacks, candy, beverages)</t>
  </si>
  <si>
    <t xml:space="preserve">120</t>
  </si>
  <si>
    <t xml:space="preserve">https://www.builtinnyc.com/company/reprally/offices</t>
  </si>
  <si>
    <t xml:space="preserve">https://commercialobserver.com/2025/09/reprally-lease-137-east-25th-street/</t>
  </si>
  <si>
    <t xml:space="preserve">120 (Built In) staff (whole-company count) x 50% to 100% of them in the New York office (HQ New York; share assumed) x 67% (Partnership for NYC, firms under 500) in on a weekday = 40 to 80, central 57; low confidence; estimate until intake replaces it.</t>
  </si>
  <si>
    <t xml:space="preserve">near-miss-outside</t>
  </si>
  <si>
    <t xml:space="preserve">outside-line</t>
  </si>
  <si>
    <t xml:space="preserve">8,308 sf</t>
  </si>
  <si>
    <t xml:space="preserve">Company MSA and sales-rep terms (live): '137 East 25th Street, Floor 6, New York, NY 10010'. CO Sep 2025: 5-yr, 8,308 sf lease, HQ moved from 22 W 21st St. Built In: 120 total employees. Margin: east of Park Ave S between Lexington and Third. Also relevant to the programme's brand side (connects retailers with 250+ snack and beverage brands). Pin moved to frontage at review round 1: the lot-centroid pin failed the block-face test (33 m from E 25 ST but 46 m from E 26 ST); pin moved to frontage: the lot's position along E 25 ST kept, set 21 m from the centreline on the side CSCL gives house number 137 (12 m from the old pin). Tax lot unchanged. New pin: 22 m from E 25 ST, 57 m from E 26 ST.</t>
  </si>
  <si>
    <t xml:space="preserve">AO-C-178</t>
  </si>
  <si>
    <t xml:space="preserve">Augury</t>
  </si>
  <si>
    <t xml:space="preserve">Gated out: no staffed office shown at the address (B: excluded-not-office).</t>
  </si>
  <si>
    <t xml:space="preserve">https://www.builtinnyc.com/company/augury/offices</t>
  </si>
  <si>
    <t xml:space="preserve">1178 Broadway</t>
  </si>
  <si>
    <t xml:space="preserve">3 (#169)</t>
  </si>
  <si>
    <t xml:space="preserve">no staffed office shown at the address (B: excluded-not-office)</t>
  </si>
  <si>
    <t xml:space="preserve">B-C-178</t>
  </si>
  <si>
    <t xml:space="preserve">https://www.augury.com</t>
  </si>
  <si>
    <t xml:space="preserve">industrial AI (machine health)</t>
  </si>
  <si>
    <t xml:space="preserve">Built In lists HQ at 1178 Broadway, 3rd Floor #169 but marks the company 'Remote Workplace'; 203 total employees. The add</t>
  </si>
  <si>
    <t xml:space="preserve">203 (Built In) staff (whole-company count) x 50% to 100% of them in the New York office (HQ New York; share assumed) x 67% (Partnership for NYC, firms under 500) in on a weekday = 68 to 136, central 96; low confidence; estimate until intake replaces it.</t>
  </si>
  <si>
    <t xml:space="preserve">excluded-not-office</t>
  </si>
  <si>
    <t xml:space="preserve">Built In lists HQ at 1178 Broadway, 3rd Floor #169 but marks the company 'Remote Workplace'; 203 total employees. The address carries suite '#169', and whether a staffed office exists here is not sourced. Founder to confirm. | Assembly 2026-10-24: Excluded at assembly: Built In marks the company 'Remote Workplace' and the address carries suite '#169'; no source shows a staffed office here. Confidence lowered at assembly from medium to low: review round 2: the only source dated within 24 months is an undated third-party profile (Built In, Deskpass or LiquidSpace), which can only confirm a dated or own-site source. Review round 2: corner lot: the lot-centroid pin sat 13 m from W 28 ST but 22 m from BROADWAY, so it was moved to the BROADWAY frontage near the corner (15 m from the BROADWAY centreline, 26 m from W 28 ST; 18 m from the old pin). Tax lot unchanged. Review round 3: the pin sat 10.5 m outside its own tax lot (NYC MapPLUTO (Department of City Planning) tax-lot polygons), so it was moved to the middle of the lot's 9 m BROADWAY frontage, 3 m inside the lot line (14 m from the old pin). Tax lot unchanged.</t>
  </si>
  <si>
    <t xml:space="preserve">AO-C-272</t>
  </si>
  <si>
    <t xml:space="preserve">Runwise</t>
  </si>
  <si>
    <t xml:space="preserve">Gated out: outside the cluster (0.1 blocks outside the line).</t>
  </si>
  <si>
    <t xml:space="preserve">https://www.builtinnyc.com/company/runwise-2/offices</t>
  </si>
  <si>
    <t xml:space="preserve">104 West 27th Street</t>
  </si>
  <si>
    <t xml:space="preserve">outside the cluster (0.1 blocks outside the line)</t>
  </si>
  <si>
    <t xml:space="preserve">B-C-272</t>
  </si>
  <si>
    <t xml:space="preserve">https://www.runwise.com</t>
  </si>
  <si>
    <t xml:space="preserve">proptech (building heating controls)</t>
  </si>
  <si>
    <t xml:space="preserve">199</t>
  </si>
  <si>
    <t xml:space="preserve">Built In lists HQ at 104 W 27th Street; 199 total employees; hybrid, 3 days a week on site. Outside: west</t>
  </si>
  <si>
    <t xml:space="preserve">199 (Built In) staff (whole-company count) x 50% to 100% of them in the New York office (HQ New York; share assumed) x 67% (Partnership for NYC, firms under 500) in on a weekday = 67 to 133, central 94; low confidence; estimate until intake replaces it.</t>
  </si>
  <si>
    <t xml:space="preserve">Built In lists HQ at 104 W 27th Street; 199 total employees; hybrid, 3 days a week on site. Outside: west of Sixth Avenue (between Sixth and Seventh). Near-miss on boundary.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</si>
  <si>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AO-C-273</t>
  </si>
  <si>
    <t xml:space="preserve">GumGum (NYC office)</t>
  </si>
  <si>
    <t xml:space="preserve">https://commercialobserver.com/2022/10/online-advertising-firm-gumgum-heads-to-1245-broadway/</t>
  </si>
  <si>
    <t xml:space="preserve">1245 Broadway</t>
  </si>
  <si>
    <t xml:space="preserve">one full tower floor</t>
  </si>
  <si>
    <t xml:space="preserve">B-C-273</t>
  </si>
  <si>
    <t xml:space="preserve">adtech (contextual AI advertising)</t>
  </si>
  <si>
    <t xml:space="preserve">https://www.builtinnyc.com/company/gumgum/offices</t>
  </si>
  <si>
    <t xml:space="preserve">2022-10-05</t>
  </si>
  <si>
    <t xml:space="preserve">500 (Built In) staff (whole-company count) x 5% to 100% of them in the New York office (HQ outside New York; share assumed) x 67% (Partnership for NYC, firms under 500) in on a weekday = 17 to 335, central 75; low confidence; estimate until intake replaces it.</t>
  </si>
  <si>
    <t xml:space="preserve">Five-year 6,500 SF lease with a terrace (2022). Built In (500 employees, HQ Santa Monica) lists a New York office without a street. Older source, not reconfirmed. Margin row. Review round 2: corner lot: the lot-centroid pin sat 27 m from W 31 ST but 32 m from BROADWAY, so it was moved to the BROADWAY frontage near the corner (15 m from the BROADWAY centreline, 26 m from W 31 ST; 18 m from the old pin). Tax lot unchanged.</t>
  </si>
  <si>
    <t xml:space="preserve">AO-C-274</t>
  </si>
  <si>
    <t xml:space="preserve">Parloa</t>
  </si>
  <si>
    <t xml:space="preserve">New or renewed lease at 1245 Broadway reported 2026-06-11</t>
  </si>
  <si>
    <t xml:space="preserve">https://commercialobserver.com/2026/06/parloa-lease-expansion-gdsny-1245-broadway/</t>
  </si>
  <si>
    <t xml:space="preserve">2026-06-11</t>
  </si>
  <si>
    <t xml:space="preserve">B-C-274</t>
  </si>
  <si>
    <t xml:space="preserve">https://www.parloa.com</t>
  </si>
  <si>
    <t xml:space="preserve">software (AI customer service agents)</t>
  </si>
  <si>
    <t xml:space="preserve">221</t>
  </si>
  <si>
    <t xml:space="preserve">https://www.builtinnyc.com/company/parloa/offices</t>
  </si>
  <si>
    <t xml:space="preserve">https://www.parloa.com/contact/</t>
  </si>
  <si>
    <t xml:space="preserve">221 (Built In) staff (whole-company count) x 5% to 100% of them in the New York office (HQ city unknown; share assumed) x 67% (Partnership for NYC, firms under 500) in on a weekday = 7 to 148, central 32; low confidence; estimate until intake replaces it.</t>
  </si>
  <si>
    <t xml:space="preserve">14,731 sf;23,031 sf</t>
  </si>
  <si>
    <t xml:space="preserve">Contact page lists Parloa Inc. at 1245 Broadway, 2FL, New York. CO 2026-06-11: moved in about six months earlier and expanding from 14,731 SF to 23,031 SF. Built In (221 employees, HQ Berlin) still lists 420 Lexington Ave, which is stale. Margin row (31st St). Review round 2: corner lot: the lot-centroid pin sat 27 m from W 31 ST but 32 m from BROADWAY, so it was moved to the BROADWAY frontage near the corner (15 m from the BROADWAY centreline, 26 m from W 31 ST; 18 m from the old pin). Tax lot unchanged.</t>
  </si>
  <si>
    <t xml:space="preserve">AO-C-174</t>
  </si>
  <si>
    <t xml:space="preserve">Deerfield Management</t>
  </si>
  <si>
    <t xml:space="preserve">Gated out: inside a coworking space (B-W-013).</t>
  </si>
  <si>
    <t xml:space="preserve">https://www.deerfield.com/contact</t>
  </si>
  <si>
    <t xml:space="preserve">345 Park Avenue South</t>
  </si>
  <si>
    <t xml:space="preserve">inside a coworking space (B-W-013)</t>
  </si>
  <si>
    <t xml:space="preserve">B-C-174</t>
  </si>
  <si>
    <t xml:space="preserve">https://www.deerfield.com/</t>
  </si>
  <si>
    <t xml:space="preserve">Healthcare investment firm</t>
  </si>
  <si>
    <t xml:space="preserve">175 (Wikipedia) staff (whole-company count) x 5% to 100% of them in the New York office (HQ city unknown; share assumed) x 67% (Partnership for NYC, firms under 500) in on a weekday = 6 to 117, central 26; low confidence; estimate until intake replaces it.</t>
  </si>
  <si>
    <t xml:space="preserve">excluded-coworking</t>
  </si>
  <si>
    <t xml:space="preserve">Company contact page (live): '345 Park Avenue South New York, NY 10010'. Wikipedia: HQ 345 PAS (bought the building in May 2019); 175 employees (March 2023). Deerfield also runs Cure, a healthcare coworking and lab hub in the same building, and appears on Cure's resident list; Deerfield's own office is treated as a direct office (not coworking), founder to confirm who controls its pantry. | Assembly 2026-10-24: Coworking check at assembly: Cure's residents page (wewillcure.com/community/residents, opened 2026-10-24) lists 'Deerfield Management Company' among Cure residents. Cure is operated by Cure Experience Services, LLC (site footer). Deerfield owns the building (Wikipedia). Flagged in_coworking = Y: approach Cure as the one office (coworking tab) rather than Deerfield separately. Founder to confirm whether Deerfield runs its own pantry.</t>
  </si>
  <si>
    <t xml:space="preserve">AO-C-177</t>
  </si>
  <si>
    <t xml:space="preserve">Monte Carlo (Monte Carlo Data)</t>
  </si>
  <si>
    <t xml:space="preserve">Gated out: inside a coworking space (B-W-020).</t>
  </si>
  <si>
    <t xml:space="preserve">https://www.builtinnyc.com/company/monte-carlo/offices</t>
  </si>
  <si>
    <t xml:space="preserve">27 East 28th Street</t>
  </si>
  <si>
    <t xml:space="preserve">Suite 1656</t>
  </si>
  <si>
    <t xml:space="preserve">inside a coworking space (B-W-020)</t>
  </si>
  <si>
    <t xml:space="preserve">B-C-177</t>
  </si>
  <si>
    <t xml:space="preserve">https://montecarlo.ai</t>
  </si>
  <si>
    <t xml:space="preserve">software (data observability)</t>
  </si>
  <si>
    <t xml:space="preserve">B-B-076</t>
  </si>
  <si>
    <t xml:space="preserve">79 Madison Avenue / 27 East 28th Street (Williams Equities)</t>
  </si>
  <si>
    <t xml:space="preserve">https://liquidspace.com/us/ny/new-york/wework-27-e-28th-st</t>
  </si>
  <si>
    <t xml:space="preserve">B-W-020</t>
  </si>
  <si>
    <t xml:space="preserve">Built In lists a 'New York Hub' at 27 E 28th St, Suite 1656; company is remote-first and covers coworking; 135 tot</t>
  </si>
  <si>
    <t xml:space="preserve">135 (Built In) staff (whole-company count) x 5% to 100% of them in the New York office (HQ outside New York; share assumed) x 67% (Partnership for NYC, firms under 500) in on a weekday = 5 to 90, central 21; low confidence; estimate until intake replaces it.</t>
  </si>
  <si>
    <t xml:space="preserve">Built In lists a 'New York Hub' at 27 E 28th St, Suite 1656; company is remote-first and covers coworking; 135 total employees (HQ San Francisco). LiquidSpace lists 'WeWork | 27 E 28th St' as confirmed open. 27 E 28th St shares a tax lot with 79 Madison Ave. Coworking: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</si>
  <si>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AO-C-175</t>
  </si>
  <si>
    <t xml:space="preserve">Insilico Medicine</t>
  </si>
  <si>
    <t xml:space="preserve">B-C-175</t>
  </si>
  <si>
    <t xml:space="preserve">https://insilico.com/</t>
  </si>
  <si>
    <t xml:space="preserve">Biotech / AI drug discovery</t>
  </si>
  <si>
    <t xml:space="preserve">115</t>
  </si>
  <si>
    <t xml:space="preserve">https://www.builtinnyc.com/company/insilico-medicine/offices</t>
  </si>
  <si>
    <t xml:space="preserve">building-site</t>
  </si>
  <si>
    <t xml:space="preserve">115 (Built In) staff (whole-company count) x 5% to 100% of them in the New York office (HQ city unknown; share assumed) x 67% (Partnership for NYC, firms under 500) in on a weekday = 4 to 77, central 18; low confidence; estimate until intake replaces it.</t>
  </si>
  <si>
    <t xml:space="preserve">Cure resident page (live): testimonial says Cure 'has since become our NYC headquarters'. Built In: 115 total employees (no office address shown). In coworking (Cure), so excluded later.</t>
  </si>
  <si>
    <t xml:space="preserve">AO-C-220</t>
  </si>
  <si>
    <t xml:space="preserve">FanDuel</t>
  </si>
  <si>
    <t xml:space="preserve">Gated out: Tuesday estimate over 250 (1053 to 2105).</t>
  </si>
  <si>
    <t xml:space="preserve">Tuesday estimate over 250 (1053 to 2105)</t>
  </si>
  <si>
    <t xml:space="preserve">B-C-220</t>
  </si>
  <si>
    <t xml:space="preserve">https://www.fanduel.com/</t>
  </si>
  <si>
    <t xml:space="preserve">Sports betting / gaming technology</t>
  </si>
  <si>
    <t xml:space="preserve">3693</t>
  </si>
  <si>
    <t xml:space="preserve">https://www.builtinnyc.com/company/fanduel/offices</t>
  </si>
  <si>
    <t xml:space="preserve">over-250</t>
  </si>
  <si>
    <t xml:space="preserve">3693 (Built In) staff (whole-company count) x 50% to 100% of them in the New York office (HQ New York; share assumed) x 57% (Partnership for NYC, all Manhattan firms; no figure for 500 to 4,999) in on a weekday = 1053 to 2105, central 1489; low confidence; estimate until intake replaces it.</t>
  </si>
  <si>
    <t xml:space="preserve">Rockrose building page (live, undated) lists FanDuel as a major office tenant. Built In lists HQ '290 Park Avenue South' (same tax lot as 300 PAS) and 3,693 total employees. Near-miss (over-500). Review round 2: corner lot: the lot-centroid pin sat 24 m from E 22 ST but 25 m from PARK AVE S, so it was moved to the PARK AVE S frontage near the corner (13 m from the PARK AVE S centreline, 27 m from E 22 ST; 12 m from the old pin). Tax lot unchanged.</t>
  </si>
  <si>
    <t xml:space="preserve">AO-C-237</t>
  </si>
  <si>
    <t xml:space="preserve">IBM</t>
  </si>
  <si>
    <t xml:space="preserve">Gated out: Tuesday estimate over 250 (6079 to 121578).</t>
  </si>
  <si>
    <t xml:space="preserve">multiple (362,092 sf)</t>
  </si>
  <si>
    <t xml:space="preserve">Tuesday estimate over 250 (6079 to 121578)</t>
  </si>
  <si>
    <t xml:space="preserve">B-C-237</t>
  </si>
  <si>
    <t xml:space="preserve">https://www.ibm.com/</t>
  </si>
  <si>
    <t xml:space="preserve">Technology</t>
  </si>
  <si>
    <t xml:space="preserve">264300</t>
  </si>
  <si>
    <t xml:space="preserve">https://en.wikipedia.org/wiki/IBM</t>
  </si>
  <si>
    <t xml:space="preserve">264300 (Wikipedia) staff (whole-company count) x 5% to 100% of them in the New York office (HQ city unknown; share assumed) x 46% (Partnership for NYC, firms over 5,000) in on a weekday = 6079 to 121578, central 27186; low confidence; estimate until intake replaces it.</t>
  </si>
  <si>
    <t xml:space="preserve">362,092 sf</t>
  </si>
  <si>
    <t xml:space="preserve">CO Mar 2026: IBM has 362,092 sf at One Madison. SL Green Jul 2025 release names IBM on the roster. Wikipedia: 264,300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</si>
  <si>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AO-C-176</t>
  </si>
  <si>
    <t xml:space="preserve">Lexeo Therapeutics</t>
  </si>
  <si>
    <t xml:space="preserve">B-C-176</t>
  </si>
  <si>
    <t xml:space="preserve">https://www.lexeotx.com/</t>
  </si>
  <si>
    <t xml:space="preserve">Biotech (gene therapy)</t>
  </si>
  <si>
    <t xml:space="preserve">52</t>
  </si>
  <si>
    <t xml:space="preserve">https://www.builtinnyc.com/company/lexeo-therapeutics/offices</t>
  </si>
  <si>
    <t xml:space="preserve">52 (Built In) staff (whole-company count) x 50% to 100% of them in the New York office (HQ New York; share assumed) x 67% (Partnership for NYC, firms under 500) in on a weekday = 17 to 35, central 24; low confidence; estimate until intake replaces it.</t>
  </si>
  <si>
    <t xml:space="preserve">Listed as a current resident of Cure (Deerfield's healthcare coworking and lab hub at 345 PAS), with a CEO testimonial. Built In lists HQ 345 Park Avenue South, 6th Floor; 52 total employees. In coworking, so excluded later; Cure's residency includes a 'fully stocked pantry' run by the operator.</t>
  </si>
  <si>
    <t xml:space="preserve">AO-C-252</t>
  </si>
  <si>
    <t xml:space="preserve">Marriott International (Luxury Group NYC office)</t>
  </si>
  <si>
    <t xml:space="preserve">Gated out: Tuesday estimate over 250 (9614 to 192280).</t>
  </si>
  <si>
    <t xml:space="preserve">Tuesday estimate over 250 (9614 to 192280)</t>
  </si>
  <si>
    <t xml:space="preserve">B-C-252</t>
  </si>
  <si>
    <t xml:space="preserve">https://www.marriott.com/</t>
  </si>
  <si>
    <t xml:space="preserve">Hospitality (corporate office)</t>
  </si>
  <si>
    <t xml:space="preserve">418000</t>
  </si>
  <si>
    <t xml:space="preserve">https://en.wikipedia.org/wiki/Marriott_International</t>
  </si>
  <si>
    <t xml:space="preserve">418000 (Wikipedia) staff (whole-company count) x 5% to 100% of them in the New York office (HQ city unknown; share assumed) x 46% (Partnership for NYC, firms over 5,000) in on a weekday = 9614 to 192280, central 42995; low confidence; estimate until intake replaces it.</t>
  </si>
  <si>
    <t xml:space="preserve">ConnectCRE Mar 2026: about 23,000 sf for NYC-based corporate associates of the Luxury Group, global brand PR and Riott Haus Creative (in-house agency). CO Sep 2026 lists Marriott's Luxury Group as a tenant. Wikipedia: 418,000 employees (2024). NYC office size unknown. Near-miss (over-500). Review round 2: corner lot: the lot-centroid pin sat 22 m from E 26 ST but 36 m from PARK AVE S, so it was moved to the PARK AVE S frontage near the corner (13 m from the PARK AVE S centreline, 27 m from E 26 ST; 23 m from the old pin). Tax lot unchanged.</t>
  </si>
  <si>
    <t xml:space="preserve">AO-C-206</t>
  </si>
  <si>
    <t xml:space="preserve">Netflix</t>
  </si>
  <si>
    <t xml:space="preserve">Gated out: Tuesday estimate over 250 (304 to 6078).</t>
  </si>
  <si>
    <t xml:space="preserve">https://commercialobserver.com/2026/10/williams-equities-michael-t-cohen-robert-getreu-andrew-roos-office-new-york/</t>
  </si>
  <si>
    <t xml:space="preserve">888 Broadway</t>
  </si>
  <si>
    <t xml:space="preserve">Tuesday estimate over 250 (304 to 6078)</t>
  </si>
  <si>
    <t xml:space="preserve">B-C-206</t>
  </si>
  <si>
    <t xml:space="preserve">https://www.netflix.com</t>
  </si>
  <si>
    <t xml:space="preserve">13212</t>
  </si>
  <si>
    <t xml:space="preserve">https://www.builtinnyc.com/company/netflix</t>
  </si>
  <si>
    <t xml:space="preserve">Los Gatos</t>
  </si>
  <si>
    <t xml:space="preserve">2026-10-20</t>
  </si>
  <si>
    <t xml:space="preserve">https://therealdeal.com/new-york/2025/02/14/cannon-hill-recaps-888-broadway-at-amount-above-200m/</t>
  </si>
  <si>
    <t xml:space="preserve">2025-02-14</t>
  </si>
  <si>
    <t xml:space="preserve">13212 (Built In) staff (whole-company count) x 5% to 100% of them in the New York office (HQ outside New York; share assumed) x 46% (Partnership for NYC, firms over 5,000) in on a weekday = 304 to 6078, central 1359; low confidence; estimate until intake replaces it.</t>
  </si>
  <si>
    <t xml:space="preserve">Building co-owner calls Netflix the anchor tenant at 888 Broadway (Oct 2026); TRD headline calls 888 Broadway Netflix's NYC office. Built In lists 245 W 17th St as its NY office and 13,212 total employees. Over 500. Review round 2: corner lot: the lot-centroid pin sat 19 m from E 19 ST but 31 m from BROADWAY, so it was moved to the BROADWAY frontage near the corner (15 m from the BROADWAY centreline, 27 m from E 19 ST; 16 m from the old pin). Tax lot unchanged.</t>
  </si>
  <si>
    <t xml:space="preserve">AO-C-244</t>
  </si>
  <si>
    <t xml:space="preserve">Sony Music Entertainment</t>
  </si>
  <si>
    <t xml:space="preserve">Gated out: Tuesday estimate over 250 (255 to 5106).</t>
  </si>
  <si>
    <t xml:space="preserve">Tuesday estimate over 250 (255 to 5106)</t>
  </si>
  <si>
    <t xml:space="preserve">B-C-244</t>
  </si>
  <si>
    <t xml:space="preserve">https://www.sonymusic.com/</t>
  </si>
  <si>
    <t xml:space="preserve">Music / media</t>
  </si>
  <si>
    <t xml:space="preserve">11100</t>
  </si>
  <si>
    <t xml:space="preserve">https://en.wikipedia.org/wiki/Sony_Music</t>
  </si>
  <si>
    <t xml:space="preserve">11100 (Wikipedia) staff (whole-company count) x 5% to 100% of them in the New York office (HQ city unknown; share assumed) x 46% (Partnership for NYC, firms over 5,000) in on a weekday = 255 to 5106, central 1141; low confidence; estimate until intake replaces it.</t>
  </si>
  <si>
    <t xml:space="preserve">SL Green Jul 2026 release lists 'SONY' as an 11 Madison tenant; Wikipedia gives Sony Music HQ as 25 Madison Avenue (Metropolitan Life North Building, i.e. the 11 Madison tower). Wikipedia: 11,100 employees (2023).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</si>
  <si>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AO-C-233</t>
  </si>
  <si>
    <t xml:space="preserve">Tiffany &amp; Co.</t>
  </si>
  <si>
    <t xml:space="preserve">Gated out: Tuesday estimate over 250 (2140 to 4280).</t>
  </si>
  <si>
    <t xml:space="preserve">Tuesday estimate over 250 (2140 to 4280)</t>
  </si>
  <si>
    <t xml:space="preserve">B-C-233</t>
  </si>
  <si>
    <t xml:space="preserve">https://www.tiffany.com/</t>
  </si>
  <si>
    <t xml:space="preserve">Luxury jewelry (consumer brand)</t>
  </si>
  <si>
    <t xml:space="preserve">9305</t>
  </si>
  <si>
    <t xml:space="preserve">https://www.builtinnyc.com/company/tiffany-co/offices</t>
  </si>
  <si>
    <t xml:space="preserve">9305 (Built In) staff (whole-company count) x 50% to 100% of them in the New York office (HQ New York; share assumed) x 46% (Partnership for NYC, firms over 5,000) in on a weekday = 2140 to 4280, central 3026; low confidence; estimate until intake replaces it.</t>
  </si>
  <si>
    <t xml:space="preserve">TRD Apr 2025 lists Tiffany as a tenant (10-yr extension in 2022 while shedding about a third of its space). Built In lists HQ 200 Fifth Avenue; 9,305 total employees. Near-miss (over-500). Review round 2: corner lot: the lot-centroid pin sat 36 m from W 24 ST but 53 m from 5 AVE, so it was moved to the 5 AVE frontage near the corner (15 m from the 5 AVE centreline, 37 m from W 24 ST; 38 m from the old pin). Tax lot unchanged.</t>
  </si>
  <si>
    <t xml:space="preserve">AO-C-247</t>
  </si>
  <si>
    <t xml:space="preserve">UBS</t>
  </si>
  <si>
    <t xml:space="preserve">Gated out: Tuesday estimate over 250 (2420 to 48409).</t>
  </si>
  <si>
    <t xml:space="preserve">Tuesday estimate over 250 (2420 to 48409)</t>
  </si>
  <si>
    <t xml:space="preserve">B-C-247</t>
  </si>
  <si>
    <t xml:space="preserve">https://www.ubs.com/</t>
  </si>
  <si>
    <t xml:space="preserve">Banking / financial services</t>
  </si>
  <si>
    <t xml:space="preserve">105236</t>
  </si>
  <si>
    <t xml:space="preserve">https://en.wikipedia.org/wiki/UBS</t>
  </si>
  <si>
    <t xml:space="preserve">105236 (Wikipedia) staff (whole-company count) x 5% to 100% of them in the New York office (HQ city unknown; share assumed) x 46% (Partnership for NYC, firms over 5,000) in on a weekday = 2420 to 48409, central 10824; low confidence; estimate until intake replaces it.</t>
  </si>
  <si>
    <t xml:space="preserve">SL Green Jul 2026 release and CO Jul 2026 list UBS at 11 Madison (former Credit Suisse offices; FNP Oct 2023 roundup reported the move). Wikipedia: 105,236 employees (2025).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</si>
  <si>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AO-C-203</t>
  </si>
  <si>
    <t xml:space="preserve">Warner Bros. Discovery</t>
  </si>
  <si>
    <t xml:space="preserve">Gated out: Tuesday estimate over 250 (9200 to 18400).</t>
  </si>
  <si>
    <t xml:space="preserve">https://data.sec.gov/submissions/CIK0001437107.json</t>
  </si>
  <si>
    <t xml:space="preserve">230 Park Avenue South</t>
  </si>
  <si>
    <t xml:space="preserve">whole building</t>
  </si>
  <si>
    <t xml:space="preserve">Tuesday estimate over 250 (9200 to 18400)</t>
  </si>
  <si>
    <t xml:space="preserve">B-C-203</t>
  </si>
  <si>
    <t xml:space="preserve">https://www.wbd.com</t>
  </si>
  <si>
    <t xml:space="preserve">media (Food Network and other networks)</t>
  </si>
  <si>
    <t xml:space="preserve">40000</t>
  </si>
  <si>
    <t xml:space="preserve">https://www.builtinnyc.com/company/warner-bros-discovery</t>
  </si>
  <si>
    <t xml:space="preserve">https://commercialobserver.com/2023/01/warner-brothers-discovery-park-avenue-south/</t>
  </si>
  <si>
    <t xml:space="preserve">2023-01-25</t>
  </si>
  <si>
    <t xml:space="preserve">40000 (Built In) staff (whole-company count) x 50% to 100% of them in the New York office (HQ New York; share assumed) x 46% (Partnership for NYC, firms over 5,000) in on a weekday = 9200 to 18400, central 13011; low confidence; estimate until intake replaces it.</t>
  </si>
  <si>
    <t xml:space="preserve">375,000 sf</t>
  </si>
  <si>
    <t xml:space="preserve">SEC registrant business address is 230 Park Avenue South (opened 2026-10-23). CO Jan 2023: the company took the whole 13-story, 375,000 sf building at E 19th St (Food Network on the first floors). Metro Manhattan building page (modified 2024-10-31) also lists Discovery as a tenant. Built In shows 40,000 total employees. Over 500. Note: wbd.com redirected to skydance.com when opened on 2026-10-24, so corporate ownership may have changed; founder to confirm. | Assembly 2026-10-24: SEC EDGAR source (sec.gov): this agent will not re-open it, because EDGAR serves only requests that carry a contact email and the project rule forbids sending one; the founder may open it in a browser. Review round 2: corner lot: the lot-centroid pin sat 23 m from E 19 ST but 29 m from PARK AVE S, so it was moved to the PARK AVE S frontage near the corner (14 m from the PARK AVE S centreline, 26 m from E 19 ST; 16 m from the old pin). Tax lot unchanged.</t>
  </si>
  <si>
    <t xml:space="preserve">AO-C-256</t>
  </si>
  <si>
    <t xml:space="preserve">Ziff Davis</t>
  </si>
  <si>
    <t xml:space="preserve">Gated out: Tuesday estimate over 250 (609 to 1219).</t>
  </si>
  <si>
    <t xml:space="preserve">Tuesday estimate over 250 (609 to 1219)</t>
  </si>
  <si>
    <t xml:space="preserve">B-C-256</t>
  </si>
  <si>
    <t xml:space="preserve">https://www.ziffdavis.com</t>
  </si>
  <si>
    <t xml:space="preserve">digital media</t>
  </si>
  <si>
    <t xml:space="preserve">2138</t>
  </si>
  <si>
    <t xml:space="preserve">https://www.builtinnyc.com/company/ziff-davis/offices</t>
  </si>
  <si>
    <t xml:space="preserve">https://www.ziffdavis.com/</t>
  </si>
  <si>
    <t xml:space="preserve">2138 (Built In) staff (whole-company count) x 50% to 100% of them in the New York office (HQ New York; share assumed) x 57% (Partnership for NYC, all Manhattan firms; no figure for 500 to 4,999) in on a weekday = 609 to 1219, central 862; low confidence; estimate until intake replaces it.</t>
  </si>
  <si>
    <t xml:space="preserve">CO lists Ziff Davis as a tenant at 360 PAS (2024 lease reported by NY Business Journal, not opened). Built In shows a New York office at 114 5th Ave, Floors 14 &amp; 15 (outside slice) and 2,138 employees. Conflict: founder to confirm. Over 500: near-miss. | Assembly 2026-10-24: Conflict resolved at assembly: ziffdavis.com's own structured data (opened 2026-10-24) gives streetAddress '360 Park Avenue South', 10010, agreeing with CO 2025-05-20. Built In's 114 Fifth Ave is stale. S3 also found theSkimm's legal pages pointing to Ziff Davis at 360 PAS, 17th floor. Over 500: near-miss. Review round 2: corner lot: the lot-centroid pin sat 22 m from E 26 ST but 36 m from PARK AVE S, so it was moved to the PARK AVE S frontage near the corner (13 m from the PARK AVE S centreline, 27 m from E 26 ST; 23 m from the old pin). Tax lot unchanged.</t>
  </si>
  <si>
    <t xml:space="preserve">AO-C-198</t>
  </si>
  <si>
    <t xml:space="preserve">Airbnb</t>
  </si>
  <si>
    <t xml:space="preserve">Gated out: Tuesday estimate over 250 (336 to 6726).</t>
  </si>
  <si>
    <t xml:space="preserve">Tuesday estimate over 250 (336 to 6726)</t>
  </si>
  <si>
    <t xml:space="preserve">B-C-198</t>
  </si>
  <si>
    <t xml:space="preserve">https://www.airbnb.com</t>
  </si>
  <si>
    <t xml:space="preserve">travel marketplace</t>
  </si>
  <si>
    <t xml:space="preserve">14622</t>
  </si>
  <si>
    <t xml:space="preserve">https://www.builtinnyc.com/company/airbnb</t>
  </si>
  <si>
    <t xml:space="preserve">https://commercialobserver.com/2026/07/airbnb-buys-281-park-avenue-south-office/</t>
  </si>
  <si>
    <t xml:space="preserve">2026-07-09</t>
  </si>
  <si>
    <t xml:space="preserve">14622 (Built In) staff (whole-company count) x 5% to 100% of them in the New York office (HQ outside New York; share assumed) x 46% (Partnership for NYC, firms over 5,000) in on a weekday = 336 to 6726, central 1503; low confidence; estimate until intake replaces it.</t>
  </si>
  <si>
    <t xml:space="preserve">13,300 sf</t>
  </si>
  <si>
    <t xml:space="preserve">13,300 sf on the 3rd floor of 130 Fifth (signed Sept 2024). In July 2026 Airbnb bought 281 Park Avenue South (E 22nd St, also in this slice) for one of its largest employee hubs outside San Francisco. Built In lists NYC office at 627 Broadway and 14,622 total employees. Over 500. Review round 2: corner lot: the lot-centroid pin sat 21 m from W 18 ST but 36 m from 5 AVE, so it was moved to the 5 AVE frontage near the corner (17 m from the 5 AVE centreline, 26 m from W 18 ST; 19 m from the old pin). Tax lot unchanged.</t>
  </si>
  <si>
    <t xml:space="preserve">AO-C-239</t>
  </si>
  <si>
    <t xml:space="preserve">Amazon</t>
  </si>
  <si>
    <t xml:space="preserve">Gated out: Tuesday estimate over 250 (36248 to 724960).</t>
  </si>
  <si>
    <t xml:space="preserve">Tuesday estimate over 250 (36248 to 724960)</t>
  </si>
  <si>
    <t xml:space="preserve">B-C-239</t>
  </si>
  <si>
    <t xml:space="preserve">https://www.amazon.com/</t>
  </si>
  <si>
    <t xml:space="preserve">Technology / e-commerce</t>
  </si>
  <si>
    <t xml:space="preserve">1576000</t>
  </si>
  <si>
    <t xml:space="preserve">https://en.wikipedia.org/wiki/Amazon_(company)</t>
  </si>
  <si>
    <t xml:space="preserve">1576000 (Wikipedia) staff (whole-company count) x 5% to 100% of them in the New York office (HQ city unknown; share assumed) x 46% (Partnership for NYC, firms over 5,000) in on a weekday = 36248 to 724960, central 162106; low confidence; estimate until intake replaces it.</t>
  </si>
  <si>
    <t xml:space="preserve">CO Feb 2026 lists 'tech giant Amazon' among office tenants at 315 PAS; which Amazon unit and how large the space is were not stated. Amazon is far over 500 employees (Wikipedia). Near-miss (over-500). Review round 2: corner lot: the lot-centroid pin sat 21 m from E 24 ST but 31 m from PARK AVE S, so it was moved to the PARK AVE S frontage near the corner (13 m from the PARK AVE S centreline, 27 m from E 24 ST; 19 m from the old pin). Tax lot unchanged.</t>
  </si>
  <si>
    <t xml:space="preserve">AO-C-264</t>
  </si>
  <si>
    <t xml:space="preserve">American Eagle Outfitters (NYC headquarters offices)</t>
  </si>
  <si>
    <t xml:space="preserve">Gated out: Tuesday estimate over 250 (391 to 7820).</t>
  </si>
  <si>
    <t xml:space="preserve">https://commercialobserver.com/2025/08/american-eagle-outfitters-expansion-63-madison-avenue/</t>
  </si>
  <si>
    <t xml:space="preserve">63 Madison Avenue</t>
  </si>
  <si>
    <t xml:space="preserve">multiple</t>
  </si>
  <si>
    <t xml:space="preserve">Tuesday estimate over 250 (391 to 7820)</t>
  </si>
  <si>
    <t xml:space="preserve">B-C-264</t>
  </si>
  <si>
    <t xml:space="preserve">https://www.ae.com</t>
  </si>
  <si>
    <t xml:space="preserve">apparel retailer (corporate offices)</t>
  </si>
  <si>
    <t xml:space="preserve">17000</t>
  </si>
  <si>
    <t xml:space="preserve">https://www.builtinnyc.com/company/american-eagle-outfitters/offices</t>
  </si>
  <si>
    <t xml:space="preserve">Pittsburgh</t>
  </si>
  <si>
    <t xml:space="preserve">17000 (Built In) staff (whole-company count) x 5% to 100% of them in the New York office (HQ outside New York; share assumed) x 46% (Partnership for NYC, firms over 5,000) in on a weekday = 391 to 7820, central 1749; low confidence; estimate until intake replaces it.</t>
  </si>
  <si>
    <t xml:space="preserve">392,185 sf</t>
  </si>
  <si>
    <t xml:space="preserve">Expanded to 392,185 SF of office HQ at 63 Madison (same tax lot as 28 E 28th St). Built In: 17,000 employees. Far over 500: near-miss only. Review round 2: corner lot: the lot-centroid pin sat 39 m from E 28 ST but 56 m from MADISON AVE, so it was moved to the MADISON AVE frontage near the corner (16 m from the MADISON AVE centreline, 39 m from E 28 ST; 40 m from the old pin). Tax lot unchanged.</t>
  </si>
  <si>
    <t xml:space="preserve">AO-C-221</t>
  </si>
  <si>
    <t xml:space="preserve">BuzzFeed</t>
  </si>
  <si>
    <t xml:space="preserve">Gated out: Tuesday estimate over 250 (510 to 1020).</t>
  </si>
  <si>
    <t xml:space="preserve">https://commercialobserver.com/2025/03/buzfeed-lease-50-west-23rd-street/</t>
  </si>
  <si>
    <t xml:space="preserve">5 (part) and 6</t>
  </si>
  <si>
    <t xml:space="preserve">Tuesday estimate over 250 (510 to 1020)</t>
  </si>
  <si>
    <t xml:space="preserve">B-C-221</t>
  </si>
  <si>
    <t xml:space="preserve">https://www.buzzfeed.com/</t>
  </si>
  <si>
    <t xml:space="preserve">Digital media</t>
  </si>
  <si>
    <t xml:space="preserve">1789</t>
  </si>
  <si>
    <t xml:space="preserve">https://www.builtinnyc.com/company/buzzfeed/offices</t>
  </si>
  <si>
    <t xml:space="preserve">2025-03-26</t>
  </si>
  <si>
    <t xml:space="preserve">1789 (Built In) staff (whole-company count) x 50% to 100% of them in the New York office (HQ New York; share assumed) x 57% (Partnership for NYC, all Manhattan firms; no figure for 500 to 4,999) in on a weekday = 510 to 1020, central 721; low confidence; estimate until intake replaces it.</t>
  </si>
  <si>
    <t xml:space="preserve">42,210 sf;11,000 sf</t>
  </si>
  <si>
    <t xml:space="preserve">CO Mar 2025: new HQ, 42,210 sf (entire 6th floor plus 11,000 sf on the 5th), moved from 229 W 43rd St. CO Sep 2025 lists BuzzFeed as a current tenant. Built In: 1,789 total employees (profile still shows the old 111 E 18th St address); Wikipedia infobox: 925 employees (Dec 2023). Both counts exceed 500. Near-miss (over-500). | Assembly 2026-10-24: Confidence lowered at assembly from high to medium: second source is the same publisher or missing.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</si>
  <si>
    <t xml:space="preserve">AO-C-188</t>
  </si>
  <si>
    <t xml:space="preserve">Capital One</t>
  </si>
  <si>
    <t xml:space="preserve">Gated out: Tuesday estimate over 250 (1265 to 25300).</t>
  </si>
  <si>
    <t xml:space="preserve">Tuesday estimate over 250 (1265 to 25300)</t>
  </si>
  <si>
    <t xml:space="preserve">B-C-188</t>
  </si>
  <si>
    <t xml:space="preserve">https://www.capitalone.com</t>
  </si>
  <si>
    <t xml:space="preserve">banking (tech offices)</t>
  </si>
  <si>
    <t xml:space="preserve">55000</t>
  </si>
  <si>
    <t xml:space="preserve">https://www.builtinnyc.com/company/capital-one</t>
  </si>
  <si>
    <t xml:space="preserve">McLean</t>
  </si>
  <si>
    <t xml:space="preserve">55000 (Built In) staff (whole-company count) x 5% to 100% of them in the New York office (HQ outside New York; share assumed) x 46% (Partnership for NYC, firms over 5,000) in on a weekday = 1265 to 25300, central 5657; low confidence; estimate until intake replaces it.</t>
  </si>
  <si>
    <t xml:space="preserve">213,500 sf;116,926 sf;96,606 sf</t>
  </si>
  <si>
    <t xml:space="preserve">Near-miss: over 500 (Built In: 55,000 total employees) and about 213,500 sf here (existing 116,926 sf plus 96,606 sf expansion per CBRE report cited by CO). Article dated February 2025 (day not captured). Review round 2: corner lot: the lot-centroid pin sat 22 m from W 17 ST but 39 m from 5 AVE, so it was moved to the 5 AVE frontage near the corner (17 m from the 5 AVE centreline, 27 m from W 17 ST; 22 m from the old pin). Tax lot unchanged.</t>
  </si>
  <si>
    <t xml:space="preserve">AO-C-196</t>
  </si>
  <si>
    <t xml:space="preserve">Charlie Health</t>
  </si>
  <si>
    <t xml:space="preserve">Gated out: Tuesday estimate over 250 (855 to 1710).</t>
  </si>
  <si>
    <t xml:space="preserve">Tuesday estimate over 250 (855 to 1710)</t>
  </si>
  <si>
    <t xml:space="preserve">B-C-196</t>
  </si>
  <si>
    <t xml:space="preserve">https://www.charliehealth.com</t>
  </si>
  <si>
    <t xml:space="preserve">virtual behavioral health</t>
  </si>
  <si>
    <t xml:space="preserve">https://www.builtinnyc.com/company/charlie-health</t>
  </si>
  <si>
    <t xml:space="preserve">3000 (Built In) staff (whole-company count) x 50% to 100% of them in the New York office (HQ New York; share assumed) x 57% (Partnership for NYC, all Manhattan firms; no figure for 500 to 4,999) in on a weekday = 855 to 1710, central 1209; low confidence; estimate until intake replaces it.</t>
  </si>
  <si>
    <t xml:space="preserve">Near-miss: over 500 (Built In NYC: 3,000 total employees, HQ New York). SEC rent roll 2026-02-05: Charlie Health, Inc. 17,255 sf (one full floor), lease to 2029-01-31. Use of the space (corporate vs clinical)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</si>
  <si>
    <t xml:space="preserve">AO-C-181</t>
  </si>
  <si>
    <t xml:space="preserve">Con Edison</t>
  </si>
  <si>
    <t xml:space="preserve">Gated out: Tuesday estimate over 250 (347 to 6945).</t>
  </si>
  <si>
    <t xml:space="preserve">https://en.wikipedia.org/wiki/Consolidated_Edison_Building</t>
  </si>
  <si>
    <t xml:space="preserve">4 Irving Place</t>
  </si>
  <si>
    <t xml:space="preserve">Tuesday estimate over 250 (347 to 6945)</t>
  </si>
  <si>
    <t xml:space="preserve">B-C-181</t>
  </si>
  <si>
    <t xml:space="preserve">https://www.coned.com</t>
  </si>
  <si>
    <t xml:space="preserve">energy utility (headquarters)</t>
  </si>
  <si>
    <t xml:space="preserve">15097</t>
  </si>
  <si>
    <t xml:space="preserve">https://en.wikipedia.org/wiki/Consolidated_Edison</t>
  </si>
  <si>
    <t xml:space="preserve">wikipedia</t>
  </si>
  <si>
    <t xml:space="preserve">15097 (Wikipedia) staff (whole-company count) x 5% to 100% of them in the New York office (HQ city unknown; share assumed) x 46% (Partnership for NYC, firms over 5,000) in on a weekday = 347 to 6945, central 1552; low confidence; estimate until intake replaces it.</t>
  </si>
  <si>
    <t xml:space="preserve">Near-miss: over 500 (Wikipedia infobox: 15,097 employees, 2024). Wikipedia: the Consolidated Edison Building (Irving Place to Third Ave, 14th to 15th St) serves as Con Ed's headquarters. Margin (east of Park Ave S). Large corporate HQ, not a pantry-model office. Review round 2: corner lot: the lot-centroid pin sat 41 m from E 15 ST but 60 m from IRVING PL, so it was moved to the IRVING PL frontage near the corner (14 m from the IRVING PL centreline, 41 m from E 15 ST; 46 m from the old pin). Tax lot unchanged.</t>
  </si>
  <si>
    <t xml:space="preserve">AO-C-229</t>
  </si>
  <si>
    <t xml:space="preserve">DoorDash</t>
  </si>
  <si>
    <t xml:space="preserve">Gated out: Tuesday estimate over 250 (722 to 14444).</t>
  </si>
  <si>
    <t xml:space="preserve">Tuesday estimate over 250 (722 to 14444)</t>
  </si>
  <si>
    <t xml:space="preserve">B-C-229</t>
  </si>
  <si>
    <t xml:space="preserve">https://www.doordash.com/</t>
  </si>
  <si>
    <t xml:space="preserve">Delivery technology</t>
  </si>
  <si>
    <t xml:space="preserve">31400</t>
  </si>
  <si>
    <t xml:space="preserve">https://en.wikipedia.org/wiki/DoorDash</t>
  </si>
  <si>
    <t xml:space="preserve">31400 (Wikipedia) staff (whole-company count) x 5% to 100% of them in the New York office (HQ city unknown; share assumed) x 46% (Partnership for NYC, firms over 5,000) in on a weekday = 722 to 14444, central 3229; low confidence; estimate until intake replaces it.</t>
  </si>
  <si>
    <t xml:space="preserve">115,000 sf</t>
  </si>
  <si>
    <t xml:space="preserve">TRD Apr 2025 lists DoorDash as a tenant at 200 Fifth Ave (FNP Feb 2024 roundup, citing TRD: doubled to 115,000 sf). Wikipedia infobox: 31,400 employees (2025). Near-miss (over-500). Review round 2: corner lot: the lot-centroid pin sat 36 m from W 24 ST but 53 m from 5 AVE, so it was moved to the 5 AVE frontage near the corner (15 m from the 5 AVE centreline, 37 m from W 24 ST; 38 m from the old pin). Tax lot unchanged.</t>
  </si>
  <si>
    <t xml:space="preserve">AO-C-235</t>
  </si>
  <si>
    <t xml:space="preserve">Flutter Entertainment</t>
  </si>
  <si>
    <t xml:space="preserve">Gated out: Tuesday estimate over 250 (629 to 12579).</t>
  </si>
  <si>
    <t xml:space="preserve">Tuesday estimate over 250 (629 to 12579)</t>
  </si>
  <si>
    <t xml:space="preserve">B-C-235</t>
  </si>
  <si>
    <t xml:space="preserve">https://www.flutter.com/</t>
  </si>
  <si>
    <t xml:space="preserve">Sports betting / gaming (FanDuel parent)</t>
  </si>
  <si>
    <t xml:space="preserve">27345</t>
  </si>
  <si>
    <t xml:space="preserve">https://en.wikipedia.org/wiki/Flutter_Entertainment</t>
  </si>
  <si>
    <t xml:space="preserve">27345 (Wikipedia) staff (whole-company count) x 5% to 100% of them in the New York office (HQ city unknown; share assumed) x 46% (Partnership for NYC, firms over 5,000) in on a weekday = 629 to 12579, central 2813; low confidence; estimate until intake replaces it.</t>
  </si>
  <si>
    <t xml:space="preserve">SL Green Jul 2025 release names Flutter Entertainment on the One Madison roster. Wikipedia: 27,345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</si>
  <si>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AO-C-231</t>
  </si>
  <si>
    <t xml:space="preserve">Grey Group</t>
  </si>
  <si>
    <t xml:space="preserve">Gated out: Tuesday estimate over 250 (894 to 1788).</t>
  </si>
  <si>
    <t xml:space="preserve">Tuesday estimate over 250 (894 to 1788)</t>
  </si>
  <si>
    <t xml:space="preserve">B-C-231</t>
  </si>
  <si>
    <t xml:space="preserve">https://www.grey.com/</t>
  </si>
  <si>
    <t xml:space="preserve">Advertising agency</t>
  </si>
  <si>
    <t xml:space="preserve">3137</t>
  </si>
  <si>
    <t xml:space="preserve">https://www.builtinnyc.com/company/grey-group/offices</t>
  </si>
  <si>
    <t xml:space="preserve">3137 (Built In) staff (whole-company count) x 50% to 100% of them in the New York office (HQ New York; share assumed) x 57% (Partnership for NYC, all Manhattan firms; no figure for 500 to 4,999) in on a weekday = 894 to 1788, central 1264; low confidence; estimate until intake replaces it.</t>
  </si>
  <si>
    <t xml:space="preserve">TRD Apr 2025 lists 'Grey Advertising' as a tenant at 200 Fifth. Built In (grey-group profile): HQ New York (no street), 3,137 total employees. Near-miss (over-500). Review round 2: corner lot: the lot-centroid pin sat 36 m from W 24 ST but 53 m from 5 AVE, so it was moved to the 5 AVE frontage near the corner (15 m from the 5 AVE centreline, 37 m from W 24 ST; 38 m from the old pin). Tax lot unchanged.</t>
  </si>
  <si>
    <t xml:space="preserve">AO-C-159</t>
  </si>
  <si>
    <t xml:space="preserve">Hanover Park</t>
  </si>
  <si>
    <t xml:space="preserve">Gated out: Tuesday estimate under 30 (14 to 28).</t>
  </si>
  <si>
    <t xml:space="preserve">New or renewed lease at 387 Park Avenue South reported 2026-08-12</t>
  </si>
  <si>
    <t xml:space="preserve">Tuesday estimate under 30 (14 to 28)</t>
  </si>
  <si>
    <t xml:space="preserve">B-C-159</t>
  </si>
  <si>
    <t xml:space="preserve">https://www.hanoverpark.com</t>
  </si>
  <si>
    <t xml:space="preserve">fintech (AI fund administration)</t>
  </si>
  <si>
    <t xml:space="preserve">42</t>
  </si>
  <si>
    <t xml:space="preserve">https://www.builtinnyc.com/company/hanover-park/offices</t>
  </si>
  <si>
    <t xml:space="preserve">under-30</t>
  </si>
  <si>
    <t xml:space="preserve">42 (Built In) staff (whole-company count) x 50% to 100% of them in the New York office (HQ New York; share assumed) x 67% (Partnership for NYC, firms under 500) in on a weekday = 14 to 28, central 20; low confidence; estimate until intake replaces it.</t>
  </si>
  <si>
    <t xml:space="preserve">19,269 sf</t>
  </si>
  <si>
    <t xml:space="preserve">Full 10th floor, 19,269 SF, moving HQ from 115 E 23rd St. Built In (42 employees) still lists 115 E 23rd St, so the move may not be complete. Both press items repeat the same landlord announcement, so not treated as independent. Review round 2: corner lot: the lot-centroid pin sat 24 m from E 27 ST but 34 m from PARK AVE S, so it was moved to the PARK AVE S frontage near the corner (13 m from the PARK AVE S centreline, 26 m from E 27 ST; 21 m from the old pin). Tax lot unchanged.</t>
  </si>
  <si>
    <t xml:space="preserve">AO-C-227</t>
  </si>
  <si>
    <t xml:space="preserve">Huge</t>
  </si>
  <si>
    <t xml:space="preserve">Gated out: Tuesday estimate over 250 (408 to 815).</t>
  </si>
  <si>
    <t xml:space="preserve">Tuesday estimate over 250 (408 to 815)</t>
  </si>
  <si>
    <t xml:space="preserve">B-C-227</t>
  </si>
  <si>
    <t xml:space="preserve">https://www.hugeinc.com/</t>
  </si>
  <si>
    <t xml:space="preserve">Design and technology agency</t>
  </si>
  <si>
    <t xml:space="preserve">1430</t>
  </si>
  <si>
    <t xml:space="preserve">https://www.builtinnyc.com/company/huge/offices</t>
  </si>
  <si>
    <t xml:space="preserve">https://flatironnomad.nyc/2025/11/05/october-news-roundup-6/</t>
  </si>
  <si>
    <t xml:space="preserve">1430 (Built In) staff (whole-company count) x 50% to 100% of them in the New York office (HQ New York; share assumed) x 57% (Partnership for NYC, all Manhattan firms; no figure for 500 to 4,999) in on a weekday = 408 to 815, central 577; low confidence; estimate until intake replaces it.</t>
  </si>
  <si>
    <t xml:space="preserve">16,909 sf</t>
  </si>
  <si>
    <t xml:space="preserve">CO Oct 2025: 10-yr lease, entire 8th floor (16,909 sf), consolidating Huge (from 77 Sands St, Dumbo) and Hero Digital (from 500 Park Ave). Move-in date not stated. Built In still shows Dumbo HQ and 1,430 total employees.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</si>
  <si>
    <t xml:space="preserve">AO-C-209</t>
  </si>
  <si>
    <t xml:space="preserve">Infor</t>
  </si>
  <si>
    <t xml:space="preserve">Gated out: Tuesday estimate over 250 (4232 to 8465).</t>
  </si>
  <si>
    <t xml:space="preserve">Tuesday estimate over 250 (4232 to 8465)</t>
  </si>
  <si>
    <t xml:space="preserve">B-C-209</t>
  </si>
  <si>
    <t xml:space="preserve">https://www.infor.com</t>
  </si>
  <si>
    <t xml:space="preserve">enterprise software</t>
  </si>
  <si>
    <t xml:space="preserve">18402</t>
  </si>
  <si>
    <t xml:space="preserve">https://www.builtinnyc.com/company/infor</t>
  </si>
  <si>
    <t xml:space="preserve">https://commercialobserver.com/2021/05/software-company-infor-reups-90k-sf-at-635-641-avenue-of-the-americas/</t>
  </si>
  <si>
    <t xml:space="preserve">2021-05-06</t>
  </si>
  <si>
    <t xml:space="preserve">18402 (Built In) staff (whole-company count) x 50% to 100% of them in the New York office (HQ New York; share assumed) x 46% (Partnership for NYC, firms over 5,000) in on a weekday = 4232 to 8465, central 5985; low confidence; estimate until intake replaces it.</t>
  </si>
  <si>
    <t xml:space="preserve">90,000 sf</t>
  </si>
  <si>
    <t xml:space="preserve">CO Sept 2026 lists cloud software company Infor as a tenant; it renewed about 90,000 sf at 635-641 Avenue of the Americas in 2021 (HQ). Built In shows 18,402 total employees.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</si>
  <si>
    <t xml:space="preserve">AO-C-078</t>
  </si>
  <si>
    <t xml:space="preserve">Instant</t>
  </si>
  <si>
    <t xml:space="preserve">Gated out: Tuesday estimate under 30 (1 to 27).</t>
  </si>
  <si>
    <t xml:space="preserve">Tuesday estimate under 30 (1 to 27)</t>
  </si>
  <si>
    <t xml:space="preserve">B-C-078</t>
  </si>
  <si>
    <t xml:space="preserve">https://instant.one</t>
  </si>
  <si>
    <t xml:space="preserve">software (e-commerce checkout and marketing)</t>
  </si>
  <si>
    <t xml:space="preserve">https://www.builtinnyc.com/company/instant</t>
  </si>
  <si>
    <t xml:space="preserve">Sydney</t>
  </si>
  <si>
    <t xml:space="preserve">40 (Built In) staff (whole-company count) x 5% to 100% of them in the New York office (HQ outside New York; share assumed) x 67% (Partnership for NYC, firms under 500) in on a weekday = 1 to 27, central 5; low confidence; estimate until intake replaces it.</t>
  </si>
  <si>
    <t xml:space="preserve">First NYC office, three-year furnished lease of 5,000 sf at 53-55 W 21st St (Moinian), move-in June 2025. Sydney-based. Built In shows 40 total employees (whole company), so the NYC team is at most 40 by arithmetic; its own count is not sourced.</t>
  </si>
  <si>
    <t xml:space="preserve">AO-C-242</t>
  </si>
  <si>
    <t xml:space="preserve">Legora</t>
  </si>
  <si>
    <t xml:space="preserve">Gated out: Tuesday estimate over 250 (314 to 627).</t>
  </si>
  <si>
    <t xml:space="preserve">New or renewed lease at 11 Madison Avenue reported 2026-07-23</t>
  </si>
  <si>
    <t xml:space="preserve">Tuesday estimate over 250 (314 to 627)</t>
  </si>
  <si>
    <t xml:space="preserve">B-C-242</t>
  </si>
  <si>
    <t xml:space="preserve">https://legora.com/</t>
  </si>
  <si>
    <t xml:space="preserve">1100</t>
  </si>
  <si>
    <t xml:space="preserve">https://www.builtinnyc.com/company/legora/offices</t>
  </si>
  <si>
    <t xml:space="preserve">https://flatironnomad.nyc/2026/08/05/july-news-roundup-6/</t>
  </si>
  <si>
    <t xml:space="preserve">2026-08-05</t>
  </si>
  <si>
    <t xml:space="preserve">1100 (Built In) staff (whole-company count) x 50% to 100% of them in the New York office (HQ New York; share assumed) x 57% (Partnership for NYC, all Manhattan firms; no figure for 500 to 4,999) in on a weekday = 314 to 627, central 444; low confidence; estimate until intake replaces it.</t>
  </si>
  <si>
    <t xml:space="preserve">98,420 sf</t>
  </si>
  <si>
    <t xml:space="preserve">CO Jul 2026: 98,420 sf, entire 11th floor, 10-yr lease (SL Green's release calls it an unnamed 'leading AI tenant'). Built In lists NY HQ at 838 Broadway (current office until the move) and 1,100 total employees. Move-in date unknown.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</si>
  <si>
    <t xml:space="preserve">AO-C-211</t>
  </si>
  <si>
    <t xml:space="preserve">Mastercard</t>
  </si>
  <si>
    <t xml:space="preserve">Gated out: Tuesday estimate over 250 (892 to 17848).</t>
  </si>
  <si>
    <t xml:space="preserve">https://commercialobserver.com/2025/09/bam-labs-150-fifth-avenue-first-u-s-location/</t>
  </si>
  <si>
    <t xml:space="preserve">150 Fifth Avenue</t>
  </si>
  <si>
    <t xml:space="preserve">Tuesday estimate over 250 (892 to 17848)</t>
  </si>
  <si>
    <t xml:space="preserve">B-C-211</t>
  </si>
  <si>
    <t xml:space="preserve">https://www.mastercard.com</t>
  </si>
  <si>
    <t xml:space="preserve">payments (tech hub)</t>
  </si>
  <si>
    <t xml:space="preserve">38800</t>
  </si>
  <si>
    <t xml:space="preserve">https://www.builtinnyc.com/company/mastercard</t>
  </si>
  <si>
    <t xml:space="preserve">Purchase</t>
  </si>
  <si>
    <t xml:space="preserve">https://commercialobserver.com/2021/10/150-fifth-avenue-debuts-as-mastercards-new-tech-hq/</t>
  </si>
  <si>
    <t xml:space="preserve">2021-10-20</t>
  </si>
  <si>
    <t xml:space="preserve">38800 (Built In) staff (whole-company count) x 5% to 100% of them in the New York office (HQ outside New York; share assumed) x 46% (Partnership for NYC, firms over 5,000) in on a weekday = 892 to 17848, central 3990; low confidence; estimate until intake replaces it.</t>
  </si>
  <si>
    <t xml:space="preserve">212,000 sf</t>
  </si>
  <si>
    <t xml:space="preserve">Leased all 212,000 sf of office space at 150 Fifth (2017) and moved in 2021 as its NYC tech hub; CO Sept 2025 says the building is 100% leased. Built In shows 38,800 total employees. Over 500. Review round 2: corner lot: the lot-centroid pin sat 16 m from W 20 ST but 30 m from 5 AVE, so it was moved to the 5 AVE frontage near the corner (17 m from the 5 AVE centreline, 26 m from W 20 ST; 16 m from the old pin). Tax lot unchanged.</t>
  </si>
  <si>
    <t xml:space="preserve">AO-C-194</t>
  </si>
  <si>
    <t xml:space="preserve">Microsoft (AdTech hub)</t>
  </si>
  <si>
    <t xml:space="preserve">Gated out: Tuesday estimate over 250 (5129 to 102580).</t>
  </si>
  <si>
    <t xml:space="preserve">6-10</t>
  </si>
  <si>
    <t xml:space="preserve">Tuesday estimate over 250 (5129 to 102580)</t>
  </si>
  <si>
    <t xml:space="preserve">B-C-194</t>
  </si>
  <si>
    <t xml:space="preserve">https://www.microsoft.com</t>
  </si>
  <si>
    <t xml:space="preserve">software (advertising technology unit)</t>
  </si>
  <si>
    <t xml:space="preserve">223000</t>
  </si>
  <si>
    <t xml:space="preserve">https://www.builtinnyc.com/company/microsoft</t>
  </si>
  <si>
    <t xml:space="preserve">Redmond</t>
  </si>
  <si>
    <t xml:space="preserve">223000 (Built In) staff (whole-company count) x 5% to 100% of them in the New York office (HQ outside New York; share assumed) x 46% (Partnership for NYC, firms over 5,000) in on a weekday = 5129 to 102580, central 22938; low confidence; estimate until intake replaces it.</t>
  </si>
  <si>
    <t xml:space="preserve">150,000 sf</t>
  </si>
  <si>
    <t xml:space="preserve">Near-miss: over 500 and about 150,000 sf, far above the pantry model. Floors 6-10 from search-result snippets (CommercialCafe/Propmodo), not opened; floor unverified, founder to confirm. | Assembly 2026-10-24: Confidence lowered at assembly from high to medium: second source is the same publisher or missing.</t>
  </si>
  <si>
    <t xml:space="preserve">AO-C-250</t>
  </si>
  <si>
    <t xml:space="preserve">Mphasis</t>
  </si>
  <si>
    <t xml:space="preserve">Gated out: Tuesday estimate over 250 (862 to 17250).</t>
  </si>
  <si>
    <t xml:space="preserve">New or renewed lease at 41 Madison Avenue reported 2026-10-22</t>
  </si>
  <si>
    <t xml:space="preserve">https://commercialobserver.com/2026/10/mphasis-lease-expansion-rudin-41-madison-avenue/</t>
  </si>
  <si>
    <t xml:space="preserve">2026-10-22</t>
  </si>
  <si>
    <t xml:space="preserve">35-36</t>
  </si>
  <si>
    <t xml:space="preserve">Tuesday estimate over 250 (862 to 17250)</t>
  </si>
  <si>
    <t xml:space="preserve">B-C-250</t>
  </si>
  <si>
    <t xml:space="preserve">https://www.mphasis.com</t>
  </si>
  <si>
    <t xml:space="preserve">IT services</t>
  </si>
  <si>
    <t xml:space="preserve">37500</t>
  </si>
  <si>
    <t xml:space="preserve">https://www.builtinnyc.com/company/mphasis/offices</t>
  </si>
  <si>
    <t xml:space="preserve">37500 (Built In) staff (whole-company count) x 5% to 100% of them in the New York office (HQ city unknown; share assumed) x 46% (Partnership for NYC, firms over 5,000) in on a weekday = 862 to 17250, central 3856; low confidence; estimate until intake replaces it.</t>
  </si>
  <si>
    <t xml:space="preserve">27,709 sf</t>
  </si>
  <si>
    <t xml:space="preserve">Expanding to 27,709 SF (adds full 36th floor, keeps 35th) with a 10-year extension. Built In: 37,500 employees (HQ Bengaluru). Over 500: near-miss. Review round 2: corner lot: the lot-centroid pin sat 30 m from E 26 ST but 44 m from MADISON AVE, so it was moved to the MADISON AVE frontage near the corner (16 m from the MADISON AVE centreline, 30 m from E 26 ST; 29 m from the old pin). Tax lot unchanged.</t>
  </si>
  <si>
    <t xml:space="preserve">AO-C-097</t>
  </si>
  <si>
    <t xml:space="preserve">Normal Computing</t>
  </si>
  <si>
    <t xml:space="preserve">Gated out: Tuesday estimate under 30 (20 to 20).</t>
  </si>
  <si>
    <t xml:space="preserve">Tuesday estimate under 30 (20 to 20)</t>
  </si>
  <si>
    <t xml:space="preserve">B-C-097</t>
  </si>
  <si>
    <t xml:space="preserve">https://normalcomputing.com/</t>
  </si>
  <si>
    <t xml:space="preserve">AI hardware / computing</t>
  </si>
  <si>
    <t xml:space="preserve">30</t>
  </si>
  <si>
    <t xml:space="preserve">scope-differs</t>
  </si>
  <si>
    <t xml:space="preserve">https://www.reveliolabs.com/companies/normal-computing/employees</t>
  </si>
  <si>
    <t xml:space="preserve">https://flatironnomad.nyc/2026/10/07/september-news-roundup-7/</t>
  </si>
  <si>
    <t xml:space="preserve">2026-11</t>
  </si>
  <si>
    <t xml:space="preserve">30 in the New York office (Commercial Observer) staff (New York office count) x the count is for the New York office x 67% (Partnership for NYC, firms under 500) in on a weekday = 20 to 20, central 20; medium confidence; estimate until intake replaces it.</t>
  </si>
  <si>
    <t xml:space="preserve">CO Sep 2026: 8,367 sf HQ relocation from 27 West 20th Street, moving in November 2026; a spokesperson said about 30 employees will work from the new HQ, with room to double NYC headcount over the next year. So the NYC office is in the 30-39 founder's-call zone today. Built In: 51 total employees (whole company), HQ New York. FNP Sept 2026 roundup repeats the CO report. | Assembly 2026-10-24: Review round 1: band changed from 40-75 (Built In's whole-company 51) to under-40, scope nyc-office, because the address source itself counts the NYC office: about 30 employees at the new HQ (CO 2026-09-21). The brief's hard floor is 30 and 30 to 39 is the founder's call, so the row stays a candidate for the founder to decide. Review round 2: second count Revelio Labs (Normal Computing Corp., HQ Chicago): about 71 employees worldwide as of March 2026 is whole-company; the band rests on the NYC-office count (30), so the two are not compared.</t>
  </si>
  <si>
    <t xml:space="preserve">AO-C-238</t>
  </si>
  <si>
    <t xml:space="preserve">Palo Alto Networks</t>
  </si>
  <si>
    <t xml:space="preserve">Gated out: Tuesday estimate over 250 (370 to 7391).</t>
  </si>
  <si>
    <t xml:space="preserve">Tuesday estimate over 250 (370 to 7391)</t>
  </si>
  <si>
    <t xml:space="preserve">B-C-238</t>
  </si>
  <si>
    <t xml:space="preserve">https://www.paloaltonetworks.com/</t>
  </si>
  <si>
    <t xml:space="preserve">Cybersecurity</t>
  </si>
  <si>
    <t xml:space="preserve">16068</t>
  </si>
  <si>
    <t xml:space="preserve">https://en.wikipedia.org/wiki/Palo_Alto_Networks</t>
  </si>
  <si>
    <t xml:space="preserve">16068 (Wikipedia) staff (whole-company count) x 5% to 100% of them in the New York office (HQ city unknown; share assumed) x 46% (Partnership for NYC, firms over 5,000) in on a weekday = 370 to 7391, central 1654; low confidence; estimate until intake replaces it.</t>
  </si>
  <si>
    <t xml:space="preserve">SL Green Jul 2025 release names Palo Alto Networks on the One Madison roster. Wikipedia: 16,068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</si>
  <si>
    <t xml:space="preserve">AO-C-204</t>
  </si>
  <si>
    <t xml:space="preserve">Perkins Eastman</t>
  </si>
  <si>
    <t xml:space="preserve">Gated out: Tuesday estimate over 250 (374 to 749).</t>
  </si>
  <si>
    <t xml:space="preserve">https://www.perkinseastman.com/studios/new-york/</t>
  </si>
  <si>
    <t xml:space="preserve">Tuesday estimate over 250 (374 to 749)</t>
  </si>
  <si>
    <t xml:space="preserve">B-C-204</t>
  </si>
  <si>
    <t xml:space="preserve">https://www.perkinseastman.com</t>
  </si>
  <si>
    <t xml:space="preserve">1314</t>
  </si>
  <si>
    <t xml:space="preserve">https://www.builtinnyc.com/company/perkins-eastman</t>
  </si>
  <si>
    <t xml:space="preserve">1314 (Built In) staff (whole-company count) x 50% to 100% of them in the New York office (HQ New York; share assumed) x 57% (Partnership for NYC, all Manhattan firms; no figure for 500 to 4,999) in on a weekday = 374 to 749, central 529; low confidence; estimate until intake replaces it.</t>
  </si>
  <si>
    <t xml:space="preserve">New York studio page lists 115 Fifth Avenue (HQ per Built In, which gives no street). Built In shows 1,314 total employees. Over 500 company-wide; NYC studio size not sourced.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</si>
  <si>
    <t xml:space="preserve">AO-C-270</t>
  </si>
  <si>
    <t xml:space="preserve">The Knot Worldwide</t>
  </si>
  <si>
    <t xml:space="preserve">Gated out: Tuesday estimate over 250 (551 to 1102).</t>
  </si>
  <si>
    <t xml:space="preserve">New or renewed lease at 295 Fifth Avenue reported 2025-11-07</t>
  </si>
  <si>
    <t xml:space="preserve">https://commercialobserver.com/2025/11/the-knot-settle-down-295-fifth-avenue/</t>
  </si>
  <si>
    <t xml:space="preserve">2025-11-07</t>
  </si>
  <si>
    <t xml:space="preserve">Tuesday estimate over 250 (551 to 1102)</t>
  </si>
  <si>
    <t xml:space="preserve">B-C-270</t>
  </si>
  <si>
    <t xml:space="preserve">consumer internet (wedding and event planning)</t>
  </si>
  <si>
    <t xml:space="preserve">1933</t>
  </si>
  <si>
    <t xml:space="preserve">https://www.builtinnyc.com/company/the-knot-worldwide/offices</t>
  </si>
  <si>
    <t xml:space="preserve">1933 (Built In) staff (whole-company count) x 50% to 100% of them in the New York office (HQ New York; share assumed) x 57% (Partnership for NYC, all Manhattan firms; no figure for 500 to 4,999) in on a weekday = 551 to 1102, central 779; low confidence; estimate until intake replaces it.</t>
  </si>
  <si>
    <t xml:space="preserve">24,000 sf;31,000 sf</t>
  </si>
  <si>
    <t xml:space="preserve">10-year lease: one year in a 24,000 SF starter office, then a permanent 31,000 SF space; relocating from a temporary office at 220 Fifth Ave. CO says The Knot has 100 employees in New York (NYC band 76-150). Built In: 1,933 total employees, so over 500 company-wide: near-miss. Margin row (30th-31st St). Review round 2: corner lot: the lot-centroid pin sat 36 m from E 31 ST but 45 m from 5 AVE, so it was moved to the 5 AVE frontage near the corner (17 m from the 5 AVE centreline, 36 m from E 31 ST; 29 m from the old pin). Tax lot unchanged.</t>
  </si>
  <si>
    <t xml:space="preserve">AO-C-192</t>
  </si>
  <si>
    <t xml:space="preserve">WW International (WeightWatchers)</t>
  </si>
  <si>
    <t xml:space="preserve">https://www.sec.gov/Archives/edgar/data/105319/000119312526335166/ww-20260630.htm</t>
  </si>
  <si>
    <t xml:space="preserve">B-C-192</t>
  </si>
  <si>
    <t xml:space="preserve">https://www.weightwatchers.com</t>
  </si>
  <si>
    <t xml:space="preserve">consumer health and wellness</t>
  </si>
  <si>
    <t xml:space="preserve">https://www.builtinnyc.com/company/weightwatchers</t>
  </si>
  <si>
    <t xml:space="preserve">10-Q for the quarter ended 2026-06-30 lists principal executive offices at 18 West 18th Street, 7th Floor. Built In lists HQ at 675 Avenue of the Americas (also in this slice), which conflicts. Built In shows 1,100 total employees. Over 500. | Assembly 2026-10-24: Conflict resolved at assembly: the 10-Q for the quarter to 2026-06-30 gives 18 W 18th St, 7th floor; it is newer than the Built In entry (675 Sixth Ave), so 18 W 18th is used. WeWork 18 West 18th Street occupies five unnamed floors of this 12-storey building (wework.com building page, opened 2026-10-24), so whether the 7th floor is a WeWork suite is unknown (coworking_check = floor-unknown). Over 500: near-miss. SEC EDGAR source (sec.gov): this agent will not re-open it, because EDGAR serves only requests that carry a contact email and the project rule forbids sending one; the founder may open it in a browser.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</si>
  <si>
    <t xml:space="preserve">AO-C-060</t>
  </si>
  <si>
    <t xml:space="preserve">Warp</t>
  </si>
  <si>
    <t xml:space="preserve">New or renewed lease at 156 Fifth Avenue reported 2026-08-06</t>
  </si>
  <si>
    <t xml:space="preserve">https://commercialobserver.com/2026/08/warp-triple-lease-expansion-hrc-156-fifth-avenue/</t>
  </si>
  <si>
    <t xml:space="preserve">B-C-060</t>
  </si>
  <si>
    <t xml:space="preserve">https://www.warp.co</t>
  </si>
  <si>
    <t xml:space="preserve">software (AI payroll and HR)</t>
  </si>
  <si>
    <t xml:space="preserve">https://www.builtinnyc.com/company/warp</t>
  </si>
  <si>
    <t xml:space="preserve">8,000 sf;24,500 sf</t>
  </si>
  <si>
    <t xml:space="preserve">Took 8,000 sf on floor 8 in fall 2025, expanded to all of floor 7 (24,500 sf total) and occupied July 2026. Built In shows 42 total employees and HQ New York (no street). CO says headcount is growing fast after a $60M round. Review round 2: corner lot: the lot-centroid pin sat 16 m from W 20 ST but 53 m from 5 AVE, so it was moved to the 5 AVE frontage near the corner (17 m from the 5 AVE centreline, 26 m from W 20 ST; 37 m from the old pin). Tax lot unchanged.</t>
  </si>
  <si>
    <t xml:space="preserve">AO-C-210</t>
  </si>
  <si>
    <t xml:space="preserve">dsm-firmenich</t>
  </si>
  <si>
    <t xml:space="preserve">Gated out: Tuesday estimate over 250 (690 to 13800).</t>
  </si>
  <si>
    <t xml:space="preserve">Tuesday estimate over 250 (690 to 13800)</t>
  </si>
  <si>
    <t xml:space="preserve">B-C-210</t>
  </si>
  <si>
    <t xml:space="preserve">https://www.dsm-firmenich.com</t>
  </si>
  <si>
    <t xml:space="preserve">fragrance and nutrition ingredients</t>
  </si>
  <si>
    <t xml:space="preserve">30000</t>
  </si>
  <si>
    <t xml:space="preserve">https://en.wikipedia.org/wiki/DSM-Firmenich</t>
  </si>
  <si>
    <t xml:space="preserve">https://commercialobserver.com/2024/10/dsm-firmenich-lease-641-avenue-of-the-americas/</t>
  </si>
  <si>
    <t xml:space="preserve">2024-10-17</t>
  </si>
  <si>
    <t xml:space="preserve">30000 (Wikipedia) staff (whole-company count) x 5% to 100% of them in the New York office (HQ city unknown; share assumed) x 46% (Partnership for NYC, firms over 5,000) in on a weekday = 690 to 13800, central 3086; low confidence; estimate until intake replaces it.</t>
  </si>
  <si>
    <t xml:space="preserve">45,000 sf</t>
  </si>
  <si>
    <t xml:space="preserve">CO Sept 2026 lists fragrance company DSM-Firmenich as a tenant (45,000 sf lease reported Oct 2024). Wikipedia infobox: about 30,000 employees (year not stated).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</si>
  <si>
    <t xml:space="preserve">AO-C-195</t>
  </si>
  <si>
    <t xml:space="preserve">eBay</t>
  </si>
  <si>
    <t xml:space="preserve">Gated out: Tuesday estimate over 250 (599 to 11976).</t>
  </si>
  <si>
    <t xml:space="preserve">New or renewed lease at 122 Fifth Avenue reported 2026-06-02</t>
  </si>
  <si>
    <t xml:space="preserve">Tuesday estimate over 250 (599 to 11976)</t>
  </si>
  <si>
    <t xml:space="preserve">B-C-195</t>
  </si>
  <si>
    <t xml:space="preserve">https://www.ebay.com</t>
  </si>
  <si>
    <t xml:space="preserve">e-commerce</t>
  </si>
  <si>
    <t xml:space="preserve">26035</t>
  </si>
  <si>
    <t xml:space="preserve">https://www.builtinnyc.com/company/ebay</t>
  </si>
  <si>
    <t xml:space="preserve">San Jose</t>
  </si>
  <si>
    <t xml:space="preserve">26035 (Built In) staff (whole-company count) x 5% to 100% of them in the New York office (HQ outside New York; share assumed) x 46% (Partnership for NYC, firms over 5,000) in on a weekday = 599 to 11976, central 2678; low confidence; estimate until intake replaces it.</t>
  </si>
  <si>
    <t xml:space="preserve">27,902 sf</t>
  </si>
  <si>
    <t xml:space="preserve">Near-miss: over 500 (Built In: 26,035 total employees). CO 2026-06-02: eight-year 27,902 sf lease on the entire 2nd floor, relocating from 625 Avenue of the Americas; move-in timing not stated.</t>
  </si>
  <si>
    <t xml:space="preserve">AO-C-199</t>
  </si>
  <si>
    <t xml:space="preserve">monday.com</t>
  </si>
  <si>
    <t xml:space="preserve">Gated out: Tuesday estimate over 250 (899 to 1798).</t>
  </si>
  <si>
    <t xml:space="preserve">New or renewed lease at 225 Park Avenue South reported 2025-12</t>
  </si>
  <si>
    <t xml:space="preserve">https://commercialobserver.com/2025/12/expanding-monday-work-platform-takes-more-space-gramercy-park/</t>
  </si>
  <si>
    <t xml:space="preserve">2025-12</t>
  </si>
  <si>
    <t xml:space="preserve">225 Park Avenue South</t>
  </si>
  <si>
    <t xml:space="preserve">Tuesday estimate over 250 (899 to 1798)</t>
  </si>
  <si>
    <t xml:space="preserve">B-C-199</t>
  </si>
  <si>
    <t xml:space="preserve">https://monday.com</t>
  </si>
  <si>
    <t xml:space="preserve">work management software</t>
  </si>
  <si>
    <t xml:space="preserve">3155</t>
  </si>
  <si>
    <t xml:space="preserve">https://www.builtinnyc.com/company/mondaycom</t>
  </si>
  <si>
    <t xml:space="preserve">3155 (Built In) staff (whole-company count) x 50% to 100% of them in the New York office (HQ New York; share assumed) x 57% (Partnership for NYC, all Manhattan firms; no figure for 500 to 4,999) in on a weekday = 899 to 1798, central 1271; low confidence; estimate until intake replaces it.</t>
  </si>
  <si>
    <t xml:space="preserve">138,611 sf</t>
  </si>
  <si>
    <t xml:space="preserve">Near-miss: over 500 (Built In: 3,155 total employees) and margin (225 PAS is between E 18th and E 19th). CO 2025-12: expanded to 138,611 sf at 225 Park Avenue South. Review round 2: corner lot: the lot-centroid pin sat 25 m from E 18 ST but 43 m from PARK AVE S, so it was moved to the PARK AVE S frontage near the corner (14 m from the PARK AVE S centreline, 26 m from E 18 ST; 30 m from the old pin). Tax lot unchanged.</t>
  </si>
  <si>
    <t xml:space="preserve">AO-C-183</t>
  </si>
  <si>
    <t xml:space="preserve">Capgemini America</t>
  </si>
  <si>
    <t xml:space="preserve">Gated out: Tuesday estimate over 250 (7820 to 156400).</t>
  </si>
  <si>
    <t xml:space="preserve">Tuesday estimate over 250 (7820 to 156400)</t>
  </si>
  <si>
    <t xml:space="preserve">B-C-183</t>
  </si>
  <si>
    <t xml:space="preserve">https://www.capgemini.com/us-en/</t>
  </si>
  <si>
    <t xml:space="preserve">IT consulting</t>
  </si>
  <si>
    <t xml:space="preserve">340000</t>
  </si>
  <si>
    <t xml:space="preserve">https://www.builtinnyc.com/company/capgemini</t>
  </si>
  <si>
    <t xml:space="preserve">340000 (Built In) staff (whole-company count) x 5% to 100% of them in the New York office (HQ city unknown; share assumed) x 46% (Partnership for NYC, firms over 5,000) in on a weekday = 7820 to 156400, central 34972; low confidence; estimate until intake replaces it.</t>
  </si>
  <si>
    <t xml:space="preserve">Near-miss: over 500 (Built In: 340,000 total employees). CO 2026-08-26 says 79 Fifth Ave is home to Capgemini America; floor and size not stated. Conflict: CO 2025-12 reports Capgemini signed a 10-year 43,000 sf lease at Penn 2 (tagged 79 Fifth Avenue), so it may be leaving 79 Fifth. Founder to confirm. Review round 2: corner lot: the lot-centroid pin sat 25 m from E 16 ST but 39 m from 5 AVE, so it was moved to the 5 AVE frontage near the corner (17 m from the 5 AVE centreline, 27 m from E 16 ST; 23 m from the old pin). Tax lot unchanged.</t>
  </si>
  <si>
    <t xml:space="preserve">AO-C-257</t>
  </si>
  <si>
    <t xml:space="preserve">Kohler Co. (NYC office)</t>
  </si>
  <si>
    <t xml:space="preserve">Gated out: Tuesday estimate over 250 (920 to 18400).</t>
  </si>
  <si>
    <t xml:space="preserve">https://commercialobserver.com/2023/04/kohler-lease-1140-broadway/</t>
  </si>
  <si>
    <t xml:space="preserve">Tuesday estimate over 250 (920 to 18400)</t>
  </si>
  <si>
    <t xml:space="preserve">B-C-257</t>
  </si>
  <si>
    <t xml:space="preserve">https://www.kohler.com</t>
  </si>
  <si>
    <t xml:space="preserve">kitchen and bath manufacturer (office)</t>
  </si>
  <si>
    <t xml:space="preserve">https://en.wikipedia.org/wiki/Kohler_Co.</t>
  </si>
  <si>
    <t xml:space="preserve">2023-04-04</t>
  </si>
  <si>
    <t xml:space="preserve">40000 (Wikipedia) staff (whole-company count) x 5% to 100% of them in the New York office (HQ city unknown; share assumed) x 46% (Partnership for NYC, firms over 5,000) in on a weekday = 920 to 18400, central 4114; low confidence; estimate until intake replaces it.</t>
  </si>
  <si>
    <t xml:space="preserve">4,713 sf</t>
  </si>
  <si>
    <t xml:space="preserve">First NYC office: 7.5-year 4,713 SF lease on floor 8 (separate from its Flatiron showroom). Older source, not reconfirmed. Large company, but no headcount source opened; small NYC office. | Assembly 2026-10-24: Band set at assembly to over-500 from Wikipedia infobox: 40,000 employees (2019). The NYC office size is unknown; the NYC office alone may fit, founder to confirm. Review round 3: headcount_source_date left blank (date not stated): the Wikipedia infobox dates the 40,000 employee figure to 2019 with no month.</t>
  </si>
  <si>
    <t xml:space="preserve">AO-C-266</t>
  </si>
  <si>
    <t xml:space="preserve">Lockton Re</t>
  </si>
  <si>
    <t xml:space="preserve">Gated out: Tuesday estimate over 250 (301 to 6026).</t>
  </si>
  <si>
    <t xml:space="preserve">https://commercialobserver.com/2023/07/lockton-re-relocating-to-19k-sf-at-261-fifth-avenue/</t>
  </si>
  <si>
    <t xml:space="preserve">Tuesday estimate over 250 (301 to 6026)</t>
  </si>
  <si>
    <t xml:space="preserve">B-C-266</t>
  </si>
  <si>
    <t xml:space="preserve">https://global.lockton.com/re/en</t>
  </si>
  <si>
    <t xml:space="preserve">reinsurance brokerage</t>
  </si>
  <si>
    <t xml:space="preserve">13100</t>
  </si>
  <si>
    <t xml:space="preserve">https://en.wikipedia.org/wiki/Lockton_Companies</t>
  </si>
  <si>
    <t xml:space="preserve">Lockton Companies</t>
  </si>
  <si>
    <t xml:space="preserve">2023-07</t>
  </si>
  <si>
    <t xml:space="preserve">https://rebusinessonline.com/lockton-re-signs-19326-sf-office-lease-in-manhattans-nomad-district/</t>
  </si>
  <si>
    <t xml:space="preserve">2023-07-17</t>
  </si>
  <si>
    <t xml:space="preserve">13100 (Wikipedia) staff (whole-company count) x 5% to 100% of them in the New York office (HQ city unknown; share assumed) x 46% (Partnership for NYC, firms over 5,000) in on a weekday = 301 to 6026, central 1347; low confidence; estimate until intake replaces it.</t>
  </si>
  <si>
    <t xml:space="preserve">19,326 sf</t>
  </si>
  <si>
    <t xml:space="preserve">10-year 19,326 SF lease for the full 10th floor (NYC offices), moved from 48 W 25th St. Both sources from 2023; not reconfirmed. Part of Lockton, which is very large, but no headcount source opened. | Assembly 2026-10-24: Band set at assembly to over-500 from Wikipedia infobox for Lockton Companies, the parent: '13,100+' employees (no year given). The NYC office size is unknown; the NYC office alone may fit, founder to confirm. Review round 2: corner lot: the lot-centroid pin sat 24 m from E 29 ST but 39 m from 5 AVE, so it was moved to the 5 AVE frontage near the corner (17 m from the 5 AVE centreline, 27 m from E 29 ST; 23 m from the old pin). Tax lot unchanged.</t>
  </si>
  <si>
    <t xml:space="preserve">AO-C-214</t>
  </si>
  <si>
    <t xml:space="preserve">SeatGeek</t>
  </si>
  <si>
    <t xml:space="preserve">Gated out: Tuesday estimate over 250 (256 to 513).</t>
  </si>
  <si>
    <t xml:space="preserve">https://commercialobserver.com/2018/10/seatgeek-leases-72k-sf-for-new-flatiron-offices/</t>
  </si>
  <si>
    <t xml:space="preserve">8-11</t>
  </si>
  <si>
    <t xml:space="preserve">Tuesday estimate over 250 (256 to 513)</t>
  </si>
  <si>
    <t xml:space="preserve">B-C-214</t>
  </si>
  <si>
    <t xml:space="preserve">https://seatgeek.com</t>
  </si>
  <si>
    <t xml:space="preserve">ticketing marketplace</t>
  </si>
  <si>
    <t xml:space="preserve">https://www.builtinnyc.com/company/seatgeek</t>
  </si>
  <si>
    <t xml:space="preserve">2018-10-17</t>
  </si>
  <si>
    <t xml:space="preserve">2024-11-02</t>
  </si>
  <si>
    <t xml:space="preserve">900 (Built In) staff (whole-company count) x 50% to 100% of them in the New York office (HQ New York; share assumed) x 57% (Partnership for NYC, all Manhattan firms; no figure for 500 to 4,999) in on a weekday = 256 to 513, central 362; low confidence; estimate until intake replaces it.</t>
  </si>
  <si>
    <t xml:space="preserve">10-year HQ lease (from June 2019) of floors 8-11, 72,800 sf; a broker building page (modified 2024-11-02) still lists SeatGeek. Built In shows HQ New York without a street and 900 total employees. Lease source is old, so low. Over 500. Review round 2: corner lot: the lot-centroid pin sat 27 m from E 20 ST but 31 m from BROADWAY, so it was moved to the BROADWAY frontage near the corner (15 m from the BROADWAY centreline, 27 m from E 20 ST; 16 m from the old pin). Tax lot unchanged.</t>
  </si>
  <si>
    <t xml:space="preserve">AO-C-261</t>
  </si>
  <si>
    <t xml:space="preserve">Spring Health</t>
  </si>
  <si>
    <t xml:space="preserve">Gated out: Tuesday estimate over 250 (370 to 741).</t>
  </si>
  <si>
    <t xml:space="preserve">https://www.builtinnyc.com/company/spring-health/offices</t>
  </si>
  <si>
    <t xml:space="preserve">Tuesday estimate over 250 (370 to 741)</t>
  </si>
  <si>
    <t xml:space="preserve">B-C-261</t>
  </si>
  <si>
    <t xml:space="preserve">https://www.springhealth.com</t>
  </si>
  <si>
    <t xml:space="preserve">healthtech (mental health benefits)</t>
  </si>
  <si>
    <t xml:space="preserve">1300</t>
  </si>
  <si>
    <t xml:space="preserve">https://commercialobserver.com/2022/08/spring-health-takes-30k-sf-60-madison-office-vacated-by-knotel/</t>
  </si>
  <si>
    <t xml:space="preserve">2022-08-04</t>
  </si>
  <si>
    <t xml:space="preserve">1300 (Built In) staff (whole-company count) x 50% to 100% of them in the New York office (HQ New York; share assumed) x 57% (Partnership for NYC, all Manhattan firms; no figure for 500 to 4,999) in on a weekday = 370 to 741, central 524; low confidence; estimate until intake replaces it.</t>
  </si>
  <si>
    <t xml:space="preserve">Built In lists HQ at '60 Madison'; 1,300 total employees. CO 2022: seven-year 30,000 SF lease on floor 2 and most of floor 3. Over 500: near-miss.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</si>
  <si>
    <t xml:space="preserve">AO-C-208</t>
  </si>
  <si>
    <t xml:space="preserve">Tory Burch</t>
  </si>
  <si>
    <t xml:space="preserve">Gated out: Tuesday estimate over 250 (914 to 1827).</t>
  </si>
  <si>
    <t xml:space="preserve">https://www.builtinnyc.com/company/tory-burch/offices</t>
  </si>
  <si>
    <t xml:space="preserve">11 West 19th Street</t>
  </si>
  <si>
    <t xml:space="preserve">7-11</t>
  </si>
  <si>
    <t xml:space="preserve">Tuesday estimate over 250 (914 to 1827)</t>
  </si>
  <si>
    <t xml:space="preserve">B-C-208</t>
  </si>
  <si>
    <t xml:space="preserve">https://www.toryburch.com</t>
  </si>
  <si>
    <t xml:space="preserve">fashion brand (headquarters)</t>
  </si>
  <si>
    <t xml:space="preserve">3206</t>
  </si>
  <si>
    <t xml:space="preserve">https://www.builtinnyc.com/company/tory-burch</t>
  </si>
  <si>
    <t xml:space="preserve">https://commercialobserver.com/2022/08/tory-burch-renewal-11-west-19th-street/</t>
  </si>
  <si>
    <t xml:space="preserve">2022-08-05</t>
  </si>
  <si>
    <t xml:space="preserve">3206 (Built In) staff (whole-company count) x 50% to 100% of them in the New York office (HQ New York; share assumed) x 57% (Partnership for NYC, all Manhattan firms; no figure for 500 to 4,999) in on a weekday = 914 to 1827, central 1292; low confidence; estimate until intake replaces it.</t>
  </si>
  <si>
    <t xml:space="preserve">130,000 sf</t>
  </si>
  <si>
    <t xml:space="preserve">Built In lists HQ at 11 West 19th Street, 7th Floor; CO Aug 2022 reported a 13-year renewal of its 130,000 sf HQ on floors 7-11. Built In shows 3,206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(37 m from W 19 ST but 38 m from W 20 ST); pin moved to frontage: the lot's position along W 19 ST kept, set 21 m from the centreline on the side CSCL gives house number 11 (15 m from the old pin). Tax lot unchanged. New pin: 22 m from W 19 ST, 53 m from W 20 ST.</t>
  </si>
  <si>
    <t xml:space="preserve">AO-C-275</t>
  </si>
  <si>
    <t xml:space="preserve">Ford Models</t>
  </si>
  <si>
    <t xml:space="preserve">Gated out: outside the cluster (0.2 blocks outside the line).</t>
  </si>
  <si>
    <t xml:space="preserve">https://fordmodels.com/contact</t>
  </si>
  <si>
    <t xml:space="preserve">36 East 31st Street</t>
  </si>
  <si>
    <t xml:space="preserve">outside the cluster (0.2 blocks outside the line)</t>
  </si>
  <si>
    <t xml:space="preserve">B-C-275</t>
  </si>
  <si>
    <t xml:space="preserve">https://fordmodels.com</t>
  </si>
  <si>
    <t xml:space="preserve">https://commercialobserver.com/2026/03/ford-models-office-lease-36-east-31st-street/</t>
  </si>
  <si>
    <t xml:space="preserve">2026-03-17</t>
  </si>
  <si>
    <t xml:space="preserve">11,986 sf</t>
  </si>
  <si>
    <t xml:space="preserve">Contact page lists Ford New York at 36 East 31st Street 8th Floor; CO 2026: 11,986 SF on floor 8 (temporarily on floor 9 during buildout). Earlier listed as an 11 E 26th St tenant. Margin row (31st St). Headcount not found.</t>
  </si>
  <si>
    <t xml:space="preserve">AO-C-173</t>
  </si>
  <si>
    <t xml:space="preserve">Pilot Fiber</t>
  </si>
  <si>
    <t xml:space="preserve">Gated out: inside a coworking space (B-W-011).</t>
  </si>
  <si>
    <t xml:space="preserve">https://www.pilotfiber.com/legal</t>
  </si>
  <si>
    <t xml:space="preserve">1115 Broadway</t>
  </si>
  <si>
    <t xml:space="preserve">inside a coworking space (B-W-011)</t>
  </si>
  <si>
    <t xml:space="preserve">B-C-173</t>
  </si>
  <si>
    <t xml:space="preserve">https://www.pilotfiber.com/</t>
  </si>
  <si>
    <t xml:space="preserve">Telecom / fiber internet provider</t>
  </si>
  <si>
    <t xml:space="preserve">Company legal page (live) gives '1115 Broadway Floor 12, New York, NY 10010'. CO Jan 2026 names Pilot Fiber as a current tenant at 16 Madison Square West (same building). Headcount not found in an opened source. | Assembly 2026-10-24: Coworking check at assembly: Pilot Fiber's legal page (re-opened 2026-10-24) gives '1115 Broadway Floor 12'. Select Office Suites' own page (opened 2026-10-24) gives its Flatiron centre as '1115 Broadway (aka 16 Madison Square West), 9th, 10th, 11th, &amp; 12th Floors'. Same floor as a serviced-office operator, so flagged in_coworking = Y and excluded until the founder confirms Pilot Fiber holds its own lease there.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</si>
  <si>
    <t xml:space="preserve">AO-W-028</t>
  </si>
  <si>
    <t xml:space="preserve">Resident Madison Park (Flatiron)</t>
  </si>
  <si>
    <t xml:space="preserve">https://residentcompanyclub.com/</t>
  </si>
  <si>
    <t xml:space="preserve">115 East 23rd Street, Floors 4-5, New York, NY 10010</t>
  </si>
  <si>
    <t xml:space="preserve">Floors 4-5</t>
  </si>
  <si>
    <t xml:space="preserve">grp-W025-W028</t>
  </si>
  <si>
    <t xml:space="preserve">B-W-028</t>
  </si>
  <si>
    <t xml:space="preserve">https://residentcompanyclub.com</t>
  </si>
  <si>
    <t xml:space="preserve">Resident Company Club</t>
  </si>
  <si>
    <t xml:space="preserve">https://commercialobserver.com/2025/12/coworking-resident-company-club-lease-113-university-place/</t>
  </si>
  <si>
    <t xml:space="preserve">Operator site: open, 'One Suite available'; amenities 'Complimentary beverages and brain-boosting snacks'. Independent: Commercial Observer 2025-12-04 says the first club opened at 115 E 23rd St in September (2025). Focus is AI and tech startups and VCs (CoworkingCafe 2025-12-12). About 30 private offices for 1-12 people (Deskpass, updated 2026-10-12). Search-snippet listings (not opened) gave this building as Bond Collective's former Flatiron address; Bond's current site lists no Flatiron location. | pantry_control=operator (https://residentcompanyclub.com/); exclusive food contract signal: meal partner named: 'Factor pre-cooked meals (available for purchase)'; not stated as exclusive</t>
  </si>
  <si>
    <t xml:space="preserve">parent 'resident company club' shared with AO-W-025</t>
  </si>
  <si>
    <t xml:space="preserve">AO-W-025</t>
  </si>
  <si>
    <t xml:space="preserve">Resident Union Square</t>
  </si>
  <si>
    <t xml:space="preserve">113 University Place, Floors 4-5, New York, NY 10003</t>
  </si>
  <si>
    <t xml:space="preserve">B-W-025</t>
  </si>
  <si>
    <t xml:space="preserve">2025-12-04</t>
  </si>
  <si>
    <t xml:space="preserve">Operator site lists Union Square, 113 University Place, 'FULLY occupied, JOIN WAITLIST', so operating. Commercial Observer 2025-12-04: 15-year lease, about 13,000 sf, 4th and 5th floors. CoworkingCafe 2025-12-12: a 'consumer- and ecommerce-focused Company Club ... designed for consumer-brand founders'. Members are not listed. Between 12th and 13th St, inside the two-street south margin. Amenity text is brand-wide, not per location. Review round 2: corner lot: the lot-centroid pin sat 17 m from E 13 ST but 25 m from UNIVERSITY PL, so it was moved to the UNIVERSITY PL frontage near the corner (14 m from the UNIVERSITY PL centreline, 27 m from E 13 ST; 15 m from the old pin). Tax lot unchanged. Review round 3: the pin sat 1.6 m outside its own tax lot (NYC MapPLUTO (Department of City Planning) tax-lot polygons), so it was moved to the middle of the lot's 16 m UNIVERSITY PL frontage, 3 m inside the lot line (10 m from the old pin). Tax lot unchanged. | pantry_control=operator (https://residentcompanyclub.com/); exclusive food contract signal: meal partner named: 'Factor pre-cooked meals (available for purchase)'; not stated as exclusive</t>
  </si>
  <si>
    <t xml:space="preserve">parent 'resident company club' shared with AO-W-028</t>
  </si>
  <si>
    <t xml:space="preserve">AO-C-276</t>
  </si>
  <si>
    <t xml:space="preserve">The Ancillary Project</t>
  </si>
  <si>
    <t xml:space="preserve">New or renewed lease at 36 East 31st Street reported 2026-01-12</t>
  </si>
  <si>
    <t xml:space="preserve">https://commercialobserver.com/2026/01/ancillary-project-lease-36-east-31st-street/</t>
  </si>
  <si>
    <t xml:space="preserve">2026-01-12</t>
  </si>
  <si>
    <t xml:space="preserve">4 (part)</t>
  </si>
  <si>
    <t xml:space="preserve">B-C-276</t>
  </si>
  <si>
    <t xml:space="preserve">https://theancillaryproject.com</t>
  </si>
  <si>
    <t xml:space="preserve">creative studio (design and branding)</t>
  </si>
  <si>
    <t xml:space="preserve">https://theancillaryproject.com/</t>
  </si>
  <si>
    <t xml:space="preserve">5,851 sf</t>
  </si>
  <si>
    <t xml:space="preserve">CO 2026-01-12: 5,851 SF office and showroom on part of floor 4. Site lists Showroom 36 East 31st Street. Margin row (31st St). Headcount not sourced; founder to confirm at intake.</t>
  </si>
  <si>
    <t xml:space="preserve">AO-W-032</t>
  </si>
  <si>
    <t xml:space="preserve">Corporate Suites Two Park Avenue</t>
  </si>
  <si>
    <t xml:space="preserve">Gated out: outside the cluster (2.0 blocks outside the line).</t>
  </si>
  <si>
    <t xml:space="preserve">https://www.corporatesuites.com/</t>
  </si>
  <si>
    <t xml:space="preserve">2 Park Avenue, 20th Floor, New York, NY 10016</t>
  </si>
  <si>
    <t xml:space="preserve">20th Floor</t>
  </si>
  <si>
    <t xml:space="preserve">outside the cluster (2.0 blocks outside the line)</t>
  </si>
  <si>
    <t xml:space="preserve">B-W-032</t>
  </si>
  <si>
    <t xml:space="preserve">https://www.corporatesuites.com</t>
  </si>
  <si>
    <t xml:space="preserve">Corporate Suites</t>
  </si>
  <si>
    <t xml:space="preserve">https://api.deskpass.com/api/spaces/two-park-avenue-coworking</t>
  </si>
  <si>
    <t xml:space="preserve">Deskpass listing (active, updated 2026-10-19) tags 'Snacks Available', 'Complimentary Coffee &amp; Tea', 'Shared Kitchen'. Borderline: the building fills the block from 32nd to 33rd St on Park Ave, right on the north margin line. Serviced-office operator. Operator site (opened 2026-10-24) lists 'Midtown South, NYC - 2 Park Avenue'; rentals include 'access to kitchen/lounge areas with refreshments'.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39 m from E 32 ST but 44 m from PARK AVE, so it was moved to the PARK AVE frontage near the corner (15 m from the PARK AVE centreline, 40 m from E 32 ST; 29 m from the old pin). Tax lot unchanged. | pantry_control=operator (https://api.deskpass.com/api/spaces/two-park-avenue-coworking); exclusive food contract signal: named coffee brand: 'Complimentary Starbucks Coffee'; no exclusive contract stated</t>
  </si>
  <si>
    <t xml:space="preserve">AO-W-002</t>
  </si>
  <si>
    <t xml:space="preserve">Hub Seventeen, 114 Fifth Avenue</t>
  </si>
  <si>
    <t xml:space="preserve">Gated out: operator control of the pantry not shown (pantry_control=unknown).</t>
  </si>
  <si>
    <t xml:space="preserve">114 Fifth Avenue, New York, NY 10011</t>
  </si>
  <si>
    <t xml:space="preserve">operator control of the pantry not shown (pantry_control=unknown)</t>
  </si>
  <si>
    <t xml:space="preserve">B-W-002</t>
  </si>
  <si>
    <t xml:space="preserve">Hub Seventeen</t>
  </si>
  <si>
    <t xml:space="preserve">2025-02-11</t>
  </si>
  <si>
    <t xml:space="preserve">CO 2025-02-11 (re-opened 2026-10-24): 'Other tenants of the 350,000-square-foot office building between West 16th and West 17th streets include marketing consultant Acxiom and coworking space Hub Seventeen.' No floor, size, pantry or website found. Founder to confirm on the walk. Review round 2: corner lot: the lot-centroid pin sat 22 m from W 17 ST but 39 m from 5 AVE, so it was moved to the 5 AVE frontage near the corner (17 m from the 5 AVE centreline, 27 m from W 17 ST; 22 m from the old pin). Tax lot unchanged. | pantry_control=unknown (); exclusive food contract signal: none found</t>
  </si>
  <si>
    <t xml:space="preserve">AO-W-027</t>
  </si>
  <si>
    <t xml:space="preserve">Indy by Industrious Gramercy Park</t>
  </si>
  <si>
    <t xml:space="preserve">Gated out: outside the cluster (0.3 blocks outside the line).</t>
  </si>
  <si>
    <t xml:space="preserve">120 East 23rd Street, 4th Floor, New York, NY 10010</t>
  </si>
  <si>
    <t xml:space="preserve">outside the cluster (0.3 blocks outside the line)</t>
  </si>
  <si>
    <t xml:space="preserve">B-W-027</t>
  </si>
  <si>
    <t xml:space="preserve">'Indy' is Industrious's lighter format. Page meta text: 'Indy by Industrious offers flexible memberships, sleek lounges, private offices, and bottomless coffee'. Brand copy has a 'Daily snacks, craft coffee &amp; tea' variant without breakfast, so the food level here is unconfirmed. Between Park Ave S and Lexington Ave. Independent: Deskpass NYC index lists 'Indy by Industrious Gramercy Park: 120 East 23rd Street, 4th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Pin moved to frontage at review round 1: the lot-centroid pin failed the block-face test (41 m from E 23 ST but 44 m from E 22 ST); pin moved to frontage: the lot's position along E 23 ST kept, set 26 m from the centreline on the side CSCL gives house number 120 (15 m from the old pin). Tax lot unchanged. New pin: 26 m from E 23 ST, 59 m from E 22 ST. | pantry_control=operator (https://www.industriousoffice.com/locations/120-east-23rd-street-4th-floor-new-york); exclusive food contract signal: none found</t>
  </si>
  <si>
    <t xml:space="preserve">parent 'industrious' shared with AO-W-007, AO-W-016, AO-W-008, AO-W-014, AO-W-005, AO-W-003</t>
  </si>
  <si>
    <t xml:space="preserve">AO-W-029</t>
  </si>
  <si>
    <t xml:space="preserve">WeWork 135 Madison Ave</t>
  </si>
  <si>
    <t xml:space="preserve">Gated out: outside the cluster (0.8 blocks outside the line).</t>
  </si>
  <si>
    <t xml:space="preserve">https://www.wework.com/buildings/135-madison-ave--new-york-city--NY</t>
  </si>
  <si>
    <t xml:space="preserve">135 Madison Avenue, New York, NY 10016</t>
  </si>
  <si>
    <t xml:space="preserve">outside the cluster (0.8 blocks outside the line)</t>
  </si>
  <si>
    <t xml:space="preserve">B-W-029</t>
  </si>
  <si>
    <t xml:space="preserve">Operator page: 'recharge at the fully stocked pantries'; 'complimentary filtered water, micro-roasted coffee, seltzers and tea'. No snacks named. Madison Ave at 31st St: north of the box, inside the two-street margin. Review round 2: corner lot: the lot-centroid pin sat 24 m from E 31 ST but 32 m from MADISON AVE, so it was moved to the MADISON AVE frontage near the corner (16 m from the MADISON AVE centreline, 26 m from E 31 ST; 16 m from the old pin). Tax lot unchanged. | pantry_control=operator (https://www.wework.com/buildings/135-madison-ave--new-york-city--NY); exclusive food contract signal: none found on amenity page</t>
  </si>
  <si>
    <t xml:space="preserve">parent 'wework' shared with AO-W-004, AO-W-024, AO-W-018, AO-W-026, AO-W-020</t>
  </si>
  <si>
    <t xml:space="preserve">AO-W-026</t>
  </si>
  <si>
    <t xml:space="preserve">WeWork 33 Irving Pl</t>
  </si>
  <si>
    <t xml:space="preserve">Gated out: outside the cluster (0.9 blocks outside the line).</t>
  </si>
  <si>
    <t xml:space="preserve">https://www.wework.com/buildings/33-irving-pl--new-york-city--NY</t>
  </si>
  <si>
    <t xml:space="preserve">33 Irving Place, New York, NY 10003</t>
  </si>
  <si>
    <t xml:space="preserve">outside the cluster (0.9 blocks outside the line)</t>
  </si>
  <si>
    <t xml:space="preserve">B-W-026</t>
  </si>
  <si>
    <t xml:space="preserve">Operator page: 'Stocked kitchens: complimentary filtered water, micro-roasted coffee, seltzers and tea'; barista listed as not included. Beverages only. Irving Pl at 15th-16th St, one avenue east of Park Ave S (inside the east margin, not the box). | pantry_control=operator (https://www.wework.com/buildings/33-irving-pl--new-york-city--NY); exclusive food contract signal: none found on amenity page</t>
  </si>
  <si>
    <t xml:space="preserve">parent 'wework' shared with AO-W-004, AO-W-024, AO-W-018, AO-W-029, AO-W-020</t>
  </si>
  <si>
    <t xml:space="preserve">AO-W-009</t>
  </si>
  <si>
    <t xml:space="preserve">Le Parc Coworking Offices</t>
  </si>
  <si>
    <t xml:space="preserve">https://flatironnomad.nyc/2024/06/26/meet-le-parc/</t>
  </si>
  <si>
    <t xml:space="preserve">287 Park Avenue South, 2nd Floor, New York, NY 10010</t>
  </si>
  <si>
    <t xml:space="preserve">B-W-009</t>
  </si>
  <si>
    <t xml:space="preserve">https://flatironnomad.nyc</t>
  </si>
  <si>
    <t xml:space="preserve">Le Parc (CL Investment Group building)</t>
  </si>
  <si>
    <t xml:space="preserve">B-B-042</t>
  </si>
  <si>
    <t xml:space="preserve">United Charities Building</t>
  </si>
  <si>
    <t xml:space="preserve">2024-06-26</t>
  </si>
  <si>
    <t xml:space="preserve">Flatiron NoMad Partnership profile 2024-06-26: luxury coworking in the United Charities Building, 'Supported by CL Investment Group'; no food or pantry amenities named. Deskpass NYC index lists 'Le Parc Coworking Offices: 287 Park Avenue South, 2nd Floor' (its detail page returned 'space not found'). Third-party listings seen only in search snippets mention complimentary coffee and tea: unverified, founder to confirm. IWG's Spaces signed a 2018 lease for this building; whether Spaces still operates here is unverified. Park Ave S at 22nd St. Independent sources: the Flatiron NoMad Partnership profile (2024-06-26) and the Deskpass NYC index (opened 2026-10-23), so existence is high confidence; pantry control remains unknown. S2 noted IWG's Spaces signed the whole office portion (floors 2-9, CO 2018); the places researcher found Le Parc operating on floor 2 now. Spaces' status here is unverified. Review round 1: lowered from high to low. The Flatiron NoMad Partnership profile is dated 2024-06-26 (older than 24 months) and the Deskpass index line is an undated listing whose detail page returned 'space not found'; IWG's Spaces held a 2018 lease for the building. Walk it before treating it as open. Review round 2: corner lot: the lot-centroid pin sat 16 m from E 22 ST but 28 m from PARK AVE S, so it was moved to the PARK AVE S frontage near the corner (13 m from the PARK AVE S centreline, 27 m from E 22 ST; 18 m from the old pin). Tax lot unchanged. Review round 3: the pin sat 0.8 m outside its own tax lot (NYC MapPLUTO (Department of City Planning) tax-lot polygons), so it was moved to the middle of the lot's 18 m PARK AVE S frontage, 3 m inside the lot line (10 m from the old pin). Tax lot unchanged. | pantry_control=unknown (); exclusive food contract signal: none found; building has ground-floor restaurants (Hawksmoor, DOM) and a United Charities Club Card discount program</t>
  </si>
  <si>
    <t xml:space="preserve">AO-W-031</t>
  </si>
  <si>
    <t xml:space="preserve">Regus 1250 Broadway</t>
  </si>
  <si>
    <t xml:space="preserve">Gated out: outside the cluster (0.8 blocks outside the line); operator control of the pantry not shown (pantry_control=unknown).</t>
  </si>
  <si>
    <t xml:space="preserve">https://old.regus.com/offices/united-states/new-york/new-york-city/office-space/ny-new-york-1250-broadway</t>
  </si>
  <si>
    <t xml:space="preserve">1250 Broadway, 36th Floor, New York, NY 10001</t>
  </si>
  <si>
    <t xml:space="preserve">36th Floor</t>
  </si>
  <si>
    <t xml:space="preserve">grp-W012-W030-W031</t>
  </si>
  <si>
    <t xml:space="preserve">outside the cluster (0.8 blocks outside the line); operator control of the pantry not shown (pantry_control=unknown)</t>
  </si>
  <si>
    <t xml:space="preserve">B-W-031</t>
  </si>
  <si>
    <t xml:space="preserve">https://old.regus.com</t>
  </si>
  <si>
    <t xml:space="preserve">Regus (IWG)</t>
  </si>
  <si>
    <t xml:space="preserve">Legacy Regus page only (opened): 1250 Broadway, 36th Floor, 'fashionable NoMad neighborhood'. No current source found. Open status unverified, founder to confirm. Broadway at 31st-32nd St, on the north margin line. Review round 2: corner lot: the lot-centroid pin sat 37 m from W 31 ST but 39 m from BROADWAY, so it was moved to the BROADWAY frontage near the corner (15 m from the BROADWAY centreline, 28 m from W 31 ST; 24 m from the old pin). Tax lot unchanged. | pantry_control=unknown (); exclusive food contract signal: none found</t>
  </si>
  <si>
    <t xml:space="preserve">parent 'regus' shared with AO-W-030, AO-W-012</t>
  </si>
  <si>
    <t xml:space="preserve">AO-W-030</t>
  </si>
  <si>
    <t xml:space="preserve">Regus 136 Madison Avenue</t>
  </si>
  <si>
    <t xml:space="preserve">https://old.regus.com/offices/united-states/new-york/new-york-city/office-space/ny-new-york-city-136-madison-avenue</t>
  </si>
  <si>
    <t xml:space="preserve">136 Madison Avenue, 6th Floor, New York, NY 10016</t>
  </si>
  <si>
    <t xml:space="preserve">B-W-030</t>
  </si>
  <si>
    <t xml:space="preserve">Legacy Regus page (opened): 136 Madison Avenue, 6th Floor. A current regus.com page seen only in search results; bot-blocked. Open status unverified, founder to confirm. Madison Ave at 31st St, inside the two-street north margin. | pantry_control=unknown (); exclusive food contract signal: none found</t>
  </si>
  <si>
    <t xml:space="preserve">parent 'regus' shared with AO-W-031, AO-W-012</t>
  </si>
  <si>
    <t xml:space="preserve">AO-W-012</t>
  </si>
  <si>
    <t xml:space="preserve">Regus 41 Madison Avenue</t>
  </si>
  <si>
    <t xml:space="preserve">https://old.regus.com/offices/united-states/new-york/new-york-city/office-space/ny-new-york-city-41-madison-avenue</t>
  </si>
  <si>
    <t xml:space="preserve">41 Madison Avenue, 31st Floor, New York, NY 10010</t>
  </si>
  <si>
    <t xml:space="preserve">31st Floor</t>
  </si>
  <si>
    <t xml:space="preserve">B-W-012</t>
  </si>
  <si>
    <t xml:space="preserve">The current regus.com centre page is bot-blocked; existence per the legacy Regus page (opened; its copy cites the A Voce restaurant, so the page text may be old) and a Freaking Nomads listing (a cafe 'allows remote workers to purchase refreshments'). Open status unverified, founder to confirm. Faces Madison Square Park at 26th St. Review round 2: corner lot: the lot-centroid pin sat 30 m from E 26 ST but 44 m from MADISON AVE, so it was moved to the MADISON AVE frontage near the corner (16 m from the MADISON AVE centreline, 30 m from E 26 ST; 29 m from the old pin). Tax lot unchanged. | pantry_control=unknown (); exclusive food contract signal: none found</t>
  </si>
  <si>
    <t xml:space="preserve">parent 'regus' shared with AO-W-031, AO-W-030</t>
  </si>
  <si>
    <t xml:space="preserve">AO-W-019</t>
  </si>
  <si>
    <t xml:space="preserve">Spaces Midtown South (401 Park Avenue South)</t>
  </si>
  <si>
    <t xml:space="preserve">https://old.regus.com/offices/united-states/new-york/new-york-city/office-space/ny-new-york-spaces-midtown-south</t>
  </si>
  <si>
    <t xml:space="preserve">401 Park Avenue South, Floors 8-10, New York, NY 10016</t>
  </si>
  <si>
    <t xml:space="preserve">Floors 8-10</t>
  </si>
  <si>
    <t xml:space="preserve">B-W-019</t>
  </si>
  <si>
    <t xml:space="preserve">Spaces / Regus (IWG)</t>
  </si>
  <si>
    <t xml:space="preserve">Legacy Regus page (opened) titled 'Spaces Midtown South': 401 Park Avenue South, 10th Floor, with workspace on the 8th, 9th and 10th floors. A search snippet of the current regus.com page (https://www.regus.com/en/us/5774) repeats the address; that page is bot-blocked. No food or pantry text found. Open status unverified, founder to confirm. Park Ave S at 28th St. Review round 2: corner lot: the lot-centroid pin sat 24 m from E 28 ST but 35 m from PARK AVE S, so it was moved to the PARK AVE S frontage near the corner (13 m from the PARK AVE S centreline, 26 m from E 28 ST; 22 m from the old pin). Tax lot unchanged. | pantry_control=unknown (); exclusive food contract signal: none found</t>
  </si>
  <si>
    <t xml:space="preserve">AO-W-020</t>
  </si>
  <si>
    <t xml:space="preserve">WeWork 27 E 28th St (79 Madison Ave building)</t>
  </si>
  <si>
    <t xml:space="preserve">Gated out: operator control of the pantry not shown (pantry_control=unknown); site possibly closed (B status).</t>
  </si>
  <si>
    <t xml:space="preserve">27 East 28th Street, New York, NY 10016</t>
  </si>
  <si>
    <t xml:space="preserve">eight floors of 17 (unnamed)</t>
  </si>
  <si>
    <t xml:space="preserve">possibly-closed</t>
  </si>
  <si>
    <t xml:space="preserve">address conflict in B's sources: check the lobby directory before outreach (B); site possibly closed: walk by first (B)</t>
  </si>
  <si>
    <t xml:space="preserve">operator control of the pantry not shown (pantry_control=unknown); site possibly closed (B status)</t>
  </si>
  <si>
    <t xml:space="preserve">https://liquidspace.com</t>
  </si>
  <si>
    <t xml:space="preserve">CONFLICT: LiquidSpace says 'Confirmed Open' and Monte Carlo's Built In page lists a hub at 27 E 28th St, Suite 1656, but the location is NOT on WeWork's NYC index (wework.com/l/coworking-space/new-york-city--NY, opened 2026-10-24) and the wework.com building page redirects to a generic listing. The building was marketed for a condo conversion (CO 2025-03-04). Treat as possibly closed; check on the walk. | pantry_control=unknown (https://liquidspace.com/us/ny/new-york/wework-27-e-28th-st); exclusive food contract signal: none found</t>
  </si>
  <si>
    <t xml:space="preserve">parent 'wework' shared with AO-W-004, AO-W-024, AO-W-018, AO-W-029, AO-W-026</t>
  </si>
  <si>
    <t xml:space="preserve">top60</t>
  </si>
  <si>
    <t xml:space="preserve">product_example</t>
  </si>
  <si>
    <t xml:space="preserve">category</t>
  </si>
  <si>
    <t xml:space="preserve">online_store_url</t>
  </si>
  <si>
    <t xml:space="preserve">founder_review</t>
  </si>
  <si>
    <t xml:space="preserve">founder_review_reason</t>
  </si>
  <si>
    <t xml:space="preserve">gate_failed</t>
  </si>
  <si>
    <t xml:space="preserve">founder_review_type</t>
  </si>
  <si>
    <t xml:space="preserve">hq_state</t>
  </si>
  <si>
    <t xml:space="preserve">hq_class</t>
  </si>
  <si>
    <t xml:space="preserve">funding_stage</t>
  </si>
  <si>
    <t xml:space="preserve">funding_source_url</t>
  </si>
  <si>
    <t xml:space="preserve">shelf_stable</t>
  </si>
  <si>
    <t xml:space="preserve">shelf_stable_basis</t>
  </si>
  <si>
    <t xml:space="preserve">individually_packaged</t>
  </si>
  <si>
    <t xml:space="preserve">online_store</t>
  </si>
  <si>
    <t xml:space="preserve">revenue_band</t>
  </si>
  <si>
    <t xml:space="preserve">revenue_band_type</t>
  </si>
  <si>
    <t xml:space="preserve">revenue_basis</t>
  </si>
  <si>
    <t xml:space="preserve">health_claim_flag</t>
  </si>
  <si>
    <t xml:space="preserve">research_excluded</t>
  </si>
  <si>
    <t xml:space="preserve">research_exclusion_reason</t>
  </si>
  <si>
    <t xml:space="preserve">nearest_retailer_blocks_outside</t>
  </si>
  <si>
    <t xml:space="preserve">nearest_retailer_inside_cluster</t>
  </si>
  <si>
    <t xml:space="preserve">graded_retailer_count_within_ten</t>
  </si>
  <si>
    <t xml:space="preserve">retailers_within_ten_blocks</t>
  </si>
  <si>
    <t xml:space="preserve">stores_beyond_ten_or_unplaced</t>
  </si>
  <si>
    <t xml:space="preserve">retailers_claimed</t>
  </si>
  <si>
    <t xml:space="preserve">retailer_evidence_urls</t>
  </si>
  <si>
    <t xml:space="preserve">why_now_type</t>
  </si>
  <si>
    <t xml:space="preserve">why_now_age_days</t>
  </si>
  <si>
    <t xml:space="preserve">startup_cpg_evidence_url</t>
  </si>
  <si>
    <t xml:space="preserve">backup_linkedin_status</t>
  </si>
  <si>
    <t xml:space="preserve">score_buy</t>
  </si>
  <si>
    <t xml:space="preserve">score_ny</t>
  </si>
  <si>
    <t xml:space="preserve">score_why</t>
  </si>
  <si>
    <t xml:space="preserve">score_rev</t>
  </si>
  <si>
    <t xml:space="preserve">score_fit</t>
  </si>
  <si>
    <t xml:space="preserve">score_contact</t>
  </si>
  <si>
    <t xml:space="preserve">score_review</t>
  </si>
  <si>
    <t xml:space="preserve">instagram_url</t>
  </si>
  <si>
    <t xml:space="preserve">research_slice</t>
  </si>
  <si>
    <t xml:space="preserve">slice_row</t>
  </si>
  <si>
    <t xml:space="preserve">notes</t>
  </si>
  <si>
    <t xml:space="preserve">enrichment_log</t>
  </si>
  <si>
    <t xml:space="preserve">online_store_note</t>
  </si>
  <si>
    <t xml:space="preserve">product_short</t>
  </si>
  <si>
    <t xml:space="preserve">office_approvals_complete</t>
  </si>
  <si>
    <t xml:space="preserve">AB-219</t>
  </si>
  <si>
    <t xml:space="preserve">The Lucky Ox</t>
  </si>
  <si>
    <t xml:space="preserve">Fane</t>
  </si>
  <si>
    <t xml:space="preserve">He</t>
  </si>
  <si>
    <t xml:space="preserve">Co-founder and Chief Motion Officer</t>
  </si>
  <si>
    <t xml:space="preserve">https://www.linkedin.com/in/fane-he/</t>
  </si>
  <si>
    <t xml:space="preserve">New York City brand, store page shows Whole Foods Market NoMad inside the cluster, news 176 days ago, revenue unknown, contact named plus a marketing lead; founder review: claim-borderline.</t>
  </si>
  <si>
    <t xml:space="preserve">Whole Foods Market NoMad, 63 Madison Ave</t>
  </si>
  <si>
    <t xml:space="preserve">store_selector</t>
  </si>
  <si>
    <t xml:space="preserve">Launched in Whole Foods Market Northeast with a WFM-exclusive Mango Sticky Rice flavor; Pandan Coconut in WFM Discovery Program</t>
  </si>
  <si>
    <t xml:space="preserve">https://startupcpg.com/startup-cpg-newswire-the-lucky-ox-launches-into-whole-foods-across-the-northeast/</t>
  </si>
  <si>
    <t xml:space="preserve">https://luckyox.co/pages/about-us</t>
  </si>
  <si>
    <t xml:space="preserve">brand</t>
  </si>
  <si>
    <t xml:space="preserve">before using the retailer line, check Whole Foods Market NoMad still lists it: https://www.wholefoodsmarket.com/search?text=The%20Lucky%20Ox with your store set to NoMad (catalogs change daily); founder review (claim-borderline): read founder_review_reason first</t>
  </si>
  <si>
    <t xml:space="preserve">founder</t>
  </si>
  <si>
    <t xml:space="preserve">https://theorg.com/org/the-lucky-ox/person/fane-he</t>
  </si>
  <si>
    <t xml:space="preserve">Pandan Coconut Sparkler 12 fl oz can; Vietnamese Lemonade Sparkler</t>
  </si>
  <si>
    <t xml:space="preserve">sparkling-soda</t>
  </si>
  <si>
    <t xml:space="preserve">New York (about page: 'Rooted in Culture, Born in NYC'; release datelined New York, NY)</t>
  </si>
  <si>
    <t xml:space="preserve">https://luckyox.co</t>
  </si>
  <si>
    <t xml:space="preserve">Sparklers page mentions 'natural electrolytes' (nutrient wording, not a health claim)</t>
  </si>
  <si>
    <t xml:space="preserve">claim-borderline</t>
  </si>
  <si>
    <t xml:space="preserve">NY</t>
  </si>
  <si>
    <t xml:space="preserve">nyc</t>
  </si>
  <si>
    <t xml:space="preserve">seed ($584K total, round announced Oct 2025; unverified, founder to confirm)</t>
  </si>
  <si>
    <t xml:space="preserve">Canned sparkling drink sold in WFM grocery catalog; no shelf-life figure published, founder to confirm 60+ days</t>
  </si>
  <si>
    <t xml:space="preserve">Release says 1,300 doors nationwide (store count, not used for band)</t>
  </si>
  <si>
    <t xml:space="preserve">Fairway Market Chelsea, 55 W 25th St (brand_claim, inside);Whole Foods Market NoMad, 63 Madison Ave (store_selector, inside);Whole Foods Market Union Square, 4 Union Sq S (store_selector, inside);Dover Street Market, 160 Lexington Ave (brand_claim, 0.8 blocks out);H Mart, 38 W 32nd St (brand_claim, 1.0 blocks out);Merci Market, 59 5th Ave (brand_claim, 1.0 blocks out);West Side Market, 84 3rd Ave (brand_claim, 1.0 blocks out);Lincoln Market, 501 6th Ave (brand_claim, 1.2 blocks out);Westside Market Chelsea, 170 W 23rd St (brand_claim, 2.0 blocks out);Variety Coffee, 261 7th Ave (brand_claim, 2.5 blocks out);Whole Foods Market Chelsea, 250 7th Ave (store_selector, 3.0 blocks out);Fairway Market Kips Bay, 580 2nd Ave (brand_claim, 7.0 blocks out)</t>
  </si>
  <si>
    <t xml:space="preserve">Whole Foods Market Manhattan West (store_selector, 13.8 blocks out);Pearl River Mart Chelsea (brand_claim, 11.4 blocks out)</t>
  </si>
  <si>
    <t xml:space="preserve">Whole Foods Market Northeast region (launch April 2026; Discovery Program); 1,300 doors; independents and restaurants</t>
  </si>
  <si>
    <t xml:space="preserve">https://www.wholefoodsmarket.com/api/search?text=lucky%20ox&amp;store=10773&amp;limit=60&amp;offset=0; https://www.wholefoodsmarket.com/api/search?text=lucky%20ox&amp;store=10162&amp;limit=60&amp;offset=0; https://www.wholefoodsmarket.com/api/search?text=lucky%20ox&amp;store=10131&amp;limit=60&amp;offset=0; https://www.wholefoodsmarket.com/api/search?text=lucky%20ox&amp;store=10713&amp;limit=60&amp;offset=0; https://stockist.co/api/v1/map_g3yzp6zq/locations/search?latitude=40.7411&amp;longitude=-73.9897&amp;distance=3&amp;distance_unit=mi</t>
  </si>
  <si>
    <t xml:space="preserve">press</t>
  </si>
  <si>
    <t xml:space="preserve">Fane He</t>
  </si>
  <si>
    <t xml:space="preserve">The Org (updated 2026-07-02); earlier role Co-founder and COO. Startup CPG podcast "Founder Feature - Fane He and Kyle Nguyen of The Lucky Ox" (2025-06-20) lists this LinkedIn URL; LinkedIn not opened.</t>
  </si>
  <si>
    <t xml:space="preserve">listed on an opened page or in search results; LinkedIn itself not opened</t>
  </si>
  <si>
    <t xml:space="preserve">Kyle Nguyen</t>
  </si>
  <si>
    <t xml:space="preserve">Kyle</t>
  </si>
  <si>
    <t xml:space="preserve">Nguyen</t>
  </si>
  <si>
    <t xml:space="preserve">Creative Director (co-founder)</t>
  </si>
  <si>
    <t xml:space="preserve">marketing lead</t>
  </si>
  <si>
    <t xml:space="preserve">The Org (updated 2026-01-27): Creative Director since 2025. Named as a founder in the Startup CPG podcast episode title. No dedicated marketing title found; closest brand role.</t>
  </si>
  <si>
    <t xml:space="preserve">https://www.instagram.com/theluckyoxco</t>
  </si>
  <si>
    <t xml:space="preserve">BR4</t>
  </si>
  <si>
    <t xml:space="preserve">BR4:14</t>
  </si>
  <si>
    <t xml:space="preserve">Release (datelined April 2026, posted 2026-05-01) says retail distribution began late 2025 and more WFM regions planned. Founders not named on site; press contact Fane He (role not stated). Strong 'already on the shelf three blocks away' angle: Pandan Coconut listed at all four cluster WFM stores on 2026-10-23. | Privacy policy lists 8 The Green, Dover DE 19901, a registered-agent style address, not an operating HQ; keep hq_city New York per the about page.</t>
  </si>
  <si>
    <t xml:space="preserve">founder_name &lt;- https://startupcpg.transistor.fm/episodes/founder-feature-fane-he-and-kyle-nguyen-of-the-lucky-ox (2026-10-24, opened); founder_title &lt;- https://startupcpg.transistor.fm/episodes/founder-feature-fane-he-and-kyle-nguyen-of-the-lucky-ox (2026-10-24, opened); founder_profile_url &lt;- https://startupcpg.transistor.fm/episodes/founder-feature-fane-he-and-kyle-nguyen-of-the-lucky-ox (2026-10-24, opened); nyc_retailers_near_cluster &lt;- https://stockist.co/api/v1/map_g3yzp6zq/locations/search?latitude=40.7411&amp;longitude=-73.9897&amp;distance=3&amp;distance_unit=mi (2026-10-24, opened); retailer_evidence_urls &lt;- https://luckyox.co/pages/store-locator (2026-10-24, opened); notes &lt;- https://luckyox.co/policies/privacy-policy (2026-10-24, opened); funding_stage &lt;- https://www.vcbacked.co/company/the-lucky-ox (2026-10-24, snippet-unverified); </t>
  </si>
  <si>
    <t xml:space="preserve">https://theorg.com/org/the-lucky-ox/person/kyle-nguyen</t>
  </si>
  <si>
    <t xml:space="preserve">stage 2</t>
  </si>
  <si>
    <t xml:space="preserve">AB-216</t>
  </si>
  <si>
    <t xml:space="preserve">The Matzo Project</t>
  </si>
  <si>
    <t xml:space="preserve">Kevin</t>
  </si>
  <si>
    <t xml:space="preserve">Rodriguez</t>
  </si>
  <si>
    <t xml:space="preserve">Co-founder</t>
  </si>
  <si>
    <t xml:space="preserve">New York City brand, store page shows Whole Foods Market Union Square inside the cluster, news 248 days ago, revenue unknown, contact named plus a marketing lead.</t>
  </si>
  <si>
    <t xml:space="preserve">Whole Foods Market Union Square, 4 Union Sq S</t>
  </si>
  <si>
    <t xml:space="preserve">Holiday Hanukkah set on Target.com and in select Target stores from Nov 1 (homepage); Passover Shmura matzo release (Feb 2026); Publix launch (Oct 2025)</t>
  </si>
  <si>
    <t xml:space="preserve">https://startupcpg.com/startup-cpg-newswire-the-matzo-project-does-something-unusual-for-passover-by-not-changing-a-thing/</t>
  </si>
  <si>
    <t xml:space="preserve">https://www.matzoproject.com/</t>
  </si>
  <si>
    <t xml:space="preserve">find Kevin Rodriguez at The Matzo Project on LinkedIn and paste the profile URL; before using the retailer line, check Whole Foods Market Union Square still lists it: https://www.wholefoodsmarket.com/search?text=The%20Matzo%20Project with your store set to Union Square (catalogs change daily)</t>
  </si>
  <si>
    <t xml:space="preserve">Everything Matzo Chips 6 oz bag (also Flats, Crumbs, soup kits)</t>
  </si>
  <si>
    <t xml:space="preserve">crackers-pretzels</t>
  </si>
  <si>
    <t xml:space="preserve">Brooklyn</t>
  </si>
  <si>
    <t xml:space="preserve">https://www.matzoproject.com</t>
  </si>
  <si>
    <t xml:space="preserve">Bagged matzo chips/crackers sold ambient; no shelf-life figure found on site, founder to confirm 60+ days</t>
  </si>
  <si>
    <t xml:space="preserve">Whole Foods Market Union Square, 4 Union Sq S (store_selector, inside)</t>
  </si>
  <si>
    <t xml:space="preserve">Whole Foods Market; Target; Walmart; Amazon; Meijer; Sprouts; H-E-B; Stop &amp; Shop; Publix; Harris Teeter; Plum Market; Thrive Market; Vitacost; Zabar's; Carnegie Deli; Cibo Gourmet; Zingerman's; Canadian grocers (Longo's, Loblaws, Farm Boy) and others</t>
  </si>
  <si>
    <t xml:space="preserve">https://www.wholefoodsmarket.com/api/search?text=matzo%20project&amp;store=10162&amp;limit=60&amp;offset=0</t>
  </si>
  <si>
    <t xml:space="preserve">https://startupcpg.com/startup-cpg-newswire-the-matzo-project-launches-at-publix/</t>
  </si>
  <si>
    <t xml:space="preserve">Kevin Rodriguez</t>
  </si>
  <si>
    <t xml:space="preserve">Release (2026-02) quotes "Kevin Rodriguez, Co-Founder". Brand homepage names Ashley Albert and Kevin Rodriguez as founders. The Org lists Avi B. Markus as CEO and co-owner since 2024 (backup row); he may hold the budget.</t>
  </si>
  <si>
    <t xml:space="preserve">Crystal Bennett</t>
  </si>
  <si>
    <t xml:space="preserve">Bennett</t>
  </si>
  <si>
    <t xml:space="preserve">Partner and company spokeswoman</t>
  </si>
  <si>
    <t xml:space="preserve">FoodNavigator 2025-07-23 quotes her as "a spokeswoman for The Matzo Project" at the Summer Fancy Food Show. Brand homepage (https://www.matzoproject.com/) says she joined the founders as a partner. No formal marketing title found; closest public-facing role.</t>
  </si>
  <si>
    <t xml:space="preserve">BR4:11</t>
  </si>
  <si>
    <t xml:space="preserve">Releases datelined Brooklyn, NY. Brooklyn-made per homepage. Four Startup CPG Newswire releases 2025-2026 (participation). Only WFM Union Square lists a SKU among cluster stores on 2026-10-23. Avi Markus also named as partner on homepage.</t>
  </si>
  <si>
    <t xml:space="preserve">retailers_claimed &lt;- https://www.matzoproject.com/pages/find-us-in-stores (2026-10-24, opened); </t>
  </si>
  <si>
    <t xml:space="preserve">https://www.foodnavigator-usa.com/Article/2025/07/23/brands-give-jewish-staples-a-new-look-new-uses</t>
  </si>
  <si>
    <t xml:space="preserve">Shop links to Amazon and Target.com</t>
  </si>
  <si>
    <t xml:space="preserve">AB-249</t>
  </si>
  <si>
    <t xml:space="preserve">Häppy Candy</t>
  </si>
  <si>
    <t xml:space="preserve">Maxi</t>
  </si>
  <si>
    <t xml:space="preserve">Heidenblut</t>
  </si>
  <si>
    <t xml:space="preserve">Founder and CEO</t>
  </si>
  <si>
    <t xml:space="preserve">https://www.linkedin.com/in/maxi-heidenblut-cfa-ab704024/</t>
  </si>
  <si>
    <t xml:space="preserve">New York City brand, store page shows Whole Foods Market NoMad inside the cluster, news 44 days ago, revenue unknown, contact named; founder review: claim-borderline.</t>
  </si>
  <si>
    <t xml:space="preserve">Launched nationwide at Target (~2,000 stores) with a limited Haunted Edition Halloween pack</t>
  </si>
  <si>
    <t xml:space="preserve">https://startupcpg.com/startup-cpg-newswire-happy-candy-launches-nationwide-at-target-with-limited-edition-haunted-edition-halloween-variety-pack/</t>
  </si>
  <si>
    <t xml:space="preserve">2026-09-10</t>
  </si>
  <si>
    <t xml:space="preserve">before using the retailer line, check Whole Foods Market NoMad still lists it: https://www.wholefoodsmarket.com/search?text=H%C3%A4ppy%20Candy with your store set to NoMad (catalogs change daily); founder review (claim-borderline): read founder_review_reason first</t>
  </si>
  <si>
    <t xml:space="preserve">The Big Apple gummies 1.8 oz bag (WFM); individually wrapped 0.7 oz bags in Target Haunted Edition pack</t>
  </si>
  <si>
    <t xml:space="preserve">chocolate-candy</t>
  </si>
  <si>
    <t xml:space="preserve">New York (terms of service: P.O. Box 4, NYC, NY 10013; release datelined New York, NY)</t>
  </si>
  <si>
    <t xml:space="preserve">https://eathappycandy.com</t>
  </si>
  <si>
    <t xml:space="preserve">Kids and classroom positioning; reduced-sugar wording ('significantly less' sugar) is a nutrient-content angle; national retail distribution in the why-now ('nationwide at Target'): check the revenue band at intake</t>
  </si>
  <si>
    <t xml:space="preserve">Brand FAQ: 'Our candy has an 18-month shelf life. Each bag is single serve'</t>
  </si>
  <si>
    <t xml:space="preserve">Whole Foods Market NoMad, 63 Madison Ave (store_selector, inside);Whole Foods Market Union Square, 4 Union Sq S (store_selector, inside);Whole Foods Market Chelsea, 250 7th Ave (store_selector, 3.0 blocks out)</t>
  </si>
  <si>
    <t xml:space="preserve">Whole Foods Market Manhattan West (store_selector, 13.8 blocks out)</t>
  </si>
  <si>
    <t xml:space="preserve">Whole Foods Market (Big Apple and Italian Summer gummies at all four cluster stores); Target (~2,000 stores nationwide from Sept 6, 2026)</t>
  </si>
  <si>
    <t xml:space="preserve">https://www.wholefoodsmarket.com/api/search?text=happy%20candy&amp;store=10773&amp;limit=60&amp;offset=0; https://www.wholefoodsmarket.com/api/search?text=happy%20candy&amp;store=10162&amp;limit=60&amp;offset=0; https://www.wholefoodsmarket.com/api/search?text=happy%20candy&amp;store=10131&amp;limit=60&amp;offset=0; https://www.wholefoodsmarket.com/api/search?text=happy%20candy&amp;store=10713&amp;limit=60&amp;offset=0; https://eathappycandy.com/products.json?limit=250</t>
  </si>
  <si>
    <t xml:space="preserve">Maxi Heidenblut</t>
  </si>
  <si>
    <t xml:space="preserve">Release (2026-09) quotes "Maxi Heidenblut, Founder &amp; CEO". LinkedIn URL from the episode links of the Startup CPG podcast "BONUS: Winter Fancy Food Show Recap" (2025-02-26) in the public feed https://feeds.transistor.fm/startupcpg; LinkedIn not opened.</t>
  </si>
  <si>
    <t xml:space="preserve">BR4:44</t>
  </si>
  <si>
    <t xml:space="preserve">Free from the top 9 allergens (release). WFM lists 'Happy Candy' Big Apple and Italian Summer Gummies 1.8 oz at all four cluster stores (2026-10-23); same product names appear on eathappycandy.com (vendor 'Häppy Candy').</t>
  </si>
  <si>
    <t xml:space="preserve">shelf_stable_basis &lt;- https://eathappycandy.com/pages/faq (2026-10-24, opened); hq_city &lt;- https://eathappycandy.com/policies/terms-of-service (2026-10-24, opened); </t>
  </si>
  <si>
    <t xml:space="preserve">AB-097</t>
  </si>
  <si>
    <t xml:space="preserve">Beyond Good</t>
  </si>
  <si>
    <t xml:space="preserve">Tim</t>
  </si>
  <si>
    <t xml:space="preserve">McCollum</t>
  </si>
  <si>
    <t xml:space="preserve">New York City brand, store page shows Whole Foods Market NoMad inside the cluster, a new store listing 22 days ago, revenue unknown, contact named plus a marketing lead; founder review: shelf life not stated.</t>
  </si>
  <si>
    <t xml:space="preserve">Launched 70% Dark Chocolate Pistachio Crunch bar on brand store, Oct 2026</t>
  </si>
  <si>
    <t xml:space="preserve">https://beyondgood.com/</t>
  </si>
  <si>
    <t xml:space="preserve">2026-10-02</t>
  </si>
  <si>
    <t xml:space="preserve">find Tim McCollum at Beyond Good on LinkedIn and paste the profile URL (this also confirms the name: The Org is crowd-edited); before using the retailer line, check Whole Foods Market NoMad still lists it: https://www.wholefoodsmarket.com/search?text=Beyond%20Good with your store set to NoMad (catalogs change daily); founder review (shelf life or online store): read founder_review_reason first</t>
  </si>
  <si>
    <t xml:space="preserve">https://theorg.com/org/beyond-good/person/tim-mccollum</t>
  </si>
  <si>
    <t xml:space="preserve">70% Cocoa Dark Chocolate Pistachio Crunch bar; Organic 92% Dark Chocolate Bar 2.64 oz</t>
  </si>
  <si>
    <t xml:space="preserve">https://beyondgood.com</t>
  </si>
  <si>
    <t xml:space="preserve">60-day shelf life not stated</t>
  </si>
  <si>
    <t xml:space="preserve">Wrapped chocolate bars sold ambient at Whole Foods; shelf-life figure not found</t>
  </si>
  <si>
    <t xml:space="preserve">Whole Foods</t>
  </si>
  <si>
    <t xml:space="preserve">https://www.wholefoodsmarket.com/api/search?text=beyond%20good%20chocolate&amp;store=10162&amp;limit=60&amp;offset=0; https://www.wholefoodsmarket.com/api/search?text=beyond%20good%20chocolate&amp;store=10773&amp;limit=60&amp;offset=0; https://www.wholefoodsmarket.com/api/search?text=beyond%20good%20chocolate&amp;store=10131&amp;limit=60&amp;offset=0</t>
  </si>
  <si>
    <t xml:space="preserve">listing</t>
  </si>
  <si>
    <t xml:space="preserve">Tim McCollum</t>
  </si>
  <si>
    <t xml:space="preserve">The Org (updated 2026-01-28): Founder and CEO since 2008, HQ office. Wikipedia (https://en.wikipedia.org/wiki/Beyond_Good) names Tim McCollum and Brett Beach as founders.</t>
  </si>
  <si>
    <t xml:space="preserve">Kristine Ford</t>
  </si>
  <si>
    <t xml:space="preserve">Kristine</t>
  </si>
  <si>
    <t xml:space="preserve">Ford</t>
  </si>
  <si>
    <t xml:space="preserve">Head of Marketing</t>
  </si>
  <si>
    <t xml:space="preserve">The Org (updated 2026-02-02): Head of Marketing since 2024-11. Bio says she provides marketing leadership for mission-driven brands, so the role may be part-time or fractional.</t>
  </si>
  <si>
    <t xml:space="preserve">https://www.instagram.com/eatbeyondgood/</t>
  </si>
  <si>
    <t xml:space="preserve">BR2</t>
  </si>
  <si>
    <t xml:space="preserve">BR2:35</t>
  </si>
  <si>
    <t xml:space="preserve">LinkedIn snippets: company page lists Brooklyn HQ and 11-50 employees; no marketing lead found, only a sales manager. Tim McCollum LinkedIn: https://www.linkedin.com/in/tim-mccollum-15ab5715/ (not opened). The founder is the likely budget owner.</t>
  </si>
  <si>
    <t xml:space="preserve">hq_city &lt;- https://en.wikipedia.org/wiki/Beyond_Good (2026-10-24, opened); hq_state &lt;- https://en.wikipedia.org/wiki/Beyond_Good (2026-10-24, opened); founder_name &lt;- https://en.wikipedia.org/wiki/Beyond_Good (2026-10-24, opened); founder_title &lt;- https://en.wikipedia.org/wiki/Beyond_Good (2026-10-24, opened); founder_profile_url &lt;- https://en.wikipedia.org/wiki/Beyond_Good (2026-10-24, opened); notes &lt;- https://www.linkedin.com/company/eatbeyondgood (2026-10-24, snippet-unverified); </t>
  </si>
  <si>
    <t xml:space="preserve">https://theorg.com/org/beyond-good/person/kristine-ford</t>
  </si>
  <si>
    <t xml:space="preserve">2026-01-28</t>
  </si>
  <si>
    <t xml:space="preserve">2026-02-02</t>
  </si>
  <si>
    <t xml:space="preserve">AB-075</t>
  </si>
  <si>
    <t xml:space="preserve">Eleni's New York</t>
  </si>
  <si>
    <t xml:space="preserve">Eleni</t>
  </si>
  <si>
    <t xml:space="preserve">Gianopulos</t>
  </si>
  <si>
    <t xml:space="preserve">New York City brand, store page shows Whole Foods Market NoMad inside the cluster, news 201 days ago, revenue unknown, contact named.</t>
  </si>
  <si>
    <t xml:space="preserve">Moxie &amp; Co. and Eleni's launched licensed Chicka Chicka Boom Boom Alphabet Cookies (announced by Licensing International)</t>
  </si>
  <si>
    <t xml:space="preserve">https://licensinginternational.org/news/sweet-meets-storytime-moxie-co-and-elenis-cookies-launch-chicka-chicka-boom-boom-alphabet-cookies/</t>
  </si>
  <si>
    <t xml:space="preserve">2026-04-06</t>
  </si>
  <si>
    <t xml:space="preserve">wrong_person</t>
  </si>
  <si>
    <t xml:space="preserve">https://elenis.com/pages/about-us</t>
  </si>
  <si>
    <t xml:space="preserve">find Eleni Gianopulos at Eleni's New York on LinkedIn and paste the profile URL (this also confirms the name: The Org is crowd-edited); the source is dated 2024-10-17: check Eleni still holds the role; before using the retailer line, check Whole Foods Market NoMad still lists it: https://www.wholefoodsmarket.com/search?text=Eleni%27s%20New%20York with your store set to NoMad (catalogs change daily)</t>
  </si>
  <si>
    <t xml:space="preserve">https://theorg.com/org/elenis/person/eleni-gianopulos</t>
  </si>
  <si>
    <t xml:space="preserve">Crisp Chocolate Chip Cookie 3.5 oz; Mini Crisp cookie pouches 4.5 oz</t>
  </si>
  <si>
    <t xml:space="preserve">cookies-baked</t>
  </si>
  <si>
    <t xml:space="preserve">https://elenis.com</t>
  </si>
  <si>
    <t xml:space="preserve">Brand FAQ: Everyday Crisp Cookies 'are awesome after 9 months post purchase' in original packaging; hand-iced sugar cookies and Color Me! cookies 6 months; Photo Cookies 2-3 months. Do not refrigerate.</t>
  </si>
  <si>
    <t xml:space="preserve">Whole Foods Market NoMad, 63 Madison Ave (store_selector, inside);Whole Foods Market Union Square, 4 Union Sq S (store_selector, inside);Westside Market, 84 3rd Ave (brand_claim, 1.0 blocks out);Westside Market, 77 7th Ave (brand_claim, 2.0 blocks out);Westside Market, 170 W 23rd St (brand_claim, 2.0 blocks out);Westside Market, 180 3rd Ave (brand_claim, 2.0 blocks out);Eden Gourmet Marketplace, 275 3rd Ave (brand_claim, 3.0 blocks out);Whole Foods Market Chelsea, 250 7th Ave (store_selector, 3.0 blocks out);D'Agostino, 341 3rd Ave (brand_claim, 3.5 blocks out);Gristedes, 225 8th Ave (brand_claim, 6.6 blocks out)</t>
  </si>
  <si>
    <t xml:space="preserve">Grocery stores nationwide; Whole Foods; Westside Market; D'Agostino; Gristedes (brand Stockist locator)</t>
  </si>
  <si>
    <t xml:space="preserve">https://www.wholefoodsmarket.com/api/search?text=eleni%27s&amp;store=10162&amp;limit=60&amp;offset=0; https://www.wholefoodsmarket.com/api/search?text=eleni%27s&amp;store=10773&amp;limit=60&amp;offset=0; https://www.wholefoodsmarket.com/api/search?text=eleni%27s&amp;store=10131&amp;limit=60&amp;offset=0; https://stockist.co/api/v1/u18710/locations/search?latitude=40.7397&amp;longitude=-73.9897&amp;distance=3&amp;units=km (data behind https://elenis.com/pages/store-locator)</t>
  </si>
  <si>
    <t xml:space="preserve">Eleni Gianopulos</t>
  </si>
  <si>
    <t xml:space="preserve">The Org (updated 2024-10-17): CEO. The brand about page (https://elenis.com/pages/about-us) names her as founder but spells "Gianopulous"; The Org and press spell "Gianopulos". Founder to confirm the spelling before any email lookup.</t>
  </si>
  <si>
    <t xml:space="preserve">https://www.instagram.com/elenisny/</t>
  </si>
  <si>
    <t xml:space="preserve">BR2:12</t>
  </si>
  <si>
    <t xml:space="preserve">Strong local fit: many cluster grocers on brand locator. Pouches are single packages but multi-serve (3.5 to 4.5 oz). Why-now date from Shopify publish dates; Chicka Chicka items are kids-licensed.</t>
  </si>
  <si>
    <t xml:space="preserve">shelf_stable &lt;- https://elenis.com/pages/faqs (2026-10-24, opened); shelf_stable_basis &lt;- https://elenis.com/pages/faqs (2026-10-24, opened); why_now &lt;- https://licensinginternational.org/news/sweet-meets-storytime-moxie-co-and-elenis-cookies-launch-chicka-chicka-boom-boom-alphabet-cookies/ (2026-10-24, opened); why_now_url &lt;- https://licensinginternational.org/news/sweet-meets-storytime-moxie-co-and-elenis-cookies-launch-chicka-chicka-boom-boom-alphabet-cookies/ (2026-10-24, opened); why_now_date &lt;- https://licensinginternational.org/news/sweet-meets-storytime-moxie-co-and-elenis-cookies-launch-chicka-chicka-boom-boom-alphabet-cookies/ (2026-10-24, opened); </t>
  </si>
  <si>
    <t xml:space="preserve">AB-070</t>
  </si>
  <si>
    <t xml:space="preserve">Raaka Chocolate</t>
  </si>
  <si>
    <t xml:space="preserve">Nathan</t>
  </si>
  <si>
    <t xml:space="preserve">Hodge</t>
  </si>
  <si>
    <t xml:space="preserve">CEO and co-founder</t>
  </si>
  <si>
    <t xml:space="preserve">New York City brand, store page shows Whole Foods Market Union Square inside the cluster, a new store listing 2 days ago, revenue unknown, contact named plus a marketing lead; founder review: claim-borderline.</t>
  </si>
  <si>
    <t xml:space="preserve">New limited-batch Chili Meltaways truffle box and Pumpkin Crunch Minis launched on brand site for fall 2026</t>
  </si>
  <si>
    <t xml:space="preserve">https://www.raakachocolate.com/</t>
  </si>
  <si>
    <t xml:space="preserve">https://www.raakachocolate.com/pages/our-story-process</t>
  </si>
  <si>
    <t xml:space="preserve">find Nathan Hodge at Raaka Chocolate on LinkedIn and paste the profile URL (this also confirms the name: The Org is crowd-edited); the source is dated 2024-10-31: check Nathan still holds the role; before using the retailer line, check Whole Foods Market Union Square still lists it: https://www.wholefoodsmarket.com/search?text=Raaka%20Chocolate with your store set to Union Square (catalogs change daily); founder review (claim-borderline): read founder_review_reason first</t>
  </si>
  <si>
    <t xml:space="preserve">https://theorg.com/org/raaka-chocolate/person/nathan-hodge</t>
  </si>
  <si>
    <t xml:space="preserve">Organic Coconut Chocolate Bar 1.8 oz; Coco Milk Mini 0.28 oz</t>
  </si>
  <si>
    <t xml:space="preserve">Brooklyn (Red Hook factory, 64 Seabring St)</t>
  </si>
  <si>
    <t xml:space="preserve">https://www.raakachocolate.com</t>
  </si>
  <si>
    <t xml:space="preserve">Sells a 'Functional' adaptogen and mushroom chocolate line (Day Break 'Focus &amp; Energy', Mellow Moon 'Rest &amp; Calm'); offer only the classic bars</t>
  </si>
  <si>
    <t xml:space="preserve">Brand wholesale FAQ: coconut-containing products (Coconut Milk, Oat Milk, Cocoa Magic, Holiday Hot Chocolates, Waffle Cone bars) have a 9 month shelf life; all non-coconut products have a 16 month shelf life.</t>
  </si>
  <si>
    <t xml:space="preserve">Gotham Coffee Roasters, 23 W 19th St (brand_claim, inside);Whole Foods Market NoMad, 63 Madison Ave (brand_claim, inside);Whole Foods Market Union Square, 4 Union Sq S (store_selector, inside);Bedford Cheese Shop, 67 Irving Pl (brand_claim, 0.9 blocks out);Cafe M, 315 5th Ave (brand_claim, 1.3 blocks out);Whole Foods Market Chelsea, 250 7th Ave (store_selector, 3.0 blocks out);Foragers City Grocer, 300 W 22nd St (brand_claim, 6.6 blocks out)</t>
  </si>
  <si>
    <t xml:space="preserve">Seed + Mill (brand_claim, 11.4 blocks out)</t>
  </si>
  <si>
    <t xml:space="preserve">Whole Foods; Amazon; ~1,700 locator entries (Storemapper)</t>
  </si>
  <si>
    <t xml:space="preserve">https://www.wholefoodsmarket.com/api/search?text=raaka&amp;store=10162&amp;limit=60&amp;offset=0; https://www.wholefoodsmarket.com/api/search?text=raaka&amp;store=10131&amp;limit=60&amp;offset=0; https://www.storemapper.co/api/users/1035/stores.js?callback=SMcallback2 (data behind https://www.raakachocolate.com/pages/store-locator)</t>
  </si>
  <si>
    <t xml:space="preserve">Nathan Hodge</t>
  </si>
  <si>
    <t xml:space="preserve">The Org (updated 2024-10-31): CEO since 2021; Head Chocolate Maker and Co-Founder from 2010. Brand story page names co-founders "Ryan and Nate". Replaces the unverified stage-1 surname.</t>
  </si>
  <si>
    <t xml:space="preserve">William Mullan</t>
  </si>
  <si>
    <t xml:space="preserve">William</t>
  </si>
  <si>
    <t xml:space="preserve">Mullan</t>
  </si>
  <si>
    <t xml:space="preserve">Brand Manager</t>
  </si>
  <si>
    <t xml:space="preserve">The Org (updated 2024-10-31): Brand Manager since 2014, HQ office. Two years since the page was updated.</t>
  </si>
  <si>
    <t xml:space="preserve">https://www.instagram.com/raakachocolate/</t>
  </si>
  <si>
    <t xml:space="preserve">BR2:7</t>
  </si>
  <si>
    <t xml:space="preserve">WFM NoMad catalog showed 0 Raaka hits on 2026-10-23 although the brand locator lists it, so NoMad is brand_claim only. Locator entries may be stale. Why-now date is the Shopify publish date of the Chili Meltaway product.</t>
  </si>
  <si>
    <t xml:space="preserve">shelf_stable &lt;- https://www.raakachocolate.com/pages/wholesale (2026-10-24, opened); shelf_stable_basis &lt;- https://www.raakachocolate.com/pages/wholesale (2026-10-24, opened); </t>
  </si>
  <si>
    <t xml:space="preserve">https://theorg.com/org/raaka-chocolate/person/william-mullan</t>
  </si>
  <si>
    <t xml:space="preserve">2024-10-31</t>
  </si>
  <si>
    <t xml:space="preserve">AB-071</t>
  </si>
  <si>
    <t xml:space="preserve">Fine &amp; Raw</t>
  </si>
  <si>
    <t xml:space="preserve">Daniel</t>
  </si>
  <si>
    <t xml:space="preserve">Sklaar</t>
  </si>
  <si>
    <t xml:space="preserve">Founder</t>
  </si>
  <si>
    <t xml:space="preserve">New York City brand, store page shows Whole Foods Market NoMad inside the cluster, a new store listing 9 days ago, revenue unknown, contact named; founder review: shelf life not stated.</t>
  </si>
  <si>
    <t xml:space="preserve">Launched Josh Cellars x FINE &amp; RAW pairing collection and 2026 Halloween boxes on brand store (Oct 2026); note the pairing is with a wine brand</t>
  </si>
  <si>
    <t xml:space="preserve">https://www.fineandraw.com/</t>
  </si>
  <si>
    <t xml:space="preserve">2026-10-15</t>
  </si>
  <si>
    <t xml:space="preserve">https://www.fineandraw.com/pages/about</t>
  </si>
  <si>
    <t xml:space="preserve">find Daniel Sklaar at Fine &amp; Raw on LinkedIn and paste the profile URL; before using the retailer line, check Whole Foods Market NoMad still lists it: https://www.wholefoodsmarket.com/search?text=Fine%20%26%20Raw with your store set to NoMad (catalogs change daily); founder review (shelf life or online store): read founder_review_reason first</t>
  </si>
  <si>
    <t xml:space="preserve">Sea Salt Dark Chocolate Bar 2 oz; Almond Chunky 1.5 oz</t>
  </si>
  <si>
    <t xml:space="preserve">https://www.fineandraw.com</t>
  </si>
  <si>
    <t xml:space="preserve">Wrapped chocolate bars sold ambient at Whole Foods and shipped worldwide; shelf-life figure not published (founder to confirm)</t>
  </si>
  <si>
    <t xml:space="preserve">Whole Foods Market NoMad, 63 Madison Ave (store_selector, inside);Whole Foods Market Union Square, 4 Union Sq S (store_selector, inside)</t>
  </si>
  <si>
    <t xml:space="preserve">https://www.wholefoodsmarket.com/api/search?text=fine%20and%20raw&amp;store=10162&amp;limit=60&amp;offset=0; https://www.wholefoodsmarket.com/api/search?text=fine%20and%20raw&amp;store=10773&amp;limit=60&amp;offset=0</t>
  </si>
  <si>
    <t xml:space="preserve">Daniel Sklaar</t>
  </si>
  <si>
    <t xml:space="preserve">Brand about page: established in 2007 by Daniel Sklaar; homepage signs "Daniel, Founder, chocolate maker".</t>
  </si>
  <si>
    <t xml:space="preserve">https://www.instagram.com/fineandraw/</t>
  </si>
  <si>
    <t xml:space="preserve">BR2:8</t>
  </si>
  <si>
    <t xml:space="preserve">Founded 2007 in Williamsburg. Some WFM listings are under 'Cowgirl Fine And Raw' (distributor naming). Not in WFM Chelsea catalog. Why-now date from Shopify publish date of the pairing products.</t>
  </si>
  <si>
    <t xml:space="preserve">AB-082</t>
  </si>
  <si>
    <t xml:space="preserve">Steve &amp; Andy's</t>
  </si>
  <si>
    <t xml:space="preserve">Steve</t>
  </si>
  <si>
    <t xml:space="preserve">Marino</t>
  </si>
  <si>
    <t xml:space="preserve">New York City brand, store page shows Whole Foods Market NoMad inside the cluster, a new store listing 36 days ago, revenue unknown, contact named.</t>
  </si>
  <si>
    <t xml:space="preserve">New Ginger Snap cookies and soft-baked Chocolate Chip boxes added to brand store, Aug to Sept 2026</t>
  </si>
  <si>
    <t xml:space="preserve">https://steveandandys.com/</t>
  </si>
  <si>
    <t xml:space="preserve">2026-09-18</t>
  </si>
  <si>
    <t xml:space="preserve">https://steveandandys.com/pages/about</t>
  </si>
  <si>
    <t xml:space="preserve">find Steve Marino at Steve &amp; Andy's on LinkedIn and paste the profile URL; before using the retailer line, check Whole Foods Market NoMad still lists it: https://www.wholefoodsmarket.com/search?text=Steve%20%26%20Andy%27s with your store set to NoMad (catalogs change daily)</t>
  </si>
  <si>
    <t xml:space="preserve">Organic Chocolate Chip Cookies 5.5 oz (gluten-free)</t>
  </si>
  <si>
    <t xml:space="preserve">https://steveandandys.com</t>
  </si>
  <si>
    <t xml:space="preserve">Brand FAQ: 'Shelf life is 270 days from date of production'; store at room temperature</t>
  </si>
  <si>
    <t xml:space="preserve">Whole Foods; nationwide (brand home page)</t>
  </si>
  <si>
    <t xml:space="preserve">https://www.wholefoodsmarket.com/api/search?text=steve%20andys&amp;store=10162&amp;limit=60&amp;offset=0; https://www.wholefoodsmarket.com/api/search?text=steve%20andys&amp;store=10773&amp;limit=60&amp;offset=0; https://www.wholefoodsmarket.com/api/search?text=steve%20andys&amp;store=10131&amp;limit=60&amp;offset=0</t>
  </si>
  <si>
    <t xml:space="preserve">Steve Marino</t>
  </si>
  <si>
    <t xml:space="preserve">Brand about page: "Founders Steve Marino and Arjan 'Andy' Khiani".</t>
  </si>
  <si>
    <t xml:space="preserve">Arjan Khiani</t>
  </si>
  <si>
    <t xml:space="preserve">Arjan</t>
  </si>
  <si>
    <t xml:space="preserve">Khiani</t>
  </si>
  <si>
    <t xml:space="preserve">co-founder or executive</t>
  </si>
  <si>
    <t xml:space="preserve">Goes by "Andy" per the brand about page.</t>
  </si>
  <si>
    <t xml:space="preserve">https://www.instagram.com/steveandandys/</t>
  </si>
  <si>
    <t xml:space="preserve">BR2:19</t>
  </si>
  <si>
    <t xml:space="preserve">Company name on site: Steve &amp; Andy's Organics Inc. Brand Stockist locator (u21490) returned 0 locations within 3 km of Union Square. Single-serve format not confirmed (5.5 oz boxes at WFM). Why-now date from Shopify publish dates.</t>
  </si>
  <si>
    <t xml:space="preserve">hq_city &lt;- https://steveandandys.com/policies/contact-information (2026-10-24, opened); </t>
  </si>
  <si>
    <t xml:space="preserve">AB-002</t>
  </si>
  <si>
    <t xml:space="preserve">Zack's Mighty</t>
  </si>
  <si>
    <t xml:space="preserve">Zack</t>
  </si>
  <si>
    <t xml:space="preserve">Gazzaniga</t>
  </si>
  <si>
    <t xml:space="preserve">New York City brand, store page shows Whole Foods Market NoMad inside the cluster, a new store listing 12 days ago, revenue unknown, contact named plus a marketing lead; founder review: format.</t>
  </si>
  <si>
    <t xml:space="preserve">Relaunched brand store with new variety packs (tortilla and rolled)</t>
  </si>
  <si>
    <t xml:space="preserve">https://zacksmighty.com/products/rolled-variety-pack</t>
  </si>
  <si>
    <t xml:space="preserve">2026-10-12</t>
  </si>
  <si>
    <t xml:space="preserve">https://zacksmighty.com</t>
  </si>
  <si>
    <t xml:space="preserve">find Zack Gazzaniga at Zack's Mighty on LinkedIn and paste the profile URL; before using the retailer line, check Whole Foods Market NoMad still lists it: https://www.wholefoodsmarket.com/search?text=Zack%27s%20Mighty with your store set to NoMad (catalogs change daily); founder review (format): read founder_review_reason first</t>
  </si>
  <si>
    <t xml:space="preserve">https://www.snackandbakery.com/articles/110099-zacks-mighty-reveals-first-ever-non-gmo-rolled-tortilla-chips</t>
  </si>
  <si>
    <t xml:space="preserve">Zack's Mighty Chile Lime Rolled Tortilla Chips, 6 oz</t>
  </si>
  <si>
    <t xml:space="preserve">chips-crisps</t>
  </si>
  <si>
    <t xml:space="preserve">Only share-size bags (6 to 7.5 oz) found; no single-serve pack seen, so the 50-units-per-office format needs a pack-size check</t>
  </si>
  <si>
    <t xml:space="preserve">format</t>
  </si>
  <si>
    <t xml:space="preserve">Series A (unverified, founder to confirm; CB Insights snippet in search results, not opened)</t>
  </si>
  <si>
    <t xml:space="preserve">https://cbinsights.com/company/zacks-mighty</t>
  </si>
  <si>
    <t xml:space="preserve">Bagged tortilla chips sold ambient</t>
  </si>
  <si>
    <t xml:space="preserve">Whole Foods Market; Costco (Southwest region, per trade press headline)</t>
  </si>
  <si>
    <t xml:space="preserve">https://www.wholefoodsmarket.com/search?text=zack%27s%20mighty (store context Union Square 10162 and NoMad 10773; IN_STOCK 2026-10-23)</t>
  </si>
  <si>
    <t xml:space="preserve">Zack Gazzaniga</t>
  </si>
  <si>
    <t xml:space="preserve">Article: founded in 2020 by Zack Gazzaniga. "CEO" from a Spoiler Alert case study seen in search results. | Stage 3 fix: Spot check round 6: the opened article says 'founded in 2020 by ... Zack Gazzaniga'; 'CEO' came only from a search result, so it is dropped until a page shows it.</t>
  </si>
  <si>
    <t xml:space="preserve">Kate Scofield</t>
  </si>
  <si>
    <t xml:space="preserve">Kate</t>
  </si>
  <si>
    <t xml:space="preserve">Scofield</t>
  </si>
  <si>
    <t xml:space="preserve">Senior Brand Manager</t>
  </si>
  <si>
    <t xml:space="preserve">The Org (updated 2026-05-30): Senior Brand Manager since 2026.</t>
  </si>
  <si>
    <t xml:space="preserve">BR1</t>
  </si>
  <si>
    <t xml:space="preserve">BR1:3</t>
  </si>
  <si>
    <t xml:space="preserve">Founded 2020 by Zack Gazzaniga, previously first hire and COO at Sir Kensington's (Snack Food &amp; Wholesale Bakery). Brooklyn HQ (356 Wythe Ave) appears only in a CB Insights search snippet. why_now date is Shopify published_at from products.json.</t>
  </si>
  <si>
    <t xml:space="preserve">hq_city &lt;- https://www.cbinsights.com/company/zacks-mighty (2026-10-24, opened); </t>
  </si>
  <si>
    <t xml:space="preserve">https://theorg.com/org/zacks-mighty/person/kate-scofield</t>
  </si>
  <si>
    <t xml:space="preserve">2026-05-30</t>
  </si>
  <si>
    <t xml:space="preserve">AB-233</t>
  </si>
  <si>
    <t xml:space="preserve">Simply Gum</t>
  </si>
  <si>
    <t xml:space="preserve">Caron</t>
  </si>
  <si>
    <t xml:space="preserve">Proschan</t>
  </si>
  <si>
    <t xml:space="preserve">New York City brand, store page shows Whole Foods Market NoMad inside the cluster, a new store listing 241 days ago, revenue unknown, contact named plus a marketing lead; founder review: claim-borderline.</t>
  </si>
  <si>
    <t xml:space="preserve">Launched Simply Sours, a sour hard candy line (Citrus Berry, Fruit Punch), announced 2026-02-25 and previewed at Natural Products Expo West; pouches added 2026-04-16 and a limited Halloween bundle 2026-09-09</t>
  </si>
  <si>
    <t xml:space="preserve">https://www.simplygum.com/blogs/news/introducing-simply-sours</t>
  </si>
  <si>
    <t xml:space="preserve">2026-02-25</t>
  </si>
  <si>
    <t xml:space="preserve">https://www.simplygum.com/pages/about</t>
  </si>
  <si>
    <t xml:space="preserve">find Caron Proschan at Simply Gum on LinkedIn and paste the profile URL; before using the retailer line, check Whole Foods Market NoMad still lists it: https://www.wholefoodsmarket.com/search?text=Simply%20Gum with your store set to NoMad (catalogs change daily); founder review (claim-borderline): read founder_review_reason first</t>
  </si>
  <si>
    <t xml:space="preserve">https://www.snackandbakery.com/articles/112597-video-simply-on-vegan-candy-treats</t>
  </si>
  <si>
    <t xml:space="preserve">Peppermint Gum 15 ct pack; Peppermint Mints (tins and individually wrapped)</t>
  </si>
  <si>
    <t xml:space="preserve">Brooklyn (privacy policy: Simply Gum, 630 Flushing Ave, #16, Brooklyn NY 11206)</t>
  </si>
  <si>
    <t xml:space="preserve">https://www.simplygum.com</t>
  </si>
  <si>
    <t xml:space="preserve">Gum and mints are a candy-adjacent fit for a snack drop; sugar-free line cites xylitol 'dental health benefits' on about page (check pack wording)</t>
  </si>
  <si>
    <t xml:space="preserve">Gum and mints sold ambient with Best By dates (FAQ); no shelf-life figure, founder to confirm</t>
  </si>
  <si>
    <t xml:space="preserve">Whole Foods Market (WFM catalog); Amazon; store locator (not machine-readable)</t>
  </si>
  <si>
    <t xml:space="preserve">https://www.wholefoodsmarket.com/api/search?text=simply%20gum&amp;store=10773&amp;limit=60&amp;offset=0; https://www.wholefoodsmarket.com/api/search?text=simply%20gum&amp;store=10162&amp;limit=60&amp;offset=0; https://www.wholefoodsmarket.com/api/search?text=simply%20gum&amp;store=10131&amp;limit=60&amp;offset=0; https://www.wholefoodsmarket.com/api/search?text=simply%20gum&amp;store=10713&amp;limit=60&amp;offset=0</t>
  </si>
  <si>
    <t xml:space="preserve">Caron Proschan</t>
  </si>
  <si>
    <t xml:space="preserve">Candy Industry 2024-12-06: "Caron Proschan, founder and CEO". The Org shows "Caron P., CEO".</t>
  </si>
  <si>
    <t xml:space="preserve">Jeannie Kim</t>
  </si>
  <si>
    <t xml:space="preserve">Jeannie</t>
  </si>
  <si>
    <t xml:space="preserve">Kim</t>
  </si>
  <si>
    <t xml:space="preserve">Vice President, Marketing</t>
  </si>
  <si>
    <t xml:space="preserve">The Org (updated 2024-10-31): VP Marketing since 2019. FoodNavigator 2022 (https://www.foodnavigator-usa.com/Article/2022/01/17/Simply-Gum-expands-into-gummies-chocolate-with-low-key-launches-featuring-clean-labels/) quotes her as vice president of marketing. No 2026 confirmation.</t>
  </si>
  <si>
    <t xml:space="preserve">https://www.instagram.com/simplygum</t>
  </si>
  <si>
    <t xml:space="preserve">BR4:28</t>
  </si>
  <si>
    <t xml:space="preserve">Female and AANHPI founded (about page). Plastic-free gum, mints, sours, gummies and chocolate. WFM store-scoped catalog lists 5-7 SKUs at each cluster store and flags them Local (2026-10-23).</t>
  </si>
  <si>
    <t xml:space="preserve">founder_name &lt;- https://www.snackandbakery.com/articles/112597-video-simply-on-vegan-candy-treats (2026-10-24, opened); founder_title &lt;- https://www.snackandbakery.com/articles/112597-video-simply-on-vegan-candy-treats (2026-10-24, opened); founder_profile_url &lt;- https://www.snackandbakery.com/articles/112597-video-simply-on-vegan-candy-treats (2026-10-24, opened); why_now &lt;- https://www.simplygum.com/blogs/news/introducing-simply-sours (2026-10-24, opened); why_now_url &lt;- https://www.simplygum.com/blogs/news/introducing-simply-sours (2026-10-24, opened); why_now_date &lt;- https://www.simplygum.com/blogs/news/introducing-simply-sours (2026-10-24, opened); hq_city &lt;- https://www.simplygum.com/policies/privacy-policy (2026-10-24, opened); hq_state &lt;- https://www.simplygum.com/policies/privacy-policy (2026-10-24, opened); marketing_name &lt;- https://www.foodnavigator-usa.com/Article/2022/01/17/Simply-Gum-expands-into-gummies-chocolate-with-low-key-launches-featuring-clean-labels/ (2026-10-24, opened); marketing_title &lt;- https://www.foodnavigator-usa.com/Article/2022/01/17/Simply-Gum-expands-into-gummies-chocolate-with-low-key-launches-featuring-clean-labels/ (2026-10-24, opened); marketing_profile_url &lt;- https://www.foodnavigator-usa.com/Article/2022/01/17/Simply-Gum-expands-into-gummies-chocolate-with-low-key-launches-featuring-clean-labels/ (2026-10-24, opened); </t>
  </si>
  <si>
    <t xml:space="preserve">https://theorg.com/org/simply-gum/person/jeannie-kim</t>
  </si>
  <si>
    <t xml:space="preserve">AB-111</t>
  </si>
  <si>
    <t xml:space="preserve">Harken Sweets</t>
  </si>
  <si>
    <t xml:space="preserve">Lefkowitz</t>
  </si>
  <si>
    <t xml:space="preserve">https://www.linkedin.com/in/katielefkowitz/</t>
  </si>
  <si>
    <t xml:space="preserve">New York City brand, store page shows Whole Foods Market NoMad inside the cluster, news 163 days ago, revenue unknown, contact named; founder review: claim-borderline, scale.</t>
  </si>
  <si>
    <t xml:space="preserve">Taste Tomorrow Ventures invested in Harken Sweets' seed round (joining Selva and Grtsht); brand at Sprouts, Whole Foods, Kroger, Costco, Walmart, Wegmans and others</t>
  </si>
  <si>
    <t xml:space="preserve">https://www.snackandbakery.com/articles/115735-taste-tomorrow-ventures-invests-in-harken-sweets</t>
  </si>
  <si>
    <t xml:space="preserve">2026-05-14</t>
  </si>
  <si>
    <t xml:space="preserve">https://harkensweets.com/pages/our-story</t>
  </si>
  <si>
    <t xml:space="preserve">before using the retailer line, check Whole Foods Market NoMad still lists it: https://www.wholefoodsmarket.com/search?text=Harken%20Sweets with your store set to NoMad (catalogs change daily); founder review (claim-borderline, scale): read founder_review_reason first</t>
  </si>
  <si>
    <t xml:space="preserve">https://startupcpg.transistor.fm/episodes/founder-feature-katie-lefkowitz-of-harken-sweets</t>
  </si>
  <si>
    <t xml:space="preserve">Snack-size Date Caramel Candy Bars, individually wrapped (20 or 30 count); The Lil Nutty Ones</t>
  </si>
  <si>
    <t xml:space="preserve">https://harkensweets.com</t>
  </si>
  <si>
    <t xml:space="preserve">Borderline gut wording: '14g of gut-lovin' prebiotic fiber' and 'nourishes your body'; prebiotic and no-sugar nutrient positioning; founder to decide if this crosses into a structure/function claim | Health-claim scan 2026-10-24: the homepage says 'Gut-Lovin' Naturally high in prebiotic fiber!' and 'Now date-sweetened and gut-friendly'. 'Gut-friendly' implies an effect on the body without stating one: decide before outreach whether that crosses the CONTRACTS line ('supports gut health' is excluded); the tent card must not repeat it; scale signal in the why-now ('Costco'): likely above the $10M band; ask at intake; 60-day shelf life not stated</t>
  </si>
  <si>
    <t xml:space="preserve">claim-borderline;scale</t>
  </si>
  <si>
    <t xml:space="preserve">Seed (Taste Tomorrow Ventures, Selva, Grtsht)</t>
  </si>
  <si>
    <t xml:space="preserve">Brand FAQ: products must stay at or below room temperature (heat-sensitive, no refrigeration stated); shelf-life figure not found</t>
  </si>
  <si>
    <t xml:space="preserve">Whole Foods; Stockist locator</t>
  </si>
  <si>
    <t xml:space="preserve">https://www.wholefoodsmarket.com/api/search?text=harken&amp;store=10162&amp;limit=60&amp;offset=0; https://www.wholefoodsmarket.com/api/search?text=harken&amp;store=10773&amp;limit=60&amp;offset=0; https://www.wholefoodsmarket.com/api/search?text=harken&amp;store=10131&amp;limit=60&amp;offset=0</t>
  </si>
  <si>
    <t xml:space="preserve">https://startupcpg.com/startup-cpg-newswire-harken-sweets-brings-its-plant-based-candy-bars-to-nearly-5000-doors-across-leading-retailers/</t>
  </si>
  <si>
    <t xml:space="preserve">Katie Lefkowitz</t>
  </si>
  <si>
    <t xml:space="preserve">Episode links on the Startup CPG podcast page and on https://karagoldin.com/podcasts/katie-lefkowitz/ both give this LinkedIn URL; LinkedIn not opened. The Org (harken-sweets) also lists her as Founder &amp; CEO.</t>
  </si>
  <si>
    <t xml:space="preserve">Shaila Garde-Lester</t>
  </si>
  <si>
    <t xml:space="preserve">Seen only in a search summary of a 2025 Nosh Expo West article; Nosh returned 403 so the page was not opened. Title may have changed.</t>
  </si>
  <si>
    <t xml:space="preserve">https://www.instagram.com/harkensweets/</t>
  </si>
  <si>
    <t xml:space="preserve">BR2:49</t>
  </si>
  <si>
    <t xml:space="preserve">Snack-size individually wrapped format is a strong pantry fit. Stockist locator (u20848) returned 0 locations within 3 km of Union Square. Shopify product feed not readable.</t>
  </si>
  <si>
    <t xml:space="preserve">hq_city &lt;- https://startupcpg.com/startup-cpg-newswire-harken-sweets-brings-its-plant-based-candy-bars-to-nearly-5000-doors-across-leading-retailers/ (2026-10-24, opened); hq_state &lt;- https://startupcpg.com/startup-cpg-newswire-harken-sweets-brings-its-plant-based-candy-bars-to-nearly-5000-doors-across-leading-retailers/ (2026-10-24, opened); founder_name &lt;- https://startupcpg.com/startup-cpg-newswire-harken-sweets-brings-its-plant-based-candy-bars-to-nearly-5000-doors-across-leading-retailers/ (2026-10-24, opened); founder_title &lt;- https://startupcpg.com/founders-funders-2025-recap/ (2026-10-24, opened); founder_profile_url &lt;- https://startupcpg.com/founders-funders-2025-recap/ (2026-10-24, opened); startup_cpg_member &lt;- https://startupcpg.com/startup-cpg-newswire-harken-sweets-brings-its-plant-based-candy-bars-to-nearly-5000-doors-across-leading-retailers/ (2026-10-24, opened); startup_cpg_evidence_url &lt;- https://startupcpg.com/startup-cpg-newswire-harken-sweets-brings-its-plant-based-candy-bars-to-nearly-5000-doors-across-leading-retailers/ (2026-10-24, opened); why_now &lt;- https://www.snackandbakery.com/articles/115735-taste-tomorrow-ventures-invests-in-harken-sweets (2026-10-24, opened); why_now_url &lt;- https://www.snackandbakery.com/articles/115735-taste-tomorrow-ventures-invests-in-harken-sweets (2026-10-24, opened); why_now_date &lt;- https://www.snackandbakery.com/articles/115735-taste-tomorrow-ventures-invests-in-harken-sweets (2026-10-24, opened); funding_stage &lt;- https://www.snackandbakery.com/articles/115735-taste-tomorrow-ventures-invests-in-harken-sweets (2026-10-24, opened); founder_review_reason &lt;- https://harkensweets.com (2026-10-24, stage 3 correction); </t>
  </si>
  <si>
    <t xml:space="preserve">https://www.nosh.com/news/2025/expo-west-harken-secures-cash-rustic-bakery-adds-cookies-bubbies-goes-green</t>
  </si>
  <si>
    <t xml:space="preserve">AB-003</t>
  </si>
  <si>
    <t xml:space="preserve">PRETZELIZED</t>
  </si>
  <si>
    <t xml:space="preserve">Sammy</t>
  </si>
  <si>
    <t xml:space="preserve">Kestenbaum</t>
  </si>
  <si>
    <t xml:space="preserve">Co-founder and CEO</t>
  </si>
  <si>
    <t xml:space="preserve">https://www.linkedin.com/in/samuel-kestenbaum-26154418/</t>
  </si>
  <si>
    <t xml:space="preserve">Northeast brand (HQ unverified), store page shows Whole Foods Market NoMad inside the cluster, news 80 days ago, revenue unknown, contact named; founder review: shelf life not stated.</t>
  </si>
  <si>
    <t xml:space="preserve">Launched limited-edition Pretzelized x Crayola Sea Salt Pretzel Snackers Multipack (10 single-serve bags) at Target and Whole Foods for back-to-school</t>
  </si>
  <si>
    <t xml:space="preserve">https://www.snackandbakery.com/articles/116147-pretzelized-crayola-team-up-for-back-to-school-snacking</t>
  </si>
  <si>
    <t xml:space="preserve">https://pretzelized.com</t>
  </si>
  <si>
    <t xml:space="preserve">before using the retailer line, check Whole Foods Market NoMad still lists it: https://www.wholefoodsmarket.com/search?text=PRETZELIZED with your store set to NoMad (catalogs change daily); founder review (shelf life or online store): read founder_review_reason first</t>
  </si>
  <si>
    <t xml:space="preserve">https://pretzelized.com/pages/press</t>
  </si>
  <si>
    <t xml:space="preserve">PRETZELIZED Sea Salt Pretzel Crackers Multipack 7.5 oz; Honey Mustard Pretzel Crackers 6.5 oz</t>
  </si>
  <si>
    <t xml:space="preserve">Fairfield (unverified, founder to confirm)</t>
  </si>
  <si>
    <t xml:space="preserve">no online store: buy path is the store only</t>
  </si>
  <si>
    <t xml:space="preserve">grp-003-024</t>
  </si>
  <si>
    <t xml:space="preserve">NJ</t>
  </si>
  <si>
    <t xml:space="preserve">northeast (unverified)</t>
  </si>
  <si>
    <t xml:space="preserve">unknown (incubated by 7 Mile Brands per trade press)</t>
  </si>
  <si>
    <t xml:space="preserve">Boxed/bagged baked pretzel crackers and pita chips sold ambient</t>
  </si>
  <si>
    <t xml:space="preserve">Whole Foods Market; ShopRite; Target; Costco (per press list)</t>
  </si>
  <si>
    <t xml:space="preserve">https://www.wholefoodsmarket.com/search?text=pretzelized (store context NoMad 10773 shows Sea Salt Multipack 7.5 oz, Honey Mustard, Cheddar; Union Square and Chelsea also IN_STOCK 2026-10-23)</t>
  </si>
  <si>
    <t xml:space="preserve">Sammy Kestenbaum</t>
  </si>
  <si>
    <t xml:space="preserve">Press page: "PRETZELIZED CEO Sammy Kestenbaum". Kara Goldin Show page (https://karagoldin.com/podcasts/sammy-kestembaum/, title "Co-Founder &amp; CEO of PRETZELIZED") links this LinkedIn URL; LinkedIn not opened.</t>
  </si>
  <si>
    <t xml:space="preserve">Caitlin Mack</t>
  </si>
  <si>
    <t xml:space="preserve">Stage 1 saw a LinkedIn post, about two months old, on joining PRETZELIZED as VP of Marketing. Conflict: Snack and Bakery (2025 Snack Producer of the Year) lists Caitlin Mack as VP of Marketing at LesserEvil (rank 44). She may have moved; confirm which brand she is at before contacting either.</t>
  </si>
  <si>
    <t xml:space="preserve">search result, not opened</t>
  </si>
  <si>
    <t xml:space="preserve">BR1:4</t>
  </si>
  <si>
    <t xml:space="preserve">Site footer entity: STILL SNACKIN INC. Fairfield NJ HQ appears in search-result snippets (LinkedIn, company directories) not opened. Multipack implies single-serve bags inside; confirm unit size. Press page lists a Crayola back-to-school collaboration (undated on page).</t>
  </si>
  <si>
    <t xml:space="preserve">why_now &lt;- https://www.snackandbakery.com/articles/116147-pretzelized-crayola-team-up-for-back-to-school-snacking (2026-10-24, opened); why_now_url &lt;- https://www.snackandbakery.com/articles/116147-pretzelized-crayola-team-up-for-back-to-school-snacking (2026-10-24, opened); why_now_date &lt;- https://www.snackandbakery.com/articles/116147-pretzelized-crayola-team-up-for-back-to-school-snacking (2026-10-24, opened); marketing_name &lt;- https://www.linkedin.com/in/dylan-lipari-98314087/ (2026-10-24, snippet-unverified); marketing_title &lt;- https://www.linkedin.com/in/dylan-lipari-98314087/ (2026-10-24, snippet-unverified); marketing_profile_url &lt;- https://www.linkedin.com/in/dylan-lipari-98314087/ (2026-10-24, snippet-unverified); founder_profile_url &lt;- https://www.linkedin.com/in/samuel-kestenbaum-26154418/ (2026-10-24, snippet-unverified); </t>
  </si>
  <si>
    <t xml:space="preserve">product pages point to Amazon; site prices show $0.00</t>
  </si>
  <si>
    <t xml:space="preserve">person 'caitlin mack' shared with AB-024</t>
  </si>
  <si>
    <t xml:space="preserve">AB-235</t>
  </si>
  <si>
    <t xml:space="preserve">Issa's</t>
  </si>
  <si>
    <t xml:space="preserve">Andrew</t>
  </si>
  <si>
    <t xml:space="preserve">Issa</t>
  </si>
  <si>
    <t xml:space="preserve">New York State brand, store page shows Whole Foods Market NoMad inside the cluster, a new store listing 95 days ago, revenue unknown, contact named.</t>
  </si>
  <si>
    <t xml:space="preserve">Launched Restaurant Style Garlic &amp; Herb and Sea Salt Cooked in Olive Oil pita chips (store listings added 2026-07-21; Garlic &amp; Herb published 2026-10-11), after a 10 oz Restaurant Style sampler (2026-05-20); homepage flags Garlic &amp; Herb 'BRAND NEW'</t>
  </si>
  <si>
    <t xml:space="preserve">https://www.issaspitachips.com/store?format=json</t>
  </si>
  <si>
    <t xml:space="preserve">https://www.issaspitachips.com/our-story</t>
  </si>
  <si>
    <t xml:space="preserve">find Andrew Issa at Issa's on LinkedIn and paste the profile URL; before using the retailer line, check Whole Foods Market NoMad still lists it: https://www.wholefoodsmarket.com/search?text=Issa%27s with your store set to NoMad (catalogs change daily)</t>
  </si>
  <si>
    <t xml:space="preserve">https://www.wkbw.com/news/local-news/believe-in-buffalo/buffalo-born-issas-makes-pita-chips-like-no-other-in-the-nation-using-family-recipe-and-flame-baking-process</t>
  </si>
  <si>
    <t xml:space="preserve">Classic Sea Salt Pita Chips 2 oz single-serve bag (30 per case, foodservice); Classic and Za'atar + Thyme 6 oz bags at WFM</t>
  </si>
  <si>
    <t xml:space="preserve">Buffalo</t>
  </si>
  <si>
    <t xml:space="preserve">https://www.issaspitachips.com</t>
  </si>
  <si>
    <t xml:space="preserve">nys</t>
  </si>
  <si>
    <t xml:space="preserve">family-owned (Our Story)</t>
  </si>
  <si>
    <t xml:space="preserve">Bagged baked pita chips sold ambient; no shelf-life figure published, founder to confirm</t>
  </si>
  <si>
    <t xml:space="preserve">ShopRite, 766 6th Ave (brand_claim, inside);Whole Foods Market NoMad, 63 Madison Ave (store_selector, inside);Whole Foods Market Union Square, 4 Union Sq S (store_selector, inside);Whole Foods Market Chelsea, 250 7th Ave (store_selector, 3.0 blocks out);LifeThyme Natural Market, 410 6th Ave (brand_claim, 5.0 blocks out);ShopRite, 550 2nd Ave (brand_claim, 7.0 blocks out)</t>
  </si>
  <si>
    <t xml:space="preserve">Whole Foods Market Manhattan West (store_selector, 13.8 blocks out);Chelsea Market Baskets (brand_claim, 11.4 blocks out)</t>
  </si>
  <si>
    <t xml:space="preserve">Whole Foods Market (WFM catalog); store locator page</t>
  </si>
  <si>
    <t xml:space="preserve">https://www.wholefoodsmarket.com/api/search?text=issa%27s%20pita&amp;store=10773&amp;limit=60&amp;offset=0; https://www.wholefoodsmarket.com/api/search?text=issa%27s%20pita&amp;store=10162&amp;limit=60&amp;offset=0; https://www.wholefoodsmarket.com/api/search?text=issa%27s%20pita&amp;store=10131&amp;limit=60&amp;offset=0; https://www.wholefoodsmarket.com/api/search?text=issa%27s%20pita&amp;store=10713&amp;limit=60&amp;offset=0; https://api.storepoint.co/v1/1601c03005546f/locations?lat=40.7411&amp;long=-73.9897&amp;radius=5</t>
  </si>
  <si>
    <t xml:space="preserve">Andrew Issa</t>
  </si>
  <si>
    <t xml:space="preserve">WKBW: "Andrew, and his brother James Issa, co-founded Issa's Baked Pita Chips in 2016".</t>
  </si>
  <si>
    <t xml:space="preserve">James Issa</t>
  </si>
  <si>
    <t xml:space="preserve">Same article.</t>
  </si>
  <si>
    <t xml:space="preserve">https://www.instagram.com/issasflamebaked</t>
  </si>
  <si>
    <t xml:space="preserve">BR4:30</t>
  </si>
  <si>
    <t xml:space="preserve">'The only flame baked pita chip on the market' (Our Story). Upstate NY family business. WFM lists 3-4 SKUs at every cluster store and flags them Local (2026-10-23). 6 oz bags are share size, not single-serve.</t>
  </si>
  <si>
    <t xml:space="preserve">nyc_retailers_near_cluster &lt;- https://api.storepoint.co/v1/1601c03005546f/locations?lat=40.7411&amp;long=-73.9897&amp;radius=5 (2026-10-24, opened); retailer_evidence_urls &lt;- https://www.issaspitachips.com/locator (2026-10-24, opened); founder_name &lt;- https://www.wkbw.com/news/local-news/believe-in-buffalo/buffalo-born-issas-makes-pita-chips-like-no-other-in-the-nation-using-family-recipe-and-flame-baking-process (2026-10-24, opened); founder_title &lt;- https://www.wkbw.com/news/local-news/believe-in-buffalo/buffalo-born-issas-makes-pita-chips-like-no-other-in-the-nation-using-family-recipe-and-flame-baking-process (2026-10-24, opened); founder_profile_url &lt;- https://www.wkbw.com/news/local-news/believe-in-buffalo/buffalo-born-issas-makes-pita-chips-like-no-other-in-the-nation-using-family-recipe-and-flame-baking-process (2026-10-24, opened); product_example &lt;- https://argo.webstaurantstore.com/issas-classic-sea-salt-pita-chips-2-oz-case/200ISSASS2.html (2026-10-24, opened); why_now &lt;- https://www.issaspitachips.com/store?format=json (2026-10-24, opened); why_now_url &lt;- https://www.issaspitachips.com/store?format=json (2026-10-24, opened); why_now_date &lt;- https://www.issaspitachips.com/store?format=json (2026-10-24, opened); </t>
  </si>
  <si>
    <t xml:space="preserve">AB-236</t>
  </si>
  <si>
    <t xml:space="preserve">Goody's Granola</t>
  </si>
  <si>
    <t xml:space="preserve">New York City brand, store page shows Whole Foods Market NoMad inside the cluster, a new store listing 18 days ago, revenue unknown, no contact named; founder review: other.</t>
  </si>
  <si>
    <t xml:space="preserve">Released a new granola line on its store: Honey Crunch, Frostberry Bite and Crowenilla Chunk (2026-09-18), then Amber Maple Pecan Crunch, Navy Midnight Cocoa Blend and Soft-Baked Crimson Berry (2026-10-06)</t>
  </si>
  <si>
    <t xml:space="preserve">https://goodysgranola.nyc/products.json?limit=250</t>
  </si>
  <si>
    <t xml:space="preserve">2026-10-06</t>
  </si>
  <si>
    <t xml:space="preserve">https://goodysgranola.nyc/</t>
  </si>
  <si>
    <t xml:space="preserve">no person named on an opened page: not ready; before using the retailer line, check Whole Foods Market NoMad still lists it: https://www.wholefoodsmarket.com/search?text=Goody%27s%20Granola with your store set to NoMad (catalogs change daily); founder review (other): read founder_review_reason first</t>
  </si>
  <si>
    <t xml:space="preserve">Honey Granola 4 oz bag</t>
  </si>
  <si>
    <t xml:space="preserve">other-snack</t>
  </si>
  <si>
    <t xml:space="preserve">Brooklyn (homepage: 'Brooklyn Baked', 'From Brooklyn to your local Whole Foods shelf')</t>
  </si>
  <si>
    <t xml:space="preserve">https://goodysgranola.nyc</t>
  </si>
  <si>
    <t xml:space="preserve">Granola is snack-adjacent; 4 oz bag is closer to single-serve than most</t>
  </si>
  <si>
    <t xml:space="preserve">Bagged granola sold ambient; homepage says no preservatives and gives no shelf life, founder to confirm</t>
  </si>
  <si>
    <t xml:space="preserve">Whole Foods Market NoMad, 63 Madison Ave (store_selector, inside)</t>
  </si>
  <si>
    <t xml:space="preserve">Whole Foods Market</t>
  </si>
  <si>
    <t xml:space="preserve">https://www.wholefoodsmarket.com/api/search?text=goodys%20granola&amp;store=10773&amp;limit=60&amp;offset=0; https://www.wholefoodsmarket.com/api/search?text=goodys%20granola&amp;store=10713&amp;limit=60&amp;offset=0</t>
  </si>
  <si>
    <t xml:space="preserve">BR4:31</t>
  </si>
  <si>
    <t xml:space="preserve">WFM lists 4 SKUs at NoMad and 1 at Manhattan West, flagged Local (2026-10-23). Site also sells a 'Soft Baked Selection'.</t>
  </si>
  <si>
    <t xml:space="preserve">why_now &lt;- https://goodysgranola.nyc/products.json?limit=250 (2026-10-24, opened); why_now_url &lt;- https://goodysgranola.nyc/products.json?limit=250 (2026-10-24, opened); why_now_date &lt;- https://goodysgranola.nyc/products.json?limit=250 (2026-10-24, opened); </t>
  </si>
  <si>
    <t xml:space="preserve">AB-077</t>
  </si>
  <si>
    <t xml:space="preserve">Fruition Chocolate Works</t>
  </si>
  <si>
    <t xml:space="preserve">Bryan</t>
  </si>
  <si>
    <t xml:space="preserve">Graham</t>
  </si>
  <si>
    <t xml:space="preserve">New York State brand, store page shows Whole Foods Market NoMad inside the cluster, news 242 days ago, revenue unknown, contact named; founder review: shelf life not stated.</t>
  </si>
  <si>
    <t xml:space="preserve">Opened a pop-up shop inside Leavitt &amp; Peirce, Harvard Square, Cambridge MA, planned to run through at least spring 2026</t>
  </si>
  <si>
    <t xml:space="preserve">https://www.bostonglobe.com/2026/02/24/lifestyle/fruition-chocolate-works-pop-up-shop</t>
  </si>
  <si>
    <t xml:space="preserve">2026-02-24</t>
  </si>
  <si>
    <t xml:space="preserve">https://www.fruitionchocolateworks.com/pages/our-story</t>
  </si>
  <si>
    <t xml:space="preserve">find Bryan Graham at Fruition Chocolate Works on LinkedIn and paste the profile URL; before using the retailer line, check Whole Foods Market NoMad still lists it: https://www.wholefoodsmarket.com/search?text=Fruition%20Chocolate%20Works with your store set to NoMad (catalogs change daily); founder review (shelf life or online store): read founder_review_reason first</t>
  </si>
  <si>
    <t xml:space="preserve">Dominican Nacional Dark 77% bar; Milk Chocolate Caramel Crunch bar</t>
  </si>
  <si>
    <t xml:space="preserve">Shokan</t>
  </si>
  <si>
    <t xml:space="preserve">https://www.fruitionchocolateworks.com</t>
  </si>
  <si>
    <t xml:space="preserve">Wrapped chocolate bars sold ambient at Whole Foods; shelf-life figure not published</t>
  </si>
  <si>
    <t xml:space="preserve">Cocoa Store, 15 E 18th St (brand_claim, inside);Whole Foods Market NoMad, 63 Madison Ave (store_selector, inside);Whole Foods Market Union Square, 4 Union Sq S (store_selector, inside)</t>
  </si>
  <si>
    <t xml:space="preserve">Chelsea Market Baskets (brand_claim, 11.4 blocks out);Whole Foods Market Manhattan West (brand_claim, 13.8 blocks out)</t>
  </si>
  <si>
    <t xml:space="preserve">Whole Foods; Taste NY Grand Central; Chelsea Market Baskets (brand Stockist locator)</t>
  </si>
  <si>
    <t xml:space="preserve">https://www.wholefoodsmarket.com/api/search?text=fruition&amp;store=10162&amp;limit=60&amp;offset=0; https://www.wholefoodsmarket.com/api/search?text=fruition&amp;store=10773&amp;limit=60&amp;offset=0; https://stockist.co/api/v1/u1288/locations/search?latitude=40.7397&amp;longitude=-73.9897&amp;distance=3&amp;units=km (data behind https://www.fruitionchocolateworks.com/pages/store-locator-1)</t>
  </si>
  <si>
    <t xml:space="preserve">Bryan Graham</t>
  </si>
  <si>
    <t xml:space="preserve">Our Story page: "Bryan Graham is the founder of Fruition Chocolate Works and Confectionery". Boston Globe 2026-02-24 agrees.</t>
  </si>
  <si>
    <t xml:space="preserve">Dahlia</t>
  </si>
  <si>
    <t xml:space="preserve">Title not stated (works in the business with founder Bryan Graham)</t>
  </si>
  <si>
    <t xml:space="preserve">first-name-only</t>
  </si>
  <si>
    <t xml:space="preserve">Boston Globe: "With his wife, Dahlia, they craft chocolate". Surname not printed (stage 1 assumed Graham); founder to confirm. | Stage 3 fix: Spot check round 6: the Boston Globe says only 'With his wife, Dahlia, they craft chocolate'; 'Co-owner' was an inference.</t>
  </si>
  <si>
    <t xml:space="preserve">https://www.instagram.com/fruitionchocolate/</t>
  </si>
  <si>
    <t xml:space="preserve">BR2:14</t>
  </si>
  <si>
    <t xml:space="preserve">New York State maker (Hudson Valley/Catskills). Nearest WFM with store_selector evidence is NoMad. Some confections include bourbon caramels; offer the bars. Why-now date from Shopify publish date.</t>
  </si>
  <si>
    <t xml:space="preserve">hq_city &lt;- https://www.fruitionchocolateworks.com/pages/about (2026-10-24, opened); founder_name &lt;- https://www.bostonglobe.com/2026/02/24/lifestyle/fruition-chocolate-works-pop-up-shop (2026-10-24, opened); founder_title &lt;- https://www.bostonglobe.com/2026/02/24/lifestyle/fruition-chocolate-works-pop-up-shop (2026-10-24, opened); why_now &lt;- https://www.bostonglobe.com/2026/02/24/lifestyle/fruition-chocolate-works-pop-up-shop (2026-10-24, opened); why_now_url &lt;- https://www.bostonglobe.com/2026/02/24/lifestyle/fruition-chocolate-works-pop-up-shop (2026-10-24, opened); why_now_date &lt;- https://www.bostonglobe.com/2026/02/24/lifestyle/fruition-chocolate-works-pop-up-shop (2026-10-24, opened); </t>
  </si>
  <si>
    <t xml:space="preserve">AB-226</t>
  </si>
  <si>
    <t xml:space="preserve">B-SIDES</t>
  </si>
  <si>
    <t xml:space="preserve">Yousuf</t>
  </si>
  <si>
    <t xml:space="preserve">Ahmed</t>
  </si>
  <si>
    <t xml:space="preserve">https://www.linkedin.com/in/yousufmahmed/</t>
  </si>
  <si>
    <t xml:space="preserve">New York City brand, brand locator shows Westside Market NYC 1.0 blocks outside it, news 158 days ago, revenue unknown, contact named; founder review: claim-borderline.</t>
  </si>
  <si>
    <t xml:space="preserve">Westside Market NYC, 84 3rd Ave</t>
  </si>
  <si>
    <t xml:space="preserve">brand_claim</t>
  </si>
  <si>
    <t xml:space="preserve">Closed $500K seed to scale Northeast retail; rebrand debuted April 2026</t>
  </si>
  <si>
    <t xml:space="preserve">https://startupcpg.com/startup-cpg-newswire-b-sides-closes-500k-seed-round-to-scale-retail-expansion/</t>
  </si>
  <si>
    <t xml:space="preserve">2026-05-19</t>
  </si>
  <si>
    <t xml:space="preserve">https://www.enjoybsides.com/</t>
  </si>
  <si>
    <t xml:space="preserve">the retailer line rests on the brand's own store locator: say 'your store locator lists ...'; founder review (claim-borderline): read founder_review_reason first</t>
  </si>
  <si>
    <t xml:space="preserve">Jalapeno Crunch Puffs, single bag ($3/bag; sold in 12-packs online)</t>
  </si>
  <si>
    <t xml:space="preserve">popcorn-puffs</t>
  </si>
  <si>
    <t xml:space="preserve">Brooklyn (privacy policy: 87 Saint Marks Place #1, Brooklyn, NY 11217)</t>
  </si>
  <si>
    <t xml:space="preserve">https://www.enjoybsides.com</t>
  </si>
  <si>
    <t xml:space="preserve">Nutrient-content claim ('5g Plant Protein'); top-9-allergen-free positioning</t>
  </si>
  <si>
    <t xml:space="preserve">seed ($500K, May 2026)</t>
  </si>
  <si>
    <t xml:space="preserve">Brand FAQ: 'Unopened bags of B-SIDES Crunch Puffs have a 1-year shelf life'; 12 single-serve bags per case</t>
  </si>
  <si>
    <t xml:space="preserve">Release says 'on track to achieve 5x topline revenue growth year-over-year' (no base figure)</t>
  </si>
  <si>
    <t xml:space="preserve">Westside Market NYC, 84 3rd Ave (brand_claim, 1.0 blocks out);Lincoln Market, 501 6th Ave (brand_claim, 1.2 blocks out);Westside Market NYC, 170 W 23rd St (brand_claim, 2.0 blocks out);Westside Market NYC, 77 7th Ave (brand_claim, 2.0 blocks out);Eden Gourmet Marketplace Gramercy Park, 275 3rd Ave (brand_claim, 3.0 blocks out);Elm Wellness West Village, 56 7th Ave (brand_claim, 3.0 blocks out);Greenwich Village Farms, 33 Greenwich Ave (brand_claim, 5.1 blocks out);West 4th Market Place, 361 6th Ave (brand_claim, 7.6 blocks out)</t>
  </si>
  <si>
    <t xml:space="preserve">Heavenly Food Market (brand_claim, 17.6 blocks out)</t>
  </si>
  <si>
    <t xml:space="preserve">Westside Market; Dumbo Market; Westerly Natural Market; 1,500+ Northeast doors expected (release)</t>
  </si>
  <si>
    <t xml:space="preserve">https://www.enjoybsides.com/pages/find-us; https://stockist.co/api/v1/map_g3yz85zq/locations/search?latitude=40.7411&amp;longitude=-73.9897&amp;distance=3&amp;distance_unit=mi</t>
  </si>
  <si>
    <t xml:space="preserve">Yousuf Ahmed</t>
  </si>
  <si>
    <t xml:space="preserve">Release: "Founded by former Goldman Sachs private wealth advisor Yousuf Ahmed". The LinkedIn URL is linked from the brand's own homepage (https://www.enjoybsides.com/, site data "sameAs"); LinkedIn not opened.</t>
  </si>
  <si>
    <t xml:space="preserve">BR4:21</t>
  </si>
  <si>
    <t xml:space="preserve">Upcycled-ingredient puffs (oat flour from oat-milk production). Homepage: '60,000+ Bags Crunched', '100-Day Guarantee'. Stockist locator (map_g3yz85zq) queried 2026-10-23 lists Westside Market 170 W 23rd St at about 0.35 mi from Flatiron. Strong local fit: already on shelf near the cluster and raising for Northeast retail.</t>
  </si>
  <si>
    <t xml:space="preserve">hq_city &lt;- https://www.enjoybsides.com/policies/privacy-policy (2026-10-24, opened); shelf_stable_basis &lt;- https://www.enjoybsides.com/pages/faq (2026-10-24, opened); </t>
  </si>
  <si>
    <t xml:space="preserve">AB-016</t>
  </si>
  <si>
    <t xml:space="preserve">Ella's Flats</t>
  </si>
  <si>
    <t xml:space="preserve">Ellen</t>
  </si>
  <si>
    <t xml:space="preserve">Macks</t>
  </si>
  <si>
    <t xml:space="preserve">Brand based outside the Northeast (HQ unverified), store page shows Whole Foods Market NoMad inside the cluster, news 116 days ago, revenue unknown, contact named.</t>
  </si>
  <si>
    <t xml:space="preserve">Boston Globe feature on the seed crackers: sold at Wegmans and Whole Foods; new mini flats and a lightly date-sweetened version</t>
  </si>
  <si>
    <t xml:space="preserve">https://www.bostonglobe.com/2026/06/30/lifestyle/ellas-flats-seed-cracker/</t>
  </si>
  <si>
    <t xml:space="preserve">https://www.ellasflats.com/pages/about</t>
  </si>
  <si>
    <t xml:space="preserve">find Ellen Macks at Ella's Flats on LinkedIn and paste the profile URL; before using the retailer line, check Whole Foods Market NoMad still lists it: https://www.wholefoodsmarket.com/search?text=Ella%27s%20Flats with your store set to NoMad (catalogs change daily)</t>
  </si>
  <si>
    <t xml:space="preserve">https://www.ellasflats.com/</t>
  </si>
  <si>
    <t xml:space="preserve">Ella's Flats Everything Snack Pack (20-pack singles); Sesame Crisp 4.8 oz</t>
  </si>
  <si>
    <t xml:space="preserve">Naples (search snippets: Press Hook profile and Naples FL press datelines; unverified, founder to confirm)</t>
  </si>
  <si>
    <t xml:space="preserve">https://www.ellasflats.com</t>
  </si>
  <si>
    <t xml:space="preserve">FL</t>
  </si>
  <si>
    <t xml:space="preserve">elsewhere (unverified)</t>
  </si>
  <si>
    <t xml:space="preserve">Baked seed crisps sold ambient; 20-count snack packs on brand store</t>
  </si>
  <si>
    <t xml:space="preserve">Whole Foods Market; PopUp Grocer</t>
  </si>
  <si>
    <t xml:space="preserve">https://www.wholefoodsmarket.com/search?text=ella%27s%20flats (store context Union Square 10162 and NoMad 10773: Sesame Crisp 4.8 oz, Everything 6 oz, Hemp 6.5 oz IN_STOCK 2026-10-23); https://popupgrocer.com/products/ellas-flats</t>
  </si>
  <si>
    <t xml:space="preserve">Ellen Macks</t>
  </si>
  <si>
    <t xml:space="preserve">Homepage: started by Ellen Macks in 2017. The Org (ellas-flats) lists her as Owner.</t>
  </si>
  <si>
    <t xml:space="preserve">https://instagram.com/ellasflats</t>
  </si>
  <si>
    <t xml:space="preserve">BR1:17</t>
  </si>
  <si>
    <t xml:space="preserve">HQ not stated on site or policies. Snack-pack format suits office drops. why_now is weak (Shopify published_at of a bundle).</t>
  </si>
  <si>
    <t xml:space="preserve">hq_state &lt;- https://www.bostonglobe.com/2026/06/30/lifestyle/ellas-flats-seed-cracker/ (2026-10-24, opened); hq_city &lt;- https://presshook.com/brands/ellas-flats (2026-10-24, snippet-unverified); why_now &lt;- https://www.bostonglobe.com/2026/06/30/lifestyle/ellas-flats-seed-cracker/ (2026-10-24, opened); why_now_url &lt;- https://www.bostonglobe.com/2026/06/30/lifestyle/ellas-flats-seed-cracker/ (2026-10-24, opened); why_now_date &lt;- https://www.bostonglobe.com/2026/06/30/lifestyle/ellas-flats-seed-cracker/ (2026-10-24, opened); </t>
  </si>
  <si>
    <t xml:space="preserve">AB-081</t>
  </si>
  <si>
    <t xml:space="preserve">Mezcla</t>
  </si>
  <si>
    <t xml:space="preserve">Griffin</t>
  </si>
  <si>
    <t xml:space="preserve">Spolansky</t>
  </si>
  <si>
    <t xml:space="preserve">New York City brand, store page shows Whole Foods Market NoMad inside the cluster, news 233 days ago, revenue unknown, contact named plus a marketing lead; founder review: claim-borderline, scale.</t>
  </si>
  <si>
    <t xml:space="preserve">Raised a $9.5M Series B led by Bluestein Ventures ($16.5M total); in 9,000+ US stores; plans to grow its marketing team</t>
  </si>
  <si>
    <t xml:space="preserve">https://www.greenqueen.com.hk/mezcla-plant-based-protein-bar-vegan-funding/</t>
  </si>
  <si>
    <t xml:space="preserve">https://eatmezcla.com/pages/about</t>
  </si>
  <si>
    <t xml:space="preserve">find Griffin Spolansky at Mezcla on LinkedIn and paste the profile URL (this also confirms the name: The Org is crowd-edited); before using the retailer line, check Whole Foods Market NoMad still lists it: https://www.wholefoodsmarket.com/search?text=Mezcla with your store set to NoMad (catalogs change daily); founder review (claim-borderline, scale): read founder_review_reason first</t>
  </si>
  <si>
    <t xml:space="preserve">https://theorg.com/org/mezcla/person/griffin-spolansky</t>
  </si>
  <si>
    <t xml:space="preserve">Mint Chocolate Protein Bar 1.4 oz (single); Hazelnut Chocolate Puff Crispy Bar</t>
  </si>
  <si>
    <t xml:space="preserve">bars</t>
  </si>
  <si>
    <t xml:space="preserve">https://eatmezcla.com</t>
  </si>
  <si>
    <t xml:space="preserve">Plant-based protein bar (nutrient-content positioning); scale signal in the why-now ('Series B'): likely above the $10M band; ask at intake; 60-day shelf life not stated</t>
  </si>
  <si>
    <t xml:space="preserve">Series B ($9.5M, Bluestein Ventures, March 2026)</t>
  </si>
  <si>
    <t xml:space="preserve">Single wrapped bars sold ambient at Whole Foods and shipped by mail; shelf-life figure not published</t>
  </si>
  <si>
    <t xml:space="preserve">Whole Foods; local stores and online retailers (brand home page)</t>
  </si>
  <si>
    <t xml:space="preserve">https://www.wholefoodsmarket.com/api/search?text=mezcla&amp;store=10162&amp;limit=60&amp;offset=0; https://www.wholefoodsmarket.com/api/search?text=mezcla&amp;store=10773&amp;limit=60&amp;offset=0; https://www.wholefoodsmarket.com/api/search?text=mezcla&amp;store=10131&amp;limit=60&amp;offset=0</t>
  </si>
  <si>
    <t xml:space="preserve">Griffin Spolansky</t>
  </si>
  <si>
    <t xml:space="preserve">The Org company chart lists "Co-Founder | CEO"; Green Queen article names founders Griffin Spolansky and Coco Sotelo. The Org now lists Coco Sotelo as Director of Corporate and Social Responsibility. One search found no LinkedIn URL.</t>
  </si>
  <si>
    <t xml:space="preserve">Michelle Brintnall Chester</t>
  </si>
  <si>
    <t xml:space="preserve">Michelle</t>
  </si>
  <si>
    <t xml:space="preserve">Brintnall Chester</t>
  </si>
  <si>
    <t xml:space="preserve">Vice President of Marketing</t>
  </si>
  <si>
    <t xml:space="preserve">The Org (updated 2026-09-06): VP of Marketing since 2026.</t>
  </si>
  <si>
    <t xml:space="preserve">https://www.instagram.com/eatmezcla/</t>
  </si>
  <si>
    <t xml:space="preserve">BR2:18</t>
  </si>
  <si>
    <t xml:space="preserve">LinkedIn snippets: a new VP of Marketing joined Mezcla about two months ago, but the snippets attribute the announcement inconsistently (one shows the name Michelle Brintnall Chester), so no marketing_name is recorded. Griffin Spolansky's LinkedIn: https://www.linkedin.com/in/griffinspolansky/ (not opened).</t>
  </si>
  <si>
    <t xml:space="preserve">hq_city &lt;- https://eatmezcla.com/policies/terms-of-service (2026-10-24, opened); hq_state &lt;- https://eatmezcla.com/policies/terms-of-service (2026-10-24, opened); founder_name &lt;- https://www.greenqueen.com.hk/mezcla-plant-based-protein-bar-vegan-funding/ (2026-10-24, opened); founder_title &lt;- https://shelfhelppodcast.buzzsprout.com/2457035/episodes/19101177-griffin-spolansky-scaling-mezcla-from-boston-bodegas-to-9-000-doors (2026-10-24, opened); founder_profile_url &lt;- https://shelfhelppodcast.buzzsprout.com/2457035/episodes/19101177-griffin-spolansky-scaling-mezcla-from-boston-bodegas-to-9-000-doors (2026-10-24, opened); why_now &lt;- https://www.greenqueen.com.hk/mezcla-plant-based-protein-bar-vegan-funding/ (2026-10-24, opened); why_now_url &lt;- https://www.greenqueen.com.hk/mezcla-plant-based-protein-bar-vegan-funding/ (2026-10-24, opened); why_now_date &lt;- https://www.greenqueen.com.hk/mezcla-plant-based-protein-bar-vegan-funding/ (2026-10-24, opened); funding_stage &lt;- https://www.greenqueen.com.hk/mezcla-plant-based-protein-bar-vegan-funding/ (2026-10-24, opened); notes &lt;- https://www.linkedin.com/company/eat-mezcla (2026-10-24, snippet-unverified); </t>
  </si>
  <si>
    <t xml:space="preserve">https://theorg.com/org/mezcla/person/michelle-brintnall-chester</t>
  </si>
  <si>
    <t xml:space="preserve">2026-09-06</t>
  </si>
  <si>
    <t xml:space="preserve">AB-210</t>
  </si>
  <si>
    <t xml:space="preserve">Treat House</t>
  </si>
  <si>
    <t xml:space="preserve">Chris</t>
  </si>
  <si>
    <t xml:space="preserve">Russell</t>
  </si>
  <si>
    <t xml:space="preserve">Co-founder and co-owner</t>
  </si>
  <si>
    <t xml:space="preserve">New York City brand, store page shows Whole Foods Market NoMad inside the cluster, no dated why-now in the last 12 months, revenue unknown, contact named; founder review: other.</t>
  </si>
  <si>
    <t xml:space="preserve">https://treathouse.com/</t>
  </si>
  <si>
    <t xml:space="preserve">find Chris Russell at Treat House on LinkedIn and paste the profile URL; the source is dated 2015: check Chris still holds the role; before using the retailer line, check Whole Foods Market NoMad still lists it: https://www.wholefoodsmarket.com/search?text=Treat%20House with your store set to NoMad (catalogs change daily); founder review (other): read founder_review_reason first</t>
  </si>
  <si>
    <t xml:space="preserve">https://www.dnainfo.com/new-york/20150720/upper-east-side/gourmet-rice-krispies-treats-eatery-opens-on-ues-with-adults-mind/</t>
  </si>
  <si>
    <t xml:space="preserve">S'mores Rice Crispy Treat 3.2 oz single (WFM listing); Treat Bars and Classic Packs online</t>
  </si>
  <si>
    <t xml:space="preserve">Woodside, Queens (privacy policy: 3258 62nd Street, Woodside NY 11377)</t>
  </si>
  <si>
    <t xml:space="preserve">https://treathouse.com/collections/all</t>
  </si>
  <si>
    <t xml:space="preserve">Shelf life and storage not published; confirm 60+ days ambient before qualifying</t>
  </si>
  <si>
    <t xml:space="preserve">https://treathouse.com</t>
  </si>
  <si>
    <t xml:space="preserve">Brand product copy: bars are 'individually wrapped and will stay fresh for months'; deluxe donut boxes: 'individually wrapped for an extended 6 month shelf life' | brand product copy; founder to confirm 60+ days at delivery</t>
  </si>
  <si>
    <t xml:space="preserve">Whole Foods Market NoMad, 63 Madison Ave (store_selector, inside);Whole Foods Market Chelsea, 250 7th Ave (store_selector, 3.0 blocks out)</t>
  </si>
  <si>
    <t xml:space="preserve">Whole Foods Market (WFM catalog); wholesale and corporate gifting programs (brand site)</t>
  </si>
  <si>
    <t xml:space="preserve">https://www.wholefoodsmarket.com/api/search?text=treat%20house&amp;store=10773&amp;limit=60&amp;offset=0; https://www.wholefoodsmarket.com/api/search?text=treat%20house&amp;store=10131&amp;limit=60&amp;offset=0; https://www.wholefoodsmarket.com/api/search?text=treat%20house&amp;store=10713&amp;limit=60&amp;offset=0</t>
  </si>
  <si>
    <t xml:space="preserve">Chris Russell</t>
  </si>
  <si>
    <t xml:space="preserve">DNAinfo 2015: "the owners of Treat House, Chris and Jennifer Russell". Untapped Cities article (stage 1 source) names Chris, a chef, as the maker. Sources are 2015 to 2017.</t>
  </si>
  <si>
    <t xml:space="preserve">Jennifer Russell</t>
  </si>
  <si>
    <t xml:space="preserve">Jennifer</t>
  </si>
  <si>
    <t xml:space="preserve">Creators 2017: "Jennifer Russell is the co-founder and co-creator of Treat House".</t>
  </si>
  <si>
    <t xml:space="preserve">BR4:5</t>
  </si>
  <si>
    <t xml:space="preserve">Origin story: bake sale on the Upper West Side started by the founders' two kids (homepage). Has a Corporate Gifting page, so already sells to offices. Certified gluten-free logo on homepage. Not in WFM Union Square catalog on 2026-10-23.</t>
  </si>
  <si>
    <t xml:space="preserve">shelf_stable &lt;- https://treathouse.com/products.json?limit=250 (2026-10-24, opened); shelf_stable_basis &lt;- https://treathouse.com/products.json?limit=250 (2026-10-24, opened); founder_name &lt;- https://www.untappedcities.com/treat-house-rice-krispie-treat-store-opens-upper-west-side/ (2026-10-24, opened); founder_title &lt;- https://www.untappedcities.com/treat-house-rice-krispie-treat-store-opens-upper-west-side/ (2026-10-24, opened); founder_profile_url &lt;- https://www.untappedcities.com/treat-house-rice-krispie-treat-store-opens-upper-west-side/ (2026-10-24, opened); hq_city &lt;- https://treathouse.com/policies/privacy-policy (2026-10-24, opened); </t>
  </si>
  <si>
    <t xml:space="preserve">https://www.creators.com/read/this-womans-work/08/17/giving-back-with-love-and-chocolate-an-interview-with-jennifer-russell</t>
  </si>
  <si>
    <t xml:space="preserve">2015</t>
  </si>
  <si>
    <t xml:space="preserve">AB-266</t>
  </si>
  <si>
    <t xml:space="preserve">Gigantic (Candy Deluxe)</t>
  </si>
  <si>
    <t xml:space="preserve">Stu</t>
  </si>
  <si>
    <t xml:space="preserve">Davidoff</t>
  </si>
  <si>
    <t xml:space="preserve">New York State brand, brand locator shows Fairway Market inside the cluster, news 118 days ago, revenue unknown, contact named; founder review: other.</t>
  </si>
  <si>
    <t xml:space="preserve">Fairway Market, 766 6th Ave</t>
  </si>
  <si>
    <t xml:space="preserve">Exhibited Candy Deluxe at the 2026 Summer Fancy Food Show in the Startup CPG pavilion (NYC)</t>
  </si>
  <si>
    <t xml:space="preserve">https://startupcpg.com/startup-cpg-pavilion-at-summer-fancy-food-2026/</t>
  </si>
  <si>
    <t xml:space="preserve">2026-06-28</t>
  </si>
  <si>
    <t xml:space="preserve">https://events.specialtyfood.com/event/2026-summer-fancy-food-show/exhibitor/RXhoaWJpdG9yXzI0NDM1ODU=</t>
  </si>
  <si>
    <t xml:space="preserve">find Stu Davidoff at Gigantic (Candy Deluxe) on LinkedIn and paste the profile URL; the retailer line rests on the brand's own store locator: say 'your store locator lists ...'; founder review (other): read founder_review_reason first</t>
  </si>
  <si>
    <t xml:space="preserve">https://gritdaily.com/gigantic-candy-deluxe-smaller-deliberate-candy/</t>
  </si>
  <si>
    <t xml:space="preserve">Candy Deluxe Salted Peanut bar (dark chocolate, brown sugar caramel)</t>
  </si>
  <si>
    <t xml:space="preserve">https://giganticcandy.com</t>
  </si>
  <si>
    <t xml:space="preserve">Founder and HQ city not named on any page opened; pack size and per-bar price not confirmed (site sells $39 packs)</t>
  </si>
  <si>
    <t xml:space="preserve">Wrapped chocolate-caramel candy bar sold ambient online and in grocery; shelf life not stated on site</t>
  </si>
  <si>
    <t xml:space="preserve">No sourced sales figure found</t>
  </si>
  <si>
    <t xml:space="preserve">Fairway Market, 766 6th Ave (brand_claim, inside);Fairway Market, 550 2nd Ave (brand_claim, 7.0 blocks out);Casa Magazines, 22 8th Ave (brand_claim, 9.5 blocks out)</t>
  </si>
  <si>
    <t xml:space="preserve">Fairway Market; Gourmet Garage; Casa Magazines; Happier Grocery; The Goods Mart (brand Stockist locator)</t>
  </si>
  <si>
    <t xml:space="preserve">https://stockist.co/api/v1/u19294/locations/search?latitude=40.7411&amp;longitude=-73.9897&amp;distance=5 (widget tag on https://giganticcandy.com/pages/store-locator)</t>
  </si>
  <si>
    <t xml:space="preserve">Stu Davidoff</t>
  </si>
  <si>
    <t xml:space="preserve">Grit Daily: "Gigantic was founded by Stu Davidoff". The brand's Presshook page (https://www.presshook.com/brands/gigantic/) calls him a lifelong New Yorker; HQ is still unknown in the table.</t>
  </si>
  <si>
    <t xml:space="preserve">https://www.instagram.com/giganticcandy/</t>
  </si>
  <si>
    <t xml:space="preserve">BR5</t>
  </si>
  <si>
    <t xml:space="preserve">BR5:2</t>
  </si>
  <si>
    <t xml:space="preserve">Found via SFFS 2026 exhibitor directory (Gigantic LLC, State: New York) and the Startup CPG SFFS pavilion list. Fairway 766 6th Ave sits inside the cluster per the brand's own Stockist locator. Products.json shows four flavors published 2025-08-25. SFFS 2026 ran June 28 to 30, 2026 per https://startupcpg.com/startup-cpg-pavilion-at-summer-fancy-food-2026/ (opened 2026-10-24).</t>
  </si>
  <si>
    <t xml:space="preserve">AB-001</t>
  </si>
  <si>
    <t xml:space="preserve">BjornQorn</t>
  </si>
  <si>
    <t xml:space="preserve">Bjorn</t>
  </si>
  <si>
    <t xml:space="preserve">Quenemoen</t>
  </si>
  <si>
    <t xml:space="preserve">New York State brand, store page shows Whole Foods Market NoMad inside the cluster, a new store listing 316 days ago, revenue unknown, contact named.</t>
  </si>
  <si>
    <t xml:space="preserve">New flavor BjornQorn Ruby added to brand online store</t>
  </si>
  <si>
    <t xml:space="preserve">https://bjornqorn.com/products/bjornqorn-ruby</t>
  </si>
  <si>
    <t xml:space="preserve">2025-12-12</t>
  </si>
  <si>
    <t xml:space="preserve">https://bjornqorn.com/pages/about</t>
  </si>
  <si>
    <t xml:space="preserve">find Bjorn Quenemoen at BjornQorn on LinkedIn and paste the profile URL; before using the retailer line, check Whole Foods Market NoMad still lists it: https://www.wholefoodsmarket.com/search?text=BjornQorn with your store set to NoMad (catalogs change daily)</t>
  </si>
  <si>
    <t xml:space="preserve">BjornQorn Sun-Popped Corn, Classic, 1 oz bag (also 3 oz)</t>
  </si>
  <si>
    <t xml:space="preserve">Kerhonkson</t>
  </si>
  <si>
    <t xml:space="preserve">https://bjornqorn.com</t>
  </si>
  <si>
    <t xml:space="preserve">Sealed bagged popcorn sold ambient online (15 x 1 oz packs) and in WFM grocery aisle; brand states allergen-free facility</t>
  </si>
  <si>
    <t xml:space="preserve">Whole Foods Market; Eataly (Boston, NYC, LA per 2019 press); Vitacost; BKLYN Larder; Faire wholesale</t>
  </si>
  <si>
    <t xml:space="preserve">https://www.wholefoodsmarket.com/search?text=bjornqorn (store context Union Square 10162, NoMad 10773, Chelsea 10131 set via site store selector; IN_STOCK 2026-10-23; not listed for Austin Lamar store, negative control)</t>
  </si>
  <si>
    <t xml:space="preserve">Bjorn Quenemoen</t>
  </si>
  <si>
    <t xml:space="preserve">Modern Farmer via EcoWatch (2019): Bjorn Quenemoen and Jamie O'Shea, popcorn makers. | Stage 3 fix: Spot check round 6: the 2019 EcoWatch article calls the two 'popcorn makers'; the brand's own About page (opened 2026-10-24) presents 'BJORN &amp; JAMIE' as the people who started it. Better source.</t>
  </si>
  <si>
    <t xml:space="preserve">Jamie O'Shea</t>
  </si>
  <si>
    <t xml:space="preserve">Jamie</t>
  </si>
  <si>
    <t xml:space="preserve">O'Shea</t>
  </si>
  <si>
    <t xml:space="preserve">Stage 1 had him in the marketing slot; the page says co-founder only, so moved to backup. | Stage 3 fix: Spot check round 6: as above.</t>
  </si>
  <si>
    <t xml:space="preserve">BR1:2</t>
  </si>
  <si>
    <t xml:space="preserve">Hudson Valley solar-popped popcorn. 2019 press (Modern Farmer via EcoWatch) says popcorn is stocked in the staff pantries of Colbert and SNL, a strong office-pantry proof point. Office across from Kelder's Farm, Kerhonkson NY per same article. why_now date is the Shopify published_at date of the product (products.json), opened 2026-10-23. 1 oz bag seen only in Union Square context.</t>
  </si>
  <si>
    <t xml:space="preserve">AB-027</t>
  </si>
  <si>
    <t xml:space="preserve">Biena</t>
  </si>
  <si>
    <t xml:space="preserve">Poorvi</t>
  </si>
  <si>
    <t xml:space="preserve">Patodia</t>
  </si>
  <si>
    <t xml:space="preserve">Northeast brand, store page shows Whole Foods Market NoMad inside the cluster, a new store listing 5 days ago, revenue unknown, contact named plus a marketing lead; founder review: claim-borderline.</t>
  </si>
  <si>
    <t xml:space="preserve">Launched 1.05 oz single-serve edamame 9-packs (Himalayan Pink Salt, Chili Lime, Ranch) and Dill Pickle Edamame on brand store</t>
  </si>
  <si>
    <t xml:space="preserve">https://bienasnacks.com/products/edamame-chili-lime-1-05oz-9ct</t>
  </si>
  <si>
    <t xml:space="preserve">https://bienasnacks.com/pages/our-story</t>
  </si>
  <si>
    <t xml:space="preserve">find Poorvi Patodia at Biena on LinkedIn and paste the profile URL; before using the retailer line, check Whole Foods Market NoMad still lists it: https://www.wholefoodsmarket.com/search?text=Biena with your store set to NoMad (catalogs change daily); founder review (claim-borderline): read founder_review_reason first</t>
  </si>
  <si>
    <t xml:space="preserve">Biena Roasted Edamame, Chili Lime 1.05 oz (9-count); Roasted Chickpeas Sea Salt 5 oz</t>
  </si>
  <si>
    <t xml:space="preserve">Boston</t>
  </si>
  <si>
    <t xml:space="preserve">https://bienasnacks.com</t>
  </si>
  <si>
    <t xml:space="preserve">Positioned 'Packed with Protein + Fiber' (nutrient-content claims in site title and product names)</t>
  </si>
  <si>
    <t xml:space="preserve">MA</t>
  </si>
  <si>
    <t xml:space="preserve">northeast</t>
  </si>
  <si>
    <t xml:space="preserve">Dry-roasted chickpea and edamame snacks in sealed bags, ambient</t>
  </si>
  <si>
    <t xml:space="preserve">https://www.wholefoodsmarket.com/search?text=biena (store context Union Square 10162 and NoMad 10773: roasted chickpeas and edamame IN_STOCK 2026-10-23)</t>
  </si>
  <si>
    <t xml:space="preserve">Poorvi Patodia</t>
  </si>
  <si>
    <t xml:space="preserve">Our Story page.</t>
  </si>
  <si>
    <t xml:space="preserve">Samantha Sieloff</t>
  </si>
  <si>
    <t xml:space="preserve">Samantha</t>
  </si>
  <si>
    <t xml:space="preserve">Sieloff</t>
  </si>
  <si>
    <t xml:space="preserve">Director of Brand Marketing</t>
  </si>
  <si>
    <t xml:space="preserve">The Org (updated 2024-11-12): Director of Brand Marketing since 2023.</t>
  </si>
  <si>
    <t xml:space="preserve">BR1:28</t>
  </si>
  <si>
    <t xml:space="preserve">Legume snack (chickpea, edamame); category other-snack. HQ not stated on site or policy pages. why_now dates are Shopify published_at.</t>
  </si>
  <si>
    <t xml:space="preserve">hq_city &lt;- https://bienasnacks.com/policies/refund-policy (2026-10-24, opened); hq_state &lt;- https://bienasnacks.com/policies/refund-policy (2026-10-24, opened); </t>
  </si>
  <si>
    <t xml:space="preserve">https://theorg.com/org/biena-snacks/person/samantha-sieloff</t>
  </si>
  <si>
    <t xml:space="preserve">2024-11-12</t>
  </si>
  <si>
    <t xml:space="preserve">AB-207</t>
  </si>
  <si>
    <t xml:space="preserve">Stiller's Soda</t>
  </si>
  <si>
    <t xml:space="preserve">Alex</t>
  </si>
  <si>
    <t xml:space="preserve">Doman</t>
  </si>
  <si>
    <t xml:space="preserve">New York City brand, store page shows Whole Foods Market NoMad inside the cluster, news 208 days ago, revenue unknown, contact named; founder review: scale, claim-borderline.</t>
  </si>
  <si>
    <t xml:space="preserve">Launched fourth flavor Shirley Cola into Walmart and Whole Foods in the Northeast and Target nationwide</t>
  </si>
  <si>
    <t xml:space="preserve">https://www.bevindustry.com/articles/98256-stillers-soda-shirley-cola</t>
  </si>
  <si>
    <t xml:space="preserve">2026-03-30</t>
  </si>
  <si>
    <t xml:space="preserve">https://stillerssoda.com/</t>
  </si>
  <si>
    <t xml:space="preserve">find Alex Doman at Stiller's Soda on LinkedIn and paste the profile URL; before using the retailer line, check Whole Foods Market NoMad still lists it: https://www.wholefoodsmarket.com/search?text=Stiller%27s%20Soda with your store set to NoMad (catalogs change daily); founder review (scale, claim-borderline): read founder_review_reason first</t>
  </si>
  <si>
    <t xml:space="preserve">https://www.foodbusinessnews.net/articles/29686-the-goldilocks-of-soda</t>
  </si>
  <si>
    <t xml:space="preserve">Shirley Temple Soda 12 fl oz can (also Root Beer, Lemon Lime, Shirley Cola)</t>
  </si>
  <si>
    <t xml:space="preserve">Brooklyn (privacy policy: 184 Kent Avenue, B514, Brooklyn, NY 11249)</t>
  </si>
  <si>
    <t xml:space="preserve">https://stillerssoda.com</t>
  </si>
  <si>
    <t xml:space="preserve">Nutrient-content claims ('Only 30 Calories', 'low in calories'); celebrity co-founder (Ben Stiller) may mean a larger marketing budget than the target profile</t>
  </si>
  <si>
    <t xml:space="preserve">scale;claim-borderline</t>
  </si>
  <si>
    <t xml:space="preserve">Canned carbonated soft drink sold in ambient soda aisle (WFM lists 12 FZ cans); no shelf-life figure published, founder to confirm 60+ days</t>
  </si>
  <si>
    <t xml:space="preserve">Fairway Market Chelsea, 55 W 25th St (brand_claim, inside);Whole Foods Market NoMad, 63 Madison Ave (store_selector, inside);Whole Foods Market Union Square, 4 Union Sq S (store_selector, inside);Merci Market, 59 5th Ave (brand_claim, 1.0 blocks out);West Side Market, 170 W 23rd St (brand_claim, 2.0 blocks out);West Side Market, 180 3rd Ave (brand_claim, 2.0 blocks out);Whole Foods Market Chelsea, 250 7th Ave (store_selector, 3.0 blocks out);Citarella West Village, 424 6th Ave (brand_claim, 4.0 blocks out);Chelsea Fine Food, 300 8th Ave (brand_claim, 5.9 blocks out);Fairway Market Kips Bay, 580 2nd Ave (brand_claim, 7.0 blocks out)</t>
  </si>
  <si>
    <t xml:space="preserve">Whole Foods Market; Walmart; Target; Amazon; Katz's Deli (BevNET/QSR headlines, search results)</t>
  </si>
  <si>
    <t xml:space="preserve">https://www.wholefoodsmarket.com/api/search?text=stiller%27s%20soda&amp;store=10773&amp;limit=60&amp;offset=0; https://www.wholefoodsmarket.com/api/search?text=stiller%27s%20soda&amp;store=10162&amp;limit=60&amp;offset=0; https://www.wholefoodsmarket.com/api/search?text=stiller%27s%20soda&amp;store=10131&amp;limit=60&amp;offset=0; https://stockist.co/api/v1/map_63vzj673/locations/search?latitude=40.7411&amp;longitude=-73.9897&amp;distance=3&amp;distance_unit=mi</t>
  </si>
  <si>
    <t xml:space="preserve">Alex Doman</t>
  </si>
  <si>
    <t xml:space="preserve">Food Business News: co-launched in 2025 by Ben Stiller and Alex Doman. The Org (https://theorg.com/org/stillers-soda/person/alexander-doman, updated 2026-08-31) lists Alexander Doman, "President of Global Soda Affairs" and co-founder.</t>
  </si>
  <si>
    <t xml:space="preserve">https://www.instagram.com/stillerssoda</t>
  </si>
  <si>
    <t xml:space="preserve">BR4:2</t>
  </si>
  <si>
    <t xml:space="preserve">Homepage opened 2026-10-23: 'Find it at Whole Foods Market, Walmart, Target, and more'; Stockist store locator (tag map_63vzj673) queried 2026-10-23. WFM store-scoped catalog search lists Shirley Temple and Root Beer 12 FZ at all four cluster stores; catalog listing is not proof of shelf stock. Katz's Deli menu deal 2026 (BevNET headline, not opened). | Katz's Delicatessen added Stiller's as its first new soda in decades, about a year after the NYC launch, backed by a social campaign with Ben Stiller (QSR Magazine and BevNET 2026 headlines; pages blocked; unverified, founder to confirm). Snippets also call Alex Doman 'Co-Founder and CEO'. A strong NYC hook if confirmed; could replace the 2026-03-30 why-now once a dated source is opened.</t>
  </si>
  <si>
    <t xml:space="preserve">founder_title &lt;- https://www.foodbusinessnews.net/articles/29686-the-goldilocks-of-soda (2026-10-24, opened); founder_profile_url &lt;- https://www.foodbusinessnews.net/articles/29686-the-goldilocks-of-soda (2026-10-24, opened); hq_city &lt;- https://stillerssoda.com/policies/privacy-policy (2026-10-24, opened); notes &lt;- https://www.qsrmagazine.com/news/katzs-deli-adds-first-new-soda-in-decades/ (2026-10-24, snippet-unverified); </t>
  </si>
  <si>
    <t xml:space="preserve">Shop buttons route to Amazon</t>
  </si>
  <si>
    <t xml:space="preserve">AB-106</t>
  </si>
  <si>
    <t xml:space="preserve">Taza Chocolate</t>
  </si>
  <si>
    <t xml:space="preserve">Whitmore</t>
  </si>
  <si>
    <t xml:space="preserve">Northeast brand, store page shows Whole Foods Market NoMad inside the cluster, a new store listing 50 days ago, revenue unknown, contact named; founder review: shelf life not stated.</t>
  </si>
  <si>
    <t xml:space="preserve">Holiday 2026 bars and chocolate-covered fruit added to brand store, Aug to Sept 2026</t>
  </si>
  <si>
    <t xml:space="preserve">https://www.tazachocolate.com/</t>
  </si>
  <si>
    <t xml:space="preserve">2026-09-04</t>
  </si>
  <si>
    <t xml:space="preserve">https://www.tazachocolate.com/pages/about-taza</t>
  </si>
  <si>
    <t xml:space="preserve">find Alex Whitmore at Taza Chocolate on LinkedIn and paste the profile URL; before using the retailer line, check Whole Foods Market NoMad still lists it: https://www.wholefoodsmarket.com/search?text=Taza%20Chocolate with your store set to NoMad (catalogs change daily); founder review (shelf life or online store): read founder_review_reason first</t>
  </si>
  <si>
    <t xml:space="preserve">Organic Chocolate Coffee Disc 2.7 oz; Holiday Toffee, Almond &amp; Sea Salt Bar</t>
  </si>
  <si>
    <t xml:space="preserve">Somerville</t>
  </si>
  <si>
    <t xml:space="preserve">https://www.tazachocolate.com</t>
  </si>
  <si>
    <t xml:space="preserve">Wrapped stone-ground chocolate sold ambient at Whole Foods; shelf-life figure not found</t>
  </si>
  <si>
    <t xml:space="preserve">Whole Foods; factory store in Somerville</t>
  </si>
  <si>
    <t xml:space="preserve">https://www.wholefoodsmarket.com/api/search?text=taza%20chocolate&amp;store=10162&amp;limit=60&amp;offset=0; https://www.wholefoodsmarket.com/api/search?text=taza%20chocolate&amp;store=10773&amp;limit=60&amp;offset=0; https://www.wholefoodsmarket.com/api/search?text=taza%20chocolate&amp;store=10131&amp;limit=60&amp;offset=0</t>
  </si>
  <si>
    <t xml:space="preserve">Alex Whitmore</t>
  </si>
  <si>
    <t xml:space="preserve">About page: "Taza founder and CEO Alex Whitmore". Kara Goldin Show page agrees; it lists no LinkedIn URL.</t>
  </si>
  <si>
    <t xml:space="preserve">Stephanie Larason</t>
  </si>
  <si>
    <t xml:space="preserve">Stage-1 LinkedIn search snippet (one snapshot about 4.5 years old); not opened. Two searches on 2026-10-24 found no current marketing name (a 2018 COO and CMO appointment is stale).</t>
  </si>
  <si>
    <t xml:space="preserve">https://www.linkedin.com/in/slarason/</t>
  </si>
  <si>
    <t xml:space="preserve">https://www.instagram.com/tazachocolate/</t>
  </si>
  <si>
    <t xml:space="preserve">BR2:44</t>
  </si>
  <si>
    <t xml:space="preserve">Founded 2005, Direct Trade cacao. 'Spiked Eggnog' is a flavor name; confirm it has no alcohol before offering. Why-now from Shopify publish dates.</t>
  </si>
  <si>
    <t xml:space="preserve">founder_title &lt;- https://www.snackandbakery.com/articles/115175-taza-chocolate-ceo-talks-confectionery-issues (2026-10-24, opened); marketing_name &lt;- https://www.linkedin.com/in/slarason/ (2026-10-24, snippet-unverified); marketing_title &lt;- https://www.linkedin.com/in/slarason/ (2026-10-24, snippet-unverified); marketing_profile_url &lt;- https://www.linkedin.com/in/slarason/ (2026-10-24, snippet-unverified); </t>
  </si>
  <si>
    <t xml:space="preserve">AB-239</t>
  </si>
  <si>
    <t xml:space="preserve">Hella Cocktail Co.</t>
  </si>
  <si>
    <t xml:space="preserve">Tobin</t>
  </si>
  <si>
    <t xml:space="preserve">Ludwig</t>
  </si>
  <si>
    <t xml:space="preserve">Co-founder and COO</t>
  </si>
  <si>
    <t xml:space="preserve">New York City brand (HQ unverified), store page shows Whole Foods Market NoMad inside the cluster, no dated why-now in the last 12 months, revenue unknown, contact named plus a marketing lead; founder review: alcohol-adjacent.</t>
  </si>
  <si>
    <t xml:space="preserve">https://hellacocktail.co/</t>
  </si>
  <si>
    <t xml:space="preserve">find Tobin Ludwig at Hella Cocktail Co. on LinkedIn and paste the profile URL; before using the retailer line, check Whole Foods Market NoMad still lists it: https://www.wholefoodsmarket.com/search?text=Hella%20Cocktail%20Co. with your store set to NoMad (catalogs change daily); founder review (alcohol-adjacent): read founder_review_reason first</t>
  </si>
  <si>
    <t xml:space="preserve">https://hellacocktail.co/pages/meet-the-founders</t>
  </si>
  <si>
    <t xml:space="preserve">Dry Bitters &amp; Soda, 12 fl oz can (non-alcoholic sparkling aperitif)</t>
  </si>
  <si>
    <t xml:space="preserve">unknown (founders split: Jomaree Pinkard, co-founder and chairman, New York, NY; Eddie Simeón, CMO, Los Angeles, CA; Tobin Ludwig, COO, Ann Arbor, MI; BevNET 2023 headline calls it New York-based, page blocked, unverified, founder to confirm)</t>
  </si>
  <si>
    <t xml:space="preserve">https://hellacocktail.co</t>
  </si>
  <si>
    <t xml:space="preserve">Brand FAQ confirms Bitters &amp; Soda contains 'trace amounts of alcohol' from the bitters, 'below the legal limit of 0.5% ABV' (legally non-alcoholic). Company also sells alcohol-based bitters and cocktail mixers. Founder to decide whether trace alcohol breaks the no-alcohol rule; offices may veto.</t>
  </si>
  <si>
    <t xml:space="preserve">alcohol-adjacent</t>
  </si>
  <si>
    <t xml:space="preserve">nyc (unverified)</t>
  </si>
  <si>
    <t xml:space="preserve">Canned sparkling drink sold ambient; no shelf-life figure published, founder to confirm</t>
  </si>
  <si>
    <t xml:space="preserve">Whole Foods Market (WFM catalog); find-it page</t>
  </si>
  <si>
    <t xml:space="preserve">https://www.wholefoodsmarket.com/api/search?text=hella%20cocktail&amp;store=10773&amp;limit=60&amp;offset=0; https://www.wholefoodsmarket.com/api/search?text=hella%20cocktail&amp;store=10162&amp;limit=60&amp;offset=0; https://www.wholefoodsmarket.com/api/search?text=hella%20cocktail&amp;store=10131&amp;limit=60&amp;offset=0; https://www.wholefoodsmarket.com/api/search?text=hella%20cocktail&amp;store=10713&amp;limit=60&amp;offset=0</t>
  </si>
  <si>
    <t xml:space="preserve">Tobin Ludwig</t>
  </si>
  <si>
    <t xml:space="preserve">Meet the Founders page. Co-founder Jomaree Pinkard is now Chairman (backup row).</t>
  </si>
  <si>
    <t xml:space="preserve">Eddie Simeón</t>
  </si>
  <si>
    <t xml:space="preserve">Eddie</t>
  </si>
  <si>
    <t xml:space="preserve">Simeón</t>
  </si>
  <si>
    <t xml:space="preserve">Co-founder and CMO</t>
  </si>
  <si>
    <t xml:space="preserve">Meet the Founders page: "Eddie Simeón, Co-Founder &amp; CMO".</t>
  </si>
  <si>
    <t xml:space="preserve">https://www.instagram.com/hellacocktailco</t>
  </si>
  <si>
    <t xml:space="preserve">BR4:34</t>
  </si>
  <si>
    <t xml:space="preserve">Homepage: 'line of non-alcoholic, sparkling aperitifs'. Co-founder worked nearly a decade in NYC before co-founding Hella (Meet the Founders). WFM lists Bitters &amp; Soda at all four cluster stores (2026-10-23).</t>
  </si>
  <si>
    <t xml:space="preserve">marketing_name &lt;- https://hellacocktail.co/pages/meet-the-founders (2026-10-24, opened); marketing_title &lt;- https://hellacocktail.co/pages/meet-the-founders (2026-10-24, opened); marketing_profile_url &lt;- https://hellacocktail.co/pages/meet-the-founders (2026-10-24, opened); hq_city &lt;- https://hellacocktail.co/pages/meet-the-founders (2026-10-24, opened); founder_review_reason &lt;- https://hellacocktail.co/pages/frequently-asked-questions (2026-10-24, opened); </t>
  </si>
  <si>
    <t xml:space="preserve">AB-270</t>
  </si>
  <si>
    <t xml:space="preserve">Figa Foods</t>
  </si>
  <si>
    <t xml:space="preserve">Altman</t>
  </si>
  <si>
    <t xml:space="preserve">https://www.linkedin.com/in/ariel-altman-396b922b/</t>
  </si>
  <si>
    <t xml:space="preserve">New York City brand, no graded store within ten blocks, online store only, news 144 days ago, revenue unknown, contact named.</t>
  </si>
  <si>
    <t xml:space="preserve">none found within ten blocks</t>
  </si>
  <si>
    <t xml:space="preserve">Won the Audience Choice Award at Naturally New York's 2026 Naturally Rising pitch (May 28, 2026); launched Minis and Passion Fruit at SFFS 2026</t>
  </si>
  <si>
    <t xml:space="preserve">https://www.snackandbakery.com/articles/115817-naturally-new-york-announces-pitch-competition-winner</t>
  </si>
  <si>
    <t xml:space="preserve">https://events.specialtyfood.com/event/2026-summer-fancy-food-show/exhibitor/RXhoaWJpdG9yXzI0Mzk0MjM=</t>
  </si>
  <si>
    <t xml:space="preserve">https://startupcpg.com/founder-feature-ariel-altman-and-ronny-berger-of-figa-foods/</t>
  </si>
  <si>
    <t xml:space="preserve">Figa Minis 6-pack snack pouch (63% cupuaçu bar); Passion Fruit 60 g bar</t>
  </si>
  <si>
    <t xml:space="preserve">New York City</t>
  </si>
  <si>
    <t xml:space="preserve">https://figafoods.com</t>
  </si>
  <si>
    <t xml:space="preserve">Cupuaçu 'chocolate-style' bars sold ambient online and in groceries; shelf life not stated</t>
  </si>
  <si>
    <t xml:space="preserve">Chelsea Market Baskets (unverified, 11.5 blocks out)</t>
  </si>
  <si>
    <t xml:space="preserve">Chelsea Market Baskets; Fonty's; East Village Organics; TAP; Zabar's; Upstate Stock; others (brand Stockist locator)</t>
  </si>
  <si>
    <t xml:space="preserve">https://stockist.co/api/v1/map_9q962p43/locations/search?latitude=40.7411&amp;longitude=-73.9897&amp;distance=5 (widget on https://figafoods.com/pages/store-locator)</t>
  </si>
  <si>
    <t xml:space="preserve">Ariel Altman</t>
  </si>
  <si>
    <t xml:space="preserve">Startup CPG founder feature. LinkedIn URL from the episode links of the matching Startup CPG podcast episode (2025-08-01, public feed); LinkedIn not opened.</t>
  </si>
  <si>
    <t xml:space="preserve">Ronny Berger</t>
  </si>
  <si>
    <t xml:space="preserve">Ronny</t>
  </si>
  <si>
    <t xml:space="preserve">Berger</t>
  </si>
  <si>
    <t xml:space="preserve">Same feature and episode links.</t>
  </si>
  <si>
    <t xml:space="preserve">https://www.linkedin.com/in/ronnyberger/</t>
  </si>
  <si>
    <t xml:space="preserve">http://instagram.com/figafoods</t>
  </si>
  <si>
    <t xml:space="preserve">BR5:6</t>
  </si>
  <si>
    <t xml:space="preserve">Footer: 'OldMtnMan LLC, a New York limited liability company'. Minis published 2026-05-17 (products.json). Caffeine-free and vegan per meta description. Chelsea Market sits at 15th St and 9th Ave, about three avenues west of the cluster edge.</t>
  </si>
  <si>
    <t xml:space="preserve">AB-032</t>
  </si>
  <si>
    <t xml:space="preserve">Firehook</t>
  </si>
  <si>
    <t xml:space="preserve">Mottolese</t>
  </si>
  <si>
    <t xml:space="preserve">CEO</t>
  </si>
  <si>
    <t xml:space="preserve">Brand based outside the Northeast, store page shows Whole Foods Market NoMad inside the cluster, news 106 days ago, revenue unknown, contact named plus a marketing lead; founder review: other.</t>
  </si>
  <si>
    <t xml:space="preserve">Launched limited-time Firehook x Grillo's Dill Pickle Crackers (follows Avocado Oil, Sea Salt &amp; Chive cracker in April 2026 and an Ithaca Hummus LTO in March 2026)</t>
  </si>
  <si>
    <t xml:space="preserve">https://www.snackandbakery.com/articles/116020-firehook-crackers-grillos-strive-for-pickle-perfection</t>
  </si>
  <si>
    <t xml:space="preserve">2026-07-10</t>
  </si>
  <si>
    <t xml:space="preserve">https://www.wholefoodsmarket.com/search?text=firehook</t>
  </si>
  <si>
    <t xml:space="preserve">find Maura Mottolese at Firehook on LinkedIn and paste the profile URL; before using the retailer line, check Whole Foods Market NoMad still lists it: https://www.wholefoodsmarket.com/search?text=Firehook with your store set to NoMad (catalogs change daily); founder review (other): read founder_review_reason first</t>
  </si>
  <si>
    <t xml:space="preserve">CEO or owner (not shown as a founder)</t>
  </si>
  <si>
    <t xml:space="preserve">Firehook Sea Salt Mediterranean Crackers, 5.5 oz</t>
  </si>
  <si>
    <t xml:space="preserve">Chantilly</t>
  </si>
  <si>
    <t xml:space="preserve">Brand site unreachable through proxy on 2026-10-23, so HQ, owner and online store are unconfirmed; no online store: buy path is the store only</t>
  </si>
  <si>
    <t xml:space="preserve">https://firehook.com</t>
  </si>
  <si>
    <t xml:space="preserve">VA</t>
  </si>
  <si>
    <t xml:space="preserve">elsewhere</t>
  </si>
  <si>
    <t xml:space="preserve">Brand FAQ: 'Our signature line of crackers has a six-month shelf life.'</t>
  </si>
  <si>
    <t xml:space="preserve">https://www.wholefoodsmarket.com/search?text=firehook (7 items IN_STOCK in each of Union Square, NoMad, Chelsea contexts, 2026-10-23)</t>
  </si>
  <si>
    <t xml:space="preserve">Maura Mottolese</t>
  </si>
  <si>
    <t xml:space="preserve">Snack and Bakery 2026: "Maura Mottolese, CEO of Firehook Crackers". Not a founder (Firehook is an older bakery now private-equity owned); CEO is the budget owner.</t>
  </si>
  <si>
    <t xml:space="preserve">Ellen Howse</t>
  </si>
  <si>
    <t xml:space="preserve">Howse</t>
  </si>
  <si>
    <t xml:space="preserve">Chief Marketing Officer</t>
  </si>
  <si>
    <t xml:space="preserve">FoodNavigator 2025-05-13: "Ellen Howse, CMO at Firehook". The Org agrees (updated 2024-10-31).</t>
  </si>
  <si>
    <t xml:space="preserve">BR1:33</t>
  </si>
  <si>
    <t xml:space="preserve">Strong NYC shelf presence; everything else needs a second pass when the site is reachable.</t>
  </si>
  <si>
    <t xml:space="preserve">website &lt;- https://firehook.com/ (2026-10-24, opened); hq_city &lt;- https://firehook.com/pages/faq (2026-10-24, opened); hq_state &lt;- https://firehook.com/pages/faq (2026-10-24, opened); shelf_stable_basis &lt;- https://firehook.com/pages/faq (2026-10-24, opened); why_now &lt;- https://www.snackandbakery.com/articles/116020-firehook-crackers-grillos-strive-for-pickle-perfection (2026-10-24, opened); why_now_url &lt;- https://www.snackandbakery.com/articles/116020-firehook-crackers-grillos-strive-for-pickle-perfection (2026-10-24, opened); why_now_date &lt;- https://www.snackandbakery.com/articles/116020-firehook-crackers-grillos-strive-for-pickle-perfection (2026-10-24, opened); founder_name &lt;- https://www.snackandbakery.com/articles/116020-firehook-crackers-grillos-strive-for-pickle-perfection (2026-10-24, opened); founder_title &lt;- https://www.snackandbakery.com/articles/116020-firehook-crackers-grillos-strive-for-pickle-perfection (2026-10-24, opened); founder_profile_url &lt;- https://www.snackandbakery.com/articles/116020-firehook-crackers-grillos-strive-for-pickle-perfection (2026-10-24, opened); </t>
  </si>
  <si>
    <t xml:space="preserve">https://www.foodnavigator.com/Article/2025/05/13/natural-cracker-brand-collaborates-with-standout-cross-category-companies/</t>
  </si>
  <si>
    <t xml:space="preserve">2026</t>
  </si>
  <si>
    <t xml:space="preserve">AB-048</t>
  </si>
  <si>
    <t xml:space="preserve">FitJoy Foods</t>
  </si>
  <si>
    <t xml:space="preserve">Norman</t>
  </si>
  <si>
    <t xml:space="preserve">Taliaferro</t>
  </si>
  <si>
    <t xml:space="preserve">CEO and Founding Partner</t>
  </si>
  <si>
    <t xml:space="preserve">Brand based outside the Northeast, store page shows Whole Foods Market Union Square inside the cluster, a new store listing 176 days ago, revenue unknown, contact named plus a marketing lead.</t>
  </si>
  <si>
    <t xml:space="preserve">Launched Classic Cracker Squares and Chocolate Peanut Butter Filled Pretzel Nuggets on brand store</t>
  </si>
  <si>
    <t xml:space="preserve">https://fitjoyfoods.com/products/classic-club-crackers</t>
  </si>
  <si>
    <t xml:space="preserve">https://fitjoyfoods.com/pages/our-people</t>
  </si>
  <si>
    <t xml:space="preserve">find Norman Taliaferro at FitJoy Foods on LinkedIn and paste the profile URL; before using the retailer line, check Whole Foods Market Union Square still lists it: https://www.wholefoodsmarket.com/search?text=FitJoy%20Foods with your store set to Union Square (catalogs change daily)</t>
  </si>
  <si>
    <t xml:space="preserve">FitJoy Pretzel Twists Single-Serve Variety Pack; Grain-Free Salt Pretzel Twists 5 oz</t>
  </si>
  <si>
    <t xml:space="preserve">Austin</t>
  </si>
  <si>
    <t xml:space="preserve">https://fitjoyfoods.com</t>
  </si>
  <si>
    <t xml:space="preserve">TX</t>
  </si>
  <si>
    <t xml:space="preserve">Grain-free pretzels and crackers in sealed bags, ambient</t>
  </si>
  <si>
    <t xml:space="preserve">Whole Foods Market; Target; Amazon (customer quotes on homepage)</t>
  </si>
  <si>
    <t xml:space="preserve">https://www.wholefoodsmarket.com/search?text=pretzels (Union Square context: FitJoy Grain Free Salt Pretzel Twists 5 oz, Tangy Dijon Mustard 4.5 oz, PB Filled Nuggets IN_STOCK, category search 2026-10-23)</t>
  </si>
  <si>
    <t xml:space="preserve">Norman Taliaferro</t>
  </si>
  <si>
    <t xml:space="preserve">Brand Our People page. The Org (fitjoy) agrees and also lists Doss Cunningham as Co-Founder and Chairman.</t>
  </si>
  <si>
    <t xml:space="preserve">Micah Mills</t>
  </si>
  <si>
    <t xml:space="preserve">Micah</t>
  </si>
  <si>
    <t xml:space="preserve">Mills</t>
  </si>
  <si>
    <t xml:space="preserve">Director of Marketing</t>
  </si>
  <si>
    <t xml:space="preserve">Brand Our People page; The Org (updated 2024-11-17) agrees, Director of Marketing since 2023.</t>
  </si>
  <si>
    <t xml:space="preserve">BR1:49</t>
  </si>
  <si>
    <t xml:space="preserve">Team page also lists Angela Leonardo, VP Sales. Single-serve variety pack exists (published 2025-06). HQ not stated on pages opened.</t>
  </si>
  <si>
    <t xml:space="preserve">hq_city &lt;- https://theorg.com/org/fitjoy (2026-10-24, opened); hq_state &lt;- https://theorg.com/org/fitjoy (2026-10-24, opened); </t>
  </si>
  <si>
    <t xml:space="preserve">2024-11-17</t>
  </si>
  <si>
    <t xml:space="preserve">AB-004</t>
  </si>
  <si>
    <t xml:space="preserve">Daily Crunch</t>
  </si>
  <si>
    <t xml:space="preserve">Laurel</t>
  </si>
  <si>
    <t xml:space="preserve">Orley</t>
  </si>
  <si>
    <t xml:space="preserve">https://www.linkedin.com/in/laurel-orley/</t>
  </si>
  <si>
    <t xml:space="preserve">Brand based outside the Northeast, store page shows Whole Foods Market NoMad inside the cluster, news 5 days ago, revenue unknown, contact named; founder review: claim-borderline.</t>
  </si>
  <si>
    <t xml:space="preserve">"Ditch the Chip" savory lineup (Sea Salt + Vinegar, BBQ and more) launching at Whole Foods Market nationwide, Sprouts nationwide and Meijer</t>
  </si>
  <si>
    <t xml:space="preserve">https://www.snackandbakery.com/articles/116489-daily-crunch-invites-consumers-to-ditch-the-chip</t>
  </si>
  <si>
    <t xml:space="preserve">https://dailycrunchsnacks.com</t>
  </si>
  <si>
    <t xml:space="preserve">before using the retailer line, check Whole Foods Market NoMad still lists it: https://www.wholefoodsmarket.com/search?text=Daily%20Crunch with your store set to NoMad (catalogs change daily); founder review (claim-borderline): read founder_review_reason first</t>
  </si>
  <si>
    <t xml:space="preserve">https://theorg.com/org/daily-crunch/person/laurel-orley</t>
  </si>
  <si>
    <t xml:space="preserve">Daily Crunch Sprouted Almonds &amp; Pepitas, Dill Pickle, 4 oz; Snack Packs</t>
  </si>
  <si>
    <t xml:space="preserve">nuts-seeds-trail</t>
  </si>
  <si>
    <t xml:space="preserve">Nashville</t>
  </si>
  <si>
    <t xml:space="preserve">Homepage leads with nutrient-content claim '5g of Protein per serving'</t>
  </si>
  <si>
    <t xml:space="preserve">TN</t>
  </si>
  <si>
    <t xml:space="preserve">Bagged sprouted, dehydrated nuts sold ambient; snack packs on brand store</t>
  </si>
  <si>
    <t xml:space="preserve">https://www.wholefoodsmarket.com/search?text=daily%20crunch (store context Union Square 10162 and NoMad 10773; IN_STOCK 2026-10-23)</t>
  </si>
  <si>
    <t xml:space="preserve">https://startupcpg.com/startup-cpg-newswire-daily-crunch/</t>
  </si>
  <si>
    <t xml:space="preserve">Laurel Orley</t>
  </si>
  <si>
    <t xml:space="preserve">The Org (updated 2026-09-13): Co-Founder and CEO since 2018. LinkedIn URL from Startup CPG podcast #213 episode links (2025-09-09, public feed); LinkedIn not opened.</t>
  </si>
  <si>
    <t xml:space="preserve">Diane</t>
  </si>
  <si>
    <t xml:space="preserve">About page: "Diane, Laurel's aunt &amp; co-founder". Surname not given.</t>
  </si>
  <si>
    <t xml:space="preserve">BR1:5</t>
  </si>
  <si>
    <t xml:space="preserve">Nov 2025 trade press: expanding into 2,000 Albertsons stores and over 10,000 doors nationwide; won the 3rd Albertsons Innovation Launchpad ($198,000 prize). Scale signal for the $10M ceiling check.</t>
  </si>
  <si>
    <t xml:space="preserve">hq_city &lt;- https://startupcpg.com/startup-cpg-newswire-daily-crunch/ (2026-10-24, opened); founder_title &lt;- https://startupcpg.com/startup-cpg-newswire-daily-crunch/ (2026-10-24, opened); founder_profile_url &lt;- https://startupcpg.com/startup-cpg-newswire-daily-crunch/ (2026-10-24, opened); startup_cpg_member &lt;- https://startupcpg.com/startup-cpg-newswire-daily-crunch/ (2026-10-24, opened); startup_cpg_evidence_url &lt;- https://startupcpg.com/startup-cpg-newswire-daily-crunch/ (2026-10-24, opened); notes &lt;- https://www.snackandbakery.com/articles/114683-daily-crunch-lands-on-albertsons-shelves (2026-10-24, opened); </t>
  </si>
  <si>
    <t xml:space="preserve">https://dailycrunchsnacks.com/pages/about-us</t>
  </si>
  <si>
    <t xml:space="preserve">2026-09-13</t>
  </si>
  <si>
    <t xml:space="preserve">AB-072</t>
  </si>
  <si>
    <t xml:space="preserve">Blue Stripes</t>
  </si>
  <si>
    <t xml:space="preserve">Oded</t>
  </si>
  <si>
    <t xml:space="preserve">Brenner</t>
  </si>
  <si>
    <t xml:space="preserve">New York City brand, store page shows Whole Foods Market NoMad inside the cluster, news 288 days ago, revenue unknown, contact named; founder review: scale, claim-borderline.</t>
  </si>
  <si>
    <t xml:space="preserve">Superfruit Gummies launched at select Costco Southeast warehouses for a limited time, with the Northwest region to follow in February 2026</t>
  </si>
  <si>
    <t xml:space="preserve">https://www.snackandbakery.com/articles/114975-blue-stripes-superfruit-gummies-expand-to-costco</t>
  </si>
  <si>
    <t xml:space="preserve">https://www.bluestripes.com/pages/about-us</t>
  </si>
  <si>
    <t xml:space="preserve">find Oded Brenner at Blue Stripes on LinkedIn and paste the profile URL; before using the retailer line, check Whole Foods Market NoMad still lists it: https://www.wholefoodsmarket.com/search?text=Blue%20Stripes with your store set to NoMad (catalogs change daily); founder review (scale, claim-borderline): read founder_review_reason first</t>
  </si>
  <si>
    <t xml:space="preserve">Whole Cacao Truffle Bar (Peanut Butter Crunch); Pure Dark Chocolate Bar 2.1 oz; Chocolate Covered Whole Cacao Beans 3.5 oz</t>
  </si>
  <si>
    <t xml:space="preserve">https://www.bluestripes.com</t>
  </si>
  <si>
    <t xml:space="preserve">'Superfood'/'nutritional benefits of cacao' positioning; Series B and Hershey backing may put it above the size band; check labels for claims; 60-day shelf life not stated</t>
  </si>
  <si>
    <t xml:space="preserve">Series B ($20M, led by Zintinus, Oct 2024; Hershey's among backers)</t>
  </si>
  <si>
    <t xml:space="preserve">https://www.greenqueen.com.hk/blue-stripes-cacao-20m-hersheys-nick-digiovanni-chocolate-climate-change/</t>
  </si>
  <si>
    <t xml:space="preserve">Packaged chocolate bars and cacao snacks sold ambient at Whole Foods; shelf-life figure not published</t>
  </si>
  <si>
    <t xml:space="preserve">Whole Foods; Brooklyn Fare and Westside Market (search snippet, unverified)</t>
  </si>
  <si>
    <t xml:space="preserve">https://www.wholefoodsmarket.com/api/search?text=blue%20stripes&amp;store=10162&amp;limit=60&amp;offset=0; https://www.wholefoodsmarket.com/api/search?text=blue%20stripes&amp;store=10773&amp;limit=60&amp;offset=0; https://www.wholefoodsmarket.com/api/search?text=blue%20stripes&amp;store=10131&amp;limit=60&amp;offset=0</t>
  </si>
  <si>
    <t xml:space="preserve">Oded Brenner</t>
  </si>
  <si>
    <t xml:space="preserve">About page: the founder, Oded Brenner. The Org lists him as Chief Executive Officer.</t>
  </si>
  <si>
    <t xml:space="preserve">Aviv Schwietzer</t>
  </si>
  <si>
    <t xml:space="preserve">Aviv</t>
  </si>
  <si>
    <t xml:space="preserve">Schwietzer</t>
  </si>
  <si>
    <t xml:space="preserve">The Org (updated 2024-11-04): Co-founder &amp; Chief Operating Officer since 2019.</t>
  </si>
  <si>
    <t xml:space="preserve">https://www.instagram.com/bluestripescacao/</t>
  </si>
  <si>
    <t xml:space="preserve">BR2:9</t>
  </si>
  <si>
    <t xml:space="preserve">Terms of service list Blue Stripes LLC at a Cedar Falls IA address. HQ left as New York; founder to confirm which is the operating office.</t>
  </si>
  <si>
    <t xml:space="preserve">notes &lt;- https://www.bluestripes.com/policies/terms-of-service (2026-10-24, opened); why_now &lt;- https://www.snackandbakery.com/articles/114975-blue-stripes-superfruit-gummies-expand-to-costco (2026-10-24, opened); why_now_url &lt;- https://www.snackandbakery.com/articles/114975-blue-stripes-superfruit-gummies-expand-to-costco (2026-10-24, opened); why_now_date &lt;- https://www.snackandbakery.com/articles/114975-blue-stripes-superfruit-gummies-expand-to-costco (2026-10-24, opened); founder_title &lt;- https://www.snackandbakery.com/articles/115151-blue-stripes-morphs-cacao-waste-into-a-superfood-snack (2026-10-24, opened); </t>
  </si>
  <si>
    <t xml:space="preserve">https://theorg.com/org/blue-stripes/person/aviv-schwietzer</t>
  </si>
  <si>
    <t xml:space="preserve">AB-096</t>
  </si>
  <si>
    <t xml:space="preserve">Magic Spoon</t>
  </si>
  <si>
    <t xml:space="preserve">Gabi</t>
  </si>
  <si>
    <t xml:space="preserve">Lewis</t>
  </si>
  <si>
    <t xml:space="preserve">https://www.linkedin.com/in/gabi-lewis-88483447/</t>
  </si>
  <si>
    <t xml:space="preserve">New York City brand, store page shows Whole Foods Market NoMad inside the cluster, a new store listing 59 days ago, revenue unknown, contact named; founder review: scale, claim-borderline.</t>
  </si>
  <si>
    <t xml:space="preserve">New Cereal Treats flavors (Cookies &amp; Cream, Chocolate Chip Cookie Dough) and limited-edition cereals launched Aug to Sept 2026</t>
  </si>
  <si>
    <t xml:space="preserve">https://magicspoon.com/</t>
  </si>
  <si>
    <t xml:space="preserve">https://magicspoon.com/pages/our-story</t>
  </si>
  <si>
    <t xml:space="preserve">before using the retailer line, check Whole Foods Market NoMad still lists it: https://www.wholefoodsmarket.com/search?text=Magic%20Spoon with your store set to NoMad (catalogs change daily); founder review (scale, claim-borderline): read founder_review_reason first</t>
  </si>
  <si>
    <t xml:space="preserve">https://theorg.com/org/magic-spoon/person/gabi-lewis</t>
  </si>
  <si>
    <t xml:space="preserve">Magic Spoon Cereal Treats (Cookies &amp; Cream, Chocolate Chip Cookie Dough), 4-count boxes</t>
  </si>
  <si>
    <t xml:space="preserve">https://magicspoon.com</t>
  </si>
  <si>
    <t xml:space="preserve">High-protein, keto-friendly nutrient positioning; national DTC brand likely above size band; only cereal (not Treats) found at cluster WFM | Health-claim scan 2026-10-24: the homepage says 'High Fiber Gut-friendly with 6g fiber per pastry'. 'Gut-friendly' implies an effect on the body without stating one: founder to decide; the tent card must not repeat it; 60-day shelf life not stated</t>
  </si>
  <si>
    <t xml:space="preserve">Shelf-stable cereal and wrapped protein treats sold ambient online and in grocery; shelf-life figure not found</t>
  </si>
  <si>
    <t xml:space="preserve">Whole Foods (cereal)</t>
  </si>
  <si>
    <t xml:space="preserve">https://www.wholefoodsmarket.com/api/search?text=magic%20spoon&amp;store=10162&amp;limit=60&amp;offset=0; https://www.wholefoodsmarket.com/api/search?text=magic%20spoon&amp;store=10773&amp;limit=60&amp;offset=0; https://www.wholefoodsmarket.com/api/search?text=magic%20spoon&amp;store=10131&amp;limit=60&amp;offset=0</t>
  </si>
  <si>
    <t xml:space="preserve">Gabi Lewis</t>
  </si>
  <si>
    <t xml:space="preserve">The Org (updated 2026-08-12): Co-Founder (formerly co-CEO). Brand Our Story page: "we're Greg and Gabi, co-founders". LinkedIn URL linked from https://karagoldin.com/podcasts/gabi-lewis/; LinkedIn not opened. Co-founder Greg Sewitz also on The Org.</t>
  </si>
  <si>
    <t xml:space="preserve">Sarah Barnes</t>
  </si>
  <si>
    <t xml:space="preserve">Stage-1 LinkedIn search result title "Chief Marketing Officer at Magic Spoon"; not opened. A 2026-10-24 search found no press naming a CMO and a Senior Director of Brand Marketing role advertised.</t>
  </si>
  <si>
    <t xml:space="preserve">https://www.linkedin.com/in/sarah-barnes-30a301b/</t>
  </si>
  <si>
    <t xml:space="preserve">https://www.instagram.com/magicspooncereal/</t>
  </si>
  <si>
    <t xml:space="preserve">BR2:34</t>
  </si>
  <si>
    <t xml:space="preserve">HQ not stated on pages opened. Why-now dates from Shopify publish dates. Spot check 2026-10-23: Treats product description empty, so individual wrapping is not confirmed (downgraded from Y to unknown); WFM NoMad lists only Cocoa and Cinnamon Crunch cereal.</t>
  </si>
  <si>
    <t xml:space="preserve">hq_city &lt;- https://magicspoon.com/policies/terms-of-service (2026-10-24, opened); hq_state &lt;- https://magicspoon.com/policies/terms-of-service (2026-10-24, opened); founder_name &lt;- https://www.snackandbakery.com/articles/115434-magic-spoon-works-to-make-bfy-breakfasts-snacks-fun (2026-10-24, opened); founder_profile_url &lt;- https://www.snackandbakery.com/articles/115434-magic-spoon-works-to-make-bfy-breakfasts-snacks-fun (2026-10-24, opened); marketing_name &lt;- https://www.linkedin.com/in/sarah-barnes-30a301b/ (2026-10-24, snippet-unverified); marketing_title &lt;- https://www.linkedin.com/in/sarah-barnes-30a301b/ (2026-10-24, snippet-unverified); marketing_profile_url &lt;- https://www.linkedin.com/in/sarah-barnes-30a301b/ (2026-10-24, snippet-unverified); founder_title &lt;- https://www.linkedin.com/in/gabi-lewis-88483447/ (2026-10-24, snippet-unverified); founder_review_reason &lt;- https://magicspoon.com (2026-10-24, stage 3 correction); hq_city &lt;- https://theorg.com/org/magic-spoon (2026-10-24, stage 3 correction); </t>
  </si>
  <si>
    <t xml:space="preserve">AB-058</t>
  </si>
  <si>
    <t xml:space="preserve">Jack &amp; Friends</t>
  </si>
  <si>
    <t xml:space="preserve">Kwong</t>
  </si>
  <si>
    <t xml:space="preserve">New York City brand, store page shows Whole Foods Market NoMad inside the cluster, no dated why-now in the last 12 months, revenue unknown, contact named; founder review: claim-borderline.</t>
  </si>
  <si>
    <t xml:space="preserve">https://www.wholefoodsmarket.com/search?text=jack%20%26%20friends%20jackfruit</t>
  </si>
  <si>
    <t xml:space="preserve">find Jessica Kwong at Jack &amp; Friends on LinkedIn and paste the profile URL; before using the retailer line, check Whole Foods Market NoMad still lists it: https://www.wholefoodsmarket.com/search?text=Jack%20%26%20Friends with your store set to NoMad (catalogs change daily); founder review (claim-borderline): read founder_review_reason first</t>
  </si>
  <si>
    <t xml:space="preserve">https://jackandfriendsjerky.com/pages/about</t>
  </si>
  <si>
    <t xml:space="preserve">Jack &amp; Friends Jackfruit Jerky, Sweet BBQ, 2.2 oz (plant-based)</t>
  </si>
  <si>
    <t xml:space="preserve">meat-snacks</t>
  </si>
  <si>
    <t xml:space="preserve">Plant-based jerky (category meat-snacks is a stretch); WFM title leads with protein and fiber grams; brand site not found; no online store: buy path is the store only</t>
  </si>
  <si>
    <t xml:space="preserve">https://jackandfriendsjerky.com</t>
  </si>
  <si>
    <t xml:space="preserve">Packaged plant-based jerky sold in WFM grocery aisle</t>
  </si>
  <si>
    <t xml:space="preserve">https://www.wholefoodsmarket.com/search?text=jack%20%26%20friends%20jackfruit (Union Square and NoMad contexts: three jackfruit jerky flavors IN_STOCK 2026-10-23)</t>
  </si>
  <si>
    <t xml:space="preserve">Jessica Kwong</t>
  </si>
  <si>
    <t xml:space="preserve">About page: "our founder, Jessica Kwong". The Org (updated 2026-06-12): Founder &amp; CEO since 2018.</t>
  </si>
  <si>
    <t xml:space="preserve">BR1:59</t>
  </si>
  <si>
    <t xml:space="preserve">Search snippets (not opened): Sept 2024 roundup says the jerky reached its first Whole Foods, the Daily Shop on the Upper East Side (Lenox Hill), with a rollout to Whole Foods Northeast the next month. Older than 12 months, so not a why_now; worth a WFM store_selector check near the cluster.</t>
  </si>
  <si>
    <t xml:space="preserve">website &lt;- https://jackandfriendsjerky.com/ (2026-10-24, opened); hq_city &lt;- https://jackandfriendsjerky.com/pages/about (2026-10-24, opened); hq_state &lt;- https://jackandfriendsjerky.com/pages/about (2026-10-24, opened); founder_name &lt;- https://jackandfriendsjerky.com/pages/about (2026-10-24, opened); founder_title &lt;- https://jackandfriendsjerky.com/pages/about (2026-10-24, opened); founder_profile_url &lt;- https://jackandfriendsjerky.com/pages/about (2026-10-24, opened); founder_title &lt;- https://thechangeup.buzzsprout.com/1789177/episodes/15493185-jessica-kwong-founder-and-ceo-at-jack-friends (2026-10-24, opened); notes &lt;- https://www.foodbevy.com/?p=32732 (2026-10-24, snippet-unverified); </t>
  </si>
  <si>
    <t xml:space="preserve">2026-06-12</t>
  </si>
  <si>
    <t xml:space="preserve">AB-047</t>
  </si>
  <si>
    <t xml:space="preserve">Go Raw</t>
  </si>
  <si>
    <t xml:space="preserve">Robert</t>
  </si>
  <si>
    <t xml:space="preserve">Freeland</t>
  </si>
  <si>
    <t xml:space="preserve">Owner, Founder and CEO</t>
  </si>
  <si>
    <t xml:space="preserve">Brand based outside the Northeast, store page shows Whole Foods Market NoMad inside the cluster, news 171 days ago, revenue unknown, contact named plus a marketing lead; founder review: claim-borderline.</t>
  </si>
  <si>
    <t xml:space="preserve">Launched Snacking Crisps, the brand's first cracker (four flavors)</t>
  </si>
  <si>
    <t xml:space="preserve">https://www.snackandbakery.com/articles/115681-go-raw-expands-lineup-with-its-first-cracker</t>
  </si>
  <si>
    <t xml:space="preserve">2026-05-06</t>
  </si>
  <si>
    <t xml:space="preserve">https://www.wholefoodsmarket.com/search?text=go%20raw%20sprouted</t>
  </si>
  <si>
    <t xml:space="preserve">find Robert Freeland at Go Raw on LinkedIn and paste the profile URL (this also confirms the name: The Org is crowd-edited); the source is dated 2023-07-24: check Robert still holds the role; before using the retailer line, check Whole Foods Market NoMad still lists it: https://www.wholefoodsmarket.com/search?text=Go%20Raw with your store set to NoMad (catalogs change daily); founder review (claim-borderline): read founder_review_reason first</t>
  </si>
  <si>
    <t xml:space="preserve">https://theorg.com/org/go-raw/person/robert-freeland</t>
  </si>
  <si>
    <t xml:space="preserve">Go Raw Organic Sprouted Pumpkin Seeds, Sea Salted</t>
  </si>
  <si>
    <t xml:space="preserve">Northbrook</t>
  </si>
  <si>
    <t xml:space="preserve">Brand site unreachable on 2026-10-23 (domain guessed, may be wrong); owner and HQ unconfirmed; WFM title uses 'Keto' positioning; no online store: buy path is the store only</t>
  </si>
  <si>
    <t xml:space="preserve">https://goraw.com</t>
  </si>
  <si>
    <t xml:space="preserve">IL</t>
  </si>
  <si>
    <t xml:space="preserve">Sprouted, dried seeds in sealed bags, ambient</t>
  </si>
  <si>
    <t xml:space="preserve">https://www.wholefoodsmarket.com/search?text=go%20raw%20sprouted (pumpkin and sunflower seed SKUs IN_STOCK in cluster store contexts, 2026-10-23)</t>
  </si>
  <si>
    <t xml:space="preserve">Robert Freeland</t>
  </si>
  <si>
    <t xml:space="preserve">The Org (updated 2023-07-24): "Owner - Founder - CEO" since 2002. The same chart lists Peter Grumhaus as CEO since 2023 (backup row); who holds the budget now is unconfirmed. Stage 1 had the brand manager in this slot.</t>
  </si>
  <si>
    <t xml:space="preserve">Kimberly Waldron</t>
  </si>
  <si>
    <t xml:space="preserve">Kimberly</t>
  </si>
  <si>
    <t xml:space="preserve">Waldron</t>
  </si>
  <si>
    <t xml:space="preserve">The Org (updated 2026-01-29): VP of Marketing since 2024.</t>
  </si>
  <si>
    <t xml:space="preserve">BR1:48</t>
  </si>
  <si>
    <t xml:space="preserve">Website field is a guessed domain that did not respond; founder to confirm the correct site.</t>
  </si>
  <si>
    <t xml:space="preserve">website &lt;- https://goraw.com/ (2026-10-24, opened); hq_city &lt;- https://goraw.com/pages/contact-us (2026-10-24, opened); hq_state &lt;- https://goraw.com/pages/contact-us (2026-10-24, opened); why_now &lt;- https://www.snackandbakery.com/articles/115681-go-raw-expands-lineup-with-its-first-cracker (2026-10-24, opened); why_now_url &lt;- https://www.snackandbakery.com/articles/115681-go-raw-expands-lineup-with-its-first-cracker (2026-10-24, opened); why_now_date &lt;- https://www.snackandbakery.com/articles/115681-go-raw-expands-lineup-with-its-first-cracker (2026-10-24, opened); marketing_name &lt;- https://www.snackandbakery.com/articles/115681-go-raw-expands-lineup-with-its-first-cracker (2026-10-24, opened); marketing_title &lt;- https://www.snackandbakery.com/articles/115681-go-raw-expands-lineup-with-its-first-cracker (2026-10-24, opened); marketing_profile_url &lt;- https://www.snackandbakery.com/articles/115681-go-raw-expands-lineup-with-its-first-cracker (2026-10-24, opened); </t>
  </si>
  <si>
    <t xml:space="preserve">https://theorg.com/org/go-raw/person/kimberly-waldron</t>
  </si>
  <si>
    <t xml:space="preserve">2023-07-24</t>
  </si>
  <si>
    <t xml:space="preserve">2026-01-29</t>
  </si>
  <si>
    <t xml:space="preserve">AB-073</t>
  </si>
  <si>
    <t xml:space="preserve">Seed + Mill</t>
  </si>
  <si>
    <t xml:space="preserve">Rachel</t>
  </si>
  <si>
    <t xml:space="preserve">Simons</t>
  </si>
  <si>
    <t xml:space="preserve">CEO and Co-founder</t>
  </si>
  <si>
    <t xml:space="preserve">New York City brand, store page shows Whole Foods Market NoMad inside the cluster, no dated why-now in the last 12 months, revenue unknown, contact named; founder review: format, claim-borderline.</t>
  </si>
  <si>
    <t xml:space="preserve">https://www.seedandmill.com/pages/where-to-buy</t>
  </si>
  <si>
    <t xml:space="preserve">find Rachel Simons at Seed + Mill on LinkedIn and paste the profile URL; before using the retailer line, check Whole Foods Market NoMad still lists it: https://www.wholefoodsmarket.com/search?text=Seed%20%2B%20Mill with your store set to NoMad (catalogs change daily); founder review (format, claim-borderline): read founder_review_reason first</t>
  </si>
  <si>
    <t xml:space="preserve">https://www.seedandmill.com/a/press-kit</t>
  </si>
  <si>
    <t xml:space="preserve">Pistachio Halva 8 oz</t>
  </si>
  <si>
    <t xml:space="preserve">New York (Chelsea Market store)</t>
  </si>
  <si>
    <t xml:space="preserve">https://www.seedandmill.com</t>
  </si>
  <si>
    <t xml:space="preserve">No single-serve SKU found (8 oz halva); brand 'About Sesame' page says phytosterols are 'known to help reduce cholesterol' (check labels for claims)</t>
  </si>
  <si>
    <t xml:space="preserve">format;claim-borderline</t>
  </si>
  <si>
    <t xml:space="preserve">Brand FAQ: 'Halva lasts for 4-6 months when stored in a cool, dry place' and 'Halva does not require refrigeration.'</t>
  </si>
  <si>
    <t xml:space="preserve">Whole Foods Market NoMad, 63 Madison Ave (store_selector, inside);Whole Foods Market Union Square, 4 Union Sq S (store_selector, inside);Lincoln Market, 501 6th Ave (brand_claim, 1.2 blocks out);Elm Drugs, 56 7th Ave (brand_claim, 3.0 blocks out);Whole Foods Market Chelsea, 250 7th Ave (store_selector, 3.0 blocks out);Lifethyme Natural Foods, 408 6th Ave (brand_claim, 5.0 blocks out)</t>
  </si>
  <si>
    <t xml:space="preserve">Seed + Mill shop (brand_claim, 11.4 blocks out);Chelsea Market Baskets (brand_claim, 11.4 blocks out)</t>
  </si>
  <si>
    <t xml:space="preserve">500+ retailers (brand where-to-buy page); Whole Foods</t>
  </si>
  <si>
    <t xml:space="preserve">https://www.wholefoodsmarket.com/api/search?text=seed%20%2B%20mill%20halva&amp;store=10162&amp;limit=60&amp;offset=0; https://www.wholefoodsmarket.com/api/search?text=seed%20%2B%20mill%20halva&amp;store=10773&amp;limit=60&amp;offset=0; https://www.wholefoodsmarket.com/api/search?text=seed%20%2B%20mill%20halva&amp;store=10131&amp;limit=60&amp;offset=0; https://stockist.co/api/v1/u11268/locations/search?latitude=40.7397&amp;longitude=-73.9897&amp;distance=3&amp;units=km (data behind https://www.seedandmill.com/pages/store-locator-1)</t>
  </si>
  <si>
    <t xml:space="preserve">Rachel Simons</t>
  </si>
  <si>
    <t xml:space="preserve">Brand press kit quotes a 2022 article: "Rachel Simons, the Australian-born CEO and Co-Founder of Seed + Mill". About page names three founders, Lisa, Rachel and Monica. Stage 1 source (Goldbelly) returned 403 today.</t>
  </si>
  <si>
    <t xml:space="preserve">Lisa Mendelson</t>
  </si>
  <si>
    <t xml:space="preserve">Lisa</t>
  </si>
  <si>
    <t xml:space="preserve">Mendelson</t>
  </si>
  <si>
    <t xml:space="preserve">Press kit quotes Kitchn: "the three co-founders of Seed + Mill (Rachel Simons, Lisa Mendelson, and Monica Molenaar)".</t>
  </si>
  <si>
    <t xml:space="preserve">https://www.instagram.com/seedandmill/</t>
  </si>
  <si>
    <t xml:space="preserve">BR2:10</t>
  </si>
  <si>
    <t xml:space="preserve">Opened in Chelsea Market January 2016 per brand about page. Health_claim_flag set from a brand education page, not from a product label; founder to judge. Halva is a sesame confection, filed under chocolate-candy.</t>
  </si>
  <si>
    <t xml:space="preserve">shelf_stable_basis &lt;- https://www.seedandmill.com/pages/faq (2026-10-24, opened); founder_name &lt;- https://www.goldbelly.com/restaurants/seed-mill/best-seller-halva-trio (2026-10-24, opened); </t>
  </si>
  <si>
    <t xml:space="preserve">AB-130</t>
  </si>
  <si>
    <t xml:space="preserve">Moshi</t>
  </si>
  <si>
    <t xml:space="preserve">Alton</t>
  </si>
  <si>
    <t xml:space="preserve">But</t>
  </si>
  <si>
    <t xml:space="preserve">New York City brand, brand locator shows Dainobu 0.9 blocks outside it, a new store listing 43 days ago, revenue unknown, contact named plus a marketing lead; founder review: claim-borderline.</t>
  </si>
  <si>
    <t xml:space="preserve">Dainobu, 498 6th Ave</t>
  </si>
  <si>
    <t xml:space="preserve">Launched limited-edition DAN DA DAN x Moshi Sparkling Yuzu Hojicha (anime collab) on its store; also exhibited at Natural Products Expo West 2026 (booth N1934)</t>
  </si>
  <si>
    <t xml:space="preserve">https://tastemoshi.com/products/dandadan-x-moshi-yuzu-hojicha-sparkling-drink</t>
  </si>
  <si>
    <t xml:space="preserve">2026-09-11</t>
  </si>
  <si>
    <t xml:space="preserve">https://tastemoshi.com/pages/moshi</t>
  </si>
  <si>
    <t xml:space="preserve">find Alton But at Moshi on LinkedIn and paste the profile URL; the retailer line rests on the brand's own store locator: say 'your store locator lists ...'; founder review (claim-borderline): read founder_review_reason first</t>
  </si>
  <si>
    <t xml:space="preserve">https://attend.expowest.com/event/natural-products-expo-west-2026/exhibitor/RXhoaWJpdG9yXzIzNTgyMzE=</t>
  </si>
  <si>
    <t xml:space="preserve">Moshi Sparkling Yuzu Original, can; also Sparkling Uji Matcha and Sparkling Oolong Tea</t>
  </si>
  <si>
    <t xml:space="preserve">https://tastemoshi.com</t>
  </si>
  <si>
    <t xml:space="preserve">Shelf stability not stated by the brand; matcha and oolong SKUs contain caffeine (no claim seen). Same parent company (Brooklyn Food &amp; Beverage) as Bruce Cost Ginger Ale and Brooklyn Crafted: contact once; 60-day shelf life not stated</t>
  </si>
  <si>
    <t xml:space="preserve">grp-130-131-132</t>
  </si>
  <si>
    <t xml:space="preserve">Canned sparkling drink sold in ambient grocery per brand locator, but no shelf-stability statement found on site or product pages; founder to confirm</t>
  </si>
  <si>
    <t xml:space="preserve">No public sales figure found</t>
  </si>
  <si>
    <t xml:space="preserve">Dainobu, 498 6th Ave (brand_claim, 0.9 blocks out);H Mart, 38 W 32nd St (brand_claim, 1.0 blocks out);Merci Market, 59 5th Ave (brand_claim, 1.0 blocks out);TESO Life, 1265 Broadway (brand_claim, 1.0 blocks out);Westside Market, 84 3rd Ave (brand_claim, 1.0 blocks out);Westside Market, 180 3rd Ave (brand_claim, 2.0 blocks out)</t>
  </si>
  <si>
    <t xml:space="preserve">Pearl River Mart (brand_claim, 11.4 blocks out)</t>
  </si>
  <si>
    <t xml:space="preserve">H Mart; Westside Market; Pearl River Mart; Sunrise Mart; Katagiri; Dainobu; Merci Market; TESO Life (brand Storepoint locator)</t>
  </si>
  <si>
    <t xml:space="preserve">https://tastemoshi.com/pages/store-locator; https://api.storepoint.co/v1/16047a894dc65b/locations?lat=40.7400&amp;long=-73.9900&amp;radius=3</t>
  </si>
  <si>
    <t xml:space="preserve">Alton But</t>
  </si>
  <si>
    <t xml:space="preserve">Expo West 2026 listing for Brooklyn Food &amp; Beverage: "Founder Alton But ... launched Moshi" in 2020. The Org (brooklyn-food-and-beverage) lists him as Sales &amp; Operations. Same parent as Bruce Cost Ginger Ale (rank 57): treat as one company, one contact in flight.</t>
  </si>
  <si>
    <t xml:space="preserve">Horin Yip</t>
  </si>
  <si>
    <t xml:space="preserve">Horin</t>
  </si>
  <si>
    <t xml:space="preserve">Yip</t>
  </si>
  <si>
    <t xml:space="preserve">Brand Marketing Manager, Brooklyn Food &amp; Beverage</t>
  </si>
  <si>
    <t xml:space="preserve">Expo West 2026 exhibitor team list: "Horin Yip, Brand Marketing Manager, Brooklyn Crafted". Covers the parent's brands.</t>
  </si>
  <si>
    <t xml:space="preserve">https://www.instagram.com/drinkmoshi</t>
  </si>
  <si>
    <t xml:space="preserve">BR3</t>
  </si>
  <si>
    <t xml:space="preserve">BR3:4</t>
  </si>
  <si>
    <t xml:space="preserve">Expo West 2026 exhibitor listing: Brooklyn Food &amp; Beverage, New York City, founder Alton But, launched Moshi in 2020. why_now_date is the Shopify publish date of the collab product (tastemoshi.com/products.json). Brand added kettle chips in 2026-08, so it may also appear in snack slices. Locator has 82 NYC-area points incl. ~20 inside 4th-40th St.</t>
  </si>
  <si>
    <t xml:space="preserve">marketing_name &lt;- https://attend.expowest.com/event/natural-products-expo-west-2026/exhibitor/RXhoaWJpdG9yXzIzNTgyMzE= (2026-10-24, opened); marketing_title &lt;- https://attend.expowest.com/event/natural-products-expo-west-2026/exhibitor/RXhoaWJpdG9yXzIzNTgyMzE= (2026-10-24, opened); </t>
  </si>
  <si>
    <t xml:space="preserve">parent 'brooklyn food &amp; beverage' shared with AB-131; person 'horin yip' shared with AB-131, AB-132</t>
  </si>
  <si>
    <t xml:space="preserve">AB-084</t>
  </si>
  <si>
    <t xml:space="preserve">Elements Truffles</t>
  </si>
  <si>
    <t xml:space="preserve">Alak</t>
  </si>
  <si>
    <t xml:space="preserve">Vasa</t>
  </si>
  <si>
    <t xml:space="preserve">Northeast brand, store page shows Whole Foods Market NoMad inside the cluster, a new store listing 15 days ago, revenue unknown, contact named; founder review: claim-borderline.</t>
  </si>
  <si>
    <t xml:space="preserve">Diwali Gift Box limited edition and VegNews Daily Cacao bundles launched Oct 2026 on brand store</t>
  </si>
  <si>
    <t xml:space="preserve">https://www.elementstruffles.com/</t>
  </si>
  <si>
    <t xml:space="preserve">2026-10-09</t>
  </si>
  <si>
    <t xml:space="preserve">https://www.elementstruffles.com/pages/about-us</t>
  </si>
  <si>
    <t xml:space="preserve">find Alak Vasa at Elements Truffles on LinkedIn and paste the profile URL; before using the retailer line, check Whole Foods Market NoMad still lists it: https://www.wholefoodsmarket.com/search?text=Elements%20Truffles with your store set to NoMad (catalogs change daily); founder review (claim-borderline): read founder_review_reason first</t>
  </si>
  <si>
    <t xml:space="preserve">Orange Crunch Dark Chocolate Bar 1.8 oz; Filter Coffee Chocolate Bar</t>
  </si>
  <si>
    <t xml:space="preserve">Jersey City</t>
  </si>
  <si>
    <t xml:space="preserve">https://www.elementstruffles.com</t>
  </si>
  <si>
    <t xml:space="preserve">Ayurveda-based wellness positioning ('ingredients are the healthiest around'); brand also sells protein powders; check bar labels for claims</t>
  </si>
  <si>
    <t xml:space="preserve">Brand FAQ: chocolate bars 8 months, snack bars 9 months, drinking chocolate 18 months, truffle boxes 2 months; no refrigeration required.</t>
  </si>
  <si>
    <t xml:space="preserve">https://www.wholefoodsmarket.com/api/search?text=elements%20truffles&amp;store=10162&amp;limit=60&amp;offset=0; https://www.wholefoodsmarket.com/api/search?text=elements%20truffles&amp;store=10773&amp;limit=60&amp;offset=0; https://www.wholefoodsmarket.com/api/search?text=elements%20truffles&amp;store=10131&amp;limit=60&amp;offset=0</t>
  </si>
  <si>
    <t xml:space="preserve">Alak Vasa</t>
  </si>
  <si>
    <t xml:space="preserve">About page, "meet our founders".</t>
  </si>
  <si>
    <t xml:space="preserve">Kushal Choksi</t>
  </si>
  <si>
    <t xml:space="preserve">Kushal</t>
  </si>
  <si>
    <t xml:space="preserve">Choksi</t>
  </si>
  <si>
    <t xml:space="preserve">About page: "Kushal M. Choksi", co-founder with Alak.</t>
  </si>
  <si>
    <t xml:space="preserve">https://www.instagram.com/elementstruffles/</t>
  </si>
  <si>
    <t xml:space="preserve">BR2:21</t>
  </si>
  <si>
    <t xml:space="preserve">Founders are ex-Wall Street traders per brand story; HQ not stated on pages opened. Why-now date from Shopify publish dates.</t>
  </si>
  <si>
    <t xml:space="preserve">hq_city &lt;- https://www.elementstruffles.com/policies/terms-of-service (2026-10-24, opened); hq_state &lt;- https://www.elementstruffles.com/policies/terms-of-service (2026-10-24, opened); shelf_stable &lt;- https://www.elementstruffles.com/pages/faq (2026-10-24, opened); shelf_stable_basis &lt;- https://www.elementstruffles.com/pages/faq (2026-10-24, opened); </t>
  </si>
  <si>
    <t xml:space="preserve">AB-285</t>
  </si>
  <si>
    <t xml:space="preserve">Effie's Homemade</t>
  </si>
  <si>
    <t xml:space="preserve">MacIsaac</t>
  </si>
  <si>
    <t xml:space="preserve">Northeast brand, store page shows Whole Foods Market NoMad inside the cluster, news 5 days ago, revenue unknown, contact named; founder review: scale.</t>
  </si>
  <si>
    <t xml:space="preserve">Gruyere Biscuits named a 2027 sofi Award finalist (Bakery, Bread &amp; Crackers); new Walnut Biscuits launched</t>
  </si>
  <si>
    <t xml:space="preserve">https://www.specialtyfood.com/news-media/news-features/association-press-releases/2027-sofi-awards-finalists/</t>
  </si>
  <si>
    <t xml:space="preserve">find Joan MacIsaac at Effie's Homemade on LinkedIn and paste the profile URL; before using the retailer line, check Whole Foods Market NoMad still lists it: https://www.wholefoodsmarket.com/search?text=Effie%27s%20Homemade with your store set to NoMad (catalogs change daily); founder review (scale): read founder_review_reason first</t>
  </si>
  <si>
    <t xml:space="preserve">https://blog.harryanddavid.com/articles/profiles/effies-homemade-oatcake</t>
  </si>
  <si>
    <t xml:space="preserve">Oatcakes Single Serve pack; Cocoa Biscuits Single Serve</t>
  </si>
  <si>
    <t xml:space="preserve">Hyde Park (Boston)</t>
  </si>
  <si>
    <t xml:space="preserve">https://effieshomemade.com/products/oatcakes-single-serve</t>
  </si>
  <si>
    <t xml:space="preserve">May be above the $10M revenue ceiling given 4,000+ doors. WFM lists the 7.2 oz boxes; the single-serve packs were seen only on the brand site</t>
  </si>
  <si>
    <t xml:space="preserve">scale</t>
  </si>
  <si>
    <t xml:space="preserve">https://effieshomemade.com</t>
  </si>
  <si>
    <t xml:space="preserve">Shelf-stable biscuits sold in the specialty cheese aisle; Walnut Biscuits page states a 6-month shelf life</t>
  </si>
  <si>
    <t xml:space="preserve">No sales figure. Homepage: 'more than 4,000 specialty retail shops nationwide' (store count only; may sit above the $10M ceiling)</t>
  </si>
  <si>
    <t xml:space="preserve">More than 4,000 specialty retail shops nationwide; Whole Foods Market</t>
  </si>
  <si>
    <t xml:space="preserve">https://www.wholefoodsmarket.com/api/search?text=effie's&amp;store=10162 / 10773 / 10131 / 10713 (store-scoped catalog search; Union Square 10162, NoMad 10773, Chelsea 10131, Manhattan West 10713; opened 2026-10-24)</t>
  </si>
  <si>
    <t xml:space="preserve">Joan MacIsaac</t>
  </si>
  <si>
    <t xml:space="preserve">Harry &amp; David profile (2023-02-17, modified 2025-06-23): "Effie's Homemade founders and friends, Joan MacIsaac and Irene Costello". Brand about page names Joan (Effie's daughter). Fills the stage-1 surname gap.</t>
  </si>
  <si>
    <t xml:space="preserve">Irene Costello</t>
  </si>
  <si>
    <t xml:space="preserve">Irene</t>
  </si>
  <si>
    <t xml:space="preserve">Costello</t>
  </si>
  <si>
    <t xml:space="preserve">Same page.</t>
  </si>
  <si>
    <t xml:space="preserve">https://www.instagram.com/effieshomemade</t>
  </si>
  <si>
    <t xml:space="preserve">BR5:21</t>
  </si>
  <si>
    <t xml:space="preserve">Also a 2026 sofi finalist (Gruyere Biscuit). Single-serve oatcake packs published 2025-10-30 (products.json). WFM catalog shows Oatcakes, Cocoa, Pecan, Corn and Almond biscuits 7.2 oz at all four Manhattan stores checked. A catalog listing is not proof the product is on the shelf today.</t>
  </si>
  <si>
    <t xml:space="preserve">AB-237</t>
  </si>
  <si>
    <t xml:space="preserve">Z Crackers</t>
  </si>
  <si>
    <t xml:space="preserve">Keith</t>
  </si>
  <si>
    <t xml:space="preserve">Pollack</t>
  </si>
  <si>
    <t xml:space="preserve">Co-founder and President</t>
  </si>
  <si>
    <t xml:space="preserve">New York City brand, store page shows Whole Foods Market NoMad inside the cluster, no dated why-now in the last 12 months, revenue unknown, contact named; founder review: format.</t>
  </si>
  <si>
    <t xml:space="preserve">https://www.zcrackers.com/</t>
  </si>
  <si>
    <t xml:space="preserve">find Keith Pollack at Z Crackers on LinkedIn and paste the profile URL; before using the retailer line, check Whole Foods Market NoMad still lists it: https://www.wholefoodsmarket.com/search?text=Z%20Crackers with your store set to NoMad (catalogs change daily); founder review (format): read founder_review_reason first</t>
  </si>
  <si>
    <t xml:space="preserve">Everything Crackers 7.5 oz box; Garlic &amp; Basil Crackers 8 oz; breadsticks</t>
  </si>
  <si>
    <t xml:space="preserve">Brooklyn (Savory Pie Company, 215 Stratford Road, Brooklyn, NY 11218, per homepage contact block)</t>
  </si>
  <si>
    <t xml:space="preserve">7.5-8 oz boxes are share packs, not individually packaged; office use would need opened boxes or a smaller format; no online store: buy path is the store only</t>
  </si>
  <si>
    <t xml:space="preserve">https://www.zcrackers.com</t>
  </si>
  <si>
    <t xml:space="preserve">Boxed crackers sold ambient; no shelf-life figure published, founder to confirm</t>
  </si>
  <si>
    <t xml:space="preserve">Whole Foods Market (WFM catalog); store locator on site</t>
  </si>
  <si>
    <t xml:space="preserve">https://www.wholefoodsmarket.com/api/search?text=z%20crackers&amp;store=10773&amp;limit=60&amp;offset=0; https://www.wholefoodsmarket.com/api/search?text=z%20crackers&amp;store=10162&amp;limit=60&amp;offset=0; https://www.wholefoodsmarket.com/api/search?text=z%20crackers&amp;store=10713&amp;limit=60&amp;offset=0</t>
  </si>
  <si>
    <t xml:space="preserve">Keith Pollack</t>
  </si>
  <si>
    <t xml:space="preserve">Homepage: "Pam and Keith Pollack, Founders" and "Keith Pollack, Z President" (Savory Pie Company).</t>
  </si>
  <si>
    <t xml:space="preserve">Pam Pollack</t>
  </si>
  <si>
    <t xml:space="preserve">BR4:32</t>
  </si>
  <si>
    <t xml:space="preserve">Vegan, non-GMO cornmeal crackers. WFM flags Local at Union Square and NoMad (2026-10-23). Trade sell sheets downloadable from homepage.</t>
  </si>
  <si>
    <t xml:space="preserve">founder_name &lt;- https://www.zcrackers.com/ (2026-10-24, opened); founder_title &lt;- https://www.zcrackers.com/ (2026-10-24, opened); founder_profile_url &lt;- https://www.zcrackers.com/ (2026-10-24, opened); hq_city &lt;- https://www.zcrackers.com/ (2026-10-24, opened); </t>
  </si>
  <si>
    <t xml:space="preserve">AB-107</t>
  </si>
  <si>
    <t xml:space="preserve">Solely</t>
  </si>
  <si>
    <t xml:space="preserve">Simon</t>
  </si>
  <si>
    <t xml:space="preserve">Sacal</t>
  </si>
  <si>
    <t xml:space="preserve">Brand based outside the Northeast, store page shows Whole Foods Market NoMad inside the cluster, news 66 days ago, revenue unknown, contact named plus a marketing lead; founder review: scale.</t>
  </si>
  <si>
    <t xml:space="preserve">Expanded to Walmart stores nationwide (six items: Fruit Jerky 5-packs and Fruit Gummies 10-packs)</t>
  </si>
  <si>
    <t xml:space="preserve">https://www.snackandbakery.com/articles/116204-solely-expands-to-walmart-stores-nationwide</t>
  </si>
  <si>
    <t xml:space="preserve">2026-08-19</t>
  </si>
  <si>
    <t xml:space="preserve">https://solely.com/pages/about</t>
  </si>
  <si>
    <t xml:space="preserve">find Simon Sacal at Solely on LinkedIn and paste the profile URL; before using the retailer line, check Whole Foods Market NoMad still lists it: https://www.wholefoodsmarket.com/search?text=Solely with your store set to NoMad (catalogs change daily); founder review (scale): read founder_review_reason first</t>
  </si>
  <si>
    <t xml:space="preserve">https://karagoldin.com/podcasts/simon-sacal/</t>
  </si>
  <si>
    <t xml:space="preserve">Organic Pineapple Fruit Jerky 0.8 oz; Organic Mango and Blueberry Gummies 3.5 oz</t>
  </si>
  <si>
    <t xml:space="preserve">fruit-snacks</t>
  </si>
  <si>
    <t xml:space="preserve">La Jolla</t>
  </si>
  <si>
    <t xml:space="preserve">https://solely.com</t>
  </si>
  <si>
    <t xml:space="preserve">Kids-focused mission; Costco distribution and own farm network may put it above the size band</t>
  </si>
  <si>
    <t xml:space="preserve">CA</t>
  </si>
  <si>
    <t xml:space="preserve">Brand FAQ: 'Most Solely products have a one-year shelf life from manufactured date'; online orders ship with a best-by at least 90 days out.</t>
  </si>
  <si>
    <t xml:space="preserve">Whole Foods; Costco (linked press)</t>
  </si>
  <si>
    <t xml:space="preserve">https://www.wholefoodsmarket.com/api/search?text=solely&amp;store=10162&amp;limit=60&amp;offset=0; https://www.wholefoodsmarket.com/api/search?text=solely&amp;store=10773&amp;limit=60&amp;offset=0; https://www.wholefoodsmarket.com/api/search?text=solely&amp;store=10131&amp;limit=60&amp;offset=0</t>
  </si>
  <si>
    <t xml:space="preserve">Simon Sacal</t>
  </si>
  <si>
    <t xml:space="preserve">Kara Goldin Show page title "Simon Sacal: Founder &amp; CEO of Solely" (no LinkedIn link). Snack and Bakery 2026 calls him CEO.</t>
  </si>
  <si>
    <t xml:space="preserve">Manish Amin</t>
  </si>
  <si>
    <t xml:space="preserve">Manish</t>
  </si>
  <si>
    <t xml:space="preserve">Amin</t>
  </si>
  <si>
    <t xml:space="preserve">The Org (updated 2024-11-04): since 2022. Two years since update. The Org also lists a CRO and EVP Sales and Marketing.</t>
  </si>
  <si>
    <t xml:space="preserve">https://www.instagram.com/solelyfruit/</t>
  </si>
  <si>
    <t xml:space="preserve">BR2:45</t>
  </si>
  <si>
    <t xml:space="preserve">USDA Organic, sourced from own certified farms (FAQ). Why-now from Shopify publish date.</t>
  </si>
  <si>
    <t xml:space="preserve">shelf_stable &lt;- https://solely.com/pages/faq (2026-10-24, opened); shelf_stable_basis &lt;- https://solely.com/pages/faq (2026-10-24, opened); hq_city &lt;- https://solely.com/policies/terms-of-service (2026-10-24, opened); hq_state &lt;- https://solely.com/policies/terms-of-service (2026-10-24, opened); why_now &lt;- https://www.snackandbakery.com/articles/116204-solely-expands-to-walmart-stores-nationwide (2026-10-24, opened); why_now_url &lt;- https://www.snackandbakery.com/articles/116204-solely-expands-to-walmart-stores-nationwide (2026-10-24, opened); why_now_date &lt;- https://www.snackandbakery.com/articles/116204-solely-expands-to-walmart-stores-nationwide (2026-10-24, opened); founder_name &lt;- https://www.snackandbakery.com/articles/116007-solely-adds-to-its-fruit-jerky-lineup (2026-10-24, opened); founder_title &lt;- https://www.snackandbakery.com/articles/116007-solely-adds-to-its-fruit-jerky-lineup (2026-10-24, opened); founder_profile_url &lt;- https://www.snackandbakery.com/articles/116007-solely-adds-to-its-fruit-jerky-lineup (2026-10-24, opened); </t>
  </si>
  <si>
    <t xml:space="preserve">https://theorg.com/org/solely-inc/person/manish-amin</t>
  </si>
  <si>
    <t xml:space="preserve">AB-091</t>
  </si>
  <si>
    <t xml:space="preserve">Mavericks Snacks</t>
  </si>
  <si>
    <t xml:space="preserve">Livio</t>
  </si>
  <si>
    <t xml:space="preserve">Bisterzo</t>
  </si>
  <si>
    <t xml:space="preserve">Brand based outside the Northeast, store page shows Whole Foods Market NoMad inside the cluster, news 211 days ago, revenue unknown, contact named; founder review: other.</t>
  </si>
  <si>
    <t xml:space="preserve">Launched limited-time Lemon Creme Sandwich Cookies at select Whole Foods Market stores nationwide</t>
  </si>
  <si>
    <t xml:space="preserve">https://www.snackandbakery.com/articles/115453-mavericks-snacks-introduces-seasonal-lemon-cookies</t>
  </si>
  <si>
    <t xml:space="preserve">2026-03-27</t>
  </si>
  <si>
    <t xml:space="preserve">https://mavericksnacks.com/pages/about-page</t>
  </si>
  <si>
    <t xml:space="preserve">find Livio Bisterzo at Mavericks Snacks on LinkedIn and paste the profile URL; the source is dated 2024-10-11: check Livio still holds the role; before using the retailer line, check Whole Foods Market NoMad still lists it: https://www.wholefoodsmarket.com/search?text=Mavericks%20Snacks with your store set to NoMad (catalogs change daily); founder review (other): read founder_review_reason first</t>
  </si>
  <si>
    <t xml:space="preserve">https://startupcpg.com/startup-cpg-newswire-mavericks-snacks-partners-with-paramount-pictures-for-transformers-one-film-release/</t>
  </si>
  <si>
    <t xml:space="preserve">Chocolate Chip Bolt Cookies, Snack Packs; Kids Birthday Cake Cookies 7.05 oz</t>
  </si>
  <si>
    <t xml:space="preserve">https://mavericksnacks.com</t>
  </si>
  <si>
    <t xml:space="preserve">Kids' product positioning ('Kids' cookies, families); 60-day shelf life not stated</t>
  </si>
  <si>
    <t xml:space="preserve">Packaged cookies and snack packs sold ambient at Whole Foods; shelf-life figure not found</t>
  </si>
  <si>
    <t xml:space="preserve">Whole Foods; Amazon</t>
  </si>
  <si>
    <t xml:space="preserve">https://www.wholefoodsmarket.com/api/search?text=mavericks%20cookies&amp;store=10162&amp;limit=60&amp;offset=0; https://www.wholefoodsmarket.com/api/search?text=mavericks%20cookies&amp;store=10773&amp;limit=60&amp;offset=0; https://www.wholefoodsmarket.com/api/search?text=mavericks%20cookies&amp;store=10131&amp;limit=60&amp;offset=0</t>
  </si>
  <si>
    <t xml:space="preserve">Livio Bisterzo</t>
  </si>
  <si>
    <t xml:space="preserve">Release: "Livio Bisterzo, CEO of Green Park Brands, founded Mavericks Snacks". The Org (green-park-brands, updated 2024-10-11): CEO &amp; Founder of the parent.</t>
  </si>
  <si>
    <t xml:space="preserve">Tina Pate</t>
  </si>
  <si>
    <t xml:space="preserve">Seen only in a search summary of a 2022 Nosh article (not opened). Four years old; likely stale.</t>
  </si>
  <si>
    <t xml:space="preserve">https://www.instagram.com/mavericksnacks/</t>
  </si>
  <si>
    <t xml:space="preserve">BR2:28</t>
  </si>
  <si>
    <t xml:space="preserve">Garrison Jones is CEO of Mavericks Snacks as of 2026-03-27 (President in 2024). Likely the better first contact than founder Livio Bisterzo, who runs parent Green Park Brands.</t>
  </si>
  <si>
    <t xml:space="preserve">hq_city &lt;- https://startupcpg.com/startup-cpg-newswire-mavericks-snacks-partners-with-paramount-pictures-for-transformers-one-film-release/ (2026-10-24, opened); hq_state &lt;- https://startupcpg.com/startup-cpg-newswire-mavericks-snacks-partners-with-paramount-pictures-for-transformers-one-film-release/ (2026-10-24, opened); founder_name &lt;- https://startupcpg.com/startup-cpg-newswire-mavericks-snacks-partners-with-paramount-pictures-for-transformers-one-film-release/ (2026-10-24, opened); founder_title &lt;- https://startupcpg.com/startup-cpg-newswire-mavericks-snacks-partners-with-paramount-pictures-for-transformers-one-film-release/ (2026-10-24, opened); founder_profile_url &lt;- https://startupcpg.com/startup-cpg-newswire-mavericks-snacks-partners-with-paramount-pictures-for-transformers-one-film-release/ (2026-10-24, opened); startup_cpg_member &lt;- https://startupcpg.com/startup-cpg-newswire-mavericks-snacks-partners-with-paramount-pictures-for-transformers-one-film-release/ (2026-10-24, opened); startup_cpg_evidence_url &lt;- https://startupcpg.com/startup-cpg-newswire-mavericks-snacks-partners-with-paramount-pictures-for-transformers-one-film-release/ (2026-10-24, opened); why_now &lt;- https://www.snackandbakery.com/articles/115453-mavericks-snacks-introduces-seasonal-lemon-cookies (2026-10-24, opened); why_now_url &lt;- https://www.snackandbakery.com/articles/115453-mavericks-snacks-introduces-seasonal-lemon-cookies (2026-10-24, opened); why_now_date &lt;- https://www.snackandbakery.com/articles/115453-mavericks-snacks-introduces-seasonal-lemon-cookies (2026-10-24, opened); notes &lt;- https://www.snackandbakery.com/articles/115453-mavericks-snacks-introduces-seasonal-lemon-cookies (2026-10-24, opened); </t>
  </si>
  <si>
    <t xml:space="preserve">https://www.nosh.com/news/2022/mavericks-cookies-focuses-on-branding-to-land-target-store-partnership</t>
  </si>
  <si>
    <t xml:space="preserve">2024-10-11</t>
  </si>
  <si>
    <t xml:space="preserve">AB-087</t>
  </si>
  <si>
    <t xml:space="preserve">Mayana Chocolate</t>
  </si>
  <si>
    <t xml:space="preserve">Herskovic</t>
  </si>
  <si>
    <t xml:space="preserve">Owner</t>
  </si>
  <si>
    <t xml:space="preserve">Brand based outside the Northeast, store page shows Whole Foods Market NoMad inside the cluster, a new store listing 172 days ago, revenue unknown, contact named; founder review: shelf life not stated.</t>
  </si>
  <si>
    <t xml:space="preserve">New Mayan Spice and Mother Fluffer candy bars added to brand store (Apr to May 2026)</t>
  </si>
  <si>
    <t xml:space="preserve">https://www.mayanachocolate.com/</t>
  </si>
  <si>
    <t xml:space="preserve">2026-05-05</t>
  </si>
  <si>
    <t xml:space="preserve">https://www.mayanachocolate.com/pages/about-mayana-chocolate</t>
  </si>
  <si>
    <t xml:space="preserve">find Daniel Herskovic at Mayana Chocolate on LinkedIn and paste the profile URL; before using the retailer line, check Whole Foods Market NoMad still lists it: https://www.wholefoodsmarket.com/search?text=Mayana%20Chocolate with your store set to NoMad (catalogs change daily); founder review (shelf life or online store): read founder_review_reason first</t>
  </si>
  <si>
    <t xml:space="preserve">Mini Cloud 9 Bar 1.4 oz; Strawberry Rose Mini Chocolate Bar</t>
  </si>
  <si>
    <t xml:space="preserve">Spooner (brand about page calls Spooner 'Mayana's future home')</t>
  </si>
  <si>
    <t xml:space="preserve">https://www.mayanachocolate.com</t>
  </si>
  <si>
    <t xml:space="preserve">WI</t>
  </si>
  <si>
    <t xml:space="preserve">Wrapped candy bars sold ambient at Whole Foods; shelf-life figure not published</t>
  </si>
  <si>
    <t xml:space="preserve">Chelsea Market Baskets (brand_claim, 11.4 blocks out)</t>
  </si>
  <si>
    <t xml:space="preserve">Whole Foods; Chelsea Market Baskets (brand Storepoint locator)</t>
  </si>
  <si>
    <t xml:space="preserve">https://www.wholefoodsmarket.com/api/search?text=mayana&amp;store=10162&amp;limit=60&amp;offset=0; https://www.wholefoodsmarket.com/api/search?text=mayana&amp;store=10773&amp;limit=60&amp;offset=0; https://www.wholefoodsmarket.com/api/search?text=mayana&amp;store=10131&amp;limit=60&amp;offset=0; https://api.storepoint.co/v1/165c62771a1a74/locations?lat=40.7397&amp;long=-73.9897&amp;radius=3</t>
  </si>
  <si>
    <t xml:space="preserve">Daniel Herskovic</t>
  </si>
  <si>
    <t xml:space="preserve">About page: run by husband and wife Daniel and Tamara Herskovic. The Org (updated 2026-09-28) lists him as CEO since 2008.</t>
  </si>
  <si>
    <t xml:space="preserve">Tamara Herskovic</t>
  </si>
  <si>
    <t xml:space="preserve">Tamara</t>
  </si>
  <si>
    <t xml:space="preserve">https://www.instagram.com/eatmayana/</t>
  </si>
  <si>
    <t xml:space="preserve">BR2:24</t>
  </si>
  <si>
    <t xml:space="preserve">Not a New York brand but stocked at all three cluster Whole Foods. Why-now dates from Shopify publish dates.</t>
  </si>
  <si>
    <t xml:space="preserve">2026-09-28</t>
  </si>
  <si>
    <t xml:space="preserve">AB-172</t>
  </si>
  <si>
    <t xml:space="preserve">Explorer Cold Brew</t>
  </si>
  <si>
    <t xml:space="preserve">Cason</t>
  </si>
  <si>
    <t xml:space="preserve">Crane</t>
  </si>
  <si>
    <t xml:space="preserve">https://www.linkedin.com/in/casoncrane/</t>
  </si>
  <si>
    <t xml:space="preserve">New York City brand, no graded store within ten blocks, online store only, news 79 days ago, revenue unknown, contact named; founder review: format.</t>
  </si>
  <si>
    <t xml:space="preserve">Acquired Savorista, a decaf and half-caff coffee company (Food Business News, 2026-01-20); 2026 Startup CPG Shelfie finalist, Coffee category (2026-08-06); Matcha Oat Latte cans listed 2026-08-27</t>
  </si>
  <si>
    <t xml:space="preserve">https://startupcpg.com/startup-cpg-shelfie-finalists-2026/</t>
  </si>
  <si>
    <t xml:space="preserve">https://explorercoldbrew.com/pages/meet-the-team</t>
  </si>
  <si>
    <t xml:space="preserve">founder review (format): read founder_review_reason first</t>
  </si>
  <si>
    <t xml:space="preserve">Explorer Cold Brew Oat Latte (choose caffeine level), can 12-pack</t>
  </si>
  <si>
    <t xml:space="preserve">coffee-rtd</t>
  </si>
  <si>
    <t xml:space="preserve">https://explorercoldbrew.com</t>
  </si>
  <si>
    <t xml:space="preserve">HQ and NYC retail not confirmed; 128 oz box is not a fit, only the cans; 60-day shelf life not stated</t>
  </si>
  <si>
    <t xml:space="preserve">No storage statement found in product copy</t>
  </si>
  <si>
    <t xml:space="preserve">unknown (Dathic locator not readable)</t>
  </si>
  <si>
    <t xml:space="preserve">Cason Crane</t>
  </si>
  <si>
    <t xml:space="preserve">Meet the Team page. LinkedIn URL from the Startup CPG podcast "Founder Feature: Cason Crane" episode links (2024-11-22, public feed); LinkedIn not opened.</t>
  </si>
  <si>
    <t xml:space="preserve">Michael O'Hagan</t>
  </si>
  <si>
    <t xml:space="preserve">Michael</t>
  </si>
  <si>
    <t xml:space="preserve">O'Hagan</t>
  </si>
  <si>
    <t xml:space="preserve">Head of Ecommerce and Growth (consultant)</t>
  </si>
  <si>
    <t xml:space="preserve">The Org (updated 2024-11-01): consultant role since 2022. Not on the brand's Meet the Team page, so he may have left. Growth, not a marketing title.</t>
  </si>
  <si>
    <t xml:space="preserve">BR3:46</t>
  </si>
  <si>
    <t xml:space="preserve">Founded 2020 (meet-the-team). Caffeine-level choice (decaf, half-caff) is an office-friendly angle. Matcha date is Shopify publish date.</t>
  </si>
  <si>
    <t xml:space="preserve">hq_city &lt;- https://explorercoldbrew.com/policies/privacy-policy (2026-10-24, opened); hq_state &lt;- https://explorercoldbrew.com/policies/privacy-policy (2026-10-24, opened); why_now &lt;- https://www.foodbusinessnews.net/articles/29640-explorer-cold-brew-grows-coffee-portfolio-through-acquisition (2026-10-24, opened); why_now_date &lt;- https://startupcpg.com/startup-cpg-shelfie-finalists-2026/ (2026-10-24, opened); founder_title &lt;- https://www.foodbusinessnews.net/articles/29640-explorer-cold-brew-grows-coffee-portfolio-through-acquisition (2026-10-24, opened); </t>
  </si>
  <si>
    <t xml:space="preserve">https://theorg.com/org/explorer-cold-brew/person/michael-ohagan</t>
  </si>
  <si>
    <t xml:space="preserve">2024-11-01</t>
  </si>
  <si>
    <t xml:space="preserve">AB-222</t>
  </si>
  <si>
    <t xml:space="preserve">Shinzo Matcha</t>
  </si>
  <si>
    <t xml:space="preserve">Zach</t>
  </si>
  <si>
    <t xml:space="preserve">Hayworth</t>
  </si>
  <si>
    <t xml:space="preserve">New York City brand, no graded store within ten blocks, online store only, news 176 days ago, revenue unknown, contact named; founder review: claim-borderline.</t>
  </si>
  <si>
    <t xml:space="preserve">Launched sparkling matcha soda in 8.4 oz cans at 30+ NYC specialty grocers; 2026 Shelfie Award finalist (Tea)</t>
  </si>
  <si>
    <t xml:space="preserve">https://startupcpg.com/startup-cpg-newswire-shinzo-matcha-launches-sparkling-matcha-soda/</t>
  </si>
  <si>
    <t xml:space="preserve">https://shinzomatcha.com/pages/for-work</t>
  </si>
  <si>
    <t xml:space="preserve">find Zach Hayworth at Shinzo Matcha on LinkedIn and paste the profile URL; founder review (claim-borderline): read founder_review_reason first</t>
  </si>
  <si>
    <t xml:space="preserve">Yuzu Mint Sparkling Matcha, 8.4 oz can (also Coconut Mango); matcha latte stick packs</t>
  </si>
  <si>
    <t xml:space="preserve">tea-juice</t>
  </si>
  <si>
    <t xml:space="preserve">New York (privacy policy: 169 Madison Ave, Ste 38135, New York, NY 10016, a mailbox-style suite; release: 'a New York-based beverage brand')</t>
  </si>
  <si>
    <t xml:space="preserve">https://shinzomatcha.com</t>
  </si>
  <si>
    <t xml:space="preserve">Caffeinated matcha with energy positioning ('smooth, steady energy', 'delicious and healthy'); sparkling RTD launched April 2026, shelf life not stated; 60-day shelf life not stated</t>
  </si>
  <si>
    <t xml:space="preserve">Canned RTD sold in beverage aisle per release; storage and shelf life not stated, founder to confirm</t>
  </si>
  <si>
    <t xml:space="preserve">Westside Market (NYC; specific location not stated) (unverified, unplaced)</t>
  </si>
  <si>
    <t xml:space="preserve">30+ NYC specialty grocers incl. Westside Market, Gourmet Fresh, Dumbo Market (release); online</t>
  </si>
  <si>
    <t xml:space="preserve">Zach Hayworth</t>
  </si>
  <si>
    <t xml:space="preserve">Release quotes "co-founder Zach Hayworth". One web search found no other co-founder.</t>
  </si>
  <si>
    <t xml:space="preserve">BR4:17</t>
  </si>
  <si>
    <t xml:space="preserve">Has a 'Matcha for Work' page offering bulk workplace pricing; lists General Catalyst and Kleiner Perkins as workplace customers. Also a BevNET Live NYC 2026 New Beverage Showdown semifinalist (search-result snippet, not opened). Westside Market has several Manhattan stores, incl. 77 7th Ave; which one stocks it is not stated.</t>
  </si>
  <si>
    <t xml:space="preserve">hq_city &lt;- https://shinzomatcha.com/policies/privacy-policy (2026-10-24, opened); </t>
  </si>
  <si>
    <t xml:space="preserve">AB-278</t>
  </si>
  <si>
    <t xml:space="preserve">Doosra</t>
  </si>
  <si>
    <t xml:space="preserve">Kartik</t>
  </si>
  <si>
    <t xml:space="preserve">Das</t>
  </si>
  <si>
    <t xml:space="preserve">https://www.linkedin.com/in/daskartik/</t>
  </si>
  <si>
    <t xml:space="preserve">New York City brand, no graded store within ten blocks, online store only, a new store listing 8 days ago, revenue unknown, contact named.</t>
  </si>
  <si>
    <t xml:space="preserve">Launched The Gift Box (bowl, spoon and 4 oz bags of each flavor) for the 2026 holidays</t>
  </si>
  <si>
    <t xml:space="preserve">https://eatdoosra.com/products.json</t>
  </si>
  <si>
    <t xml:space="preserve">2026-10-16</t>
  </si>
  <si>
    <t xml:space="preserve">https://www.entrepreneurspace.org/clients</t>
  </si>
  <si>
    <t xml:space="preserve">https://eatdoosra.com/pages/about</t>
  </si>
  <si>
    <t xml:space="preserve">Doosra Peanut &amp; Caramelized White Chocolate Indian snack mix, 4 oz bag</t>
  </si>
  <si>
    <t xml:space="preserve">Queens</t>
  </si>
  <si>
    <t xml:space="preserve">https://eatdoosra.com</t>
  </si>
  <si>
    <t xml:space="preserve">Dry snack mix in sealed bags sold online and in groceries; shelf life not stated</t>
  </si>
  <si>
    <t xml:space="preserve">Pearl River Mart Foods (unverified, 13.2 blocks out)</t>
  </si>
  <si>
    <t xml:space="preserve">Pearl River Mart Foods (Chelsea Market); Pearl River Mart (452 Broadway); Fonty's; Desi Galli; Happier Grocery; Jubilee Marketplace; Food Cellar Market; The Goods Mart (brand Stockist locator)</t>
  </si>
  <si>
    <t xml:space="preserve">https://stockist.co/api/v1/u18827/locations/search?latitude=40.7411&amp;longitude=-73.9897&amp;distance=5 (widget on https://eatdoosra.com/pages/store-locator)</t>
  </si>
  <si>
    <t xml:space="preserve">Kartik Das</t>
  </si>
  <si>
    <t xml:space="preserve">About page signed Kartik Das. LinkedIn URL from the Startup CPG podcast "Founder Feature: Kartik Das of Doosra" episode links (2026-02-06, public feed); LinkedIn not opened.</t>
  </si>
  <si>
    <t xml:space="preserve">https://www.instagram.com/eatdoosra/</t>
  </si>
  <si>
    <t xml:space="preserve">BR5:14</t>
  </si>
  <si>
    <t xml:space="preserve">Entrepreneur Space (QEDC, Long Island City) current client: 'Doosra, Indian Snack Mix'. About page: 'proudly made in Queens, New York in small batches'. Startup CPG search returned only a 2024 Shelfie finalist post, which is older than 12 months, so startup_cpg_member stays unknown.</t>
  </si>
  <si>
    <t xml:space="preserve">AB-174</t>
  </si>
  <si>
    <t xml:space="preserve">OOSO Sparkling Tea</t>
  </si>
  <si>
    <t xml:space="preserve">Oliver</t>
  </si>
  <si>
    <t xml:space="preserve">Spring</t>
  </si>
  <si>
    <t xml:space="preserve">https://www.linkedin.com/in/oliverhspring/</t>
  </si>
  <si>
    <t xml:space="preserve">New York City brand, no graded store within ten blocks, online store only, a new store listing 37 days ago, revenue unknown, contact named plus a marketing lead; founder review: claim-borderline.</t>
  </si>
  <si>
    <t xml:space="preserve">New flavors added: Chamomile Peach Yuzu (2026-06-01) and Mint Limeade, Hibiscus Raspberry, Earl Grey Lemonade (2026-09-17)</t>
  </si>
  <si>
    <t xml:space="preserve">https://drinkooso.com/products.json</t>
  </si>
  <si>
    <t xml:space="preserve">https://drinkooso.com/pages/faqs</t>
  </si>
  <si>
    <t xml:space="preserve">founder review (claim-borderline): read founder_review_reason first</t>
  </si>
  <si>
    <t xml:space="preserve">https://theorg.com/org/ooso-sparkling-tea/person/oliver-spring</t>
  </si>
  <si>
    <t xml:space="preserve">OOSO Hibiscus Ginger Currant caffeine-free sparkling tea, can</t>
  </si>
  <si>
    <t xml:space="preserve">https://drinkooso.com</t>
  </si>
  <si>
    <t xml:space="preserve">Startup CPG describes 'functional ingredients' (no claim seen on pages read; check label); positioned as a wine alternative. HQ and NYC store not confirmed</t>
  </si>
  <si>
    <t xml:space="preserve">FAQ: 'OOSO is shelf stable and lasts 18 months after production when stored in a cool, dry environment' (drinkooso.com/pages/faqs, opened 2026-10-23)</t>
  </si>
  <si>
    <t xml:space="preserve">Pop Up Grocer (directory); 'bars, restaurants, and retailers all across the country' (FAQ); stockist page not readable</t>
  </si>
  <si>
    <t xml:space="preserve">https://drinkooso.com/pages/ooso-irl</t>
  </si>
  <si>
    <t xml:space="preserve">https://startupcpg.com/shelfie-awards-2025-meet-the-winners/</t>
  </si>
  <si>
    <t xml:space="preserve">Oliver Spring</t>
  </si>
  <si>
    <t xml:space="preserve">The Org (updated 2026-10-14): CEO &amp; Co-founder. Team page lists him as co-founder. LinkedIn URL from the Startup CPG podcast "Founder Feature: Ollie &amp; Sophie Spring of OOSO Sparkling Tea" episode links (2025-10-10, public feed); LinkedIn not opened. Stage 1 had Sophia in the founder slot; swapped because she leads marketing.</t>
  </si>
  <si>
    <t xml:space="preserve">Sophia Racciatti</t>
  </si>
  <si>
    <t xml:space="preserve">Racciatti</t>
  </si>
  <si>
    <t xml:space="preserve">Co-founder (leads marketing)</t>
  </si>
  <si>
    <t xml:space="preserve">Team page: co-founder who has "masterminded everything from how to market OOSO". The podcast episode title calls her Sophie Spring; she may use either surname. LinkedIn URL from the same episode links; not opened.</t>
  </si>
  <si>
    <t xml:space="preserve">https://www.linkedin.com/in/sophiaracciatti/</t>
  </si>
  <si>
    <t xml:space="preserve">https://www.instagram.com/drinkooso</t>
  </si>
  <si>
    <t xml:space="preserve">BR3:48</t>
  </si>
  <si>
    <t xml:space="preserve">2025 Startup CPG Shelfie winner, Non-Alcoholic (page dated 2025-09-03). Caffeine-free and sweetened only with organic honey (FAQ). Dates are Shopify publish dates.</t>
  </si>
  <si>
    <t xml:space="preserve">hq_city &lt;- https://drinkooso.com/policies/terms-of-service (2026-10-24, opened); hq_state &lt;- https://drinkooso.com/policies/terms-of-service (2026-10-24, opened); marketing_name &lt;- https://thingtesting.com/stories/industry-watch-ooso (2026-10-24, opened); marketing_title &lt;- https://thingtesting.com/stories/industry-watch-ooso (2026-10-24, opened); marketing_profile_url &lt;- https://startupcpg.com/portfolio/founder-feature-ollie-sophie-spring-of-ooso-sparkling-tea-2/ (2026-10-24, opened); </t>
  </si>
  <si>
    <t xml:space="preserve">https://drinkooso.com/pages/the-team</t>
  </si>
  <si>
    <t xml:space="preserve">2026-10-14</t>
  </si>
  <si>
    <t xml:space="preserve">AB-117</t>
  </si>
  <si>
    <t xml:space="preserve">GoMacro</t>
  </si>
  <si>
    <t xml:space="preserve">Jola</t>
  </si>
  <si>
    <t xml:space="preserve">Sonkin</t>
  </si>
  <si>
    <t xml:space="preserve">Brand based outside the Northeast, store page shows Whole Foods Market NoMad inside the cluster, news 137 days ago, revenue unknown, contact named plus a marketing lead; founder review: scale, claim-borderline.</t>
  </si>
  <si>
    <t xml:space="preserve">Launched MacroSquare, its first new product format in six years, exclusively at Whole Foods Market nationwide</t>
  </si>
  <si>
    <t xml:space="preserve">https://www.snackandbakery.com/articles/115859-gomacro-launches-its-first-new-product-format-in-six-years</t>
  </si>
  <si>
    <t xml:space="preserve">https://gomacro.com/pages/our-story</t>
  </si>
  <si>
    <t xml:space="preserve">find Jola Sonkin at GoMacro on LinkedIn and paste the profile URL (this also confirms the name: The Org is crowd-edited); before using the retailer line, check Whole Foods Market NoMad still lists it: https://www.wholefoodsmarket.com/search?text=GoMacro with your store set to NoMad (catalogs change daily); founder review (scale, claim-borderline): read founder_review_reason first</t>
  </si>
  <si>
    <t xml:space="preserve">https://theorg.com/org/gomacro/person/jola-sonkin</t>
  </si>
  <si>
    <t xml:space="preserve">MacroBar Organic Vegan Protein Bar; MacroSquare (Dark Chocolate Nuts + Sea Salt)</t>
  </si>
  <si>
    <t xml:space="preserve">Viola</t>
  </si>
  <si>
    <t xml:space="preserve">https://gomacro.com</t>
  </si>
  <si>
    <t xml:space="preserve">33 to 39 SKUs at each cluster WFM suggests scale above the band; protein positioning; kids MacroBar line; 60-day shelf life not stated</t>
  </si>
  <si>
    <t xml:space="preserve">Wrapped bars sold ambient at Whole Foods; shelf-life figure not found</t>
  </si>
  <si>
    <t xml:space="preserve">Whole Foods; store locator</t>
  </si>
  <si>
    <t xml:space="preserve">https://www.wholefoodsmarket.com/api/search?text=gomacro&amp;store=10162&amp;limit=60&amp;offset=0; https://www.wholefoodsmarket.com/api/search?text=gomacro&amp;store=10773&amp;limit=60&amp;offset=0; https://www.wholefoodsmarket.com/api/search?text=gomacro&amp;store=10131&amp;limit=60&amp;offset=0</t>
  </si>
  <si>
    <t xml:space="preserve">Jola Sonkin</t>
  </si>
  <si>
    <t xml:space="preserve">The Org (updated 2026-08-30): "CEO | Co-Founder". Brand story page: Amelia Kirchoff began GoMacro with her daughter, Jola. Fills the stage-1 surname gap.</t>
  </si>
  <si>
    <t xml:space="preserve">Dan Hickle</t>
  </si>
  <si>
    <t xml:space="preserve">Dan</t>
  </si>
  <si>
    <t xml:space="preserve">Hickle</t>
  </si>
  <si>
    <t xml:space="preserve">SVP, Head of Marketing</t>
  </si>
  <si>
    <t xml:space="preserve">The Org (updated 2026-01-18): since 2025.</t>
  </si>
  <si>
    <t xml:space="preserve">https://www.instagram.com/gomacro/</t>
  </si>
  <si>
    <t xml:space="preserve">BR2:55</t>
  </si>
  <si>
    <t xml:space="preserve">Founded 2004. Why-now from Shopify publish dates.</t>
  </si>
  <si>
    <t xml:space="preserve">hq_city &lt;- https://gomacro.com/policies/contact-information (2026-10-24, opened); why_now &lt;- https://www.snackandbakery.com/articles/115859-gomacro-launches-its-first-new-product-format-in-six-years (2026-10-24, opened); why_now_url &lt;- https://www.snackandbakery.com/articles/115859-gomacro-launches-its-first-new-product-format-in-six-years (2026-10-24, opened); why_now_date &lt;- https://www.snackandbakery.com/articles/115859-gomacro-launches-its-first-new-product-format-in-six-years (2026-10-24, opened); </t>
  </si>
  <si>
    <t xml:space="preserve">https://theorg.com/org/gomacro/person/dan-hickle</t>
  </si>
  <si>
    <t xml:space="preserve">2026-08-30</t>
  </si>
  <si>
    <t xml:space="preserve">2026-01-18</t>
  </si>
  <si>
    <t xml:space="preserve">AB-034</t>
  </si>
  <si>
    <t xml:space="preserve">Reelie (formerly Artisan Tropic)</t>
  </si>
  <si>
    <t xml:space="preserve">Juan</t>
  </si>
  <si>
    <t xml:space="preserve">Nino</t>
  </si>
  <si>
    <t xml:space="preserve">Brand based outside the Northeast, store page shows Whole Foods Market NoMad inside the cluster, a new store listing 213 days ago, revenue unknown, marketing lead named (founder not confirmed).</t>
  </si>
  <si>
    <t xml:space="preserve">Rebranded from Artisan Tropic to Reelie and relaunched brand store (new Serrano Lime Cassava Chips)</t>
  </si>
  <si>
    <t xml:space="preserve">https://www.reelie.com/products/serrano-lime-cassava-chips</t>
  </si>
  <si>
    <t xml:space="preserve">https://www.reelie.com/pages/reelie-about-us</t>
  </si>
  <si>
    <t xml:space="preserve">find Juan Nino at Reelie (formerly Artisan Tropic) on LinkedIn and paste the profile URL; the source is dated 2021: check Juan still holds the role; before using the retailer line, check Whole Foods Market NoMad still lists it: https://www.wholefoodsmarket.com/search?text=Reelie with your store set to NoMad (catalogs change daily)</t>
  </si>
  <si>
    <t xml:space="preserve">https://accelerators.target.com/alumni-stories/meet-artisan-tropic-of-target-takeoff-food-beverage-2021/</t>
  </si>
  <si>
    <t xml:space="preserve">Reelie Sea Salt Plantain Chips; single-serve 1 oz 6-pack at WFM</t>
  </si>
  <si>
    <t xml:space="preserve">Charlotte</t>
  </si>
  <si>
    <t xml:space="preserve">https://www.reelie.com</t>
  </si>
  <si>
    <t xml:space="preserve">NC</t>
  </si>
  <si>
    <t xml:space="preserve">Bagged plantain and cassava chips and grain-free crackers, ambient</t>
  </si>
  <si>
    <t xml:space="preserve">https://www.wholefoodsmarket.com/search?text=artisan%20tropic (Union Square, NoMad, Chelsea contexts: plantain chips, cassava chips, crackers IN_STOCK 2026-10-23)</t>
  </si>
  <si>
    <t xml:space="preserve">Juan Nino</t>
  </si>
  <si>
    <t xml:space="preserve">Target Takeoff interview (2021): "Juan Nino, Director of Marketing". Five years old, before the rename to Reelie. Stage 1 had him in the founder slot.</t>
  </si>
  <si>
    <t xml:space="preserve">Jose Nino</t>
  </si>
  <si>
    <t xml:space="preserve">Jose</t>
  </si>
  <si>
    <t xml:space="preserve">Director of Sales</t>
  </si>
  <si>
    <t xml:space="preserve">Same 2021 interview.</t>
  </si>
  <si>
    <t xml:space="preserve">BR1:35</t>
  </si>
  <si>
    <t xml:space="preserve">Entity Artisan Tropic LLC, office in Charlotte NC (contact page). artisantropic.com redirects to reelie.com. Seed-oil-free positioning.</t>
  </si>
  <si>
    <t xml:space="preserve">marketing_name &lt;- https://accelerators.target.com/alumni-stories/meet-artisan-tropic-of-target-takeoff-food-beverage-2021/ (2026-10-24, opened); marketing_title &lt;- https://accelerators.target.com/alumni-stories/meet-artisan-tropic-of-target-takeoff-food-beverage-2021/ (2026-10-24, opened); marketing_profile_url &lt;- https://accelerators.target.com/alumni-stories/meet-artisan-tropic-of-target-takeoff-food-beverage-2021/ (2026-10-24, opened); founder_name &lt;- https://accelerators.target.com/alumni-stories/meet-artisan-tropic-of-target-takeoff-food-beverage-2021/ (2026-10-24, opened); </t>
  </si>
  <si>
    <t xml:space="preserve">2021</t>
  </si>
  <si>
    <t xml:space="preserve">AB-104</t>
  </si>
  <si>
    <t xml:space="preserve">88 Acres</t>
  </si>
  <si>
    <t xml:space="preserve">Nicole</t>
  </si>
  <si>
    <t xml:space="preserve">Ledoux</t>
  </si>
  <si>
    <t xml:space="preserve">Northeast brand, store page shows Whole Foods Market NoMad inside the cluster, no dated why-now in the last 12 months, revenue unknown, contact named plus a marketing lead; founder review: claim-borderline.</t>
  </si>
  <si>
    <t xml:space="preserve">https://88acres.com/pages/our-story</t>
  </si>
  <si>
    <t xml:space="preserve">find Nicole Ledoux at 88 Acres on LinkedIn and paste the profile URL; the source is dated 2023-03-06: check Nicole still holds the role; before using the retailer line, check Whole Foods Market NoMad still lists it: https://www.wholefoodsmarket.com/search?text=88%20Acres with your store set to NoMad (catalogs change daily); founder review (claim-borderline): read founder_review_reason first</t>
  </si>
  <si>
    <t xml:space="preserve">Cookies and Cream Seed + Oat Bar; Dark Chocolate Brownie Seed Protein Bar 1.9 oz</t>
  </si>
  <si>
    <t xml:space="preserve">Canton</t>
  </si>
  <si>
    <t xml:space="preserve">https://88acres.com</t>
  </si>
  <si>
    <t xml:space="preserve">Protein bar line (nutrient-content positioning); allergen-friendly</t>
  </si>
  <si>
    <t xml:space="preserve">Brand FAQ: 'Seed Bars have a 12-month shelf life.'</t>
  </si>
  <si>
    <t xml:space="preserve">4,000+ stores (brand store locator page); Whole Foods</t>
  </si>
  <si>
    <t xml:space="preserve">https://www.wholefoodsmarket.com/api/search?text=88%20acres&amp;store=10162&amp;limit=60&amp;offset=0; https://www.wholefoodsmarket.com/api/search?text=88%20acres&amp;store=10773&amp;limit=60&amp;offset=0; https://www.wholefoodsmarket.com/api/search?text=88%20acres&amp;store=10131&amp;limit=60&amp;offset=0</t>
  </si>
  <si>
    <t xml:space="preserve">Nicole Ledoux</t>
  </si>
  <si>
    <t xml:space="preserve">Stage 3 (entered the top 60). The brand's Our Story page (opened 2026-10-24): 'Co-founder Nicole Ledoux grew up on an 88-acre farm'. The Org (https://theorg.com/org/88-acres, opened 2026-10-24, updated 2023-03-06) lists her as Co-founder &amp; CEO.</t>
  </si>
  <si>
    <t xml:space="preserve">Luke Jarvis</t>
  </si>
  <si>
    <t xml:space="preserve">Luke</t>
  </si>
  <si>
    <t xml:space="preserve">Jarvis</t>
  </si>
  <si>
    <t xml:space="preserve">Director of Performance Marketing</t>
  </si>
  <si>
    <t xml:space="preserve">The Org org chart (opened 2026-10-24); his position was last updated 2023-03-06, so it may be stale. Founder to confirm on LinkedIn before using.</t>
  </si>
  <si>
    <t xml:space="preserve">https://www.instagram.com/88acres/</t>
  </si>
  <si>
    <t xml:space="preserve">BR2:42</t>
  </si>
  <si>
    <t xml:space="preserve">Northeast brand (Boston). Last new SKU on brand store dated 2025-10-02, outside the 12-month window.</t>
  </si>
  <si>
    <t xml:space="preserve">shelf_stable &lt;- https://88acres.com/pages/faq (2026-10-24, opened); shelf_stable_basis &lt;- https://88acres.com/pages/faq (2026-10-24, opened); hq_city &lt;- https://88acres.com/pages/contact-us (2026-10-24, opened); </t>
  </si>
  <si>
    <t xml:space="preserve">https://theorg.com/org/88-acres</t>
  </si>
  <si>
    <t xml:space="preserve">stage 3</t>
  </si>
  <si>
    <t xml:space="preserve">2023-03-06</t>
  </si>
  <si>
    <t xml:space="preserve">AB-173</t>
  </si>
  <si>
    <t xml:space="preserve">JONI</t>
  </si>
  <si>
    <t xml:space="preserve">Claire</t>
  </si>
  <si>
    <t xml:space="preserve">Matern</t>
  </si>
  <si>
    <t xml:space="preserve">New York City brand, no graded store within ten blocks, online store only, news 79 days ago, revenue unknown, contact named; founder review: alcohol-adjacent.</t>
  </si>
  <si>
    <t xml:space="preserve">2026 Startup CPG Shelfie Award finalist, Non-Alcoholic category; new Discovery Pack listed 2026-05-05</t>
  </si>
  <si>
    <t xml:space="preserve">https://drinkjoni.com/pages/our-story</t>
  </si>
  <si>
    <t xml:space="preserve">find Claire Matern at JONI on LinkedIn and paste the profile URL; founder review (alcohol-adjacent): read founder_review_reason first</t>
  </si>
  <si>
    <t xml:space="preserve">https://andreastrong.substack.com/p/please-meet-joni</t>
  </si>
  <si>
    <t xml:space="preserve">JONI Blanc verjus drink (non-alcoholic), can</t>
  </si>
  <si>
    <t xml:space="preserve">other-drink</t>
  </si>
  <si>
    <t xml:space="preserve">https://drinkjoni.com</t>
  </si>
  <si>
    <t xml:space="preserve">Wine-adjacent product (verjus from pre-harvest wine grapes) sold mostly in wine and bottle shops; confirm 0.0% ABV and label. HQ not found; 60-day shelf life not stated</t>
  </si>
  <si>
    <t xml:space="preserve">No storage statement found</t>
  </si>
  <si>
    <t xml:space="preserve">Big Night West Village (brand_claim, 13.1 blocks out)</t>
  </si>
  <si>
    <t xml:space="preserve">Big Night (Greenpoint, West Village); Beer Table Grand Central; Willoughby General; Minus Moonshine; Vinal General Store (brand closeBy locator)</t>
  </si>
  <si>
    <t xml:space="preserve">https://drinkjoni.com/pages/find-joni</t>
  </si>
  <si>
    <t xml:space="preserve">Claire Matern</t>
  </si>
  <si>
    <t xml:space="preserve">The Strong Buzz newsletter: "Joni was launched in January by Claire Matern".</t>
  </si>
  <si>
    <t xml:space="preserve">BR3:47</t>
  </si>
  <si>
    <t xml:space="preserve">Locator text read 2026-10-23; only one Manhattan point between 4th and 40th St (Beer Table is at Grand Central, 42nd St, outside the band).</t>
  </si>
  <si>
    <t xml:space="preserve">hq_city &lt;- https://drinkjoni.com/policies/contact-information (2026-10-24, opened); hq_state &lt;- https://drinkjoni.com/policies/contact-information (2026-10-24, opened); founder_name &lt;- https://andreastrong.substack.com/p/please-meet-joni (2026-10-24, opened); founder_title &lt;- https://andreastrong.substack.com/p/please-meet-joni (2026-10-24, opened); founder_profile_url &lt;- https://andreastrong.substack.com/p/please-meet-joni (2026-10-24, opened); </t>
  </si>
  <si>
    <t xml:space="preserve">AB-217</t>
  </si>
  <si>
    <t xml:space="preserve">UMAMI GRANOLA</t>
  </si>
  <si>
    <t xml:space="preserve">Cindy</t>
  </si>
  <si>
    <t xml:space="preserve">Lam</t>
  </si>
  <si>
    <t xml:space="preserve">New York City brand, no graded store within ten blocks, online store only, news 65 days ago, revenue unknown, contact named; founder review: under-floor, format.</t>
  </si>
  <si>
    <t xml:space="preserve">Retail debut at Pearl River Mart Foods in Chelsea Market, NYC</t>
  </si>
  <si>
    <t xml:space="preserve">https://startupcpg.com/startup-cpg-newswire-umami-granola-makes-its-retail-debut/</t>
  </si>
  <si>
    <t xml:space="preserve">2026-08-20</t>
  </si>
  <si>
    <t xml:space="preserve">find Cindy Lam at UMAMI GRANOLA on LinkedIn and paste the profile URL; founder review (under-floor, format): read founder_review_reason first</t>
  </si>
  <si>
    <t xml:space="preserve">Dau-Si-Do dim sum granola, 8 oz pouch</t>
  </si>
  <si>
    <t xml:space="preserve">Brooklyn (privacy policy: 999 Atlantic Avenue, Brooklyn NY 11238)</t>
  </si>
  <si>
    <t xml:space="preserve">https://umamigranola.com</t>
  </si>
  <si>
    <t xml:space="preserve">8 oz pouches, not single-serve; first-year brand may be below the $500k floor (no sales figure); granola is snack-adjacent</t>
  </si>
  <si>
    <t xml:space="preserve">under-floor;format</t>
  </si>
  <si>
    <t xml:space="preserve">Granola in pouches sold ambient; no shelf-life figure published, founder to confirm</t>
  </si>
  <si>
    <t xml:space="preserve">No sales figure published. Launched DTC May 2026, first retail Aug 2026 (Startup CPG 2026-08-20): early stage, band founder to confirm</t>
  </si>
  <si>
    <t xml:space="preserve">Pearl River Mart Foods (brand_claim, 11.4 blocks out)</t>
  </si>
  <si>
    <t xml:space="preserve">Pearl River Mart Foods (Chelsea Market); Here Here Market; online</t>
  </si>
  <si>
    <t xml:space="preserve">Cindy Lam</t>
  </si>
  <si>
    <t xml:space="preserve">Release (2026-08-20): "Cindy Lam, Founder of UMAMI GRANOLA".</t>
  </si>
  <si>
    <t xml:space="preserve">BR4:12</t>
  </si>
  <si>
    <t xml:space="preserve">AAPI-founded, woman-owned, Brooklyn-made (release). revenue_band 'under-500k' rests on launch timing only (DTC May 2026); treat as founder to confirm. Chelsea Market is at 15th St and 9th Ave, inside the 4th-40th St band.</t>
  </si>
  <si>
    <t xml:space="preserve">hq_city &lt;- https://umamigranola.com/policies/privacy-policy (2026-10-24, opened); </t>
  </si>
  <si>
    <t xml:space="preserve">AB-129</t>
  </si>
  <si>
    <t xml:space="preserve">Wandering Bear Coffee</t>
  </si>
  <si>
    <t xml:space="preserve">Matt</t>
  </si>
  <si>
    <t xml:space="preserve">Bachmann</t>
  </si>
  <si>
    <t xml:space="preserve">New York City brand, no graded store within ten blocks, online store only, news 74 days ago, revenue unknown, contact named plus a marketing lead; founder review: scale, not-emerging, claim-borderline.</t>
  </si>
  <si>
    <t xml:space="preserve">Went national at Target with four 8 oz canned single-serves, a couple of months after a first three-SKU placement</t>
  </si>
  <si>
    <t xml:space="preserve">https://beerinsights.com/archive-article/60627</t>
  </si>
  <si>
    <t xml:space="preserve">https://wanderingbearcoffee.com/pages/about</t>
  </si>
  <si>
    <t xml:space="preserve">find Matt Bachmann at Wandering Bear Coffee on LinkedIn and paste the profile URL; founder review (scale, not-emerging, claim-borderline): read founder_review_reason first</t>
  </si>
  <si>
    <t xml:space="preserve">https://thechangeup.buzzsprout.com/1789177/15420044</t>
  </si>
  <si>
    <t xml:space="preserve">Original Black Cold Brew, 8 fl oz can; Cold Brew Latte 8 oz cans (Vanilla, Mocha, Double)</t>
  </si>
  <si>
    <t xml:space="preserve">https://wanderingbearcoffee.com/collections/single-serve</t>
  </si>
  <si>
    <t xml:space="preserve">Cold Brew Latte marketed on '11g of complete protein per can' (nutrient-content claim). Brand is 12 years old with national Target and Whole Foods; may be above $10M (no sourced figure). Target store-level stock near cluster not checkable</t>
  </si>
  <si>
    <t xml:space="preserve">scale;not-emerging;claim-borderline</t>
  </si>
  <si>
    <t xml:space="preserve">https://wanderingbearcoffee.com</t>
  </si>
  <si>
    <t xml:space="preserve">Series A ($8M, 2018)</t>
  </si>
  <si>
    <t xml:space="preserve">https://www.foodnavigator.com/Article/2018/02/08/Wandering-Bear-aims-to-push-cold-brew-category-in-positive-direction-with-8M-in-series-A-funds/</t>
  </si>
  <si>
    <t xml:space="preserve">Target product page for 8 fl oz can: 'Shelf-stable before opening' (opened 2026-10-23). Note the boxes and cartons are positioned for the fridge; only the 8 oz cans and 11 oz single-serve cartons fit</t>
  </si>
  <si>
    <t xml:space="preserve">No press revenue figure found. Data aggregator Prospeo lists about 19M annual revenue (estimate, not company-reported; unverified, founder to confirm). BevNET 2020 snippet: the office channel had been roughly 50-60% of revenue before the pandemic</t>
  </si>
  <si>
    <t xml:space="preserve">Target (national, 8 oz cans, 2026); Whole Foods (Cold Brew Latte launched as Whole Foods exclusive 2025); Costco; Kings (2018 press)</t>
  </si>
  <si>
    <t xml:space="preserve">https://beerinsights.com/archive-article/60627; https://www.target.com/p/wandering-bear-coffee-original-black-cold-brew-8-fl-oz/-/A-95095911</t>
  </si>
  <si>
    <t xml:space="preserve">Matt Bachmann</t>
  </si>
  <si>
    <t xml:space="preserve">Stage 3 (entered the top 60). The Changeup podcast episode page (opened 2026-10-24): 'Matt Bachmann, CEO &amp; Co-Founder of Wandering Bear Coffee'. The brand's About page (opened) names the founders only as 'Matt and Ben'. The Org (https://theorg.com/org/wandering-bear-coffee, opened) lists him too.</t>
  </si>
  <si>
    <t xml:space="preserve">Ana Madriz</t>
  </si>
  <si>
    <t xml:space="preserve">Madriz</t>
  </si>
  <si>
    <t xml:space="preserve">VP, Brand Marketing</t>
  </si>
  <si>
    <t xml:space="preserve">The Org org chart (opened 2026-10-24): Brand Marketing team; position updated 2026-06-26.</t>
  </si>
  <si>
    <t xml:space="preserve">BR3:3</t>
  </si>
  <si>
    <t xml:space="preserve">About page: founded 2014 by 'Matt and Ben', first brewed in a Queens facility. Co-founder Ben Gordon named in Columbia Entrepreneurship search snippets (not opened; unverified, founder to confirm). Already sells B2B office subscriptions (FoodNavigator 2018), so offices are a familiar channel. Target.com lists the 8 oz can at $3.99.</t>
  </si>
  <si>
    <t xml:space="preserve">marketing_title &lt;- https://coralcoast9219.kardow.com/companies/wandering-bear-coffee/jobs/brand-marketing-manager-70e2ebfddfd7463a9e5e7e777c2087c9 (2026-10-24, opened); founder_title &lt;- https://thechangeup.buzzsprout.com/1789177/15420044 (2026-10-24, opened); revenue_basis &lt;- https://prospeo.io/c/wandering-bear-coffee-revenue (2026-10-24, snippet-unverified); </t>
  </si>
  <si>
    <t xml:space="preserve">https://theorg.com/org/wandering-bear-coffee</t>
  </si>
  <si>
    <t xml:space="preserve">2026-06-26</t>
  </si>
  <si>
    <t xml:space="preserve">AB-086</t>
  </si>
  <si>
    <t xml:space="preserve">Joyride</t>
  </si>
  <si>
    <t xml:space="preserve">Tyler</t>
  </si>
  <si>
    <t xml:space="preserve">Merrick</t>
  </si>
  <si>
    <t xml:space="preserve">Brand based outside the Northeast, store page shows Whole Foods Market NoMad inside the cluster, news 36 days ago, revenue unknown, contact named plus a marketing lead; founder review: scale, claim-borderline.</t>
  </si>
  <si>
    <t xml:space="preserve">Limited-edition Halloween flavors and two 30-count trick-or-treat variety packs (individually wrapped) available at Target</t>
  </si>
  <si>
    <t xml:space="preserve">https://www.snackandbakery.com/articles/116352-joyride-gives-halloween-a-bfy-glow-up</t>
  </si>
  <si>
    <t xml:space="preserve">https://www.joyridesweets.com/pages/joyride-story</t>
  </si>
  <si>
    <t xml:space="preserve">find Tyler Merrick at Joyride on LinkedIn and paste the profile URL; before using the retailer line, check Whole Foods Market NoMad still lists it: https://www.wholefoodsmarket.com/search?text=Joyride with your store set to NoMad (catalogs change daily); founder review (scale, claim-borderline): read founder_review_reason first</t>
  </si>
  <si>
    <t xml:space="preserve">Sour Strawberries Gummies 3.5 oz; Fruit Zips Chewy Candy 3.5 oz</t>
  </si>
  <si>
    <t xml:space="preserve">https://www.joyridesweets.com</t>
  </si>
  <si>
    <t xml:space="preserve">'Less sugar' allulose-sweetened 'better-for-you' candy (nutrient-content positioning); creator-backed brand (YouTuber co-founder) may be above size band; 60-day shelf life not stated</t>
  </si>
  <si>
    <t xml:space="preserve">Packaged gummy candy sold ambient at Whole Foods; shelf-life figure not published</t>
  </si>
  <si>
    <t xml:space="preserve">https://www.wholefoodsmarket.com/api/search?text=joyride&amp;store=10162&amp;limit=60&amp;offset=0; https://www.wholefoodsmarket.com/api/search?text=joyride&amp;store=10773&amp;limit=60&amp;offset=0; https://www.wholefoodsmarket.com/api/search?text=joyride&amp;store=10131&amp;limit=60&amp;offset=0</t>
  </si>
  <si>
    <t xml:space="preserve">Tyler Merrick</t>
  </si>
  <si>
    <t xml:space="preserve">Brand story page.</t>
  </si>
  <si>
    <t xml:space="preserve">Ryan Trahan</t>
  </si>
  <si>
    <t xml:space="preserve">Ryan</t>
  </si>
  <si>
    <t xml:space="preserve">Trahan</t>
  </si>
  <si>
    <t xml:space="preserve">Chief Creative Officer and co-owner</t>
  </si>
  <si>
    <t xml:space="preserve">Candy Industry 2026-06-11: "chief creative officer and co-owner Ryan Trahan". He is a large YouTube creator; expect a gatekept inbox.</t>
  </si>
  <si>
    <t xml:space="preserve">https://www.instagram.com/JoyrideSweets/</t>
  </si>
  <si>
    <t xml:space="preserve">BR2:23</t>
  </si>
  <si>
    <t xml:space="preserve">Founded 2022. Locator page has no machine-readable store list. Why-now date from Shopify publish date.</t>
  </si>
  <si>
    <t xml:space="preserve">why_now &lt;- https://www.snackandbakery.com/articles/116352-joyride-gives-halloween-a-bfy-glow-up (2026-10-24, opened); why_now_url &lt;- https://www.snackandbakery.com/articles/116352-joyride-gives-halloween-a-bfy-glow-up (2026-10-24, opened); why_now_date &lt;- https://www.snackandbakery.com/articles/116352-joyride-gives-halloween-a-bfy-glow-up (2026-10-24, opened); marketing_name &lt;- https://www.snackandbakery.com/articles/115858-joyride-launches-consumer-powered-50-states-challenge (2026-10-24, opened); marketing_title &lt;- https://www.snackandbakery.com/articles/115858-joyride-launches-consumer-powered-50-states-challenge (2026-10-24, opened); marketing_profile_url &lt;- https://www.snackandbakery.com/articles/115858-joyride-launches-consumer-powered-50-states-challenge (2026-10-24, opened); hq_city &lt;- https://www.joyridesweets.com/pages/joyride-story (2026-10-24, opened); hq_state &lt;- https://www.joyridesweets.com/pages/joyride-story (2026-10-24, opened); </t>
  </si>
  <si>
    <t xml:space="preserve">https://www.snackandbakery.com/articles/115858-joyride-launches-consumer-powered-50-states-challenge</t>
  </si>
  <si>
    <t xml:space="preserve">AB-286</t>
  </si>
  <si>
    <t xml:space="preserve">Vermont Nut Free Chocolates</t>
  </si>
  <si>
    <t xml:space="preserve">Mark</t>
  </si>
  <si>
    <t xml:space="preserve">Elvidge</t>
  </si>
  <si>
    <t xml:space="preserve">Northeast brand, store page shows Whole Foods Market Union Square inside the cluster, a new store listing 43 days ago, revenue unknown, contact named; founder review: not-emerging.</t>
  </si>
  <si>
    <t xml:space="preserve">Launched Snack Packs (chocolate covered pretzels, Skipper, trail mix) in September 2026</t>
  </si>
  <si>
    <t xml:space="preserve">https://www.vermontnutfree.com/products.json</t>
  </si>
  <si>
    <t xml:space="preserve">https://events.specialtyfood.com/event/2026-summer-fancy-food-show/exhibitor/RXhoaWJpdG9yXzI0MjMzMzU=</t>
  </si>
  <si>
    <t xml:space="preserve">find Mark Elvidge at Vermont Nut Free Chocolates on LinkedIn and paste the profile URL; before using the retailer line, check Whole Foods Market Union Square still lists it: https://www.wholefoodsmarket.com/search?text=Vermont%20Nut%20Free%20Chocolates with your store set to Union Square (catalogs change daily); founder review (not-emerging): read founder_review_reason first</t>
  </si>
  <si>
    <t xml:space="preserve">https://www.vermontnutfree.com/pages/about-us</t>
  </si>
  <si>
    <t xml:space="preserve">Chocolate Covered Pretzel Snack Packs; Skipper Snack Packs</t>
  </si>
  <si>
    <t xml:space="preserve">South Hero</t>
  </si>
  <si>
    <t xml:space="preserve">https://www.vermontnutfree.com</t>
  </si>
  <si>
    <t xml:space="preserve">Founded 1998, so established rather than emerging; revenue unknown. WFM lists 5 oz pretzel bags; the snack-pack SKU was seen only on the brand site. Chocolate in warm months</t>
  </si>
  <si>
    <t xml:space="preserve">not-emerging</t>
  </si>
  <si>
    <t xml:space="preserve">VT</t>
  </si>
  <si>
    <t xml:space="preserve">Wrapped chocolates and snack packs sold ambient online and at WFM; made in a dedicated peanut and tree nut free facility</t>
  </si>
  <si>
    <t xml:space="preserve">Whole Foods Market Union Square, 4 Union Sq S (store_selector, inside);Whole Foods Market Chelsea, 250 7th Ave (store_selector, 3.0 blocks out)</t>
  </si>
  <si>
    <t xml:space="preserve">Whole Foods Market; online</t>
  </si>
  <si>
    <t xml:space="preserve">https://www.wholefoodsmarket.com/api/search?text=vermont nut free&amp;store=10162 / 10131 / 10713; not listed at NoMad 10773 (store-scoped catalog search; Union Square 10162, NoMad 10773, Chelsea 10131, Manhattan West 10713; opened 2026-10-24)</t>
  </si>
  <si>
    <t xml:space="preserve">Mark Elvidge</t>
  </si>
  <si>
    <t xml:space="preserve">Stage 3 (entered the top 60 after the health-claim scan removed five brands). The brand's About Us page (opened 2026-10-24): 'Vermont Nut Free Chocolate's founders Mark and Gail Elvidge'. Stage 1 had read him as first name only.</t>
  </si>
  <si>
    <t xml:space="preserve">Gail Elvidge</t>
  </si>
  <si>
    <t xml:space="preserve">Gail</t>
  </si>
  <si>
    <t xml:space="preserve">Same About Us page (opened 2026-10-24).</t>
  </si>
  <si>
    <t xml:space="preserve">https://www.instagram.com/vermontnutfree/</t>
  </si>
  <si>
    <t xml:space="preserve">BR5:22</t>
  </si>
  <si>
    <t xml:space="preserve">Nut-free production is a strong office-pantry angle (allergen-safe). SFFS 2026 exhibitor (State: Vermont; brands Vermont Nut Free, Sun Blossoms, TANABAR). About page: moved from the founders' home to a facility in South Hero, Vermont.</t>
  </si>
  <si>
    <t xml:space="preserve">AB-088</t>
  </si>
  <si>
    <t xml:space="preserve">Jonesbar</t>
  </si>
  <si>
    <t xml:space="preserve">Taylor</t>
  </si>
  <si>
    <t xml:space="preserve">Northeast brand, store page shows Whole Foods Market NoMad inside the cluster, no dated why-now in the last 12 months, revenue unknown, contact named; founder review: shelf life not stated.</t>
  </si>
  <si>
    <t xml:space="preserve">https://jonesbar.com/pages/our-story-2</t>
  </si>
  <si>
    <t xml:space="preserve">find Taylor Jones at Jonesbar on LinkedIn and paste the profile URL; before using the retailer line, check Whole Foods Market NoMad still lists it: https://www.wholefoodsmarket.com/search?text=Jonesbar with your store set to NoMad (catalogs change daily); founder review (shelf life or online store): read founder_review_reason first</t>
  </si>
  <si>
    <t xml:space="preserve">Organic Dark Chocolate Almond Bar 1.7 oz; Organic PB &amp; J Bar</t>
  </si>
  <si>
    <t xml:space="preserve">Wall Township</t>
  </si>
  <si>
    <t xml:space="preserve">https://jonesbar.com</t>
  </si>
  <si>
    <t xml:space="preserve">Single wrapped fruit-and-nut bars sold ambient at Whole Foods; shelf-life figure not found</t>
  </si>
  <si>
    <t xml:space="preserve">Whole Foods; Wawa (store-finder links Wawa locator)</t>
  </si>
  <si>
    <t xml:space="preserve">https://www.wholefoodsmarket.com/api/search?text=jonesbar&amp;store=10162&amp;limit=60&amp;offset=0; https://www.wholefoodsmarket.com/api/search?text=jonesbar&amp;store=10773&amp;limit=60&amp;offset=0; https://www.wholefoodsmarket.com/api/search?text=jonesbar&amp;store=10131&amp;limit=60&amp;offset=0</t>
  </si>
  <si>
    <t xml:space="preserve">Taylor Jones</t>
  </si>
  <si>
    <t xml:space="preserve">Our Story page: "taylor jones - founder/ceo".</t>
  </si>
  <si>
    <t xml:space="preserve">https://www.instagram.com/jonesbars/</t>
  </si>
  <si>
    <t xml:space="preserve">BR2:25</t>
  </si>
  <si>
    <t xml:space="preserve">Certified organic, OU kosher; three bars paleo per FAQ. Northeast (NJ shore) founder. No dated signal found.</t>
  </si>
  <si>
    <t xml:space="preserve">hq_city &lt;- https://jonesbar.com/pages/contact (2026-10-24, opened); </t>
  </si>
  <si>
    <t xml:space="preserve">AB-124</t>
  </si>
  <si>
    <t xml:space="preserve">Goodio</t>
  </si>
  <si>
    <t xml:space="preserve">Jukka</t>
  </si>
  <si>
    <t xml:space="preserve">Peltola</t>
  </si>
  <si>
    <t xml:space="preserve">Founder and Chief Creative Officer</t>
  </si>
  <si>
    <t xml:space="preserve">Brand based outside the Northeast, store page shows Whole Foods Market NoMad inside the cluster, a new store listing 43 days ago, revenue unknown, contact named; founder review: claim-borderline.</t>
  </si>
  <si>
    <t xml:space="preserve">Launched Minty Crunch and Cranberry &amp; Rosemary bars (Sept 2026) and holiday advent calendar (Oct 2026)</t>
  </si>
  <si>
    <t xml:space="preserve">https://goodiochocolate.com/</t>
  </si>
  <si>
    <t xml:space="preserve">https://goodiochocolate.com/pages/about-us</t>
  </si>
  <si>
    <t xml:space="preserve">find Jukka Peltola at Goodio on LinkedIn and paste the profile URL; before using the retailer line, check Whole Foods Market NoMad still lists it: https://www.wholefoodsmarket.com/search?text=Goodio with your store set to NoMad (catalogs change daily); founder review (claim-borderline): read founder_review_reason first</t>
  </si>
  <si>
    <t xml:space="preserve">Minty Crunch Chocolate bar; Arriba Chocolate Bar 1.7 oz</t>
  </si>
  <si>
    <t xml:space="preserve">Helsinki</t>
  </si>
  <si>
    <t xml:space="preserve">https://goodiochocolate.com</t>
  </si>
  <si>
    <t xml:space="preserve">Sells functional bars named 'Natural Focus', 'Calm &amp; Balanced' and 'Sweet Dreams' (likely functional ingredients); foreign brand with import logistics; 60-day shelf life not stated</t>
  </si>
  <si>
    <t xml:space="preserve">Finland</t>
  </si>
  <si>
    <t xml:space="preserve">https://www.wholefoodsmarket.com/api/search?text=goodio&amp;store=10162&amp;limit=60&amp;offset=0; https://www.wholefoodsmarket.com/api/search?text=goodio&amp;store=10773&amp;limit=60&amp;offset=0</t>
  </si>
  <si>
    <t xml:space="preserve">Jukka Peltola</t>
  </si>
  <si>
    <t xml:space="preserve">About page: "Chief Creative Officer and founder of Goodio, Jukka Peltola". The Org lists Jonni Sinkkonen as CEO &amp; Founder (backup row) and Sami Nupponen as CEO; titles conflict. Finnish company, US sales contact unknown.</t>
  </si>
  <si>
    <t xml:space="preserve">Jonni Sinkkonen</t>
  </si>
  <si>
    <t xml:space="preserve">Jonni</t>
  </si>
  <si>
    <t xml:space="preserve">Sinkkonen</t>
  </si>
  <si>
    <t xml:space="preserve">CEO and Founder</t>
  </si>
  <si>
    <t xml:space="preserve">The Org (updated 2026-06-10): CEO &amp; Founder since 2015.</t>
  </si>
  <si>
    <t xml:space="preserve">https://www.instagram.com/goodiogoods/</t>
  </si>
  <si>
    <t xml:space="preserve">BR2:62</t>
  </si>
  <si>
    <t xml:space="preserve">Founded 2015, organic vegan craft chocolate made in Helsinki. Brand store defaults to Finland; US online store not confirmed. Why-now from Shopify publish dates.</t>
  </si>
  <si>
    <t xml:space="preserve">https://theorg.com/org/goodio/person/jonni-sinkkonen</t>
  </si>
  <si>
    <t xml:space="preserve">2026-06-10</t>
  </si>
  <si>
    <t xml:space="preserve">AB-090</t>
  </si>
  <si>
    <t xml:space="preserve">Maxine's Heavenly</t>
  </si>
  <si>
    <t xml:space="preserve">Petrarca</t>
  </si>
  <si>
    <t xml:space="preserve">Brand based outside the Northeast, store page shows Whole Foods Market NoMad inside the cluster, a new store listing 11 days ago, revenue unknown, contact named; founder review: claim-borderline.</t>
  </si>
  <si>
    <t xml:space="preserve">Launched seasonal Gingerbread, Peppermint, Pumpkin Spice and Chai Spice creme sandwich cookies, Oct 2026</t>
  </si>
  <si>
    <t xml:space="preserve">https://maxinesheavenly.com/</t>
  </si>
  <si>
    <t xml:space="preserve">2026-10-13</t>
  </si>
  <si>
    <t xml:space="preserve">https://maxinesheavenly.com/pages/story</t>
  </si>
  <si>
    <t xml:space="preserve">find Robert Petrarca at Maxine's Heavenly on LinkedIn and paste the profile URL; the source is dated 2023-01-13: check Robert still holds the role; before using the retailer line, check Whole Foods Market NoMad still lists it: https://www.wholefoodsmarket.com/search?text=Maxine%27s%20Heavenly with your store set to NoMad (catalogs change daily); founder review (claim-borderline): read founder_review_reason first</t>
  </si>
  <si>
    <t xml:space="preserve">https://maxinesheavenly.com/pages/press</t>
  </si>
  <si>
    <t xml:space="preserve">Chocolate Creme Sandwich Cookie 4.6 oz; seasonal Gingerbread Creme Sandwich</t>
  </si>
  <si>
    <t xml:space="preserve">https://maxinesheavenly.com</t>
  </si>
  <si>
    <t xml:space="preserve">'Better-for-you', 'Sweetened by Nature' positioning; check pack copy for claims</t>
  </si>
  <si>
    <t xml:space="preserve">Brand FAQ: 'The shelf life of our cookies is about 11 months.' No preservatives.</t>
  </si>
  <si>
    <t xml:space="preserve">Stores across the US (brand home page); Whole Foods</t>
  </si>
  <si>
    <t xml:space="preserve">https://www.wholefoodsmarket.com/api/search?text=maxines%20heavenly&amp;store=10162&amp;limit=60&amp;offset=0; https://www.wholefoodsmarket.com/api/search?text=maxines%20heavenly&amp;store=10773&amp;limit=60&amp;offset=0; https://www.wholefoodsmarket.com/api/search?text=maxines%20heavenly&amp;store=10131&amp;limit=60&amp;offset=0</t>
  </si>
  <si>
    <t xml:space="preserve">Robert Petrarca</t>
  </si>
  <si>
    <t xml:space="preserve">Press page: "Its founder Robert Petrarca" and "talks business with our CEO". The Org (updated 2023-01-13): Co-Founder &amp; CEO.</t>
  </si>
  <si>
    <t xml:space="preserve">https://www.instagram.com/maxinesheavenly/</t>
  </si>
  <si>
    <t xml:space="preserve">BR2:27</t>
  </si>
  <si>
    <t xml:space="preserve">Gluten-free, vegan per story page. Storemapper locator present but its ID was not readable. Why-now date from Shopify publish dates.</t>
  </si>
  <si>
    <t xml:space="preserve">shelf_stable &lt;- https://maxinesheavenly.com/pages/faqs (2026-10-24, opened); shelf_stable_basis &lt;- https://maxinesheavenly.com/pages/faqs (2026-10-24, opened); founder_name &lt;- https://maxinesheavenly.com/pages/press (2026-10-24, opened); founder_title &lt;- https://maxinesheavenly.com/pages/press (2026-10-24, opened); founder_profile_url &lt;- https://maxinesheavenly.com/pages/press (2026-10-24, opened); hq_city &lt;- https://www.cbinsights.com/investor/maxines-heavenly (2026-10-24, opened); hq_state &lt;- https://www.cbinsights.com/investor/maxines-heavenly (2026-10-24, opened); founder_title &lt;- https://maxinesheavenly.com/pages/press (2026-10-24, stage 1 correction); </t>
  </si>
  <si>
    <t xml:space="preserve">2023-01-13</t>
  </si>
  <si>
    <t xml:space="preserve">AB-220</t>
  </si>
  <si>
    <t xml:space="preserve">Unhinged</t>
  </si>
  <si>
    <t xml:space="preserve">Byron</t>
  </si>
  <si>
    <t xml:space="preserve">Sorrells</t>
  </si>
  <si>
    <t xml:space="preserve">New York City brand (HQ unverified), no graded store within ten blocks, online store only, news 15 days ago, revenue unknown, contact named; founder review: under-floor, claim-borderline.</t>
  </si>
  <si>
    <t xml:space="preserve">Raised $1.1M pre-seed</t>
  </si>
  <si>
    <t xml:space="preserve">https://startupcpg.com/startup-cpg-newswire-unhinged-raises-1-1m-pre-seed/</t>
  </si>
  <si>
    <t xml:space="preserve">https://alwaysunhinged.com/pages/faq</t>
  </si>
  <si>
    <t xml:space="preserve">find Byron Sorrells at Unhinged on LinkedIn and paste the profile URL; founder review (under-floor, claim-borderline): read founder_review_reason first</t>
  </si>
  <si>
    <t xml:space="preserve">Chocolate + Coffee caffeine and protein bar (75mg caffeine, 11-14g protein)</t>
  </si>
  <si>
    <t xml:space="preserve">New York (privacy-policy contact address 169 Madison Avenue #11442, New York NY 10016, a mailbox-style suite; release datelined New York, NY). A Newport Beach, CA business-directory snippet lists 'Always Unhinged, Inc.' with co-founder Matt Paine in Orange County: unverified, founder to confirm.</t>
  </si>
  <si>
    <t xml:space="preserve">https://alwaysunhinged.com</t>
  </si>
  <si>
    <t xml:space="preserve">Caffeinated protein bar with L-theanine and 'No crash' wording (functional positioning); pre-seed, may be below the $500k floor (no sales figure); 60-day shelf life not stated</t>
  </si>
  <si>
    <t xml:space="preserve">under-floor;claim-borderline</t>
  </si>
  <si>
    <t xml:space="preserve">pre-seed ($1.1M, Republic Ventures participating)</t>
  </si>
  <si>
    <t xml:space="preserve">Bar sold online and via Amazon; FAQ says 'No... preservatives' and gives no shelf life, founder to confirm</t>
  </si>
  <si>
    <t xml:space="preserve">No sales figure published. Online-only, $1.1M pre-seed Oct 2026 (funding not used for band); founder to confirm</t>
  </si>
  <si>
    <t xml:space="preserve">alwaysunhinged.com; Amazon; TikTok Shop; Faire wholesale</t>
  </si>
  <si>
    <t xml:space="preserve">https://alwaysunhinged.com/</t>
  </si>
  <si>
    <t xml:space="preserve">Byron Sorrells</t>
  </si>
  <si>
    <t xml:space="preserve">Release (2026-10): "co-founder Byron Sorrells".</t>
  </si>
  <si>
    <t xml:space="preserve">Matt Paine</t>
  </si>
  <si>
    <t xml:space="preserve">Seen only in a search summary of a Newport Beach business directory listing (403). The listing places Always Unhinged, Inc. in Orange County, which conflicts with the New York HQ in the table.</t>
  </si>
  <si>
    <t xml:space="preserve">https://www.instagram.com/always_unhinged</t>
  </si>
  <si>
    <t xml:space="preserve">BR4:15</t>
  </si>
  <si>
    <t xml:space="preserve">Site has an Offices page ('Unhinged for offices', 'Stock the office'), so the brand already targets office pantries. Superior Taste Award 2026 mentioned in site footer (not opened). | A Newport Beach, CA business-directory snippet names Matt Paine as co-founder of Always Unhinged, Inc. and says a CIA-trained chef co-founded it (unverified, founder to confirm). Byron Sorrells is named co-founder in the opened Startup CPG release.</t>
  </si>
  <si>
    <t xml:space="preserve">hq_city &lt;- https://alwaysunhinged.com/policies/privacy-policy (2026-10-24, opened); notes &lt;- https://business.newportbeach.com/directory/Details/always-unhinged-inc-4636037 (2026-10-24, snippet-unverified); </t>
  </si>
  <si>
    <t xml:space="preserve">https://business.newportbeach.com/directory/Details/always-unhinged-inc-4636037</t>
  </si>
  <si>
    <t xml:space="preserve">AB-083</t>
  </si>
  <si>
    <t xml:space="preserve">Goodie Girl</t>
  </si>
  <si>
    <t xml:space="preserve">Shira</t>
  </si>
  <si>
    <t xml:space="preserve">Berk</t>
  </si>
  <si>
    <t xml:space="preserve">Northeast brand (HQ unverified), store page shows Whole Foods Market NoMad inside the cluster, a new store listing 163 days ago, revenue unknown, contact named; founder review: scale.</t>
  </si>
  <si>
    <t xml:space="preserve">Launched Breakfast Bars (May 2026) and Snack Mix 3-packs (Sept 2026) on brand store</t>
  </si>
  <si>
    <t xml:space="preserve">https://goodiegirl.com/</t>
  </si>
  <si>
    <t xml:space="preserve">https://goodiegirl.com/pages/our-story</t>
  </si>
  <si>
    <t xml:space="preserve">find Shira Berk at Goodie Girl on LinkedIn and paste the profile URL; before using the retailer line, check Whole Foods Market NoMad still lists it: https://www.wholefoodsmarket.com/search?text=Goodie%20Girl with your store set to NoMad (catalogs change daily); founder review (scale): read founder_review_reason first</t>
  </si>
  <si>
    <t xml:space="preserve">Mini Chocolate Chip Cookies Snack Pack 0.75 oz; Magical Animal Crackers Snack Packs</t>
  </si>
  <si>
    <t xml:space="preserve">Ridgefield (search snippet: founder mostly works out of Toufayan Bakeries' corporate offices in Ridgefield NJ; unverified, founder to confirm)</t>
  </si>
  <si>
    <t xml:space="preserve">https://goodiegirl.com</t>
  </si>
  <si>
    <t xml:space="preserve">Kids snack-pack angle (animal crackers); 'thousands of retailers' may put it above the size band</t>
  </si>
  <si>
    <t xml:space="preserve">NJ (unverified, founder to confirm)</t>
  </si>
  <si>
    <t xml:space="preserve">Brand FAQ: 'Some cookies are 6 months and most are 9 months from bake'</t>
  </si>
  <si>
    <t xml:space="preserve">Thousands of retailers, natural or gluten-free aisle (brand where-to-buy page); Whole Foods</t>
  </si>
  <si>
    <t xml:space="preserve">https://www.wholefoodsmarket.com/api/search?text=goodie%20girl&amp;store=10162&amp;limit=60&amp;offset=0; https://www.wholefoodsmarket.com/api/search?text=goodie%20girl&amp;store=10773&amp;limit=60&amp;offset=0; https://www.wholefoodsmarket.com/api/search?text=goodie%20girl&amp;store=10131&amp;limit=60&amp;offset=0</t>
  </si>
  <si>
    <t xml:space="preserve">Shira Berk</t>
  </si>
  <si>
    <t xml:space="preserve">https://www.instagram.com/goodiegirlcookies/</t>
  </si>
  <si>
    <t xml:space="preserve">BR2:20</t>
  </si>
  <si>
    <t xml:space="preserve">Certified gluten-free. Locator is Destini (not machine-read). Why-now dates from Shopify publish dates.</t>
  </si>
  <si>
    <t xml:space="preserve">hq_city &lt;- https://presshook.com/brands/goodie-girl/ (2026-10-24, snippet-unverified); hq_state &lt;- https://presshook.com/brands/goodie-girl/ (2026-10-24, snippet-unverified); founder_title &lt;- https://www.thedailymeal.com/eat/goodie-girl-cookies-founder-her-journey-model-music-business-cookies/ (2026-10-24, snippet-unverified); </t>
  </si>
  <si>
    <t xml:space="preserve">AB-105</t>
  </si>
  <si>
    <t xml:space="preserve">Unreal</t>
  </si>
  <si>
    <t xml:space="preserve">Bronner</t>
  </si>
  <si>
    <t xml:space="preserve">Northeast brand, store page shows Whole Foods Market NoMad inside the cluster, news 220 days ago, revenue unknown, contact named; founder review: scale.</t>
  </si>
  <si>
    <t xml:space="preserve">Re-released limited-edition Easter packaging for Dark Chocolate Coconut Bars and Peanut Butter Cups at Whole Foods, Kroger, Sprouts, Thrive and Amazon</t>
  </si>
  <si>
    <t xml:space="preserve">https://www.snackandbakery.com/articles/115413-unreal-rereleases-easter-packaging-for-two-treats</t>
  </si>
  <si>
    <t xml:space="preserve">2026-03-18</t>
  </si>
  <si>
    <t xml:space="preserve">https://unrealsnacks.com/pages/about-us</t>
  </si>
  <si>
    <t xml:space="preserve">find Michael Bronner at Unreal on LinkedIn and paste the profile URL; before using the retailer line, check Whole Foods Market NoMad still lists it: https://www.wholefoodsmarket.com/search?text=Unreal with your store set to NoMad (catalogs change daily); founder review (scale): read founder_review_reason first</t>
  </si>
  <si>
    <t xml:space="preserve">https://en.wikipedia.org/wiki/Unreal_Snacks</t>
  </si>
  <si>
    <t xml:space="preserve">Dark Chocolate Coconut Bars; Dark Chocolate Peanut Butter Cups</t>
  </si>
  <si>
    <t xml:space="preserve">https://unrealsnacks.com</t>
  </si>
  <si>
    <t xml:space="preserve">Broad national distribution (16 to 18 SKUs per cluster WFM) suggests it may be above the $10M ceiling; no revenue source found</t>
  </si>
  <si>
    <t xml:space="preserve">Brand FAQ: most dark chocolate gems, cups, bars and covered nuts and pretzels have a 12 month shelf life; Milk Chocolate Gems and Crispy Quinoa Gems 18 months. Store below about 68F.</t>
  </si>
  <si>
    <t xml:space="preserve">Whole Foods; product locator (iframe, not machine-read)</t>
  </si>
  <si>
    <t xml:space="preserve">https://www.wholefoodsmarket.com/api/search?text=unreal%20chocolate&amp;store=10162&amp;limit=60&amp;offset=0; https://www.wholefoodsmarket.com/api/search?text=unreal%20chocolate&amp;store=10773&amp;limit=60&amp;offset=0; https://www.wholefoodsmarket.com/api/search?text=unreal%20chocolate&amp;store=10131&amp;limit=60&amp;offset=0</t>
  </si>
  <si>
    <t xml:space="preserve">Michael Bronner</t>
  </si>
  <si>
    <t xml:space="preserve">Stage 3 (entered the top 60). Wikipedia infobox (opened 2026-10-24): Founders Michael Bronner, Nicky Bronner, Kristopher Bronner; Key people Kevin McCarthy (CEO); 70 employees (2025); HQ Boston. Whether the founders still run the brand is not shown.</t>
  </si>
  <si>
    <t xml:space="preserve">Kevin McCarthy</t>
  </si>
  <si>
    <t xml:space="preserve">Wikipedia infobox (opened 2026-10-24) lists him as CEO under Key people; the citation date is not shown. A CEO who is not a founder may own the sampling budget at a brand of 70 people.</t>
  </si>
  <si>
    <t xml:space="preserve">https://www.instagram.com/unreal.snacks/</t>
  </si>
  <si>
    <t xml:space="preserve">BR2:43</t>
  </si>
  <si>
    <t xml:space="preserve">Vegan-certified dark chocolate items per FAQ. HQ not stated on pages opened. Why-now from Shopify publish dates.</t>
  </si>
  <si>
    <t xml:space="preserve">shelf_stable &lt;- https://unrealsnacks.com/pages/faqs (2026-10-24, opened); shelf_stable_basis &lt;- https://unrealsnacks.com/pages/faqs (2026-10-24, opened); why_now &lt;- https://www.snackandbakery.com/articles/115413-unreal-rereleases-easter-packaging-for-two-treats (2026-10-24, opened); why_now_url &lt;- https://www.snackandbakery.com/articles/115413-unreal-rereleases-easter-packaging-for-two-treats (2026-10-24, opened); why_now_date &lt;- https://www.snackandbakery.com/articles/115413-unreal-rereleases-easter-packaging-for-two-treats (2026-10-24, opened); hq_city &lt;- https://en.wikipedia.org/wiki/Unreal_Snacks (2026-10-24, opened); hq_state &lt;- https://en.wikipedia.org/wiki/Unreal_Snacks (2026-10-24, opened); founder_name &lt;- https://en.wikipedia.org/wiki/Unreal_Snacks (2026-10-24, opened); founder_title &lt;- https://en.wikipedia.org/wiki/Unreal_Snacks (2026-10-24, opened); </t>
  </si>
  <si>
    <t xml:space="preserve">AB-025</t>
  </si>
  <si>
    <t xml:space="preserve">Nantucket Crisps</t>
  </si>
  <si>
    <t xml:space="preserve">Hayden</t>
  </si>
  <si>
    <t xml:space="preserve">Arnot</t>
  </si>
  <si>
    <t xml:space="preserve">https://www.linkedin.com/in/hayden-arnot-ab9457107/</t>
  </si>
  <si>
    <t xml:space="preserve">Northeast brand (HQ unverified), no graded store within ten blocks, online store only, news 106 days ago, revenue unknown, contact named.</t>
  </si>
  <si>
    <t xml:space="preserve">Brought limited-edition All Time Low collaboration to the Summer Fancy Food Show (NYC); switched to avocado oil and named CEO Paul Nardone (2026-05-28)</t>
  </si>
  <si>
    <t xml:space="preserve">https://startupcpg.com/startup-cpg-newswire-nantucket-crisps-brings-limited-edition-all-time-low-collaboration-to-the-summer-fancy-food-show-the-latest-in-a-growing-slate-of-artist-partnerships/</t>
  </si>
  <si>
    <t xml:space="preserve">https://nantucketcrisps.com/pages/about-us</t>
  </si>
  <si>
    <t xml:space="preserve">https://startupcpg.com/14-chip-brands-taking-your-tastebuds-on-a-flavor-tour/</t>
  </si>
  <si>
    <t xml:space="preserve">Nantucket Crisps Sconset Sea Salt potato crisps, 1 oz (50-count case)</t>
  </si>
  <si>
    <t xml:space="preserve">Nantucket (unverified, founder to confirm)</t>
  </si>
  <si>
    <t xml:space="preserve">https://nantucketcrisps.com</t>
  </si>
  <si>
    <t xml:space="preserve">Kettle potato crisps in sealed bags, ambient</t>
  </si>
  <si>
    <t xml:space="preserve">Winn-Dixie; Stop &amp; Shop; Roche Bros; MOM's Organic Market; Wakefern/ShopRite; Market Basket; Grocery Outlet; Raley's; King's/Balducci's; Central Market; TJ Maxx; Marshalls; HomeGoods; Burlington; 7-Eleven; Cumberland Farms (Startup CPG, 2026-07-21)</t>
  </si>
  <si>
    <t xml:space="preserve">https://startupcpg.com/14-chip-brands-taking-your-tastebuds-on-a-flavor-tour/ (retailer list); https://www.wholefoodsmarket.com/search?text=nantucket%20crisps (no WFM results in cluster stores, 2026-10-23)</t>
  </si>
  <si>
    <t xml:space="preserve">Hayden Arnot</t>
  </si>
  <si>
    <t xml:space="preserve">Startup CPG roundup lists "Founders: Hayden Arnot" and links this LinkedIn URL; LinkedIn not opened. The Org (updated 2026-06-06): Co-Founder since 2022.</t>
  </si>
  <si>
    <t xml:space="preserve">Paul Nardone</t>
  </si>
  <si>
    <t xml:space="preserve">Nardone</t>
  </si>
  <si>
    <t xml:space="preserve">Release (2026-05): named CEO. Stage 1 had him in the marketing slot; CEO is the likely budget owner.</t>
  </si>
  <si>
    <t xml:space="preserve">BR1:26</t>
  </si>
  <si>
    <t xml:space="preserve">May 2026 NOSH release (seen in search results; unverified) names Paul Nardone CEO, consistent with the existing marketing_name/title cells; the Al Greer interim-CEO listing is probably stale.</t>
  </si>
  <si>
    <t xml:space="preserve">notes &lt;- https://www.linkedin.com/in/al-greer-558ab533/ (2026-10-24, snippet-unverified); notes &lt;- https://www.nosh.com/pr/2026/05/18/nantucket-crisps-transitions-brand-platform-to-avocado-oil-and-names-cpg-industry-veteran-paul-nardone-ceo (2026-10-24, snippet-unverified); </t>
  </si>
  <si>
    <t xml:space="preserve">https://startupcpg.com/nantucket-crisps-transitions-brand-platform-to-avocado-oil-and-names-cpg-industry-veteran-paul-nardone-ceo/</t>
  </si>
  <si>
    <t xml:space="preserve">2026-06-06</t>
  </si>
  <si>
    <t xml:space="preserve">AB-118</t>
  </si>
  <si>
    <t xml:space="preserve">Good Word Foods</t>
  </si>
  <si>
    <t xml:space="preserve">Brad</t>
  </si>
  <si>
    <t xml:space="preserve">Snedden</t>
  </si>
  <si>
    <t xml:space="preserve">Brand based outside the Northeast, store page shows Whole Foods Market NoMad inside the cluster, a new store listing 275 days ago, revenue unknown, contact named; founder review: claim-borderline.</t>
  </si>
  <si>
    <t xml:space="preserve">Launched Protein Squares, Jan 2026 (brand about page: 'This year we're finally launching something new')</t>
  </si>
  <si>
    <t xml:space="preserve">https://www.goodwordfoods.com/pages/about</t>
  </si>
  <si>
    <t xml:space="preserve">find Brad Snedden at Good Word Foods on LinkedIn and paste the profile URL; before using the retailer line, check Whole Foods Market NoMad still lists it: https://www.wholefoodsmarket.com/search?text=Good%20Word%20Foods with your store set to NoMad (catalogs change daily); founder review (claim-borderline): read founder_review_reason first</t>
  </si>
  <si>
    <t xml:space="preserve">https://commercialbaking.com/good-word-expands-distribution-to-whole-foods-nationwide/</t>
  </si>
  <si>
    <t xml:space="preserve">Chocolate Chip Protein Cookie 1.69 oz; Protein Squares</t>
  </si>
  <si>
    <t xml:space="preserve">https://www.goodwordfoods.com</t>
  </si>
  <si>
    <t xml:space="preserve">Protein cookie (nutrient-content positioning)</t>
  </si>
  <si>
    <t xml:space="preserve">Brand FAQ: keep in a cool, dry place and they stay soft 'for the full shelf life' (ambient storage; length not stated)</t>
  </si>
  <si>
    <t xml:space="preserve">Whole Foods; Amazon (brand find-us page)</t>
  </si>
  <si>
    <t xml:space="preserve">https://www.wholefoodsmarket.com/api/search?text=good%20word&amp;store=10162&amp;limit=60&amp;offset=0; https://www.wholefoodsmarket.com/api/search?text=good%20word&amp;store=10773&amp;limit=60&amp;offset=0; https://www.wholefoodsmarket.com/api/search?text=good%20word&amp;store=10131&amp;limit=60&amp;offset=0; https://stockist.co/api/v1/u11733/locations/search?latitude=40.7397&amp;longitude=-73.9897&amp;distance=3&amp;units=km</t>
  </si>
  <si>
    <t xml:space="preserve">Brad Snedden</t>
  </si>
  <si>
    <t xml:space="preserve">https://www.instagram.com/goodwordfoods/</t>
  </si>
  <si>
    <t xml:space="preserve">BR2:56</t>
  </si>
  <si>
    <t xml:space="preserve">Got into Whole Foods via a local forager in 2019. Brand Stockist locator also lists all three cluster WFM stores. Gluten-free, grain-free. Why-now date from the Shopify publish date of Protein Squares; launch wording from brand about page.</t>
  </si>
  <si>
    <t xml:space="preserve">hq_city &lt;- https://commercialbaking.com/good-word-expands-distribution-to-whole-foods-nationwide/ (2026-10-24, opened); founder_name &lt;- https://commercialbaking.com/good-word-expands-distribution-to-whole-foods-nationwide/ (2026-10-24, opened); founder_profile_url &lt;- https://commercialbaking.com/good-word-expands-distribution-to-whole-foods-nationwide/ (2026-10-24, opened); </t>
  </si>
  <si>
    <t xml:space="preserve">stage 1 only</t>
  </si>
  <si>
    <t xml:space="preserve">AB-146</t>
  </si>
  <si>
    <t xml:space="preserve">St. Agrestis (Phony Negroni)</t>
  </si>
  <si>
    <t xml:space="preserve">Steven</t>
  </si>
  <si>
    <t xml:space="preserve">DeAngelo</t>
  </si>
  <si>
    <t xml:space="preserve">Principal and Founder</t>
  </si>
  <si>
    <t xml:space="preserve">New York City brand, brand locator shows Eataly NYC Flatiron inside the cluster, news 178 days ago, revenue unknown, contact named; founder review: owner, alcohol-adjacent, claim-borderline, scale.</t>
  </si>
  <si>
    <t xml:space="preserve">Eataly NYC Flatiron, 200 5th Ave</t>
  </si>
  <si>
    <t xml:space="preserve">The Wine Group (Ripon, CA) acquired the Phony Negroni non-alcoholic line (and Amaro Falso) from St. Agrestis; founders stay on near term; St. Agrestis portfolio in 7,000+ doors</t>
  </si>
  <si>
    <t xml:space="preserve">https://www.thewinegroup.com/the-wine-group-acquires-phony-negroni-non-alcoholic-brand/</t>
  </si>
  <si>
    <t xml:space="preserve">2026-04-29</t>
  </si>
  <si>
    <t xml:space="preserve">https://stagrestis.com/pages/find-st-agrestis</t>
  </si>
  <si>
    <t xml:space="preserve">find Steven DeAngelo at St. Agrestis (Phony Negroni) on LinkedIn and paste the profile URL; the retailer line rests on the brand's own store locator: say 'your store locator lists ...'; founder review (owner, alcohol-adjacent, claim-borderline, scale): read founder_review_reason first</t>
  </si>
  <si>
    <t xml:space="preserve">Non-Alcoholic Phony Negroni, 200 ml single-serve bottle</t>
  </si>
  <si>
    <t xml:space="preserve">https://stagrestis.com</t>
  </si>
  <si>
    <t xml:space="preserve">Non-alcoholic product from a spirits (amaro) maker; locator mixes NA and alcoholic SKUs, so the Eataly listing may be for the amaro. Cocktail positioning in an office pantry; Espresso version has 100 mg caffeine | Added 2026-10-24: Phony Negroni line acquired by The Wine Group on 2026-04-29; no longer an independent emerging brand and the budget owner likely sits at TWG; scale signal in the why-now ('7,000+ doors'): likely above the $10M band; ask at intake; 60-day shelf life not stated</t>
  </si>
  <si>
    <t xml:space="preserve">owner;alcohol-adjacent;claim-borderline;scale</t>
  </si>
  <si>
    <t xml:space="preserve">No storage statement found; founder to confirm</t>
  </si>
  <si>
    <t xml:space="preserve">Eataly NYC Flatiron, 200 5th Ave (brand_claim, inside);L Express, 249 Park Ave S (brand_claim, inside)</t>
  </si>
  <si>
    <t xml:space="preserve">Eataly; bars, restaurants and bottle shops (Stockist locator: 451 points, 154 near the cluster)</t>
  </si>
  <si>
    <t xml:space="preserve">https://stagrestis.com/pages/find-st-agrestis; https://stockist.co/api/v1/u25133/locations/search?latitude=40.7400&amp;longitude=-73.9900&amp;distance=3</t>
  </si>
  <si>
    <t xml:space="preserve">Steven DeAngelo</t>
  </si>
  <si>
    <t xml:space="preserve">Helen Kurtz</t>
  </si>
  <si>
    <t xml:space="preserve">Helen</t>
  </si>
  <si>
    <t xml:space="preserve">Kurtz</t>
  </si>
  <si>
    <t xml:space="preserve">Chief Marketing Officer, The Wine Group</t>
  </si>
  <si>
    <t xml:space="preserve">marketing</t>
  </si>
  <si>
    <t xml:space="preserve">The Wine Group</t>
  </si>
  <si>
    <t xml:space="preserve">https://www.instagram.com/st_agrestis</t>
  </si>
  <si>
    <t xml:space="preserve">BR3:20</t>
  </si>
  <si>
    <t xml:space="preserve">Site: 'Greenpoint, Brooklyn', 'Made in Brooklyn'; press page cites Wirecutter, Washington Post, BevNET. Stockist query 2026-10-23. Date is Shopify publish date.</t>
  </si>
  <si>
    <t xml:space="preserve">founder_name &lt;- https://www.thewinegroup.com/the-wine-group-acquires-phony-negroni-non-alcoholic-brand/ (2026-10-24, opened); founder_title &lt;- https://www.thewinegroup.com/the-wine-group-acquires-phony-negroni-non-alcoholic-brand/ (2026-10-24, opened); why_now &lt;- https://www.thewinegroup.com/the-wine-group-acquires-phony-negroni-non-alcoholic-brand/ (2026-10-24, opened); why_now_date &lt;- https://www.thewinegroup.com/the-wine-group-acquires-phony-negroni-non-alcoholic-brand/ (2026-10-24, opened); marketing_name &lt;- https://www.thewinegroup.com/the-wine-group-acquires-phony-negroni-non-alcoholic-brand/ (2026-10-24, opened); marketing_title &lt;- https://www.thewinegroup.com/the-wine-group-acquires-phony-negroni-non-alcoholic-brand/ (2026-10-24, opened); why_now_url &lt;- https://www.thewinegroup.com/the-wine-group-acquires-phony-negroni-non-alcoholic-brand/ (2026-10-24, opened); founder_review_reason &lt;- https://www.thewinegroup.com/the-wine-group-acquires-phony-negroni-non-alcoholic-brand/ (2026-10-24, opened); founder_profile_url &lt;- https://www.thewinegroup.com/the-wine-group-acquires-phony-negroni-non-alcoholic-brand/ (2026-10-24, opened); </t>
  </si>
  <si>
    <t xml:space="preserve">AB-035</t>
  </si>
  <si>
    <t xml:space="preserve">Veggie Vice</t>
  </si>
  <si>
    <t xml:space="preserve">Riddhima</t>
  </si>
  <si>
    <t xml:space="preserve">Founder (exact title not stated)</t>
  </si>
  <si>
    <t xml:space="preserve">Northeast brand, brand locator shows Rooted inside the cluster, a new store listing 4 days ago, revenue unknown, contact named (first name only).</t>
  </si>
  <si>
    <t xml:space="preserve">Rooted, 38 E 23rd St</t>
  </si>
  <si>
    <t xml:space="preserve">Launched Bell Pepper Chips (Sea Salt) on brand store</t>
  </si>
  <si>
    <t xml:space="preserve">https://www.veggievice.com/products/bell-pepper-chips</t>
  </si>
  <si>
    <t xml:space="preserve">https://www.veggievice.com/</t>
  </si>
  <si>
    <t xml:space="preserve">find Riddhima at Veggie Vice on LinkedIn and paste the profile URL; surname not public: take it from LinkedIn; the retailer line rests on the brand's own store locator: say 'your store locator lists ...'</t>
  </si>
  <si>
    <t xml:space="preserve">Veggie Vice Zucchini Chips, Sea Salt ($6.99 bag); new Bell Pepper Chips</t>
  </si>
  <si>
    <t xml:space="preserve">East Windsor</t>
  </si>
  <si>
    <t xml:space="preserve">https://www.veggievice.com</t>
  </si>
  <si>
    <t xml:space="preserve">Crisped vegetable chips in sealed bags sold ambient</t>
  </si>
  <si>
    <t xml:space="preserve">Rooted, 38 E 23rd St (brand_claim, inside)</t>
  </si>
  <si>
    <t xml:space="preserve">Sprouts (all US stores, per homepage); store at 38 E 23rd St New York (homepage, shown with a 'Rooted' logo); PopUp Grocer 205 Bleecker St</t>
  </si>
  <si>
    <t xml:space="preserve">https://www.veggievice.com/ (Find Us In Store: 38 E 23rd St, New York NY 10010; 205 Bleecker St); https://popupgrocer.com/products/veggie-vice (PopUp Grocer directory availability 'NYC Flagship')</t>
  </si>
  <si>
    <t xml:space="preserve">first name in brand contact email on privacy policy; title not stated</t>
  </si>
  <si>
    <t xml:space="preserve">https://instagram.com/eatveggievice</t>
  </si>
  <si>
    <t xml:space="preserve">BR1:36</t>
  </si>
  <si>
    <t xml:space="preserve">Store at 38 E 23rd St sits inside the cluster (Madison Square). The store name is inferred from the 'Rooted_Logo' image beside the address; founder to confirm. AAPI- and women-owned per PopUp Grocer tags. Business city from privacy policy.</t>
  </si>
  <si>
    <t xml:space="preserve">AB-062</t>
  </si>
  <si>
    <t xml:space="preserve">Marimix</t>
  </si>
  <si>
    <t xml:space="preserve">Mari</t>
  </si>
  <si>
    <t xml:space="preserve">Fassett</t>
  </si>
  <si>
    <t xml:space="preserve">Brand based outside the Northeast, no graded store within ten blocks, online store only, news 122 days ago, revenue unknown, contact named.</t>
  </si>
  <si>
    <t xml:space="preserve">Won Good Housekeeping 2026 Snack Award (third consecutive year) for Hatch Chile Lime Snackmix</t>
  </si>
  <si>
    <t xml:space="preserve">https://startupcpg.com/startup-cpg-newswire-marimix-earns-third-consecutive-good-housekeeping-snack-award-for-hatch-chile-lime-crunch-baked-snackmix/</t>
  </si>
  <si>
    <t xml:space="preserve">2026-06-24</t>
  </si>
  <si>
    <t xml:space="preserve">find Mari Fassett at Marimix on LinkedIn and paste the profile URL</t>
  </si>
  <si>
    <t xml:space="preserve">Marimix Hatch Chile Lime Crunch-Baked Snackmix (minis and multiserve)</t>
  </si>
  <si>
    <t xml:space="preserve">Orange</t>
  </si>
  <si>
    <t xml:space="preserve">https://marimix.com</t>
  </si>
  <si>
    <t xml:space="preserve">Brand FAQ: sealed pouch is freshest through the printed date, 'Technically, this is 10 months from the day we bake your order.'</t>
  </si>
  <si>
    <t xml:space="preserve">https://www.wholefoodsmarket.com/search?text=marimix (no WFM results, 2026-10-23)</t>
  </si>
  <si>
    <t xml:space="preserve">Mari Fassett</t>
  </si>
  <si>
    <t xml:space="preserve">Kirra Johnson</t>
  </si>
  <si>
    <t xml:space="preserve">Kirra</t>
  </si>
  <si>
    <t xml:space="preserve">Johnson</t>
  </si>
  <si>
    <t xml:space="preserve">Press contact on release</t>
  </si>
  <si>
    <t xml:space="preserve">BR1:63</t>
  </si>
  <si>
    <t xml:space="preserve">Woman- and minority-owned, Orange CA (release). Mix of rice pillows and other crunch pieces; check nut content per SKU.</t>
  </si>
  <si>
    <t xml:space="preserve">shelf_stable_basis &lt;- https://marimix.com/pages/faq (2026-10-24, opened); </t>
  </si>
  <si>
    <t xml:space="preserve">AB-131</t>
  </si>
  <si>
    <t xml:space="preserve">Bruce Cost Ginger Ale</t>
  </si>
  <si>
    <t xml:space="preserve">New York City brand, no graded store within ten blocks, online store only, a new store listing 135 days ago, revenue unknown, contact seen only in a snippet; founder review: other.</t>
  </si>
  <si>
    <t xml:space="preserve">New Yuzu Unfiltered Ginger Ale and a 12 oz can format added to its store</t>
  </si>
  <si>
    <t xml:space="preserve">https://brucecostgingerale.com/products/bruce-cost-ginger-ale-yuzu</t>
  </si>
  <si>
    <t xml:space="preserve">https://brucecostgingerale.com</t>
  </si>
  <si>
    <t xml:space="preserve">no person named on an opened page: not ready; founder review (other): read founder_review_reason first</t>
  </si>
  <si>
    <t xml:space="preserve">https://www.bevnet.com/news/2017/bruce-cost-ginger-ale-look-separate-futures</t>
  </si>
  <si>
    <t xml:space="preserve">Bruce Cost Original Unfiltered Ginger Ale, 12 oz bottle; new 12 oz can</t>
  </si>
  <si>
    <t xml:space="preserve">Shelf stability not stated; namesake founder Bruce Cost reportedly no longer involved (BevNET headline, not opened); same parent (Brooklyn Food &amp; Beverage) as Moshi and Brooklyn Crafted: contact once; 60-day shelf life not stated</t>
  </si>
  <si>
    <t xml:space="preserve">No shelf-stability statement found on brand site; founder to confirm</t>
  </si>
  <si>
    <t xml:space="preserve">Pearl River Mart; Mr. K; Tallgrass Burger; Marufuku Ramen (brand Storepoint locator, 13 NYC points)</t>
  </si>
  <si>
    <t xml:space="preserve">https://brucecostgingerale.com/pages/find-us; https://api.storepoint.co/v1/1625dbfed3d0fc/locations?lat=40.7400&amp;long=-73.9900&amp;radius=3</t>
  </si>
  <si>
    <t xml:space="preserve">Terry Tang</t>
  </si>
  <si>
    <t xml:space="preserve">Seen only in search summaries: BevNET 2017 says Tang bought out founder Bruce Cost in 2016 (BevNET 403). A 2020 BevNET item (search summary) says Brooklyn Food and Beverage makes Bruce Cost, Brooklyn Crafted and Moshi. Same parent as Moshi (rank 32): treat as one company, one contact in flight.</t>
  </si>
  <si>
    <t xml:space="preserve">Title confirmed on the opened Expo West 2026 page for Brooklyn Food &amp; Beverage, but that this parent owns Bruce Cost rests on a BevNET search summary, so the brand link is unverified. Same person as Moshi's marketing row.</t>
  </si>
  <si>
    <t xml:space="preserve">https://www.instagram.com/bcgingerale</t>
  </si>
  <si>
    <t xml:space="preserve">BR3:5</t>
  </si>
  <si>
    <t xml:space="preserve">Homepage banner: 'Introducing Our New Yuzu Unfiltered Ginger Ale'. Dates are Shopify publish dates (products.json): Yuzu 2026-06-11, 12 oz can 2026-05-27. HQ Brooklyn per Brooklyn Food &amp; Beverage (Faire listing in search results, not opened; Expo West 2026 listing says New York City). | Added 2026-10-24: Parent link: a 2020 BevNET headline (snippet, 403) names Brooklyn Food and Beverage as maker of Bruce Cost Ginger Ale and Brooklyn Crafted. If so, the current marketing contact is Horin Yip, Brand Marketing Manager (Expo West 2026 exhibitor page, opened) rather than the 2017 contact</t>
  </si>
  <si>
    <t xml:space="preserve">marketing_name &lt;- https://supermarketnews.co.nz/global/global-innovation/bcga/ (2026-10-24, opened); marketing_title &lt;- https://supermarketnews.co.nz/global/global-innovation/bcga/ (2026-10-24, opened); founder_name &lt;- https://www.bevnet.com/news/2017/bruce-cost-ginger-ale-look-separate-futures (2026-10-24, snippet-unverified); founder_title &lt;- https://www.bevnet.com/news/2017/bruce-cost-ginger-ale-look-separate-futures (2026-10-24, snippet-unverified); notes &lt;- https://attend.expowest.com/event/natural-products-expo-west-2026/exhibitor/RXhoaWJpdG9yXzIzNTgyMzE= (2026-10-24, opened); </t>
  </si>
  <si>
    <t xml:space="preserve">2017</t>
  </si>
  <si>
    <t xml:space="preserve">parent 'brooklyn food &amp; beverage' shared with AB-130; person 'horin yip' shared with AB-130, AB-132; person 'terry tang' shared with AB-132</t>
  </si>
  <si>
    <t xml:space="preserve">AB-311</t>
  </si>
  <si>
    <t xml:space="preserve">RIND Snacks</t>
  </si>
  <si>
    <t xml:space="preserve">Weiss</t>
  </si>
  <si>
    <t xml:space="preserve">New York City brand, no graded store within ten blocks, online store only, news 346 days ago, revenue unknown, contact named; founder review: other.</t>
  </si>
  <si>
    <t xml:space="preserve">Launched Raspberry Almond Granola Squares exclusively at Sam's Club nationwide (first granola product since acquiring Small Batch Organics)</t>
  </si>
  <si>
    <t xml:space="preserve">https://www.snackandbakery.com/articles/114709-rind-snacks-debuts-raspberry-almond-granola-squares</t>
  </si>
  <si>
    <t xml:space="preserve">2025-11-12</t>
  </si>
  <si>
    <t xml:space="preserve">https://www.rindsnacks.com/pages/about</t>
  </si>
  <si>
    <t xml:space="preserve">find Matt Weiss at RIND Snacks on LinkedIn and paste the profile URL; founder review (other): read founder_review_reason first</t>
  </si>
  <si>
    <t xml:space="preserve">Straw-Peary whole fruit medley (skin-on dried fruit)</t>
  </si>
  <si>
    <t xml:space="preserve">https://www.rindsnacks.com</t>
  </si>
  <si>
    <t xml:space="preserve">Every product on the brand store showed as unavailable on 2026-10-23 and no product added since 2021; brand may be paused; 60-day shelf life not stated</t>
  </si>
  <si>
    <t xml:space="preserve">Part of Keep It Real Foods platform (Mar 2026)</t>
  </si>
  <si>
    <t xml:space="preserve">Dried fruit sold in bags; shelf-life figure not found</t>
  </si>
  <si>
    <t xml:space="preserve">Target; Hungryroot (logos on brand home page)</t>
  </si>
  <si>
    <t xml:space="preserve">https://www.wholefoodsmarket.com/api/search?text=rind%20snacks&amp;store=10162&amp;limit=60&amp;offset=0</t>
  </si>
  <si>
    <t xml:space="preserve">Matt Weiss</t>
  </si>
  <si>
    <t xml:space="preserve">https://www.instagram.com/rindsnacks/</t>
  </si>
  <si>
    <t xml:space="preserve">BR2:30</t>
  </si>
  <si>
    <t xml:space="preserve">Footer: 'New York, NY'. Not in WFM cluster catalogs.</t>
  </si>
  <si>
    <t xml:space="preserve">why_now &lt;- https://www.snackandbakery.com/articles/114709-rind-snacks-debuts-raspberry-almond-granola-squares (2026-10-24, opened); why_now_url &lt;- https://www.snackandbakery.com/articles/114709-rind-snacks-debuts-raspberry-almond-granola-squares (2026-10-24, opened); why_now_date &lt;- https://www.snackandbakery.com/articles/114709-rind-snacks-debuts-raspberry-almond-granola-squares (2026-10-24, opened); founder_title &lt;- https://www.snackandbakery.com/articles/114709-rind-snacks-debuts-raspberry-almond-granola-squares (2026-10-24, opened); funding_stage &lt;- https://www.snackandbakery.com/articles/115350-keep-it-real-foods-launches-manufacturing-platform (2026-10-24, opened); </t>
  </si>
  <si>
    <t xml:space="preserve">AB-036</t>
  </si>
  <si>
    <t xml:space="preserve">S'NOODS</t>
  </si>
  <si>
    <t xml:space="preserve">Lauryn</t>
  </si>
  <si>
    <t xml:space="preserve">Bodden</t>
  </si>
  <si>
    <t xml:space="preserve">New York City brand (HQ unverified), no graded store within ten blocks, online store only, a new store listing 95 days ago, revenue unknown, contact named.</t>
  </si>
  <si>
    <t xml:space="preserve">Featured in Startup CPG 'Chipsplosion' roundup; new Italian Combo and variety 6-packs on brand store (2026-09-10)</t>
  </si>
  <si>
    <t xml:space="preserve">https://www.eatsnoods.com/pages/about</t>
  </si>
  <si>
    <t xml:space="preserve">find Lauryn Bodden at S'NOODS on LinkedIn and paste the profile URL</t>
  </si>
  <si>
    <t xml:space="preserve">S'NOODS Spicy Miso Ramen noodle chips, 4 oz bag</t>
  </si>
  <si>
    <t xml:space="preserve">New York (search snippet: a trade outlet calls it 'New York-based'; unverified, founder to confirm)</t>
  </si>
  <si>
    <t xml:space="preserve">https://www.eatsnoods.com</t>
  </si>
  <si>
    <t xml:space="preserve">NY (unverified, founder to confirm)</t>
  </si>
  <si>
    <t xml:space="preserve">Bagged noodle chips sold ambient; DTC and Amazon</t>
  </si>
  <si>
    <t xml:space="preserve">215+ retail doors across the Eastern U.S.; distributors Chex Finer Foods and Rainforest; Amazon; Faire (Startup CPG, 2026-07-21)</t>
  </si>
  <si>
    <t xml:space="preserve">https://startupcpg.com/14-chip-brands-taking-your-tastebuds-on-a-flavor-tour/; https://www.wholefoodsmarket.com/search?text=s%27noods%20noodle%20chips (no WFM results in cluster stores, 2026-10-23)</t>
  </si>
  <si>
    <t xml:space="preserve">Lauryn Bodden</t>
  </si>
  <si>
    <t xml:space="preserve">BR1:37</t>
  </si>
  <si>
    <t xml:space="preserve">East Coast distribution footprint; HQ not stated on site or policy pages.</t>
  </si>
  <si>
    <t xml:space="preserve">hq_city &lt;- https://www.nosh.com/news/2024/pasta-snack (2026-10-24, snippet-unverified); hq_state &lt;- https://www.nosh.com/news/2024/pasta-snack (2026-10-24, snippet-unverified); </t>
  </si>
  <si>
    <t xml:space="preserve">AB-159</t>
  </si>
  <si>
    <t xml:space="preserve">Hoplark</t>
  </si>
  <si>
    <t xml:space="preserve">Dean</t>
  </si>
  <si>
    <t xml:space="preserve">Eberhardt</t>
  </si>
  <si>
    <t xml:space="preserve">Brand based outside the Northeast, brand locator shows Wegmans Astor Place 4.0 blocks outside it, news 136 days ago, revenue unknown, contact named; founder review: alcohol-adjacent, claim-borderline.</t>
  </si>
  <si>
    <t xml:space="preserve">Wegmans Astor Place, 499 Lafayette St</t>
  </si>
  <si>
    <t xml:space="preserve">Spring 2026 packaging refresh across sparkling teas, waters and NA beers, aimed at off-premise retail shelf (Global Drinks Intel, 2026-06-10); seasonal SKUs on store 2026-09-24 and 2026-10-13</t>
  </si>
  <si>
    <t xml:space="preserve">https://drinks-intel.com/news/brooklyn-brewery-backed-hoplark-unveils-brand-refresh/</t>
  </si>
  <si>
    <t xml:space="preserve">https://hoplark.com/pages/faq</t>
  </si>
  <si>
    <t xml:space="preserve">find Dean Eberhardt at Hoplark on LinkedIn and paste the profile URL; the retailer line rests on the brand's own store locator: say 'your store locator lists ...'; founder review (alcohol-adjacent, claim-borderline): read founder_review_reason first</t>
  </si>
  <si>
    <t xml:space="preserve">Hoplark Sparkling Hop Tea 'The Golden Hour One', 16 oz can</t>
  </si>
  <si>
    <t xml:space="preserve">Boulder</t>
  </si>
  <si>
    <t xml:space="preserve">https://hoplark.com</t>
  </si>
  <si>
    <t xml:space="preserve">Beer-adjacent hop positioning ('0.0 Hazy Style'); FAQ says zero alcohol and nothing fermented, but offices may read it as NA beer. Some SKUs have 20 to 60 mg caffeine. Colorado brand; 60-day shelf life not stated</t>
  </si>
  <si>
    <t xml:space="preserve">alcohol-adjacent;claim-borderline</t>
  </si>
  <si>
    <t xml:space="preserve">CO</t>
  </si>
  <si>
    <t xml:space="preserve">No storage statement in FAQ</t>
  </si>
  <si>
    <t xml:space="preserve">Wegmans Astor Place, 499 Lafayette St (brand_claim, 4.0 blocks out)</t>
  </si>
  <si>
    <t xml:space="preserve">Wegmans (brand Storepoint locator; only 2 NYC-area points returned)</t>
  </si>
  <si>
    <t xml:space="preserve">https://hoplark.com/pages/retail-locations; https://api.storepoint.co/v1/161b7481f09706/locations?lat=40.7400&amp;long=-73.9900&amp;radius=3</t>
  </si>
  <si>
    <t xml:space="preserve">https://startupcpg.com/startup-cpg-newswire-hoplark-expands-portfolio-with-limited-edition-soda-12-pack/</t>
  </si>
  <si>
    <t xml:space="preserve">Dean Eberhardt</t>
  </si>
  <si>
    <t xml:space="preserve">Shannon Wright</t>
  </si>
  <si>
    <t xml:space="preserve">Shannon</t>
  </si>
  <si>
    <t xml:space="preserve">Wright</t>
  </si>
  <si>
    <t xml:space="preserve">Senior Marketing Manager</t>
  </si>
  <si>
    <t xml:space="preserve">https://www.instagram.com/drinkhoplark</t>
  </si>
  <si>
    <t xml:space="preserve">BR3:33</t>
  </si>
  <si>
    <t xml:space="preserve">Story page mentions explorations through 'the Colorado foothills' (basis for hq_state CO; city not stated). Dates are Shopify publish dates.</t>
  </si>
  <si>
    <t xml:space="preserve">hq_city &lt;- https://drinks-intel.com/news/brooklyn-brewery-backed-hoplark-unveils-brand-refresh/ (2026-10-24, opened); marketing_name &lt;- https://startupcpg.com/startup-cpg-newswire-hoplark-expands-portfolio-with-limited-edition-soda-12-pack/ (2026-10-24, opened); marketing_title &lt;- https://startupcpg.com/startup-cpg-newswire-hoplark-expands-portfolio-with-limited-edition-soda-12-pack/ (2026-10-24, opened); startup_cpg_member &lt;- https://startupcpg.com/startup-cpg-newswire-hoplark-expands-portfolio-with-limited-edition-soda-12-pack/ (2026-10-24, opened); startup_cpg_evidence_url &lt;- https://startupcpg.com/startup-cpg-newswire-hoplark-expands-portfolio-with-limited-edition-soda-12-pack/ (2026-10-24, opened); founder_name &lt;- https://drinks-intel.com/news/brooklyn-brewery-backed-hoplark-unveils-brand-refresh/ (2026-10-24, opened); founder_title &lt;- https://drinks-intel.com/news/brooklyn-brewery-backed-hoplark-unveils-brand-refresh/ (2026-10-24, opened); why_now &lt;- https://drinks-intel.com/news/brooklyn-brewery-backed-hoplark-unveils-brand-refresh/ (2026-10-24, opened); why_now_url &lt;- https://drinks-intel.com/news/brooklyn-brewery-backed-hoplark-unveils-brand-refresh/ (2026-10-24, opened); why_now_date &lt;- https://drinks-intel.com/news/brooklyn-brewery-backed-hoplark-unveils-brand-refresh/ (2026-10-24, opened); founder_profile_url &lt;- https://drinks-intel.com/news/brooklyn-brewery-backed-hoplark-unveils-brand-refresh/ (2026-10-24, opened); marketing_profile_url &lt;- https://startupcpg.com/startup-cpg-newswire-hoplark-expands-portfolio-with-limited-edition-soda-12-pack/ (2026-10-24, opened); </t>
  </si>
  <si>
    <t xml:space="preserve">AB-182</t>
  </si>
  <si>
    <t xml:space="preserve">OOZ Birch Water</t>
  </si>
  <si>
    <t xml:space="preserve">New York City brand (HQ unverified), brand locator shows Fairway Market Chelsea inside the cluster, no dated why-now in the last 12 months, revenue unknown, contact seen only in a snippet; founder review: claim-borderline.</t>
  </si>
  <si>
    <t xml:space="preserve">Fairway Market Chelsea, 766 6th Ave</t>
  </si>
  <si>
    <t xml:space="preserve">Press release: OOZ debuts single-ingredient hydration tapped from birch trees (launch announcement, NYC independents plus DTC) (unverified, founder to confirm)</t>
  </si>
  <si>
    <t xml:space="preserve">https://popupgrocer.com/products/ooz</t>
  </si>
  <si>
    <t xml:space="preserve">2026-04-30</t>
  </si>
  <si>
    <t xml:space="preserve">https://oozwater.com/pages/our-story</t>
  </si>
  <si>
    <t xml:space="preserve">no person named on an opened page: not ready; the retailer line rests on the brand's own store locator: say 'your store locator lists ...'; founder review (claim-borderline): read founder_review_reason first</t>
  </si>
  <si>
    <t xml:space="preserve">OOZ Organic Birch Water (100% birch sap), glass bottle</t>
  </si>
  <si>
    <t xml:space="preserve">New York (unverified, founder to confirm)</t>
  </si>
  <si>
    <t xml:space="preserve">https://oozwater.com</t>
  </si>
  <si>
    <t xml:space="preserve">Wellness framing ('antioxidants, manganese, and electrolytes'; 'connected to your own wellness') is nutrient-content and soft wording; check label for structure or function claims. Glass bottle (breakage risk on drop day)</t>
  </si>
  <si>
    <t xml:space="preserve">Our-story page: 'pasteurized, and bottled in glass... allowing OOZ to remain shelf stable for up to one year' (oozwater.com/pages/our-story, opened 2026-10-23)</t>
  </si>
  <si>
    <t xml:space="preserve">Fairway Market Chelsea, 766 6th Ave (brand_claim, inside);Elm Wellness, 56 7th Ave (brand_claim, 3.0 blocks out);TMPL Madison, 200 Madison Ave (brand_claim, 5.1 blocks out);Fairway Market Kips Bay, 550 2nd Ave (brand_claim, 7.0 blocks out)</t>
  </si>
  <si>
    <t xml:space="preserve">Pearl River Mart at Chelsea Market (brand_claim, 11.4 blocks out);Galleria Marketplace (brand_claim, 13.5 blocks out)</t>
  </si>
  <si>
    <t xml:space="preserve">Fairway Market; TMPL; Elm Wellness; Pearl River Mart; Pop Up Grocer; Happier Grocery; Hamptons markets; many Brooklyn and Queens grocers (brand stockists file, 85 points)</t>
  </si>
  <si>
    <t xml:space="preserve">https://oozwater.com/pages/store-locator; https://oozwater.com/cdn/shop/t/10/assets/stockists.json?v=178731794020656742571783376028; https://popupgrocer.com/products/ooz</t>
  </si>
  <si>
    <t xml:space="preserve">Christina Zhang</t>
  </si>
  <si>
    <t xml:space="preserve">BR3:56</t>
  </si>
  <si>
    <t xml:space="preserve">Stockists file read 2026-10-23: dense NYC footprint (Manhattan, Brooklyn, Queens, Hamptons), so probably NY-based but HQ not stated. AAPI and women-owned per Pop Up Grocer. One of the better near-cluster buy paths in this slice.</t>
  </si>
  <si>
    <t xml:space="preserve">founder_name &lt;- https://www.bevnet.com/pr/2026/04/30/ooz-debuts-singleingredient-hydration-tapped-from-birch-trees (2026-10-24, snippet-unverified); why_now &lt;- https://www.bevnet.com/pr/2026/04/30/ooz-debuts-singleingredient-hydration-tapped-from-birch-trees (2026-10-24, snippet-unverified); why_now_date &lt;- https://www.bevnet.com/pr/2026/04/30/ooz-debuts-singleingredient-hydration-tapped-from-birch-trees (2026-10-24, snippet-unverified); hq_city &lt;- https://www.faire.com/brand/b_4jhfwpet2d (2026-10-24, snippet-unverified); hq_state &lt;- https://www.faire.com/brand/b_4jhfwpet2d (2026-10-24, snippet-unverified); </t>
  </si>
  <si>
    <t xml:space="preserve">AB-281</t>
  </si>
  <si>
    <t xml:space="preserve">Cirrus 9 Candy</t>
  </si>
  <si>
    <t xml:space="preserve">Morganne</t>
  </si>
  <si>
    <t xml:space="preserve">New York State brand, no graded store within ten blocks, online store only, news 5 days ago, revenue unknown, contact named (first name only); founder review: other.</t>
  </si>
  <si>
    <t xml:space="preserve">New York Maple and Wild Raspberry cotton candy named 2027 sofi Award finalists (Sweet Snacks)</t>
  </si>
  <si>
    <t xml:space="preserve">find Morganne at Cirrus 9 Candy on LinkedIn and paste the profile URL; surname not public: take it from LinkedIn; founder review (other): read founder_review_reason first</t>
  </si>
  <si>
    <t xml:space="preserve">https://cirrus9candy.com/pages/about</t>
  </si>
  <si>
    <t xml:space="preserve">New York Maple organic cotton candy</t>
  </si>
  <si>
    <t xml:space="preserve">Hudson Valley (town unknown)</t>
  </si>
  <si>
    <t xml:space="preserve">https://cirrus9candy.com</t>
  </si>
  <si>
    <t xml:space="preserve">Cotton candy is fragile and humidity-sensitive; check pack format, shelf life and whether 50 units per office suits pantries</t>
  </si>
  <si>
    <t xml:space="preserve">Spun sugar candy sold online and in stores; shelf life and humidity tolerance not stated</t>
  </si>
  <si>
    <t xml:space="preserve">unknown ('Find a store' link; no list read)</t>
  </si>
  <si>
    <t xml:space="preserve">About page: "Morganne, Founder, Flavor &amp; craft". Surname not given; one web search found none.</t>
  </si>
  <si>
    <t xml:space="preserve">Makenna</t>
  </si>
  <si>
    <t xml:space="preserve">Co-founder (tech)</t>
  </si>
  <si>
    <t xml:space="preserve">About page: "Makenna, Co-founder &amp; tech". Stage 1 had her in the marketing slot; the page gives a tech role, so moved to backup.</t>
  </si>
  <si>
    <t xml:space="preserve">https://www.instagram.com/cirrus9candy/</t>
  </si>
  <si>
    <t xml:space="preserve">BR5:17</t>
  </si>
  <si>
    <t xml:space="preserve">About page: 'Founded and run by women, here in the Hudson Valley', 'Hand spun in the Hudson Valley'. Sour Melon cotton candy was a 2026 Startup CPG Shelfie finalist (2026-08-06).</t>
  </si>
  <si>
    <t xml:space="preserve">AB-067</t>
  </si>
  <si>
    <t xml:space="preserve">Rule Breaker Snacks</t>
  </si>
  <si>
    <t xml:space="preserve">Nancy</t>
  </si>
  <si>
    <t xml:space="preserve">Kalish</t>
  </si>
  <si>
    <t xml:space="preserve">New York City brand, no graded store within ten blocks, online store only, no dated why-now in the last 12 months, revenue in band, contact named; founder review: claim-borderline.</t>
  </si>
  <si>
    <t xml:space="preserve">https://www.rulebreakersnacks.com/pages/about-us</t>
  </si>
  <si>
    <t xml:space="preserve">find Nancy Kalish at Rule Breaker Snacks on LinkedIn and paste the profile URL; founder review (claim-borderline): read founder_review_reason first</t>
  </si>
  <si>
    <t xml:space="preserve">https://www.bakeryandsnacks.com/Article/2022/03/30/Bimbo-backed-Rule-Breaker-sets-its-sights-on-2.2m-in-2022</t>
  </si>
  <si>
    <t xml:space="preserve">Chocolate Brownie Singles, 1.9 oz individually wrapped (chickpea-based)</t>
  </si>
  <si>
    <t xml:space="preserve">https://www.rulebreakersnacks.com</t>
  </si>
  <si>
    <t xml:space="preserve">Nutrient-content positioning ('packed with protein and fiber', 'guilt-free'); allergen-free kids/lunchbox angle</t>
  </si>
  <si>
    <t xml:space="preserve">strategic (Bimbo Ventures) plus equity crowdfunding (Republic, 2022)</t>
  </si>
  <si>
    <t xml:space="preserve">Brand FAQ: 'stay fresh at room temperature for at least 12 months'</t>
  </si>
  <si>
    <t xml:space="preserve">500k-10m</t>
  </si>
  <si>
    <t xml:space="preserve">reported</t>
  </si>
  <si>
    <t xml:space="preserve">Bakery and Snacks 2022-03-30: sales $1.3m in 2021 vs $444k in 2020; projected $2.2m 2022 (dated figure)</t>
  </si>
  <si>
    <t xml:space="preserve">2,500+ locations; Kroger; Ralphs; Wegmans (brand locator text); Whole Foods Northeast (WFM supplier story, search result)</t>
  </si>
  <si>
    <t xml:space="preserve">https://www.rulebreakersnacks.com/pages/store-locator; https://www.wholefoodsmarket.com/api/search?text=rule%20breaker&amp;store=10162&amp;limit=60&amp;offset=0</t>
  </si>
  <si>
    <t xml:space="preserve">Nancy Kalish</t>
  </si>
  <si>
    <t xml:space="preserve">https://www.instagram.com/rulebreakersnacks/</t>
  </si>
  <si>
    <t xml:space="preserve">BR2:4</t>
  </si>
  <si>
    <t xml:space="preserve">Shark Tank Season 12 (no deal). Not found in WFM Union Square/NoMad/Chelsea catalogs on 2026-10-23. Locator loads dynamically (Secomapp widget) so no store list was readable. No dated signal in the last 12 months found.</t>
  </si>
  <si>
    <t xml:space="preserve">AB-023</t>
  </si>
  <si>
    <t xml:space="preserve">SuperSeedz</t>
  </si>
  <si>
    <t xml:space="preserve">Northeast brand, store page shows Whole Foods Market Chelsea 3.0 blocks outside it, a new store listing 36 days ago, revenue unknown, no contact named; founder review: claim-borderline.</t>
  </si>
  <si>
    <t xml:space="preserve">Whole Foods Market Chelsea, 250 7th Ave</t>
  </si>
  <si>
    <t xml:space="preserve">New 1 oz single-serve Sea Salt pack of 12 on brand store; Pumpkin Spice flavor announced via Startup CPG Newswire (2025-10-01)</t>
  </si>
  <si>
    <t xml:space="preserve">https://www.superseedz.com/products/sea-salt-1-ounce-pack-of-12</t>
  </si>
  <si>
    <t xml:space="preserve">https://www.superseedz.com</t>
  </si>
  <si>
    <t xml:space="preserve">no person named on an opened page: not ready; before using the retailer line, check Whole Foods Market Chelsea still lists it: https://www.wholefoodsmarket.com/search?text=SuperSeedz with your store set to Chelsea (catalogs change daily); founder review (claim-borderline): read founder_review_reason first</t>
  </si>
  <si>
    <t xml:space="preserve">SuperSeedz Sea Salt gourmet pumpkin seeds, 1 oz single-serve (pack of 12)</t>
  </si>
  <si>
    <t xml:space="preserve">Guilford</t>
  </si>
  <si>
    <t xml:space="preserve">Product titles use 'Antioxidant Boost' and WFM listing leads with '8g Protein' (nutrient-content style wording); check pack</t>
  </si>
  <si>
    <t xml:space="preserve">CT</t>
  </si>
  <si>
    <t xml:space="preserve">Brand FAQ (cinnamon sugar seeds): 'Store your pumpkin seeds in an airtight container at room temperature. They will keep this way for several weeks.' No unopened shelf-life figure found.</t>
  </si>
  <si>
    <t xml:space="preserve">Whole Foods Market NoMad, 63 Madison Ave (unverified, inside);Whole Foods Market Chelsea, 250 7th Ave (store_selector, 3.0 blocks out)</t>
  </si>
  <si>
    <t xml:space="preserve">https://www.wholefoodsmarket.com/search?text=superseedz (store context NoMad 10773 and Chelsea 10131: Dry Roasted Pumpkin Seeds with Sea Salt 5 oz IN_STOCK 2026-10-23; not shown for Union Square)</t>
  </si>
  <si>
    <t xml:space="preserve">https://startupcpg.com/startup-cpg-newswire-superseedz-launches-pumpkin-spice/</t>
  </si>
  <si>
    <t xml:space="preserve">BR1:24</t>
  </si>
  <si>
    <t xml:space="preserve">Footer: PO Box 198, Guilford CT. Startup CPG flag from a brand press release on Startup CPG Newswire (title seen in newswire listing via startupcpg.com wp-json post list).</t>
  </si>
  <si>
    <t xml:space="preserve">shelf_stable_basis &lt;- https://www.superseedz.com/pages/faq (2026-10-24, opened); </t>
  </si>
  <si>
    <t xml:space="preserve">AB-119</t>
  </si>
  <si>
    <t xml:space="preserve">Amazi Foods</t>
  </si>
  <si>
    <t xml:space="preserve">Renee</t>
  </si>
  <si>
    <t xml:space="preserve">Dunn</t>
  </si>
  <si>
    <t xml:space="preserve">Brand based outside the Northeast, store page shows Whole Foods Market NoMad inside the cluster, no dated why-now in the last 12 months, revenue unknown, contact named; founder review: shelf life not stated.</t>
  </si>
  <si>
    <t xml:space="preserve">https://amazifoods.com/pages/our-story</t>
  </si>
  <si>
    <t xml:space="preserve">find Renee Dunn at Amazi Foods on LinkedIn and paste the profile URL; before using the retailer line, check Whole Foods Market NoMad still lists it: https://www.wholefoodsmarket.com/search?text=Amazi%20Foods with your store set to NoMad (catalogs change daily); founder review (shelf life or online store): read founder_review_reason first</t>
  </si>
  <si>
    <t xml:space="preserve">https://www.foodbusinessnews.net/articles/22974-amazi-rebrands-expands-lineup</t>
  </si>
  <si>
    <t xml:space="preserve">Pina Colada Dried Pineapple 2.3 oz; Minis 12-packs</t>
  </si>
  <si>
    <t xml:space="preserve">Washington (contact page lists 'Washington, DC')</t>
  </si>
  <si>
    <t xml:space="preserve">https://amazifoods.com</t>
  </si>
  <si>
    <t xml:space="preserve">DC</t>
  </si>
  <si>
    <t xml:space="preserve">Dried fruit in sealed bags sold ambient at Whole Foods; shelf-life figure not found</t>
  </si>
  <si>
    <t xml:space="preserve">https://www.wholefoodsmarket.com/api/search?text=amazi&amp;store=10162&amp;limit=60&amp;offset=0; https://www.wholefoodsmarket.com/api/search?text=amazi&amp;store=10773&amp;limit=60&amp;offset=0</t>
  </si>
  <si>
    <t xml:space="preserve">Renee Dunn</t>
  </si>
  <si>
    <t xml:space="preserve">https://www.instagram.com/amazifoods/</t>
  </si>
  <si>
    <t xml:space="preserve">BR2:57</t>
  </si>
  <si>
    <t xml:space="preserve">Ugandan-sourced dried fruit and jackfruit; keeps production in Uganda. Mid-Atlantic (DC). No new SKU since 2025-04. Not in WFM Chelsea catalog.</t>
  </si>
  <si>
    <t xml:space="preserve">founder_name &lt;- https://www.foodbusinessnews.net/articles/22974-amazi-rebrands-expands-lineup (2026-10-24, opened); founder_title &lt;- https://www.foodbusinessnews.net/articles/22974-amazi-rebrands-expands-lineup (2026-10-24, opened); founder_profile_url &lt;- https://www.foodbusinessnews.net/articles/22974-amazi-rebrands-expands-lineup (2026-10-24, opened); </t>
  </si>
  <si>
    <t xml:space="preserve">AB-215</t>
  </si>
  <si>
    <t xml:space="preserve">Early Bird Foods &amp; Co.</t>
  </si>
  <si>
    <t xml:space="preserve">Nekisia</t>
  </si>
  <si>
    <t xml:space="preserve">Davis</t>
  </si>
  <si>
    <t xml:space="preserve">Brand based outside the Northeast (HQ unverified), store page shows Whole Foods Market NoMad inside the cluster, no dated why-now in the last 12 months, revenue unknown, contact named; founder review: other.</t>
  </si>
  <si>
    <t xml:space="preserve">https://earlybirdfoods.com/pages/about</t>
  </si>
  <si>
    <t xml:space="preserve">find Nekisia Davis at Early Bird Foods &amp; Co. on LinkedIn and paste the profile URL; before using the retailer line, check Whole Foods Market NoMad still lists it: https://www.wholefoodsmarket.com/search?text=Early%20Bird%20Foods%20%26%20Co. with your store set to NoMad (catalogs change daily); founder review (other): read founder_review_reason first</t>
  </si>
  <si>
    <t xml:space="preserve">Granola in 2 oz single-serve bags (brand shop); Farmhand Pecan Granola 12 oz (WFM)</t>
  </si>
  <si>
    <t xml:space="preserve">Michigan (operated from the founders' home 'in the Michigan woods', per The FruitGuys 2025-05-10; brand began in Brooklyn in 2008). City not stated, founder to confirm.</t>
  </si>
  <si>
    <t xml:space="preserve">https://earlybirdfoods.com</t>
  </si>
  <si>
    <t xml:space="preserve">Granola is snack-adjacent (often eaten with milk); WFM stocks the 12 oz bag, while the 2 oz single-serve bags are confirmed online only</t>
  </si>
  <si>
    <t xml:space="preserve">MI (founder to confirm)</t>
  </si>
  <si>
    <t xml:space="preserve">Bagged granola sold ambient; FAQ gives no shelf-life figure, founder to confirm 60+ days</t>
  </si>
  <si>
    <t xml:space="preserve">Blank Slate Gourmet Market, 121 Madison Ave (brand_claim, inside);Eataly Flatiron, 200 5th Ave (brand_claim, inside);Fairway Market Chelsea, 55 W 25th St (brand_claim, inside);Garden of Eden, 7 E 14th St (brand_claim, inside);Whole Foods Market NoMad, 63 Madison Ave (store_selector, inside);Whole Foods Market Union Square, 4 Union Sq S (store_selector, inside);Bedford Cheese Shop, 67 Irving Pl (brand_claim, 0.9 blocks out);Kalustyan's, 123 Lexington Ave (brand_claim, 1.0 blocks out);Merci Market, 59 5th Ave (brand_claim, 1.0 blocks out);Westside Market, 77 7th Ave (brand_claim, 2.0 blocks out);Foragers City Grocer, 300 W 22nd St (brand_claim, 6.6 blocks out)</t>
  </si>
  <si>
    <t xml:space="preserve">Whole Foods Market (WFM catalog); wholesale program; where-to-buy page (not machine-readable)</t>
  </si>
  <si>
    <t xml:space="preserve">https://www.wholefoodsmarket.com/api/search?text=early%20bird%20granola&amp;store=10773&amp;limit=60&amp;offset=0; https://www.wholefoodsmarket.com/api/search?text=early%20bird%20granola&amp;store=10162&amp;limit=60&amp;offset=0; https://www.wholefoodsmarket.com/api/search?text=early%20bird%20granola&amp;store=10713&amp;limit=60&amp;offset=0; https://www.storemapper.co/api/users/2689/stores.js?callback=SMcallback2</t>
  </si>
  <si>
    <t xml:space="preserve">Nekisia Davis</t>
  </si>
  <si>
    <t xml:space="preserve">https://www.instagram.com/earlybirdfoods</t>
  </si>
  <si>
    <t xml:space="preserve">BR4:10</t>
  </si>
  <si>
    <t xml:space="preserve">Woman-owned, gluten-free and vegan granola made with olive oil (homepage banner). WFM store-scoped catalog lists 3 SKUs at NoMad, Union Square and Manhattan West on 2026-10-23. No dated 12-month signal on site. | Nekisia Davis runs the business with her partner in life and business, Jen Watson (no formal title; not recorded as marketing lead). The FruitGuys office-snack service featured the brand in 2025.</t>
  </si>
  <si>
    <t xml:space="preserve">nyc_retailers_near_cluster &lt;- https://www.storemapper.co/api/users/2689/stores.js?callback=SMcallback2 (2026-10-24, opened); retailer_evidence_urls &lt;- https://earlybirdfoods.com/pages/where-to-buy (2026-10-24, opened); hq_city &lt;- https://fruitguys.com/blog/this-lgbtq-owned-snack-brand-makes-granola-with-love (2026-10-24, opened); hq_state &lt;- https://fruitguys.com/blog/this-lgbtq-owned-snack-brand-makes-granola-with-love (2026-10-24, opened); notes &lt;- https://fruitguys.com/blog/this-lgbtq-owned-snack-brand-makes-granola-with-love (2026-10-24, opened); </t>
  </si>
  <si>
    <t xml:space="preserve">AB-244</t>
  </si>
  <si>
    <t xml:space="preserve">Kelly's Four Plus Granola</t>
  </si>
  <si>
    <t xml:space="preserve">Cordy</t>
  </si>
  <si>
    <t xml:space="preserve">Kelly</t>
  </si>
  <si>
    <t xml:space="preserve">Northeast brand, store page shows Whole Foods Market NoMad inside the cluster, no dated why-now in the last 12 months, revenue unknown, contact named; founder review: format.</t>
  </si>
  <si>
    <t xml:space="preserve">https://www.kellysfourplus.com/pages/kfp-story</t>
  </si>
  <si>
    <t xml:space="preserve">find Cordy Kelly at Kelly's Four Plus Granola on LinkedIn and paste the profile URL; before using the retailer line, check Whole Foods Market NoMad still lists it: https://www.wholefoodsmarket.com/search?text=Kelly%27s%20Four%20Plus%20Granola with your store set to NoMad (catalogs change daily); founder review (format): read founder_review_reason first</t>
  </si>
  <si>
    <t xml:space="preserve">Cranberry Nut Granola 12 oz bag (gluten free)</t>
  </si>
  <si>
    <t xml:space="preserve">South Norwalk</t>
  </si>
  <si>
    <t xml:space="preserve">https://www.kellysfourplus.com</t>
  </si>
  <si>
    <t xml:space="preserve">12 oz share bags, not single-serve; granola is snack-adjacent</t>
  </si>
  <si>
    <t xml:space="preserve">family-owned (story page)</t>
  </si>
  <si>
    <t xml:space="preserve">Bagged granola sold ambient; no shelf-life figure published, founder to confirm</t>
  </si>
  <si>
    <t xml:space="preserve">Whole Foods Market (WFM catalog); sold throughout the Northeast and New England and online (story page)</t>
  </si>
  <si>
    <t xml:space="preserve">https://www.wholefoodsmarket.com/api/search?text=kellys%20four%20plus&amp;store=10773&amp;limit=60&amp;offset=0; https://www.wholefoodsmarket.com/api/search?text=kellys%20four%20plus&amp;store=10162&amp;limit=60&amp;offset=0; https://www.wholefoodsmarket.com/api/search?text=kellys%20four%20plus&amp;store=10713&amp;limit=60&amp;offset=0</t>
  </si>
  <si>
    <t xml:space="preserve">Cordy Kelly</t>
  </si>
  <si>
    <t xml:space="preserve">BR4:39</t>
  </si>
  <si>
    <t xml:space="preserve">WFM lists Cranberry Nut, Apple Cinnamon and Cherry Chocolate at Union Square and NoMad, flagged Local (sweep 2026-10-23, query 'granola').</t>
  </si>
  <si>
    <t xml:space="preserve">AB-123</t>
  </si>
  <si>
    <t xml:space="preserve">Numa Foods</t>
  </si>
  <si>
    <t xml:space="preserve">Joyce</t>
  </si>
  <si>
    <t xml:space="preserve">Northeast brand, store page shows Whole Foods Market NoMad inside the cluster, no dated why-now in the last 12 months, revenue unknown, contact named (first name only); founder review: claim-borderline.</t>
  </si>
  <si>
    <t xml:space="preserve">https://numafoods.com/pages/our-story-new</t>
  </si>
  <si>
    <t xml:space="preserve">find Joyce at Numa Foods on LinkedIn and paste the profile URL; surname not public: take it from LinkedIn; before using the retailer line, check Whole Foods Market NoMad still lists it: https://www.wholefoodsmarket.com/search?text=Numa%20Foods with your store set to NoMad (catalogs change daily); founder review (claim-borderline): read founder_review_reason first</t>
  </si>
  <si>
    <t xml:space="preserve">Banana Cream Taffy 3.3 oz; Mini Peanut Butter Cocoa Bars</t>
  </si>
  <si>
    <t xml:space="preserve">Bridgewater</t>
  </si>
  <si>
    <t xml:space="preserve">https://numafoods.com</t>
  </si>
  <si>
    <t xml:space="preserve">'Healthier sweet alternative' and 'lead healthier lives' wellness language; check pack copy</t>
  </si>
  <si>
    <t xml:space="preserve">Brand FAQ: 'Our chews are shelf-stable and have a shelf life of 12 months from the date of production.'</t>
  </si>
  <si>
    <t xml:space="preserve">https://www.wholefoodsmarket.com/api/search?text=numa%20taffy&amp;store=10162&amp;limit=60&amp;offset=0; https://www.wholefoodsmarket.com/api/search?text=numa%20taffy&amp;store=10773&amp;limit=60&amp;offset=0; https://www.wholefoodsmarket.com/api/search?text=numa%20taffy&amp;store=10131&amp;limit=60&amp;offset=0</t>
  </si>
  <si>
    <t xml:space="preserve">Nu first name on brand Our Story</t>
  </si>
  <si>
    <t xml:space="preserve">https://www.instagram.com/numafoods/</t>
  </si>
  <si>
    <t xml:space="preserve">BR2:61</t>
  </si>
  <si>
    <t xml:space="preserve">Family brand. No new SKU since 2025-06. Taffy individual wrapping not confirmed from pages opened; mini bars are single-serve.</t>
  </si>
  <si>
    <t xml:space="preserve">shelf_stable_basis &lt;- https://numafoods.com/pages/faq (2026-10-24, opened); hq_city &lt;- https://numafoods.com/policies/terms-of-service (2026-10-24, opened); hq_state &lt;- https://numafoods.com/policies/terms-of-service (2026-10-24, opened); </t>
  </si>
  <si>
    <t xml:space="preserve">AB-241</t>
  </si>
  <si>
    <t xml:space="preserve">Nomi Crunch</t>
  </si>
  <si>
    <t xml:space="preserve">Sarah</t>
  </si>
  <si>
    <t xml:space="preserve">Harasaki</t>
  </si>
  <si>
    <t xml:space="preserve">New York City brand, brand locator shows Jack's Market 1.3 blocks outside it, no dated why-now in the last 12 months, revenue unknown, contact named; founder review: format, claim-borderline.</t>
  </si>
  <si>
    <t xml:space="preserve">Jack's Market, 110 W 32nd St</t>
  </si>
  <si>
    <t xml:space="preserve">https://nomicrunch.com/</t>
  </si>
  <si>
    <t xml:space="preserve">find Sarah Harasaki at Nomi Crunch on LinkedIn and paste the profile URL; the retailer line rests on the brand's own store locator: say 'your store locator lists ...'; founder review (format, claim-borderline): read founder_review_reason first</t>
  </si>
  <si>
    <t xml:space="preserve">https://www.pearlriver.com/products/nomi-crunch-granola-earl-grey-yuzu</t>
  </si>
  <si>
    <t xml:space="preserve">Black Sesame protein granola bag (also Earl Grey Yuzu)</t>
  </si>
  <si>
    <t xml:space="preserve">New York (homepage: 'crafted in nyc'; Pearl River listing: 'Born in New York City')</t>
  </si>
  <si>
    <t xml:space="preserve">https://nomicrunch.com</t>
  </si>
  <si>
    <t xml:space="preserve">Protein positioning ('50g of protein per bag', whey protein isolate); multi-serve bag, not single-serve</t>
  </si>
  <si>
    <t xml:space="preserve">Jack's Market, 110 W 32nd St (brand_claim, 1.3 blocks out)</t>
  </si>
  <si>
    <t xml:space="preserve">Pearl River Mart (online catalog)</t>
  </si>
  <si>
    <t xml:space="preserve">https://www.pearlriver.com/products/nomi-crunch-granola-earl-grey-yuzu; https://stockist.co/api/v1/map_pqkkeeyq/locations/search?latitude=40.7411&amp;longitude=-73.9897&amp;distance=3&amp;distance_unit=mi</t>
  </si>
  <si>
    <t xml:space="preserve">Sarah Harasaki</t>
  </si>
  <si>
    <t xml:space="preserve">BR4:36</t>
  </si>
  <si>
    <t xml:space="preserve">Woman and minority owned, gluten free (homepage). Pearl River Mart catalog (pearlriver.com online store; Chelsea Market food store at 75 9th Ave not confirmed for this item)</t>
  </si>
  <si>
    <t xml:space="preserve">nyc_retailers_near_cluster &lt;- https://stockist.co/api/v1/map_pqkkeeyq/locations/search?latitude=40.7411&amp;longitude=-73.9897&amp;distance=3&amp;distance_unit=mi (2026-10-24, opened); nearest_stocked_retailer &lt;- https://stockist.co/api/v1/map_pqkkeeyq/locations/search?latitude=40.7411&amp;longitude=-73.9897&amp;distance=3&amp;distance_unit=mi (2026-10-24, opened); nearest_retailer_grade &lt;- https://stockist.co/api/v1/map_pqkkeeyq/locations/search?latitude=40.7411&amp;longitude=-73.9897&amp;distance=3&amp;distance_unit=mi (2026-10-24, opened); retailer_evidence_urls &lt;- https://nomicrunch.com/pages/store-locator (2026-10-24, opened); </t>
  </si>
  <si>
    <t xml:space="preserve">AB-144</t>
  </si>
  <si>
    <t xml:space="preserve">Joe Coffee Company</t>
  </si>
  <si>
    <t xml:space="preserve">Jonathan</t>
  </si>
  <si>
    <t xml:space="preserve">Rubinstein</t>
  </si>
  <si>
    <t xml:space="preserve">New York City brand, no graded store within ten blocks, online store only, news 177 days ago, revenue unknown, contact named; founder review: not-emerging, dormant.</t>
  </si>
  <si>
    <t xml:space="preserve">Founder Jonathan Rubinstein stepped down as CEO and moved to a new leadership role; successor is a long-serving employee (name behind paywall); 24 outlets across New York incl. Union Square</t>
  </si>
  <si>
    <t xml:space="preserve">https://worldcoffeeportal.com/news/new-ceo-for-new-yorks-joe-coffee/</t>
  </si>
  <si>
    <t xml:space="preserve">https://joecoffeecompany.com/pages/locations</t>
  </si>
  <si>
    <t xml:space="preserve">find Jonathan Rubinstein at Joe Coffee Company on LinkedIn and paste the profile URL; founder review (not-emerging, dormant): read founder_review_reason first</t>
  </si>
  <si>
    <t xml:space="preserve">https://joecoffeecompany.com/pages/about</t>
  </si>
  <si>
    <t xml:space="preserve">Joe Coffee Cold Brew cans (Great Heights single origin), 12-pack</t>
  </si>
  <si>
    <t xml:space="preserve">https://joecoffeecompany.com/products/cold-brew</t>
  </si>
  <si>
    <t xml:space="preserve">Cafe group, not a pure CPG brand; cold brew cans showed 'Sold out' (2026-10-23); shelf stability not stated. Already runs corporate catering, so may see Desk Drop as overlap; 60-day shelf life not stated</t>
  </si>
  <si>
    <t xml:space="preserve">not-emerging;dormant</t>
  </si>
  <si>
    <t xml:space="preserve">https://joecoffeecompany.com</t>
  </si>
  <si>
    <t xml:space="preserve">No storage statement on the cold brew product page; founder to confirm</t>
  </si>
  <si>
    <t xml:space="preserve">Joe Coffee Flatiron (unverified, unplaced);Joe Coffee Union Square West (unverified, unplaced);Joe Pro Shop (unverified, unplaced)</t>
  </si>
  <si>
    <t xml:space="preserve">Own cafes incl. Flatiron, 13th Street, Union Square West, Pro Shop W 21st St, Chelsea, Bryant Park, Grand Central</t>
  </si>
  <si>
    <t xml:space="preserve">Jonathan Rubinstein</t>
  </si>
  <si>
    <t xml:space="preserve">https://www.instagram.com/joecoffeecompany</t>
  </si>
  <si>
    <t xml:space="preserve">BR3:18</t>
  </si>
  <si>
    <t xml:space="preserve">why_now_date is the Shopify publish date (2025-08-25), inside the 12-month window. Location names listed on the site; street addresses not captured. | Added 2026-10-24: Joe Coffee HQ and Education Lab: 443 Park Avenue South, Suite 1000, New York, NY 10016 (Park Ave S at 30th St, at the north edge of the cluster)</t>
  </si>
  <si>
    <t xml:space="preserve">notes &lt;- https://joecoffeecompany.com/pages/contact-us (2026-10-24, opened); founder_name &lt;- https://joecoffeecompany.com/pages/about (2026-10-24, opened); founder_title &lt;- https://worldcoffeeportal.com/news/new-ceo-for-new-yorks-joe-coffee/ (2026-10-24, opened); why_now &lt;- https://worldcoffeeportal.com/news/new-ceo-for-new-yorks-joe-coffee/ (2026-10-24, opened); why_now_url &lt;- https://worldcoffeeportal.com/news/new-ceo-for-new-yorks-joe-coffee/ (2026-10-24, opened); why_now_date &lt;- https://worldcoffeeportal.com/news/new-ceo-for-new-yorks-joe-coffee/ (2026-10-24, opened); founder_profile_url &lt;- https://joecoffeecompany.com/pages/about (2026-10-24, opened); </t>
  </si>
  <si>
    <t xml:space="preserve">AB-250</t>
  </si>
  <si>
    <t xml:space="preserve">NouBon</t>
  </si>
  <si>
    <t xml:space="preserve">Pierrelande</t>
  </si>
  <si>
    <t xml:space="preserve">Saint Cyr</t>
  </si>
  <si>
    <t xml:space="preserve">New York State brand, no graded store within ten blocks, online store only, news 142 days ago, revenue unknown, contact named; founder review: under-floor.</t>
  </si>
  <si>
    <t xml:space="preserve">Debuted Caribbean snack bags and craft peanut butters</t>
  </si>
  <si>
    <t xml:space="preserve">https://startupcpg.com/startup-cpg-newswire-noubon-bringing-bold-small-batch-caribbean-flavors-to-store-shelves/</t>
  </si>
  <si>
    <t xml:space="preserve">2026-06-04</t>
  </si>
  <si>
    <t xml:space="preserve">find Pierrelande Saint Cyr at NouBon on LinkedIn and paste the profile URL; founder review (under-floor): read founder_review_reason first</t>
  </si>
  <si>
    <t xml:space="preserve">Caribbean street-confection snack bags: Coconut Clusters, Coconut Bites, Peanut Crunch, Vanilla Fudge (also spiced peanut butters)</t>
  </si>
  <si>
    <t xml:space="preserve">Deer Park, Long Island (privacy policy: NouBon, 669 Acorn St, Suite D, Deer Park NY 11729)</t>
  </si>
  <si>
    <t xml:space="preserve">http://www.noubon.com</t>
  </si>
  <si>
    <t xml:space="preserve">Debut-stage brand may be under the $500k floor (no sales figure); no NYC retailer named yet; 60-day shelf life not stated</t>
  </si>
  <si>
    <t xml:space="preserve">under-floor</t>
  </si>
  <si>
    <t xml:space="preserve">Snack bags; storage not stated, founder to confirm</t>
  </si>
  <si>
    <t xml:space="preserve">No sales figure published. Debut lineup DTC plus Faire/Airgoods (Startup CPG 2026-06-04)</t>
  </si>
  <si>
    <t xml:space="preserve">DTC (noubon.com); wholesale via Faire and Airgoods</t>
  </si>
  <si>
    <t xml:space="preserve">Pierrelande Saint Cyr</t>
  </si>
  <si>
    <t xml:space="preserve">BR4:45</t>
  </si>
  <si>
    <t xml:space="preserve">Haitian American sister founders. Peanut butters are spreads (not a drop item); the snack bags are the fit.</t>
  </si>
  <si>
    <t xml:space="preserve">nearest_stocked_retailer &lt;- https://stockist.co/api/v1/map_pqkk8eyq/locations/search?latitude=40.7411&amp;longitude=-73.9897&amp;distance=3&amp;distance_unit=mi (2026-10-24, opened); hq_city &lt;- http://www.noubon.com/policies/privacy-policy (2026-10-24, opened); </t>
  </si>
  <si>
    <t xml:space="preserve">AB-282</t>
  </si>
  <si>
    <t xml:space="preserve">Dona</t>
  </si>
  <si>
    <t xml:space="preserve">New York City brand, no graded store within ten blocks, online store only, a new store listing 93 days ago, revenue unknown, no contact named; founder review: other.</t>
  </si>
  <si>
    <t xml:space="preserve">Added a Mini Chai Streusel Granola single pack and a chai and granola bundle</t>
  </si>
  <si>
    <t xml:space="preserve">https://drinkdona.com/products.json</t>
  </si>
  <si>
    <t xml:space="preserve">Mini Chai Streusel Granola with Honey ($5 single pack)</t>
  </si>
  <si>
    <t xml:space="preserve">Brooklyn (1365 Halsey St, 11237)</t>
  </si>
  <si>
    <t xml:space="preserve">https://drinkdona.com</t>
  </si>
  <si>
    <t xml:space="preserve">Core line is tea, matcha and chai concentrate, which need preparation (excluded); only the mini granola fits. Check who makes it and which SKU is eligible</t>
  </si>
  <si>
    <t xml:space="preserve">Packaged granola and dry teas sold ambient online; shelf life not stated</t>
  </si>
  <si>
    <t xml:space="preserve">https://www.instagram.com/drinkdona</t>
  </si>
  <si>
    <t xml:space="preserve">BR5:18</t>
  </si>
  <si>
    <t xml:space="preserve">Dona's Cardamom Rose Tea Concentrate is a 2027 sofi finalist (Coffee &amp; Tea, announced 2026-10-19); that SKU needs mixing, so it is not the placement product. Footer: '©2026 DONA CHAI LLC | 1365 HALSEY ST, BROOKLYN, NY 11237'.</t>
  </si>
  <si>
    <t xml:space="preserve">AB-276</t>
  </si>
  <si>
    <t xml:space="preserve">Live Loud Foods</t>
  </si>
  <si>
    <t xml:space="preserve">Keesha</t>
  </si>
  <si>
    <t xml:space="preserve">New York City brand, no graded store within ten blocks, online store only, a new store listing 53 days ago, revenue unknown, contact named (first name only); founder review: under-floor, format.</t>
  </si>
  <si>
    <t xml:space="preserve">In the Made in NYC Bodega at Brooklyn Navy Yard, September to November 2026 (site banner)</t>
  </si>
  <si>
    <t xml:space="preserve">https://www.liveloudfoods.com</t>
  </si>
  <si>
    <t xml:space="preserve">2026-09</t>
  </si>
  <si>
    <t xml:space="preserve">https://hotbreadkitchen.org/breadwinners-marketplace/</t>
  </si>
  <si>
    <t xml:space="preserve">find Keesha at Live Loud Foods on LinkedIn and paste the profile URL; surname not public: take it from LinkedIn; founder review (under-floor, format): read founder_review_reason first</t>
  </si>
  <si>
    <t xml:space="preserve">https://hotbreadkitchen.org/hbki/</t>
  </si>
  <si>
    <t xml:space="preserve">Caribbean Jerk Candied Mixed Nuts; Candied Citrus Pistachio</t>
  </si>
  <si>
    <t xml:space="preserve">Hot Bread Kitchen incubator alumna; likely well under $500k. Founder name not on any page opened. Bag size not confirmed</t>
  </si>
  <si>
    <t xml:space="preserve">Candied nuts in sealed retail bags sold online; shelf life not stated</t>
  </si>
  <si>
    <t xml:space="preserve">Made in NYC Bodega pop-up at Brooklyn Navy Yard (Sept to Nov 2026); store locator page not reachable</t>
  </si>
  <si>
    <t xml:space="preserve">surname not given</t>
  </si>
  <si>
    <t xml:space="preserve">https://www.instagram.com/live.loud.foods</t>
  </si>
  <si>
    <t xml:space="preserve">BR5:12</t>
  </si>
  <si>
    <t xml:space="preserve">Listed in Hot Bread Kitchen's Breadwinners Marketplace: 'bold, globally inspired flavored nuts with a New York City soul'. The HBKi page quotes 'Keesha, Live Loud Foods' about getting into a shared kitchen; that only implies she is the founder. Also runs paid tasting events (Oct to Nov 2026).</t>
  </si>
  <si>
    <t xml:space="preserve">AB-243</t>
  </si>
  <si>
    <t xml:space="preserve">Moon Man (Hello Moon Man)</t>
  </si>
  <si>
    <t xml:space="preserve">Nigel</t>
  </si>
  <si>
    <t xml:space="preserve">Sielegar</t>
  </si>
  <si>
    <t xml:space="preserve">New York City brand (HQ unverified), no graded store within ten blocks, online store only, a new store listing 0 days ago, revenue unknown, contact named; founder review: under-floor.</t>
  </si>
  <si>
    <t xml:space="preserve">Scheduled at Queens Night Market on 2026-10-24 and 2026-10-31 (homepage 'Next Missions')</t>
  </si>
  <si>
    <t xml:space="preserve">https://hellomoonman.com/</t>
  </si>
  <si>
    <t xml:space="preserve">find Nigel Sielegar at Moon Man (Hello Moon Man) on LinkedIn and paste the profile URL; founder review (under-floor): read founder_review_reason first</t>
  </si>
  <si>
    <t xml:space="preserve">https://untappedcities.com/2017/09/29/10-not-to-miss-vendors-at-the-queens-international-night-market/4/</t>
  </si>
  <si>
    <t xml:space="preserve">Moon Man Sweet Chili Micro Fries (bag)</t>
  </si>
  <si>
    <t xml:space="preserve">Queens, New York (vendor at Queens Night Market per homepage schedule; HQ address not stated, founder to confirm)</t>
  </si>
  <si>
    <t xml:space="preserve">https://hellomoonman.com</t>
  </si>
  <si>
    <t xml:space="preserve">Very small maker (market-stall brand); likely under the $500k floor and capacity for 275 units unknown</t>
  </si>
  <si>
    <t xml:space="preserve">Bagged crunchy snack sold ambient at Pearl River Mart; no shelf-life figure published, founder to confirm</t>
  </si>
  <si>
    <t xml:space="preserve">Pearl River Mart Foods (unverified, 11.4 blocks out)</t>
  </si>
  <si>
    <t xml:space="preserve">Pearl River Mart (online catalog); Queens Night Market stall</t>
  </si>
  <si>
    <t xml:space="preserve">https://www.pearlriver.com/products/moon-man-sweet-chili-micro-fries</t>
  </si>
  <si>
    <t xml:space="preserve">Nigel Sielegar</t>
  </si>
  <si>
    <t xml:space="preserve">with cousin Wenny Purnomo</t>
  </si>
  <si>
    <t xml:space="preserve">BR4:38</t>
  </si>
  <si>
    <t xml:space="preserve">Southeast Asian desserts and kaya jams brand; micro fries are its packaged snack. Homepage cites an Eater NY feature (2022). Pearl River Mart catalog (pearlriver.com online store; Chelsea Market food store at 75 9th Ave not confirmed for this item)</t>
  </si>
  <si>
    <t xml:space="preserve">founder_name &lt;- https://untappedcities.com/2017/09/29/10-not-to-miss-vendors-at-the-queens-international-night-market/4/ (2026-10-24, opened); founder_title &lt;- https://untappedcities.com/2017/09/29/10-not-to-miss-vendors-at-the-queens-international-night-market/4/ (2026-10-24, opened); founder_profile_url &lt;- https://untappedcities.com/2017/09/29/10-not-to-miss-vendors-at-the-queens-international-night-market/4/ (2026-10-24, opened); </t>
  </si>
  <si>
    <t xml:space="preserve">AB-225</t>
  </si>
  <si>
    <t xml:space="preserve">Blind Tiger Spirit-Free Cocktails</t>
  </si>
  <si>
    <t xml:space="preserve">Styn</t>
  </si>
  <si>
    <t xml:space="preserve">Northeast brand, brand locator shows Whole Foods Market NoMad inside the cluster, news 263 days ago, revenue unknown, contact named; founder review: alcohol-adjacent.</t>
  </si>
  <si>
    <t xml:space="preserve">Expanded national pilot to 400 Whole Foods Market stores (Jan 26 to end of Feb 2026)</t>
  </si>
  <si>
    <t xml:space="preserve">https://startupcpg.com/startup-cpg-newswire-blind-tiger-spirit-free-cocktails-expands-national-pilot-across-400-whole-foods-market-stores/</t>
  </si>
  <si>
    <t xml:space="preserve">2026-02-03</t>
  </si>
  <si>
    <t xml:space="preserve">https://blindtigerspiritfree.com/</t>
  </si>
  <si>
    <t xml:space="preserve">find Rebecca Styn at Blind Tiger Spirit-Free Cocktails on LinkedIn and paste the profile URL; the retailer line rests on the brand's own store locator: say 'your store locator lists ...'; founder review (alcohol-adjacent): read founder_review_reason first</t>
  </si>
  <si>
    <t xml:space="preserve">Southside Mojito spirit-free cocktail, can (8-can packs online; 4-packs at WFM)</t>
  </si>
  <si>
    <t xml:space="preserve">Erie</t>
  </si>
  <si>
    <t xml:space="preserve">https://blindtigerspiritfree.com</t>
  </si>
  <si>
    <t xml:space="preserve">Non-alcoholic cocktail positioned for bars and for mixing with spirits (alcohol-adjacent); an office may veto; 60-day shelf life not stated</t>
  </si>
  <si>
    <t xml:space="preserve">PA</t>
  </si>
  <si>
    <t xml:space="preserve">Canned RTD; storage not stated on homepage, founder to confirm</t>
  </si>
  <si>
    <t xml:space="preserve">Release: 1,600+ retailers nationwide (store count, not used for band)</t>
  </si>
  <si>
    <t xml:space="preserve">Whole Foods Market NoMad, 63 Madison Ave (brand_claim, inside);Whole Foods Market Union Square, 4 Union Sq S (brand_claim, inside);Whole Foods Market Chelsea, 250 7th Ave (brand_claim, 3.0 blocks out)</t>
  </si>
  <si>
    <t xml:space="preserve">Whole Foods Market Manhattan West (brand_claim, 13.8 blocks out)</t>
  </si>
  <si>
    <t xml:space="preserve">Whole Foods Market (400-store national pilot Jan-Feb 2026; ~100 stores Nov 2025 incl. New York); Wegmans; Total Wine &amp; More; Royal Caribbean</t>
  </si>
  <si>
    <t xml:space="preserve">https://www.wholefoodsmarket.com/api/search?text=blind%20tiger&amp;store=10773&amp;limit=60&amp;offset=0</t>
  </si>
  <si>
    <t xml:space="preserve">Rebecca Styn</t>
  </si>
  <si>
    <t xml:space="preserve">BR4:20</t>
  </si>
  <si>
    <t xml:space="preserve">Spirit-free (no alcohol) per brand; recorded under other-drink. WFM pilot was time-limited; current cluster listing not found.</t>
  </si>
  <si>
    <t xml:space="preserve">nyc_retailers_near_cluster &lt;- https://api.storepoint.co/v1/164a5606e521cf/locations?lat=40.7411&amp;long=-73.9897&amp;radius=5 (2026-10-24, opened); nearest_stocked_retailer &lt;- https://api.storepoint.co/v1/164a5606e521cf/locations?lat=40.7411&amp;long=-73.9897&amp;radius=5 (2026-10-24, opened); nearest_retailer_grade &lt;- https://api.storepoint.co/v1/164a5606e521cf/locations?lat=40.7411&amp;long=-73.9897&amp;radius=5 (2026-10-24, opened); </t>
  </si>
  <si>
    <t xml:space="preserve">AB-169</t>
  </si>
  <si>
    <t xml:space="preserve">Banagua</t>
  </si>
  <si>
    <t xml:space="preserve">Rob</t>
  </si>
  <si>
    <t xml:space="preserve">Smithson</t>
  </si>
  <si>
    <t xml:space="preserve">Brand based outside the Northeast, no graded store within ten blocks, online store only, news 61 days ago, revenue in band, contact named; founder review: claim-borderline.</t>
  </si>
  <si>
    <t xml:space="preserve">Won the 2026 Startup CPG Shelfie Award, Beverage (2026-08-24); announced a 5.5M investment from Hingham Growth Partners and 3,500+ doors incl. Sprouts, Albertsons, Kroger, Erewhon (2026-06-02); named Best New Brand by Beverage Digest (2026-01-12)</t>
  </si>
  <si>
    <t xml:space="preserve">https://startupcpg.com/startup-cpg-shelfie-winners-2026/</t>
  </si>
  <si>
    <t xml:space="preserve">2026-08-24</t>
  </si>
  <si>
    <t xml:space="preserve">https://banagua.com/pages/about-us</t>
  </si>
  <si>
    <t xml:space="preserve">find Rob Smithson at Banagua on LinkedIn and paste the profile URL; founder review (claim-borderline): read founder_review_reason first</t>
  </si>
  <si>
    <t xml:space="preserve">https://www.newhope.com/brands/banaguas-rapid-banana-water-growth-rivals-coconut-water</t>
  </si>
  <si>
    <t xml:space="preserve">Banagua Original Banana Water, aluminum can</t>
  </si>
  <si>
    <t xml:space="preserve">Nashville (office in Smyrna, TN)</t>
  </si>
  <si>
    <t xml:space="preserve">https://banagua.com</t>
  </si>
  <si>
    <t xml:space="preserve">NYC retail and HQ not confirmed; product copy says 'antioxidant-rich and full of natural energy' (soft wording, check label). Startup CPG community brand, which suits a warm intro; national retail distribution in the why-now ('3,500+ doors'): check the revenue band at intake</t>
  </si>
  <si>
    <t xml:space="preserve">5.5M round led by Hingham Growth Partners (2026); round stage not stated</t>
  </si>
  <si>
    <t xml:space="preserve">About page: 'lightly pasteurize... aluminum cans... shelf-stable for up to 18 months' (banagua.com/pages/about-us, opened 2026-10-23)</t>
  </si>
  <si>
    <t xml:space="preserve">company projection, not actuals</t>
  </si>
  <si>
    <t xml:space="preserve">Co-founder Rob Smithson in New Hope 2026-07-22: a little more than $5 million expected in year one; a little over 3,000 doors within four months | about 5M expected in first year (company projection, not actuals)</t>
  </si>
  <si>
    <t xml:space="preserve">unknown (Destini locator not readable)</t>
  </si>
  <si>
    <t xml:space="preserve">Rob Smithson</t>
  </si>
  <si>
    <t xml:space="preserve">Jose Carlos Herrera</t>
  </si>
  <si>
    <t xml:space="preserve">Carlos Herrera</t>
  </si>
  <si>
    <t xml:space="preserve">co-founder</t>
  </si>
  <si>
    <t xml:space="preserve">BR3:43</t>
  </si>
  <si>
    <t xml:space="preserve">Shelfie finalists page (2026-08-06) describes 'Single ingredient banana water with no funny stuff'. Flavors: Original, Strawberry, Blueberry, Cocoa Vanilla (listed 2025-05-13).</t>
  </si>
  <si>
    <t xml:space="preserve">hq_city &lt;- https://www.newhope.com/brands/banaguas-rapid-banana-water-growth-rivals-coconut-water (2026-10-24, opened); hq_state &lt;- https://banagua.com/policies/privacy-policy (2026-10-24, opened); founder_name &lt;- https://www.newhope.com/brands/banaguas-rapid-banana-water-growth-rivals-coconut-water (2026-10-24, opened); founder_title &lt;- https://business.vanderbilt.edu/news/2026/01/23/how-rob-smithson-emba25-and-jose-carlos-herrera-emba25-turned-a-grocery-store-find-into-banagua-2/ (2026-10-24, opened); revenue_band &lt;- https://www.newhope.com/brands/banaguas-rapid-banana-water-growth-rivals-coconut-water (2026-10-24, opened); revenue_basis &lt;- https://www.newhope.com/brands/banaguas-rapid-banana-water-growth-rivals-coconut-water (2026-10-24, opened); funding_stage &lt;- https://www.newhope.com/brands/banaguas-rapid-banana-water-growth-rivals-coconut-water (2026-10-24, opened); why_now &lt;- https://startupcpg.com/startup-cpg-newswire-banagua-secures-5-5-million-investment-from-hingham-growth-partners-to-accelerate-national-expansion/ (2026-10-24, opened); founder_profile_url &lt;- https://business.vanderbilt.edu/news/2026/01/23/how-rob-smithson-emba25-and-jose-carlos-herrera-emba25-turned-a-grocery-store-find-into-banagua-2/ (2026-10-24, opened); </t>
  </si>
  <si>
    <t xml:space="preserve">AB-224</t>
  </si>
  <si>
    <t xml:space="preserve">Day Out Snacks</t>
  </si>
  <si>
    <t xml:space="preserve">Becky</t>
  </si>
  <si>
    <t xml:space="preserve">Dheri</t>
  </si>
  <si>
    <t xml:space="preserve">Northeast brand (HQ unverified), no graded store within ten blocks, online store only, news 60 days ago, revenue unknown, contact named; founder review: claim-borderline.</t>
  </si>
  <si>
    <t xml:space="preserve">Launched limited-edition Apple Pie and Pumpkin Cheesecake flavors for fall; landed nationwide at Target in June 2026</t>
  </si>
  <si>
    <t xml:space="preserve">https://startupcpg.com/startup-cpg-newswire-day-out-snacks-launches-limited-edition-apple-pie-and-pumpkin-cheesecake-flavors-for-fall/</t>
  </si>
  <si>
    <t xml:space="preserve">2026-08-25</t>
  </si>
  <si>
    <t xml:space="preserve">https://startupcpg.com/startup-cpg-newswire-day-out-snacks-lands-nationwide-at-target/</t>
  </si>
  <si>
    <t xml:space="preserve">find Becky Dheri at Day Out Snacks on LinkedIn and paste the profile URL; founder review (claim-borderline): read founder_review_reason first</t>
  </si>
  <si>
    <t xml:space="preserve">Dessert-inspired plant-protein balls, single-serve pouches (4 per box at Target); 4.5 oz resealable bag</t>
  </si>
  <si>
    <t xml:space="preserve">Red Bank, NJ per the August 2026 release; an October 2026 release dateline and an NJBIZ article give Montville, NJ (search snippets only; unverified, founder to confirm)</t>
  </si>
  <si>
    <t xml:space="preserve">https://getdayout.com</t>
  </si>
  <si>
    <t xml:space="preserve">Protein positioning ('functional snacking', 9-12g plant protein per serving); kids' activities angle in boilerplate; national retail distribution in the why-now ('nationwide at Target'): check the revenue band at intake</t>
  </si>
  <si>
    <t xml:space="preserve">Brand FAQ: 'good for 8 months sealed'; no refrigeration needed ('can be kept at room temperature'); resealable bags</t>
  </si>
  <si>
    <t xml:space="preserve">Target nationwide (June 2026; endcaps in ~800 stores June 14-July 25); 54 Costco locations across the Northeast (Sept 2025); ShopRite (rollout before Sept 2025)</t>
  </si>
  <si>
    <t xml:space="preserve">Becky Dheri</t>
  </si>
  <si>
    <t xml:space="preserve">BR4:19</t>
  </si>
  <si>
    <t xml:space="preserve">Boilerplate names 'a busy workday' as a use case. Target's Manhattan stores (e.g., Kips Bay, Herald Square) not checked. Brand website not reached.</t>
  </si>
  <si>
    <t xml:space="preserve">website &lt;- https://startupcpg.com/startup-cpg-newswire-day-out-snacks-lands-nationwide-at-target/ (2026-10-24, opened); online_store &lt;- https://getdayout.com/products.json?limit=250 (2026-10-24, opened); online_store_url &lt;- https://getdayout.com/ (2026-10-24, opened); retailers_claimed &lt;- https://www.foodnavigator-usa.com/Article/2025/09/03/functional-snacks-boom-as-day-out-expands-retail-reach/ (2026-10-24, opened); hq_city &lt;- https://www.nosh.com/pr/2026/10/07/day-out-snacks-welcomes-back-limited-edition-peppermint-bark-flavor (2026-10-24, snippet-unverified); shelf_stable &lt;- https://getdayout.com/pages/faqs (2026-10-24, opened); shelf_stable_basis &lt;- https://getdayout.com/pages/faqs (2026-10-24, opened); </t>
  </si>
  <si>
    <t xml:space="preserve">AB-042</t>
  </si>
  <si>
    <t xml:space="preserve">Terranean</t>
  </si>
  <si>
    <t xml:space="preserve">Chamoun</t>
  </si>
  <si>
    <t xml:space="preserve">Founder, CPCO</t>
  </si>
  <si>
    <t xml:space="preserve">Brand based outside the Northeast, no graded store within ten blocks, online store only, news 164 days ago, revenue unknown, contact named.</t>
  </si>
  <si>
    <t xml:space="preserve">Launched Avocado Oil Pita Chips with World Market rollout (June 2026); Spicy Za'atar Pita Chips added 2026-08-16</t>
  </si>
  <si>
    <t xml:space="preserve">https://startupcpg.com/startup-cpg-newswire-terranean-expands-avocado-oil-pita-chips-and-national-retail-presence/</t>
  </si>
  <si>
    <t xml:space="preserve">2026-05-13</t>
  </si>
  <si>
    <t xml:space="preserve">https://terraneanherbs.com/pages/about-us</t>
  </si>
  <si>
    <t xml:space="preserve">find Tina Chamoun at Terranean on LinkedIn and paste the profile URL</t>
  </si>
  <si>
    <t xml:space="preserve">Terranean Za'atar Pita Chips ($6.99 bag); new Spicy Za'atar</t>
  </si>
  <si>
    <t xml:space="preserve">Cleveland</t>
  </si>
  <si>
    <t xml:space="preserve">https://terraneanherbs.com</t>
  </si>
  <si>
    <t xml:space="preserve">OH</t>
  </si>
  <si>
    <t xml:space="preserve">Twice-baked pita chips in sealed bags, ambient</t>
  </si>
  <si>
    <t xml:space="preserve">PopUp Grocer (brand_claim, unplaced)</t>
  </si>
  <si>
    <t xml:space="preserve">World Market (from June 2026); Fresh Thyme Market; Sendik's; Festival Foods; Heinen's; PopUp Grocer (NYC)</t>
  </si>
  <si>
    <t xml:space="preserve">https://popupgrocer.com/pages/directory (Terranean Herbs &amp; Spices availability 'NYC Flagship', 2026-10-23); https://popupgrocer.com/products/terranean-herbs-spices</t>
  </si>
  <si>
    <t xml:space="preserve">Tina Chamoun</t>
  </si>
  <si>
    <t xml:space="preserve">Mia Salvano</t>
  </si>
  <si>
    <t xml:space="preserve">Mia</t>
  </si>
  <si>
    <t xml:space="preserve">Salvano</t>
  </si>
  <si>
    <t xml:space="preserve">Product Demo &amp; Store Relations Manager</t>
  </si>
  <si>
    <t xml:space="preserve">https://instagram.com/TerraneanHerbs</t>
  </si>
  <si>
    <t xml:space="preserve">BR1:43</t>
  </si>
  <si>
    <t xml:space="preserve">Homepage banner: 'Good Housekeeping's Best of List 2026!' An award signal to pair with the May 2026 World Market launch already in why_now.</t>
  </si>
  <si>
    <t xml:space="preserve">notes &lt;- https://terraneanherbs.com/ (2026-10-24, opened); </t>
  </si>
  <si>
    <t xml:space="preserve">https://terraneanherbs.com/</t>
  </si>
  <si>
    <t xml:space="preserve">AB-218</t>
  </si>
  <si>
    <t xml:space="preserve">WildBoard</t>
  </si>
  <si>
    <t xml:space="preserve">Amy</t>
  </si>
  <si>
    <t xml:space="preserve">Boysen</t>
  </si>
  <si>
    <t xml:space="preserve">Northeast brand, no graded store within ten blocks, online store only, news 24 days ago, revenue unknown, contact named; founder review: claim-borderline.</t>
  </si>
  <si>
    <t xml:space="preserve">Launched savory trail mix clusters in three flavors after sampling 3,500+ units incl. Expo West 2026</t>
  </si>
  <si>
    <t xml:space="preserve">https://startupcpg.com/startup-cpg-newswire-wildboard-launches-savory-trail-mix-clusters-bringing-the-appetizer-board-to-everyday-snacking/</t>
  </si>
  <si>
    <t xml:space="preserve">2026-09-30</t>
  </si>
  <si>
    <t xml:space="preserve">https://wildboardsnacks.com/</t>
  </si>
  <si>
    <t xml:space="preserve">find Amy Boysen at WildBoard on LinkedIn and paste the profile URL; founder review (claim-borderline): read founder_review_reason first</t>
  </si>
  <si>
    <t xml:space="preserve">Mezze (Pistachios &amp; Za'atar) savory trail mix clusters, 3.5 oz bag</t>
  </si>
  <si>
    <t xml:space="preserve">https://wildboardsnacks.com</t>
  </si>
  <si>
    <t xml:space="preserve">Nutrient-content claims (15g protein, 12g fiber per bag); brand just launched, no NYC retailer yet</t>
  </si>
  <si>
    <t xml:space="preserve">Brand product page: '12 months shelf life from production, shelf stable, no refrigeration' (3.5 oz stand-up pouch)</t>
  </si>
  <si>
    <t xml:space="preserve">No sales figure published. Launched Sept 2026 (Startup CPG 2026-09-30): early stage, band founder to confirm</t>
  </si>
  <si>
    <t xml:space="preserve">Online (wildboardsnacks.com); Expo West 2026 sampling</t>
  </si>
  <si>
    <t xml:space="preserve">Amy Boysen</t>
  </si>
  <si>
    <t xml:space="preserve">BR4:13</t>
  </si>
  <si>
    <t xml:space="preserve">Homepage positions it as 'Built for the desk' and 'The 3pm slump' snack, a strong office-pantry fit. Release datelined New York, NY but founders are out of Guilford, CT. Women- and LGBTQIA+-owned.</t>
  </si>
  <si>
    <t xml:space="preserve">nearest_stocked_retailer &lt;- https://stockist.co/api/v1/map_rq48522q/locations/search?latitude=40.7411&amp;longitude=-73.9897&amp;distance=3&amp;distance_unit=mi (2026-10-24, opened); shelf_stable_basis &lt;- https://wildboardsnacks.com/products.json?limit=250 (2026-10-24, opened); </t>
  </si>
  <si>
    <t xml:space="preserve">AB-007</t>
  </si>
  <si>
    <t xml:space="preserve">Eccentric Bagel Chips</t>
  </si>
  <si>
    <t xml:space="preserve">Darryn</t>
  </si>
  <si>
    <t xml:space="preserve">Weinstein</t>
  </si>
  <si>
    <t xml:space="preserve">New York State brand, no graded store within ten blocks, online store only, a new store listing 65 days ago, revenue unknown, contact named.</t>
  </si>
  <si>
    <t xml:space="preserve">Five-flavor mini chip line and variety pack published on new brand store</t>
  </si>
  <si>
    <t xml:space="preserve">https://eccentricbagelchips.com/pages/shop</t>
  </si>
  <si>
    <t xml:space="preserve">https://eccentricbagelchips.com/pages/about</t>
  </si>
  <si>
    <t xml:space="preserve">find Darryn Weinstein at Eccentric Bagel Chips on LinkedIn and paste the profile URL</t>
  </si>
  <si>
    <t xml:space="preserve">https://northforker.com/2025/03/my-favorite-things-darryn-weinstein-eccentric-bagel/</t>
  </si>
  <si>
    <t xml:space="preserve">Eccentric Bagel Mini Chips, Everything ($8 bag)</t>
  </si>
  <si>
    <t xml:space="preserve">Shelter Island</t>
  </si>
  <si>
    <t xml:space="preserve">https://eccentricbagelchips.com</t>
  </si>
  <si>
    <t xml:space="preserve">Brand FAQ: 'Our bagel chips have a 5-month shelf life when unopened.' Passes the 60-day rule if delivered within about 3 months of bake.</t>
  </si>
  <si>
    <t xml:space="preserve">PopUp Grocer (NYC)</t>
  </si>
  <si>
    <t xml:space="preserve">https://popupgrocer.com/pages/directory (availability 'NYC Flagship', 2026-10-23); https://popupgrocer.com/products/eccentric-bagel-chips</t>
  </si>
  <si>
    <t xml:space="preserve">Darryn Weinstein</t>
  </si>
  <si>
    <t xml:space="preserve">https://instagram.com/eccentricbagelchips</t>
  </si>
  <si>
    <t xml:space="preserve">BR1:8</t>
  </si>
  <si>
    <t xml:space="preserve">About page: founder spent 30+ years in luxury travel, started during COVID; Shelter Island NY. Seed-oil free, Jewish- and women-owned per PopUp Grocer tags. why_now date is Shopify published_at (products.json). Bag size not confirmed.</t>
  </si>
  <si>
    <t xml:space="preserve">shelf_stable_basis &lt;- https://eccentricbagelchips.com/pages/faq (2026-10-24, opened); founder_name &lt;- https://northforker.com/2025/03/my-favorite-things-darryn-weinstein-eccentric-bagel/ (2026-10-24, opened); founder_profile_url &lt;- https://northforker.com/2025/03/my-favorite-things-darryn-weinstein-eccentric-bagel/ (2026-10-24, opened); </t>
  </si>
  <si>
    <t xml:space="preserve">AB-136</t>
  </si>
  <si>
    <t xml:space="preserve">Hal's New York</t>
  </si>
  <si>
    <t xml:space="preserve">Hershkowitz</t>
  </si>
  <si>
    <t xml:space="preserve">CEO, Big Geyser</t>
  </si>
  <si>
    <t xml:space="preserve">New York City brand, no graded store within ten blocks, online store only, no dated why-now in the last 12 months, revenue unknown, contact named; founder review: other.</t>
  </si>
  <si>
    <t xml:space="preserve">https://www.halsnewyork.com/hals-story/</t>
  </si>
  <si>
    <t xml:space="preserve">find Lewis Hershkowitz at Hal's New York on LinkedIn and paste the profile URL; founder review (other): read founder_review_reason first</t>
  </si>
  <si>
    <t xml:space="preserve">https://www.longisland.com/news/11-09-22/hals-new-york-home-grown-seltzer-snack-company-making-waves-nationwide.html</t>
  </si>
  <si>
    <t xml:space="preserve">Hal's New York Seltzer, can; also ginger ale</t>
  </si>
  <si>
    <t xml:space="preserve">Maspeth (Queens, New York City)</t>
  </si>
  <si>
    <t xml:space="preserve">https://www.halsnewyork.com</t>
  </si>
  <si>
    <t xml:space="preserve">Brand of a large NY distributor (Big Geyser), so likely not budget-constrained the way an emerging brand is; also sells kettle chips (check snack slices for overlap); 60-day shelf life not stated</t>
  </si>
  <si>
    <t xml:space="preserve">distributor-owned (Big Geyser, per NOSH 2019 snippet, not opened)</t>
  </si>
  <si>
    <t xml:space="preserve">https://www.nosh.com/news/2019/big-geyser-expands-hals-new-york-into-snacks</t>
  </si>
  <si>
    <t xml:space="preserve">Canned seltzer; no shelf-life statement on brand site</t>
  </si>
  <si>
    <t xml:space="preserve">7-Eleven (CSP Daily News headline in search results)</t>
  </si>
  <si>
    <t xml:space="preserve">Lewis Hershkowitz</t>
  </si>
  <si>
    <t xml:space="preserve">Stephanie Reda</t>
  </si>
  <si>
    <t xml:space="preserve">Stephanie</t>
  </si>
  <si>
    <t xml:space="preserve">Reda</t>
  </si>
  <si>
    <t xml:space="preserve">Director of Brand Development</t>
  </si>
  <si>
    <t xml:space="preserve">https://www.instagram.com/halsnewyork</t>
  </si>
  <si>
    <t xml:space="preserve">BR3:10</t>
  </si>
  <si>
    <t xml:space="preserve">Site tagline 'New York born, New York made'; store locator is JS (no data read).</t>
  </si>
  <si>
    <t xml:space="preserve">hq_city &lt;- https://www.halsnewyork.com/pages/contact (2026-10-24, opened); founder_name &lt;- https://www.longisland.com/news/11-09-22/hals-new-york-home-grown-seltzer-snack-company-making-waves-nationwide.html (2026-10-24, opened); founder_title &lt;- https://www.longisland.com/news/11-09-22/hals-new-york-home-grown-seltzer-snack-company-making-waves-nationwide.html (2026-10-24, opened); </t>
  </si>
  <si>
    <t xml:space="preserve">AB-283</t>
  </si>
  <si>
    <t xml:space="preserve">Caltein</t>
  </si>
  <si>
    <t xml:space="preserve">Aaron</t>
  </si>
  <si>
    <t xml:space="preserve">New York City brand (HQ unverified), brand locator shows CompleteBody Chelsea inside the cluster, no dated why-now in the last 12 months, revenue unknown, contact named (first name only); founder review: claim-borderline.</t>
  </si>
  <si>
    <t xml:space="preserve">CompleteBody Chelsea, 22 W 19th St</t>
  </si>
  <si>
    <t xml:space="preserve">find Aaron at Caltein on LinkedIn and paste the profile URL; surname not public: take it from LinkedIn; the retailer line rests on the brand's own store locator: say 'your store locator lists ...'; founder review (claim-borderline): read founder_review_reason first</t>
  </si>
  <si>
    <t xml:space="preserve">https://caltein.com/pages/about-us</t>
  </si>
  <si>
    <t xml:space="preserve">Chocolate Chip Protein Butter Cookie pouches, 6-pack</t>
  </si>
  <si>
    <t xml:space="preserve">Queens (Entrepreneur Space client; unverified, founder to confirm)</t>
  </si>
  <si>
    <t xml:space="preserve">https://caltein.com</t>
  </si>
  <si>
    <t xml:space="preserve">Protein positioning ('protein snacks') is a nutrient-content claim. No dated news in the last 12 months; newest online SKU is from 2025-02; 60-day shelf life not stated</t>
  </si>
  <si>
    <t xml:space="preserve">Cookie pouches sold online in 6-packs and in gyms and nut shops; shelf life not stated</t>
  </si>
  <si>
    <t xml:space="preserve">CompleteBody Chelsea, 22 W 19th St (brand_claim, inside)</t>
  </si>
  <si>
    <t xml:space="preserve">Nuts Factory Union Square (brand_claim, unplaced);Nuts Factory Chelsea (brand_claim, unplaced)</t>
  </si>
  <si>
    <t xml:space="preserve">CompleteBody (Chelsea, Grand Central); Nuts Factory (Chelsea, Union Square, East Village); TMPL; Happier Grocery; The Shelf (brand Stockist locator)</t>
  </si>
  <si>
    <t xml:space="preserve">https://stockist.co/api/v1/map_93ezz7vq/locations/search?latitude=40.7411&amp;longitude=-73.9897&amp;distance=5 (widget on https://caltein.com/pages/store-locator)</t>
  </si>
  <si>
    <t xml:space="preserve">https://www.instagram.com/eatcaltein/</t>
  </si>
  <si>
    <t xml:space="preserve">BR5:19</t>
  </si>
  <si>
    <t xml:space="preserve">Entrepreneur Space current client: 'Caltein, Protein Butter Cookies'. A gym (CompleteBody, 22 W 19th St) inside the cluster is a brand-claimed stockist.</t>
  </si>
  <si>
    <t xml:space="preserve">AB-011</t>
  </si>
  <si>
    <t xml:space="preserve">Jöey Nordic Seed Crisps</t>
  </si>
  <si>
    <t xml:space="preserve">Joseph</t>
  </si>
  <si>
    <t xml:space="preserve">Chen</t>
  </si>
  <si>
    <t xml:space="preserve">Brand based outside the Northeast, no graded store within ten blocks, online store only, news 43 days ago, revenue unknown, contact named; founder review: other.</t>
  </si>
  <si>
    <t xml:space="preserve">Won 2026 Startup CPG Shelfie Award, Healthy Snack category</t>
  </si>
  <si>
    <t xml:space="preserve">https://startupcpg.com/startup-cpg-newswire-joey-nordic-seed-crisps-wins-2026-shelfie-award-in-the-health-snack-category/</t>
  </si>
  <si>
    <t xml:space="preserve">https://joeynordicseedcrisps.com/pages/our-founder</t>
  </si>
  <si>
    <t xml:space="preserve">find Joseph Chen at Jöey Nordic Seed Crisps on LinkedIn and paste the profile URL; founder review (other): read founder_review_reason first</t>
  </si>
  <si>
    <t xml:space="preserve">Jöey Rosemary &amp; Black Pepper Nordic Seed Crisps</t>
  </si>
  <si>
    <t xml:space="preserve">Toronto</t>
  </si>
  <si>
    <t xml:space="preserve">https://joeynordicseedcrisps.com</t>
  </si>
  <si>
    <t xml:space="preserve">Canadian brand (Toronto); US shipping of 275 units and US product liability coverage need checking</t>
  </si>
  <si>
    <t xml:space="preserve">ON (Canada)</t>
  </si>
  <si>
    <t xml:space="preserve">Brand wholesale FAQ: 'can be stored for 9 months (up to 274 days)' in a cool, dry place.</t>
  </si>
  <si>
    <t xml:space="preserve">PopUp Grocer (NYC); brand store locator</t>
  </si>
  <si>
    <t xml:space="preserve">https://popupgrocer.com/pages/directory (availability 'NYC Flagship', 2026-10-23); https://popupgrocer.com/products/joey-nordic-seed-crisps</t>
  </si>
  <si>
    <t xml:space="preserve">Joseph Chen</t>
  </si>
  <si>
    <t xml:space="preserve">Zach Goodwin</t>
  </si>
  <si>
    <t xml:space="preserve">Goodwin</t>
  </si>
  <si>
    <t xml:space="preserve">Press contact named on release</t>
  </si>
  <si>
    <t xml:space="preserve">https://instagram.com/joeyseedcrisps</t>
  </si>
  <si>
    <t xml:space="preserve">BR1:12</t>
  </si>
  <si>
    <t xml:space="preserve">Founder previously worked at Kraft, Unilever, Hershey, McDonald's, Mondelez (founder page). Release datelined Toronto ON.</t>
  </si>
  <si>
    <t xml:space="preserve">shelf_stable_basis &lt;- https://joeynordicseedcrisps.com/pages/wholesale (2026-10-24, opened); </t>
  </si>
  <si>
    <t xml:space="preserve">AB-056</t>
  </si>
  <si>
    <t xml:space="preserve">Stellar Snacks</t>
  </si>
  <si>
    <t xml:space="preserve">Elisabeth</t>
  </si>
  <si>
    <t xml:space="preserve">Galvin</t>
  </si>
  <si>
    <t xml:space="preserve">Brand based outside the Northeast, no graded store within ten blocks, online store only, news 65 days ago, revenue unknown, contact named; founder review: other.</t>
  </si>
  <si>
    <t xml:space="preserve">Trade-press interview on pretzel growth and new flavors</t>
  </si>
  <si>
    <t xml:space="preserve">https://www.snackandbakery.com/articles/116213-stellar-snacks-cofounders-rosy-about-the-future-of-pretzels</t>
  </si>
  <si>
    <t xml:space="preserve">find Elisabeth Galvin at Stellar Snacks on LinkedIn and paste the profile URL; founder review (other): read founder_review_reason first</t>
  </si>
  <si>
    <t xml:space="preserve">Stellar Snacks clean-label pretzels (flavored)</t>
  </si>
  <si>
    <t xml:space="preserve">Carson City</t>
  </si>
  <si>
    <t xml:space="preserve">https://stellarsnacks.com/collections/all</t>
  </si>
  <si>
    <t xml:space="preserve">Only one trade article opened; site, HQ, retail and pack sizes unconfirmed</t>
  </si>
  <si>
    <t xml:space="preserve">https://stellarsnacks.com</t>
  </si>
  <si>
    <t xml:space="preserve">NV</t>
  </si>
  <si>
    <t xml:space="preserve">Baked pretzels, ambient</t>
  </si>
  <si>
    <t xml:space="preserve">Elisabeth Galvin</t>
  </si>
  <si>
    <t xml:space="preserve">Andy Yee</t>
  </si>
  <si>
    <t xml:space="preserve">Andy</t>
  </si>
  <si>
    <t xml:space="preserve">Yee</t>
  </si>
  <si>
    <t xml:space="preserve">BR1:57</t>
  </si>
  <si>
    <t xml:space="preserve">Thin row; keep only if a second pass confirms NYC buy path. | Stage 1 online-store check 2026-10-24: Shopify store: products.json lists 21 products, 20 variants available (https://stellarsnacks.com/products.json)</t>
  </si>
  <si>
    <t xml:space="preserve">website &lt;- https://stellarsnacks.com/ (2026-10-24, opened); hq_city &lt;- https://stellarsnacks.com/pages/contact (2026-10-24, opened); hq_state &lt;- https://stellarsnacks.com/pages/contact (2026-10-24, opened); founder_title &lt;- https://stellarsnacks.com/pages/about (2026-10-24, opened); marketing_name &lt;- https://stellarsnacks.com/pages/about (2026-10-24, opened); marketing_title &lt;- https://stellarsnacks.com/pages/about (2026-10-24, opened); marketing_profile_url &lt;- https://stellarsnacks.com/pages/about (2026-10-24, opened); online_store &lt;- https://stellarsnacks.com/products.json (2026-10-24, opened, stage 1); </t>
  </si>
  <si>
    <t xml:space="preserve">https://stellarsnacks.com/pages/about</t>
  </si>
  <si>
    <t xml:space="preserve">AB-267</t>
  </si>
  <si>
    <t xml:space="preserve">Heartland NY Popcorn</t>
  </si>
  <si>
    <t xml:space="preserve">New York City brand, no graded store within ten blocks, online store only, a new store listing 121 days ago, revenue unknown, no contact named; founder review: claim-borderline.</t>
  </si>
  <si>
    <t xml:space="preserve">Launched its own-brand popcorn line (six flavors) in June 2026 and showed it at the 2026 Summer Fancy Food Show</t>
  </si>
  <si>
    <t xml:space="preserve">https://heartlandnystore.com/products.json</t>
  </si>
  <si>
    <t xml:space="preserve">2026-06-25</t>
  </si>
  <si>
    <t xml:space="preserve">https://events.specialtyfood.com/event/2026-summer-fancy-food-show/exhibitor/RXhoaWJpdG9yXzI0NTQwOTM=</t>
  </si>
  <si>
    <t xml:space="preserve">no person named on an opened page: not ready; founder review (claim-borderline): read founder_review_reason first</t>
  </si>
  <si>
    <t xml:space="preserve">Heartland NY Matcha Popcorn, 50 g (1.76 oz) bag</t>
  </si>
  <si>
    <t xml:space="preserve">Flushing (Queens)</t>
  </si>
  <si>
    <t xml:space="preserve">https://heartlandnystore.com/products/heartland-ny-matcha-popcorn</t>
  </si>
  <si>
    <t xml:space="preserve">Made in Taiwan and sold by a Flushing vegetarian grocery under its own label; check whether it can ship 275 units and has US product liability cover. Seaweed SKU carries a '7g protein' nutrient claim (use a different SKU or review)</t>
  </si>
  <si>
    <t xml:space="preserve">https://heartlandnystore.com</t>
  </si>
  <si>
    <t xml:space="preserve">Product page states 'Shelf Life: One Year'; sealed 50 g bag; allergen statement (soy, shared facility) printed on page</t>
  </si>
  <si>
    <t xml:space="preserve">Own Heartland NY store (Flushing) and online store</t>
  </si>
  <si>
    <t xml:space="preserve">https://www.instagram.com/heartlandny/</t>
  </si>
  <si>
    <t xml:space="preserve">BR5:3</t>
  </si>
  <si>
    <t xml:space="preserve">SFFS listing: 'based in Flushing NY... new product - Taiwan inspired fun flavors Popcorn'. Product pages say 'Product of Taiwan'. why_now date is Shopify published_at for the popcorn SKUs (opened 2026-10-24). Store is a retailer as well as the brand owner.</t>
  </si>
  <si>
    <t xml:space="preserve">AB-126</t>
  </si>
  <si>
    <t xml:space="preserve">MarieBelle New York</t>
  </si>
  <si>
    <t xml:space="preserve">Maribel</t>
  </si>
  <si>
    <t xml:space="preserve">Lieberman</t>
  </si>
  <si>
    <t xml:space="preserve">New York City brand, no graded store within ten blocks, online store only, news 255 days ago, revenue unknown, contact named; founder review: not-emerging.</t>
  </si>
  <si>
    <t xml:space="preserve">Unveiled Valentine's Day 2026 collection (ganache boxes, truffles, bars)</t>
  </si>
  <si>
    <t xml:space="preserve">https://www.snackandbakery.com/articles/115193-mariebelle-new-york-unwraps-its-valentines-collection</t>
  </si>
  <si>
    <t xml:space="preserve">2026-02-11</t>
  </si>
  <si>
    <t xml:space="preserve">https://mariebelle.com/pages/faqs</t>
  </si>
  <si>
    <t xml:space="preserve">find Maribel Lieberman at MarieBelle New York on LinkedIn and paste the profile URL; founder review (not-emerging): read founder_review_reason first</t>
  </si>
  <si>
    <t xml:space="preserve">https://mariebelle.com/pages/our-story</t>
  </si>
  <si>
    <t xml:space="preserve">9g Cacao Market Mini Chocolate Bars; Grace Pin-Up Dark Chocolate Bar</t>
  </si>
  <si>
    <t xml:space="preserve">https://mariebelle.com</t>
  </si>
  <si>
    <t xml:space="preserve">Luxury gift chocolatier (30+ years), not an emerging snack brand; only bars and minis meet the 60-day rule</t>
  </si>
  <si>
    <t xml:space="preserve">Brand FAQ: chocolate bars have a shelf life of 2 years, caramels 6 months (ganache 6 weeks, brownies 1 week: exclude those)</t>
  </si>
  <si>
    <t xml:space="preserve">Own stores (brand FAQ 'Our Stores')</t>
  </si>
  <si>
    <t xml:space="preserve">https://www.wholefoodsmarket.com/api/search?text=mariebelle&amp;store=10162&amp;limit=60&amp;offset=0</t>
  </si>
  <si>
    <t xml:space="preserve">Maribel Lieberman</t>
  </si>
  <si>
    <t xml:space="preserve">https://www.instagram.com/mariebelleofficial/</t>
  </si>
  <si>
    <t xml:space="preserve">BR2:64</t>
  </si>
  <si>
    <t xml:space="preserve">Not in WFM cluster catalogs. Why-now from Shopify publish dates.</t>
  </si>
  <si>
    <t xml:space="preserve">why_now &lt;- https://www.snackandbakery.com/articles/115193-mariebelle-new-york-unwraps-its-valentines-collection (2026-10-24, opened); why_now_url &lt;- https://www.snackandbakery.com/articles/115193-mariebelle-new-york-unwraps-its-valentines-collection (2026-10-24, opened); why_now_date &lt;- https://www.snackandbakery.com/articles/115193-mariebelle-new-york-unwraps-its-valentines-collection (2026-10-24, opened); </t>
  </si>
  <si>
    <t xml:space="preserve">AB-280</t>
  </si>
  <si>
    <t xml:space="preserve">Sivaro Snacks</t>
  </si>
  <si>
    <t xml:space="preserve">New York City brand, no graded store within ten blocks, online store only, a new store listing 4 days ago, revenue unknown, no contact named; founder review: claim-borderline.</t>
  </si>
  <si>
    <t xml:space="preserve">Launched limited-edition Pumpkin Spice Cashews</t>
  </si>
  <si>
    <t xml:space="preserve">https://www.thesivarosnacks.com/products.json</t>
  </si>
  <si>
    <t xml:space="preserve">Everything Bagel Cashews, seed-oil-free, 3.5 oz bag</t>
  </si>
  <si>
    <t xml:space="preserve">https://www.thesivarosnacks.com</t>
  </si>
  <si>
    <t xml:space="preserve">Founder unnamed and no retailer list found. 'Seed oil free' and 'no added sulfites' are absence claims, not health claims, but check the pack</t>
  </si>
  <si>
    <t xml:space="preserve">Maple-roasted nuts and unsulfured dried fruit in sealed 3.5 oz and 5 oz bags; shelf life not stated</t>
  </si>
  <si>
    <t xml:space="preserve">https://www.instagram.com/sivarosnacks/</t>
  </si>
  <si>
    <t xml:space="preserve">BR5:16</t>
  </si>
  <si>
    <t xml:space="preserve">Entrepreneur Space current client: 'Sivaro Snacks, Nuts and Dried Fruits'. Homepage: 'Queens family business · MWBE · ACDBE · NMSDC', 'hand-packed in Queens'. why_now date is Shopify published_at.</t>
  </si>
  <si>
    <t xml:space="preserve">AB-271</t>
  </si>
  <si>
    <t xml:space="preserve">Upstate Stock (Birch Sap Seltzer)</t>
  </si>
  <si>
    <t xml:space="preserve">New York City brand, no graded store within ten blocks, online store only, a new store listing 80 days ago, revenue unknown, no contact named; founder review: claim-borderline.</t>
  </si>
  <si>
    <t xml:space="preserve">Launched the Original Birch Sap Seltzer, after a three-flavor variety pack in March 2026</t>
  </si>
  <si>
    <t xml:space="preserve">https://www.upstatestock.com/products/original-100-pute-ny-organic-birch-sap-seltzer</t>
  </si>
  <si>
    <t xml:space="preserve">https://events.specialtyfood.com/event/2026-summer-fancy-food-show/exhibitor/RXhoaWJpdG9yXzI0MjEzMDQ=</t>
  </si>
  <si>
    <t xml:space="preserve">Original 100% Pure NY Organic Birch Sap Seltzer (can); variety pack of three</t>
  </si>
  <si>
    <t xml:space="preserve">Brooklyn (Gowanus factory; shop at 2 Berry St, Williamsburg)</t>
  </si>
  <si>
    <t xml:space="preserve">https://www.upstatestock.com/products/varierty-pack-birch-sap-seltzer</t>
  </si>
  <si>
    <t xml:space="preserve">Website and SFFS listing say birch sap 'offers numerous health benefits' and cite electrolytes and antioxidants; check the can for health wording before approving. Company is mainly a knitwear and goods maker; drinks are a new line</t>
  </si>
  <si>
    <t xml:space="preserve">https://www.upstatestock.com</t>
  </si>
  <si>
    <t xml:space="preserve">Canned seltzer, 'canned in New Hampshire'; 'best served chilled' (not 'keep refrigerated')</t>
  </si>
  <si>
    <t xml:space="preserve">Upstate Stock (unverified, 39.9 blocks out)</t>
  </si>
  <si>
    <t xml:space="preserve">Own Upstate Stock shop; stocks other NY makers</t>
  </si>
  <si>
    <t xml:space="preserve">https://instagram.com/upstatestock</t>
  </si>
  <si>
    <t xml:space="preserve">BR5:7</t>
  </si>
  <si>
    <t xml:space="preserve">Berry St address comes from Figa's Stockist list (Upstate Stock is a Figa stockist), not from Upstate Stock's own site. why_now dates are Shopify published_at (variety pack 2026-03-22). SFFS flags 'In The Fancy Bodega' and 'Has a New Product'.</t>
  </si>
  <si>
    <t xml:space="preserve">AB-143</t>
  </si>
  <si>
    <t xml:space="preserve">Irving Farm New York</t>
  </si>
  <si>
    <t xml:space="preserve">David</t>
  </si>
  <si>
    <t xml:space="preserve">Elwell</t>
  </si>
  <si>
    <t xml:space="preserve">Co-founder and original owners</t>
  </si>
  <si>
    <t xml:space="preserve">New York City brand, no graded store within ten blocks, online store only, a new store listing 193 days ago, revenue unknown, contact named; founder review: not-emerging.</t>
  </si>
  <si>
    <t xml:space="preserve">Irving Farm cafe Gramercy, 71 Irving Place</t>
  </si>
  <si>
    <t xml:space="preserve">Launched RTD cold brew cans: 12 x 12 oz pack (store listing 2025-11-05), then a four-pack (2026-04-14)</t>
  </si>
  <si>
    <t xml:space="preserve">https://irvingfarmcoffee.com/products/cold-brew-can-four-pack</t>
  </si>
  <si>
    <t xml:space="preserve">https://irvingfarmcoffee.com/pages/history</t>
  </si>
  <si>
    <t xml:space="preserve">find David Elwell at Irving Farm New York on LinkedIn and paste the profile URL; founder review (not-emerging): read founder_review_reason first</t>
  </si>
  <si>
    <t xml:space="preserve">https://lakevillejournal.com/former-owners-return-and-irving-farm-returns-its-roots</t>
  </si>
  <si>
    <t xml:space="preserve">Irving Farm Cold Brew, 12 oz shelf-stable can (Blackstrap blend)</t>
  </si>
  <si>
    <t xml:space="preserve">New York (cafes); roastery Millerton</t>
  </si>
  <si>
    <t xml:space="preserve">Coffee roaster and cafe group rather than a pure CPG brand; revenue band unknown; RTD cans are a new line, which is the why-now. Has an office subscription and wholesale program</t>
  </si>
  <si>
    <t xml:space="preserve">https://irvingfarmcoffee.com</t>
  </si>
  <si>
    <t xml:space="preserve">Product pages: '12-pack of 12oz shelf-stable cans' and 'These cans can be stored at room temperature' (irvingfarmcoffee.com/products.json, read 2026-10-23)</t>
  </si>
  <si>
    <t xml:space="preserve">Irving Farm cafe Gramercy, 71 Irving Place (unverified, 0.9 blocks out);Irving Farm cafe, 79 E 10th St (unverified, 2.4 blocks out)</t>
  </si>
  <si>
    <t xml:space="preserve">Own cafes: Gramercy (71 Irving Place), 79 E 10th St, Washington Square (78 W 3rd St), Olympic Tower, Upper West Side, Hudson Valley</t>
  </si>
  <si>
    <t xml:space="preserve">https://irvingfarmcoffee.com/pages/locations</t>
  </si>
  <si>
    <t xml:space="preserve">David Elwell</t>
  </si>
  <si>
    <t xml:space="preserve">Chad Freilino</t>
  </si>
  <si>
    <t xml:space="preserve">Chad</t>
  </si>
  <si>
    <t xml:space="preserve">Freilino</t>
  </si>
  <si>
    <t xml:space="preserve">CEO since 2020</t>
  </si>
  <si>
    <t xml:space="preserve">CEO, not a marketing title</t>
  </si>
  <si>
    <t xml:space="preserve">https://www.instagram.com/irvingfarmcoffee</t>
  </si>
  <si>
    <t xml:space="preserve">BR3:17</t>
  </si>
  <si>
    <t xml:space="preserve">History page: first cafe at 52 Irving Place (1996), flagship 71 Irving Place since 2001, roasts in Millerton NY. Flagship cafe is inside the cluster, a natural tie-in. Dates are Shopify publish dates.</t>
  </si>
  <si>
    <t xml:space="preserve">founder_name &lt;- https://lakevillejournal.com/former-owners-return-and-irving-farm-returns-its-roots (2026-10-24, opened); founder_title &lt;- https://lakevillejournal.com/former-owners-return-and-irving-farm-returns-its-roots (2026-10-24, opened); marketing_name &lt;- https://mastmarket.com/blogs/the-mast-journal/focusing-on-the-origin-with-chad-freilino (2026-10-24, opened); marketing_title &lt;- https://mastmarket.com/blogs/the-mast-journal/focusing-on-the-origin-with-chad-freilino (2026-10-24, opened); </t>
  </si>
  <si>
    <t xml:space="preserve">https://mastmarket.com/blogs/the-mast-journal/focusing-on-the-origin-with-chad-freilino</t>
  </si>
  <si>
    <t xml:space="preserve">AB-157</t>
  </si>
  <si>
    <t xml:space="preserve">JUST Water</t>
  </si>
  <si>
    <t xml:space="preserve">Jaden</t>
  </si>
  <si>
    <t xml:space="preserve">Smith</t>
  </si>
  <si>
    <t xml:space="preserve">https://justwater.com/pages/faqs</t>
  </si>
  <si>
    <t xml:space="preserve">find Jaden Smith at JUST Water on LinkedIn and paste the profile URL; founder review (other): read founder_review_reason first</t>
  </si>
  <si>
    <t xml:space="preserve">https://justwater.com/pages/about</t>
  </si>
  <si>
    <t xml:space="preserve">JUST Spring Water 16.9 fl oz plant-based carton; JUST Bubbles flavored sparkling water</t>
  </si>
  <si>
    <t xml:space="preserve">https://justwater.com</t>
  </si>
  <si>
    <t xml:space="preserve">Celebrity-founded national water brand; probably not budget-constrained like an emerging brand; plain water is a weak trial product for a survey</t>
  </si>
  <si>
    <t xml:space="preserve">Brand FAQ: Still best within 18 months of bottling, Bubbles within 12 months; store in a cool, dry place (justwater.com/pages/faqs, opened 2026-10-24)</t>
  </si>
  <si>
    <t xml:space="preserve">Jaden Smith</t>
  </si>
  <si>
    <t xml:space="preserve">BR3:31</t>
  </si>
  <si>
    <t xml:space="preserve">FAQ: still water sourced from the Glens Falls watershed, Adirondacks, upstate New York, under an agreement with the City of Glens Falls. Company HQ not stated.</t>
  </si>
  <si>
    <t xml:space="preserve">hq_city &lt;- https://justwater.com/policies/privacy-policy (2026-10-24, opened); hq_state &lt;- https://justwater.com/policies/privacy-policy (2026-10-24, opened); shelf_stable &lt;- https://justwater.com/pages/faqs (2026-10-24, opened); shelf_stable_basis &lt;- https://justwater.com/pages/faqs (2026-10-24, opened); </t>
  </si>
  <si>
    <t xml:space="preserve">AB-260</t>
  </si>
  <si>
    <t xml:space="preserve">Sol Cacao</t>
  </si>
  <si>
    <t xml:space="preserve">Maloney</t>
  </si>
  <si>
    <t xml:space="preserve">https://www.solcacao.com/about-us</t>
  </si>
  <si>
    <t xml:space="preserve">find Daniel Maloney at Sol Cacao on LinkedIn and paste the profile URL; founder review (other): read founder_review_reason first</t>
  </si>
  <si>
    <t xml:space="preserve">https://business.bronxchamber.org/list/member/sol-cacao-llc-4669</t>
  </si>
  <si>
    <t xml:space="preserve">70% Peru single-origin dark chocolate bar, 1.86 oz</t>
  </si>
  <si>
    <t xml:space="preserve">Bronx (780 E 133rd St)</t>
  </si>
  <si>
    <t xml:space="preserve">https://www.solcacao.com</t>
  </si>
  <si>
    <t xml:space="preserve">Small family bean-to-bar maker; capacity for 275 units and budget unknown; no cluster retailer found (online shop is the buy path)</t>
  </si>
  <si>
    <t xml:space="preserve">family business (about page)</t>
  </si>
  <si>
    <t xml:space="preserve">Wrapped dark chocolate bars sold ambient; no shelf-life figure published, founder to confirm</t>
  </si>
  <si>
    <t xml:space="preserve">Whole Foods Market Williamsburg, Brooklyn (WFM catalog, flagged Local); brand online shop</t>
  </si>
  <si>
    <t xml:space="preserve">https://www.wholefoodsmarket.com/api/search?text=chocolate&amp;store=10487&amp;limit=60&amp;offset=0&amp;featured=local</t>
  </si>
  <si>
    <t xml:space="preserve">Daniel Maloney</t>
  </si>
  <si>
    <t xml:space="preserve">with brothers Dominic and Nicholas Maloney</t>
  </si>
  <si>
    <t xml:space="preserve">BR4:55</t>
  </si>
  <si>
    <t xml:space="preserve">'First bean to bar chocolate factory in the Bronx' (about page). Strong NYC story for an office card. WFM Williamsburg (store 10487) lists Ecuador, Madagascar and Peru bars, flagged Local (2026-10-23).</t>
  </si>
  <si>
    <t xml:space="preserve">founder_name &lt;- https://business.bronxchamber.org/list/member/sol-cacao-llc-4669 (2026-10-24, opened); founder_title &lt;- https://business.bronxchamber.org/list/member/sol-cacao-llc-4669 (2026-10-24, opened); founder_profile_url &lt;- https://business.bronxchamber.org/list/member/sol-cacao-llc-4669 (2026-10-24, opened); </t>
  </si>
  <si>
    <t xml:space="preserve">AB-240</t>
  </si>
  <si>
    <t xml:space="preserve">Bessou</t>
  </si>
  <si>
    <t xml:space="preserve">Maiko</t>
  </si>
  <si>
    <t xml:space="preserve">Kyogoku</t>
  </si>
  <si>
    <t xml:space="preserve">New York City brand, brand locator shows Rose Bakery (Dover Street Market) 0.8 blocks outside it, no dated why-now in the last 12 months, revenue unknown, contact named; founder review: not-emerging.</t>
  </si>
  <si>
    <t xml:space="preserve">Rose Bakery (Dover Street Market), 160 Lexington Ave</t>
  </si>
  <si>
    <t xml:space="preserve">Ran a Bessou Snack Shop pop-up at Bryant Park (Pom Pom Popcorn and Japanese bodega-style snacks) through 2026-01-04, and reopened as a kiosk at the Pier 57 food hall (unverified, founder to confirm)</t>
  </si>
  <si>
    <t xml:space="preserve">https://www.trendhunter.com/trends/bessou-snack-shop</t>
  </si>
  <si>
    <t xml:space="preserve">2026-01-04</t>
  </si>
  <si>
    <t xml:space="preserve">https://bessou.nyc/</t>
  </si>
  <si>
    <t xml:space="preserve">find Maiko Kyogoku at Bessou on LinkedIn and paste the profile URL; the retailer line rests on the brand's own store locator: say 'your store locator lists ...'; founder review (not-emerging): read founder_review_reason first</t>
  </si>
  <si>
    <t xml:space="preserve">https://bessou.nyc/pages/meet-the-team</t>
  </si>
  <si>
    <t xml:space="preserve">Nori Crunch Popcorn (box of 3 online); Japanese-flavored popcorn bags (Shiso Sour Cream, Miso Caramel Corn)</t>
  </si>
  <si>
    <t xml:space="preserve">New York, Manhattan (privacy policy: 25 11th Avenue, Bessou Kiosk 9, Pier 57, New York NY 10011)</t>
  </si>
  <si>
    <t xml:space="preserve">https://bessou.nyc</t>
  </si>
  <si>
    <t xml:space="preserve">Restaurant-led side line; production scale and wholesale capacity for 275 units unknown</t>
  </si>
  <si>
    <t xml:space="preserve">Bagged popcorn sold ambient at Pearl River Mart; no shelf-life figure published, founder to confirm</t>
  </si>
  <si>
    <t xml:space="preserve">Rose Bakery (Dover Street Market), 160 Lexington Ave (brand_claim, 0.8 blocks out);The Locavore Variety Store, 434 6th Ave (brand_claim, 3.7 blocks out)</t>
  </si>
  <si>
    <t xml:space="preserve">Pearl River Mart (online catalog); 'Find Bessou Goods' locations page; Bessou restaurant</t>
  </si>
  <si>
    <t xml:space="preserve">https://www.pearlriver.com/products/bessou-japanese-flavored-popcorn; https://stockist.co/api/v1/map_p3x8ne63/locations/search?latitude=40.7411&amp;longitude=-73.9897&amp;distance=3&amp;distance_unit=mi</t>
  </si>
  <si>
    <t xml:space="preserve">Maiko Kyogoku</t>
  </si>
  <si>
    <t xml:space="preserve">BR4:35</t>
  </si>
  <si>
    <t xml:space="preserve">AAPI- and woman-owned (Pearl River listing). Site sells Signature Popcorn Tin and Pom Pom Popcorn; has a 'Find Bessou Goods' page (not opened). Pearl River Mart catalog (pearlriver.com online store; Chelsea Market food store at 75 9th Ave not confirmed for this item)</t>
  </si>
  <si>
    <t xml:space="preserve">nyc_retailers_near_cluster &lt;- https://stockist.co/api/v1/map_p3x8ne63/locations/search?latitude=40.7411&amp;longitude=-73.9897&amp;distance=3&amp;distance_unit=mi (2026-10-24, opened); nearest_stocked_retailer &lt;- https://stockist.co/api/v1/map_p3x8ne63/locations/search?latitude=40.7411&amp;longitude=-73.9897&amp;distance=3&amp;distance_unit=mi (2026-10-24, opened); nearest_retailer_grade &lt;- https://stockist.co/api/v1/map_p3x8ne63/locations/search?latitude=40.7411&amp;longitude=-73.9897&amp;distance=3&amp;distance_unit=mi (2026-10-24, opened); retailer_evidence_urls &lt;- https://bessou.nyc/pages/find-bessou-goods (2026-10-24, opened); founder_name &lt;- https://bessou.nyc/pages/meet-the-team (2026-10-24, opened); founder_title &lt;- https://bessou.nyc/pages/meet-the-team (2026-10-24, opened); founder_profile_url &lt;- https://bessou.nyc/pages/meet-the-team (2026-10-24, opened); hq_city &lt;- https://bessou.nyc/policies/privacy-policy (2026-10-24, opened); why_now &lt;- https://www.trendhunter.com/trends/bessou-snack-shop (2026-10-24, snippet-unverified); why_now_url &lt;- https://www.trendhunter.com/trends/bessou-snack-shop (2026-10-24, snippet-unverified); why_now_date &lt;- https://www.trendhunter.com/trends/bessou-snack-shop (2026-10-24, snippet-unverified); </t>
  </si>
  <si>
    <t xml:space="preserve">AB-293</t>
  </si>
  <si>
    <t xml:space="preserve">Ivy's Gourmet</t>
  </si>
  <si>
    <t xml:space="preserve">Tamm</t>
  </si>
  <si>
    <t xml:space="preserve">Northeast brand, no graded store within ten blocks, online store only, news 118 days ago, revenue unknown, contact named; founder review: format.</t>
  </si>
  <si>
    <t xml:space="preserve">First-time exhibitor at the 2026 Summer Fancy Food Show, billed as a sofi Award finalist</t>
  </si>
  <si>
    <t xml:space="preserve">https://events.specialtyfood.com/event/2026-summer-fancy-food-show/exhibitor/RXhoaWJpdG9yXzIzMzA2ODA=</t>
  </si>
  <si>
    <t xml:space="preserve">find Sarah Tamm at Ivy's Gourmet on LinkedIn and paste the profile URL; founder review (format): read founder_review_reason first</t>
  </si>
  <si>
    <t xml:space="preserve">Hazelnut Coffee Granola (gluten-free)</t>
  </si>
  <si>
    <t xml:space="preserve">https://www.ivysgourmet.com</t>
  </si>
  <si>
    <t xml:space="preserve">Single-serve format not seen; granola is usually a breakfast item, so check fit with the pantry brief</t>
  </si>
  <si>
    <t xml:space="preserve">Packaged granola; site says 'baked daily, our freshness is guaranteed'; shelf life not stated</t>
  </si>
  <si>
    <t xml:space="preserve">unknown (ships to CT, NY, NJ per site)</t>
  </si>
  <si>
    <t xml:space="preserve">Sarah Tamm</t>
  </si>
  <si>
    <t xml:space="preserve">BR5:29</t>
  </si>
  <si>
    <t xml:space="preserve">SFFS 2026: 'founded in 2017 in Westport, CT by Sarah Tamm'; brands field reads 'sofi Award finalist; First time exhibitor; 18+ flavors of granola'. Its 2026 sofi finalist listing (Hazelnut Coffee Granola) was published 2025-10-23, just outside the 12-month window.</t>
  </si>
  <si>
    <t xml:space="preserve">AB-068</t>
  </si>
  <si>
    <t xml:space="preserve">Partake Foods</t>
  </si>
  <si>
    <t xml:space="preserve">Denise</t>
  </si>
  <si>
    <t xml:space="preserve">Woodard</t>
  </si>
  <si>
    <t xml:space="preserve">https://www.linkedin.com/in/denisegwoodard/</t>
  </si>
  <si>
    <t xml:space="preserve">New York State brand (HQ unverified), no graded store within ten blocks, online store only, news 46 days ago, revenue unknown, contact named; founder review: scale.</t>
  </si>
  <si>
    <t xml:space="preserve">Girl Scouts announced Sparkables, its first allergy-friendly cookie, developed with Partake; on sale online from January 2027</t>
  </si>
  <si>
    <t xml:space="preserve">https://www.wowt.com/2026/09/08/girl-scouts-debuts-2-new-cookie-flavors-heres-what-they-are/</t>
  </si>
  <si>
    <t xml:space="preserve">2026-09-08</t>
  </si>
  <si>
    <t xml:space="preserve">https://partakefoods.com/pages/about</t>
  </si>
  <si>
    <t xml:space="preserve">founder review (scale): read founder_review_reason first</t>
  </si>
  <si>
    <t xml:space="preserve">Teeny Tiny Chocolate Chip cookie snack packs</t>
  </si>
  <si>
    <t xml:space="preserve">Jersey City (search snippets: company profile 'Jersey City, NJ' and founder lives in Jersey City; unverified, founder to confirm)</t>
  </si>
  <si>
    <t xml:space="preserve">https://partakefoods.com</t>
  </si>
  <si>
    <t xml:space="preserve">Kids/lunchbox positioning; 11,000+ doors may put it above the $10M ceiling</t>
  </si>
  <si>
    <t xml:space="preserve">NY or NJ (unverified)</t>
  </si>
  <si>
    <t xml:space="preserve">nys (unverified)</t>
  </si>
  <si>
    <t xml:space="preserve">venture-backed (seed led by Marcy Venture Partners, $1M, per brand about page; later rounds unknown)</t>
  </si>
  <si>
    <t xml:space="preserve">Brand FAQ: shelf life 12 months</t>
  </si>
  <si>
    <t xml:space="preserve">Brand about page says 11,000+ stores (store count, not used for band)</t>
  </si>
  <si>
    <t xml:space="preserve">Whole Foods; 11,000+ stores</t>
  </si>
  <si>
    <t xml:space="preserve">https://www.wholefoodsmarket.com/api/search?text=partake&amp;store=10162&amp;limit=60&amp;offset=0</t>
  </si>
  <si>
    <t xml:space="preserve">Denise Woodard</t>
  </si>
  <si>
    <t xml:space="preserve">Nikita McKinney</t>
  </si>
  <si>
    <t xml:space="preserve">LinkedIn snippet; unverified, founder to confirm</t>
  </si>
  <si>
    <t xml:space="preserve">https://www.linkedin.com/in/niki-mckinney/</t>
  </si>
  <si>
    <t xml:space="preserve">https://www.instagram.com/partakefoods/</t>
  </si>
  <si>
    <t xml:space="preserve">BR2:5</t>
  </si>
  <si>
    <t xml:space="preserve">Free of top 9 allergens; certified B Corp per brand about page. Not found in WFM cluster store catalogs on 2026-10-23.</t>
  </si>
  <si>
    <t xml:space="preserve">marketing_name &lt;- https://www.linkedin.com/in/niki-mckinney/ (2026-10-24, snippet-unverified); marketing_title &lt;- https://www.linkedin.com/in/niki-mckinney/ (2026-10-24, snippet-unverified); marketing_profile_url &lt;- https://www.linkedin.com/in/niki-mckinney/ (2026-10-24, snippet-unverified); founder_profile_url &lt;- https://www.linkedin.com/in/denisegwoodard/ (2026-10-24, snippet-unverified); hq_city &lt;- https://startupintros.com/orgs/partake-foods (2026-10-24, snippet-unverified); </t>
  </si>
  <si>
    <t xml:space="preserve">AB-063</t>
  </si>
  <si>
    <t xml:space="preserve">The Hermit (calamari jerky)</t>
  </si>
  <si>
    <t xml:space="preserve">Shonts</t>
  </si>
  <si>
    <t xml:space="preserve">Brand based outside the Northeast, no graded store within ten blocks, online store only, news 143 days ago, revenue unknown, contact named; founder review: under-floor, claim-borderline.</t>
  </si>
  <si>
    <t xml:space="preserve">Relaunched calamari jerky line with reformulated texture (limited 500-bag run)</t>
  </si>
  <si>
    <t xml:space="preserve">https://startupcpg.com/startup-cpg-newswire-the-hermit-relaunches-wild-caught-calamari-jerky-with-improved-texture/</t>
  </si>
  <si>
    <t xml:space="preserve">find Steven Shonts at The Hermit (calamari jerky) on LinkedIn and paste the profile URL; founder review (under-floor, claim-borderline): read founder_review_reason first</t>
  </si>
  <si>
    <t xml:space="preserve">The Hermit Calamari Jerky, Thai Chili Lime, 2 oz</t>
  </si>
  <si>
    <t xml:space="preserve">Reno</t>
  </si>
  <si>
    <t xml:space="preserve">https://thehermit.com</t>
  </si>
  <si>
    <t xml:space="preserve">Very early stage (500-bag batches); release leads with protein, collagen and omega-3 amounts; shellfish/mollusk allergen for shared pantries</t>
  </si>
  <si>
    <t xml:space="preserve">Smoked, dried calamari jerky in 2 oz bags, sold ambient DTC</t>
  </si>
  <si>
    <t xml:space="preserve">Not banded: release (2026-06-03) describes a limited 500-bag relaunch run at $11.99 per bag; batch size is not a sales figure</t>
  </si>
  <si>
    <t xml:space="preserve">DTC only</t>
  </si>
  <si>
    <t xml:space="preserve">Steven Shonts</t>
  </si>
  <si>
    <t xml:space="preserve">BR1:64</t>
  </si>
  <si>
    <t xml:space="preserve">Revenue band inferred only from the release's own batch size statement (500 bags x $11.99); treat as indicative.</t>
  </si>
  <si>
    <t xml:space="preserve">AB-272</t>
  </si>
  <si>
    <t xml:space="preserve">Namkeen Queens</t>
  </si>
  <si>
    <t xml:space="preserve">Aiswarya</t>
  </si>
  <si>
    <t xml:space="preserve">New York City brand, no graded store within ten blocks, online store only, a new store listing 17 days ago, revenue unknown, contact named (first name only); founder review: under-floor.</t>
  </si>
  <si>
    <t xml:space="preserve">Launched the NamQueen Gift Box with single ladoos and 4 oz chivda (a Diwali gift add-on followed on 2026-10-18)</t>
  </si>
  <si>
    <t xml:space="preserve">https://namkeenqueens.com/products.json</t>
  </si>
  <si>
    <t xml:space="preserve">https://events.specialtyfood.com/event/2026-summer-fancy-food-show/exhibitor/RXhoaWJpdG9yXzI0Mzk0OTY=</t>
  </si>
  <si>
    <t xml:space="preserve">find Aiswarya at Namkeen Queens on LinkedIn and paste the profile URL; surname not public: take it from LinkedIn; founder review (under-floor): read founder_review_reason first</t>
  </si>
  <si>
    <t xml:space="preserve">https://namkeenqueens.com/pages/about</t>
  </si>
  <si>
    <t xml:space="preserve">Chivda 4 oz snack mix; Besan Ladoo single</t>
  </si>
  <si>
    <t xml:space="preserve">New York (packaged in NY; handmade in Mumbai)</t>
  </si>
  <si>
    <t xml:space="preserve">https://namkeenqueens.com</t>
  </si>
  <si>
    <t xml:space="preserve">Shelf life of ladoos and chivda unknown (60-day test); products are handmade in Mumbai and packaged in New York, so labeling, import and insurance need checking; very small brand; 60-day shelf life not stated</t>
  </si>
  <si>
    <t xml:space="preserve">Dry savory mix and ladoos shipped ambient; site gives no shelf life and calls the snacks 'homemade'</t>
  </si>
  <si>
    <t xml:space="preserve">Online only (ships across the US)</t>
  </si>
  <si>
    <t xml:space="preserve">surnames not given</t>
  </si>
  <si>
    <t xml:space="preserve">Sushila</t>
  </si>
  <si>
    <t xml:space="preserve">https://instagram.com/thenamkeenqueens/</t>
  </si>
  <si>
    <t xml:space="preserve">BR5:8</t>
  </si>
  <si>
    <t xml:space="preserve">Found in the SFFS 2026 exhibitor directory (State: New York). Homepage: 'Handmade in Mumbai. Packaged in New York.' why_now date is Shopify published_at of the gift box and its single-unit components.</t>
  </si>
  <si>
    <t xml:space="preserve">AB-184</t>
  </si>
  <si>
    <t xml:space="preserve">nero black coffee</t>
  </si>
  <si>
    <t xml:space="preserve">New York City brand, no graded store within ten blocks, online store only, a new store listing 115 days ago, revenue unknown, no contact named; founder review: under-floor.</t>
  </si>
  <si>
    <t xml:space="preserve">Appeared in Pop Up Grocer directory (listed 2026-07-01, now a past brand)</t>
  </si>
  <si>
    <t xml:space="preserve">https://popupgrocer.com/products/nero-black-coffee</t>
  </si>
  <si>
    <t xml:space="preserve">2026-07-01</t>
  </si>
  <si>
    <t xml:space="preserve">https://drinknero.com/pages/about-us</t>
  </si>
  <si>
    <t xml:space="preserve">no person named on an opened page: not ready; founder review (under-floor): read founder_review_reason first</t>
  </si>
  <si>
    <t xml:space="preserve">nero ready-to-drink unsweetened black coffee, can (100 mg caffeine)</t>
  </si>
  <si>
    <t xml:space="preserve">https://drinknero.com</t>
  </si>
  <si>
    <t xml:space="preserve">Very small, little public information (no founder or HQ); find-in-store page lists no stores</t>
  </si>
  <si>
    <t xml:space="preserve">Product copy: Shelf-stable and ready to drink, no fridge needed (drinknero.com/products.json, nero-black-coffee-can-12-pack, read 2026-10-24)</t>
  </si>
  <si>
    <t xml:space="preserve">Pop Up Grocer (past brand, directory)</t>
  </si>
  <si>
    <t xml:space="preserve">BR3:58</t>
  </si>
  <si>
    <t xml:space="preserve">Two-ingredient canned black coffee, 12-pack $24.99. Low priority.</t>
  </si>
  <si>
    <t xml:space="preserve">hq_city &lt;- https://drinknero.com/policies/privacy-policy (2026-10-24, opened); hq_state &lt;- https://drinknero.com/policies/privacy-policy (2026-10-24, opened); shelf_stable &lt;- https://drinknero.com/products.json (2026-10-24, opened); shelf_stable_basis &lt;- https://drinknero.com/products.json (2026-10-24, opened); </t>
  </si>
  <si>
    <t xml:space="preserve">AB-066</t>
  </si>
  <si>
    <t xml:space="preserve">Rip Van</t>
  </si>
  <si>
    <t xml:space="preserve">Rip</t>
  </si>
  <si>
    <t xml:space="preserve">Pruisken</t>
  </si>
  <si>
    <t xml:space="preserve">New York City brand, store page shows Whole Foods Market NoMad inside the cluster, news 17 days ago, revenue over $10M, contact named; founder review: scale-reported, scale, claim-borderline.</t>
  </si>
  <si>
    <t xml:space="preserve">Named former Hershey US president Todd Tillemans CEO; adding ~1,800 doors at Albertsons, Walmart, BJ's and Wawa</t>
  </si>
  <si>
    <t xml:space="preserve">https://theshelbyreport.com/2026/10/07/rip-van-names-former-hershey-u-s-president-as-ceo/</t>
  </si>
  <si>
    <t xml:space="preserve">find Rip Pruisken at Rip Van on LinkedIn and paste the profile URL; before using the retailer line, check Whole Foods Market NoMad still lists it: https://www.wholefoodsmarket.com/search?text=Rip%20Van with your store set to NoMad (catalogs change daily); founder review (scale-reported, scale, claim-borderline): read founder_review_reason first</t>
  </si>
  <si>
    <t xml:space="preserve">Dutch Caramel &amp; Vanilla Wafels (stroopwafel); Crispy Dunes wafer sticks</t>
  </si>
  <si>
    <t xml:space="preserve">https://www.ripvan.com</t>
  </si>
  <si>
    <t xml:space="preserve">Likely above the $10M ceiling (&gt;$100M retail sales, 26,000 doors, ex-Hershey CEO); prebiotic fiber and low-sugar nutrient positioning; 60-day shelf life not stated</t>
  </si>
  <si>
    <t xml:space="preserve">scale-reported;scale;claim-borderline</t>
  </si>
  <si>
    <t xml:space="preserve">venture-backed (stage unknown); Kickstarter origin per brand Our Story</t>
  </si>
  <si>
    <t xml:space="preserve">https://www.ripvan.com/pages/our-story</t>
  </si>
  <si>
    <t xml:space="preserve">Brand product page: 'Each wafel is individually wrapped'; sold ambient online and in grocery; no shelf-life figure published (founder to confirm 60+ days)</t>
  </si>
  <si>
    <t xml:space="preserve">over-10m</t>
  </si>
  <si>
    <t xml:space="preserve">Shelby Report 2026-10-07: company 'surpasses $100 million in retail sales' (retail sales, period not stated)</t>
  </si>
  <si>
    <t xml:space="preserve">Whole Foods; Costco; Starbucks; Albertsons; Walmart; BJ's; Wawa; 26,000+ doors</t>
  </si>
  <si>
    <t xml:space="preserve">https://www.wholefoodsmarket.com/api/search?text=rip%20van&amp;store=10162&amp;limit=60&amp;offset=0; https://www.wholefoodsmarket.com/api/search?text=rip%20van&amp;store=10773&amp;limit=60&amp;offset=0; https://www.wholefoodsmarket.com/api/search?text=rip%20van&amp;store=10131&amp;limit=60&amp;offset=0</t>
  </si>
  <si>
    <t xml:space="preserve">Rip Pruisken</t>
  </si>
  <si>
    <t xml:space="preserve">Mollie Crudden</t>
  </si>
  <si>
    <t xml:space="preserve">https://www.instagram.com/ripvansnacks/</t>
  </si>
  <si>
    <t xml:space="preserve">BR2:3</t>
  </si>
  <si>
    <t xml:space="preserve">Co-founder Marco De Leon is CFO (Shelby Report). WFM catalog: wafel cookies and Leos at Union Square and NoMad; 2 SKUs at Chelsea. WFM evidence = wholefoodsmarket.com store-scoped catalog search, opened 2026-10-23; catalog listing is not proof of shelf stock.</t>
  </si>
  <si>
    <t xml:space="preserve">marketing_name &lt;- https://www.linkedin.com/company/ripvan (2026-10-24, snippet-unverified); marketing_title &lt;- https://www.linkedin.com/company/ripvan (2026-10-24, snippet-unverified); </t>
  </si>
  <si>
    <t xml:space="preserve">AB-116</t>
  </si>
  <si>
    <t xml:space="preserve">Bobo's</t>
  </si>
  <si>
    <t xml:space="preserve">Beryl</t>
  </si>
  <si>
    <t xml:space="preserve">Stafford</t>
  </si>
  <si>
    <t xml:space="preserve">Brand based outside the Northeast, store page shows Whole Foods Market NoMad inside the cluster, a new store listing 11 days ago, revenue unknown, contact named; founder review: scale, claim-borderline.</t>
  </si>
  <si>
    <t xml:space="preserve">Launched Blueberry and Raspberry Breakfast Bars on brand store, Oct 2026</t>
  </si>
  <si>
    <t xml:space="preserve">https://eatbobos.com/</t>
  </si>
  <si>
    <t xml:space="preserve">https://eatbobos.com/pages/our-story</t>
  </si>
  <si>
    <t xml:space="preserve">find Beryl Stafford at Bobo's on LinkedIn and paste the profile URL; before using the retailer line, check Whole Foods Market NoMad still lists it: https://www.wholefoodsmarket.com/search?text=Bobo%27s with your store set to NoMad (catalogs change daily); founder review (scale, claim-borderline): read founder_review_reason first</t>
  </si>
  <si>
    <t xml:space="preserve">Chocolate Chip Oat Bar 3 oz; Stuff'd Oat Bars</t>
  </si>
  <si>
    <t xml:space="preserve">Loveland (bakery location per brand FAQ; founded in Boulder)</t>
  </si>
  <si>
    <t xml:space="preserve">https://eatbobos.com</t>
  </si>
  <si>
    <t xml:space="preserve">10 to 12 SKUs at each cluster WFM and national distribution suggest it may be above the $10M ceiling; no revenue source found | Health-claim scan 2026-10-24: the homepage links a blog post, 'Foods That Help Digestion', saying foods 'help aid your digestion'. Blog copy, not pack copy; founder to read; 60-day shelf life not stated</t>
  </si>
  <si>
    <t xml:space="preserve">Wrapped baked oat bars sold ambient at Whole Foods; shelf-life figure not found</t>
  </si>
  <si>
    <t xml:space="preserve">Whole Foods; retailer locator</t>
  </si>
  <si>
    <t xml:space="preserve">https://www.wholefoodsmarket.com/api/search?text=bobos&amp;store=10162&amp;limit=60&amp;offset=0; https://www.wholefoodsmarket.com/api/search?text=bobos&amp;store=10773&amp;limit=60&amp;offset=0; https://www.wholefoodsmarket.com/api/search?text=bobos&amp;store=10131&amp;limit=60&amp;offset=0</t>
  </si>
  <si>
    <t xml:space="preserve">Beryl Stafford</t>
  </si>
  <si>
    <t xml:space="preserve">https://www.instagram.com/eatbobos/</t>
  </si>
  <si>
    <t xml:space="preserve">BR2:54</t>
  </si>
  <si>
    <t xml:space="preserve">Gluten-free whole grain oat bars. Why-now from Shopify publish dates.</t>
  </si>
  <si>
    <t xml:space="preserve">founder_review_reason &lt;- https://eatbobos.com (2026-10-24, stage 3 correction); </t>
  </si>
  <si>
    <t xml:space="preserve">AB-112</t>
  </si>
  <si>
    <t xml:space="preserve">ChocXO</t>
  </si>
  <si>
    <t xml:space="preserve">Brand based outside the Northeast, store page shows Whole Foods Market NoMad inside the cluster, a new store listing 23 days ago, revenue unknown, no contact named; founder review: claim-borderline.</t>
  </si>
  <si>
    <t xml:space="preserve">Launched Milk Chocolate Cookie Butter Cups on brand store, Oct 2026</t>
  </si>
  <si>
    <t xml:space="preserve">https://chocxo.com/</t>
  </si>
  <si>
    <t xml:space="preserve">2026-10-01</t>
  </si>
  <si>
    <t xml:space="preserve">https://chocxo.com/pages/about-chocxo</t>
  </si>
  <si>
    <t xml:space="preserve">no person named on an opened page: not ready; before using the retailer line, check Whole Foods Market NoMad still lists it: https://www.wholefoodsmarket.com/search?text=ChocXO with your store set to NoMad (catalogs change daily); founder review (claim-borderline): read founder_review_reason first</t>
  </si>
  <si>
    <t xml:space="preserve">Organic Dubai Style Pistachio Cups 3.45 oz; Milk Chocolate Cookie Butter Cups</t>
  </si>
  <si>
    <t xml:space="preserve">Delta, BC (address on brand about page)</t>
  </si>
  <si>
    <t xml:space="preserve">https://chocxo.com</t>
  </si>
  <si>
    <t xml:space="preserve">Canadian brand (cross-border freight and insurance); 'naturally lower in sugar' positioning; 60-day shelf life not stated</t>
  </si>
  <si>
    <t xml:space="preserve">BC (Canada)</t>
  </si>
  <si>
    <t xml:space="preserve">Packaged chocolate cups sold ambient at Whole Foods; shelf-life figure not found</t>
  </si>
  <si>
    <t xml:space="preserve">https://www.wholefoodsmarket.com/api/search?text=chocxo&amp;store=10162&amp;limit=60&amp;offset=0; https://www.wholefoodsmarket.com/api/search?text=chocxo&amp;store=10773&amp;limit=60&amp;offset=0; https://www.wholefoodsmarket.com/api/search?text=chocxo&amp;store=10131&amp;limit=60&amp;offset=0</t>
  </si>
  <si>
    <t xml:space="preserve">https://www.instagram.com/chocxochocolatier/</t>
  </si>
  <si>
    <t xml:space="preserve">BR2:50</t>
  </si>
  <si>
    <t xml:space="preserve">Organic. Why-now from Shopify publish date.</t>
  </si>
  <si>
    <t xml:space="preserve">AB-055</t>
  </si>
  <si>
    <t xml:space="preserve">American Ostrich Farms</t>
  </si>
  <si>
    <t xml:space="preserve">McCoy</t>
  </si>
  <si>
    <t xml:space="preserve">Brand based outside the Northeast, no graded store within ten blocks, online store only, news 4 days ago, revenue unknown, contact named; founder review: other.</t>
  </si>
  <si>
    <t xml:space="preserve">Nationwide launch of Ostrich &amp; Beef Snack Sticks (Original, Jalapeño) on Amazon and brand site</t>
  </si>
  <si>
    <t xml:space="preserve">https://www.snackandbakery.com/articles/116497-american-ostrich-farms-launches-blended-meat-snacks</t>
  </si>
  <si>
    <t xml:space="preserve">find Alex McCoy at American Ostrich Farms on LinkedIn and paste the profile URL; founder review (other): read founder_review_reason first</t>
  </si>
  <si>
    <t xml:space="preserve">American Ostrich Farms Ostrich &amp; Beef Snack Stick, Original</t>
  </si>
  <si>
    <t xml:space="preserve">Kuna</t>
  </si>
  <si>
    <t xml:space="preserve">https://americanostrich.com</t>
  </si>
  <si>
    <t xml:space="preserve">Online-only launch; core business is fresh/frozen ostrich meat, so snack budget owner unclear</t>
  </si>
  <si>
    <t xml:space="preserve">ID</t>
  </si>
  <si>
    <t xml:space="preserve">Trade press: first shelf-stable, ready-to-eat product from the brand</t>
  </si>
  <si>
    <t xml:space="preserve">Amazon; AmericanOstrich.com</t>
  </si>
  <si>
    <t xml:space="preserve">Alex McCoy</t>
  </si>
  <si>
    <t xml:space="preserve">BR1:56</t>
  </si>
  <si>
    <t xml:space="preserve">Website domain taken from the trade article text ('AmericanOstrich.com'); site itself not opened.</t>
  </si>
  <si>
    <t xml:space="preserve">hq_city &lt;- https://www.americanostrichfarms.com/ (2026-10-24, opened); </t>
  </si>
  <si>
    <t xml:space="preserve">AB-284</t>
  </si>
  <si>
    <t xml:space="preserve">Keya's Snacks</t>
  </si>
  <si>
    <t xml:space="preserve">Keya</t>
  </si>
  <si>
    <t xml:space="preserve">Wingfield</t>
  </si>
  <si>
    <t xml:space="preserve">Brand based outside the Northeast, no graded store within ten blocks, online store only, news 144 days ago, revenue unknown, contact named; founder review: other.</t>
  </si>
  <si>
    <t xml:space="preserve">Runner-up in Naturally New York's 2026 Next Fairway Find; Fairway extended its service prize package to the brand</t>
  </si>
  <si>
    <t xml:space="preserve">https://events.specialtyfood.com/event/2026-summer-fancy-food-show/exhibitor/RXhoaWJpdG9yXzI0NTEzMTc=</t>
  </si>
  <si>
    <t xml:space="preserve">find Keya Wingfield at Keya's Snacks on LinkedIn and paste the profile URL; founder review (other): read founder_review_reason first</t>
  </si>
  <si>
    <t xml:space="preserve">Bombay Spice kettle potato chips, 1.5 oz bag</t>
  </si>
  <si>
    <t xml:space="preserve">unknown (Daksh Foods Inc.)</t>
  </si>
  <si>
    <t xml:space="preserve">https://keyassnacks.com/shop</t>
  </si>
  <si>
    <t xml:space="preserve">HQ is outside the Northeast (SFFS lists Virginia). Fairway placement is a prize, not a confirmed shelf</t>
  </si>
  <si>
    <t xml:space="preserve">https://keyassnacks.com</t>
  </si>
  <si>
    <t xml:space="preserve">FAQ: 'How long do the chips last? 6 months.' Sealed 1.5 oz and 6 oz bags</t>
  </si>
  <si>
    <t xml:space="preserve">No sales figure. Startup CPG (2026-07-21) says 'In 1,800 doors nationwide'; distribution KeHE, UNFI, Rainforest, DSD, Faire, Airgoods</t>
  </si>
  <si>
    <t xml:space="preserve">1,800 doors nationwide; Fairway Market prize package as runner-up of Naturally NY's Next Fairway Find (2026)</t>
  </si>
  <si>
    <t xml:space="preserve">Keya Wingfield</t>
  </si>
  <si>
    <t xml:space="preserve">https://www.instagram.com/keyaandco/</t>
  </si>
  <si>
    <t xml:space="preserve">BR5:20</t>
  </si>
  <si>
    <t xml:space="preserve">SFFS 2026 exhibitor as Daksh Foods Inc. (State: Virginia); also in the Startup CPG SFFS 2026 pavilion and the Newtopia Now 2026 Startup CPG section; 2025 Shelfie winner (Bombay Spice). FAQ: first sold in 2021; kosher, vegan, gluten-free.</t>
  </si>
  <si>
    <t xml:space="preserve">AB-170</t>
  </si>
  <si>
    <t xml:space="preserve">Little Green Cyclo</t>
  </si>
  <si>
    <t xml:space="preserve">Monica</t>
  </si>
  <si>
    <t xml:space="preserve">Wong</t>
  </si>
  <si>
    <t xml:space="preserve">Brand based outside the Northeast, no graded store within ten blocks, online store only, news 79 days ago, revenue unknown, contact named; founder review: other.</t>
  </si>
  <si>
    <t xml:space="preserve">2026 Startup CPG Shelfie Award finalist, Coffee category (Passion Fruit Sparkling Vietnamese Coffee)</t>
  </si>
  <si>
    <t xml:space="preserve">https://coffeelgc.com/pages/founder-story</t>
  </si>
  <si>
    <t xml:space="preserve">find Monica Wong at Little Green Cyclo on LinkedIn and paste the profile URL; founder review (other): read founder_review_reason first</t>
  </si>
  <si>
    <t xml:space="preserve">Little Green Cyclo ca phe sua da RTD Vietnamese coffee, 7.5 fl oz can</t>
  </si>
  <si>
    <t xml:space="preserve">San Francisco Bay Area</t>
  </si>
  <si>
    <t xml:space="preserve">https://coffeelgc.com</t>
  </si>
  <si>
    <t xml:space="preserve">California brand with no NYC retail found; buy path is online only (discount code route)</t>
  </si>
  <si>
    <t xml:space="preserve">Product copy: '7.5 fl oz (222 ml) 12 cans per case Shelf stable product' (coffeelgc.com/products.json, read 2026-10-23)</t>
  </si>
  <si>
    <t xml:space="preserve">unknown (Stockist returned no NYC-area points)</t>
  </si>
  <si>
    <t xml:space="preserve">https://stockist.co/api/v1/u6870/locations/search?latitude=40.7400&amp;longitude=-73.9900&amp;distance=3</t>
  </si>
  <si>
    <t xml:space="preserve">Monica Wong</t>
  </si>
  <si>
    <t xml:space="preserve">BR3:44</t>
  </si>
  <si>
    <t xml:space="preserve">Founder story: founded in the San Francisco Bay Area in 2010; women- and AAPI-owned. Complete Set listed 2025-10-15.</t>
  </si>
  <si>
    <t xml:space="preserve">AB-009</t>
  </si>
  <si>
    <t xml:space="preserve">Sfizi</t>
  </si>
  <si>
    <t xml:space="preserve">Joe</t>
  </si>
  <si>
    <t xml:space="preserve">Fiorenzo</t>
  </si>
  <si>
    <t xml:space="preserve">Brand based outside the Northeast, no graded store within ten blocks, online store only, news 37 days ago, revenue unknown, contact named.</t>
  </si>
  <si>
    <t xml:space="preserve">Launched fourth flavor, Spicy Taralli</t>
  </si>
  <si>
    <t xml:space="preserve">https://www.snackandbakery.com/articles/116338-sfizi-gets-fiery-with-fourth-flavor-addition-to-its-snack-lineup</t>
  </si>
  <si>
    <t xml:space="preserve">https://eatsfizi.com/pages/about</t>
  </si>
  <si>
    <t xml:space="preserve">find Joe Fiorenzo at Sfizi on LinkedIn and paste the profile URL</t>
  </si>
  <si>
    <t xml:space="preserve">Sfizi Classic Taralli ($9 bag); new Spicy Taralli</t>
  </si>
  <si>
    <t xml:space="preserve">Davidson</t>
  </si>
  <si>
    <t xml:space="preserve">https://eatsfizi.com</t>
  </si>
  <si>
    <t xml:space="preserve">Baked Italian taralli crackers sold ambient</t>
  </si>
  <si>
    <t xml:space="preserve">https://popupgrocer.com/pages/directory (availability 'NYC Flagship', 2026-10-23); https://popupgrocer.com/products/sfizi</t>
  </si>
  <si>
    <t xml:space="preserve">Joe Fiorenzo</t>
  </si>
  <si>
    <t xml:space="preserve">Sheela Prakash</t>
  </si>
  <si>
    <t xml:space="preserve">Sheela</t>
  </si>
  <si>
    <t xml:space="preserve">Prakash</t>
  </si>
  <si>
    <t xml:space="preserve">https://instagram.com/eatsfizi</t>
  </si>
  <si>
    <t xml:space="preserve">BR1:10</t>
  </si>
  <si>
    <t xml:space="preserve">Taralli made by the Campanella brothers in Puglia (trade press). Business city from brand privacy policy (Sfizi LLC, Davidson NC). Sheela Prakash is a cookbook author and food writer (brand about page).</t>
  </si>
  <si>
    <t xml:space="preserve">startup_cpg_member &lt;- https://startupcpg.com/startup-cpg-shelfie-finalists-2026/ (2026-10-24, opened); startup_cpg_evidence_url &lt;- https://startupcpg.com/startup-cpg-shelfie-finalists-2026/ (2026-10-24, opened); </t>
  </si>
  <si>
    <t xml:space="preserve">AB-015</t>
  </si>
  <si>
    <t xml:space="preserve">Beefy's Own</t>
  </si>
  <si>
    <t xml:space="preserve">Ethan</t>
  </si>
  <si>
    <t xml:space="preserve">Bender</t>
  </si>
  <si>
    <t xml:space="preserve">Northeast brand (HQ unverified), no graded store within ten blocks, online store only, a new store listing 37 days ago, revenue unknown, contact named.</t>
  </si>
  <si>
    <t xml:space="preserve">Distributor-pack SKU added to brand store; family brand expanded to a dedicated production facility (2023)</t>
  </si>
  <si>
    <t xml:space="preserve">https://beefysown.com/products/beef-tallow-potato-chips-copy</t>
  </si>
  <si>
    <t xml:space="preserve">https://beefysown.com/pages/our-story</t>
  </si>
  <si>
    <t xml:space="preserve">find Ethan Bender at Beefy's Own on LinkedIn and paste the profile URL</t>
  </si>
  <si>
    <t xml:space="preserve">https://beefysown.com/</t>
  </si>
  <si>
    <t xml:space="preserve">Beefy's Own Beef Tallow Potato Chips, Sea Salt (single bag)</t>
  </si>
  <si>
    <t xml:space="preserve">Derry (returns address; unverified as HQ)</t>
  </si>
  <si>
    <t xml:space="preserve">https://beefysown.com/products/beef-tallow-potato-chips</t>
  </si>
  <si>
    <t xml:space="preserve">https://beefysown.com</t>
  </si>
  <si>
    <t xml:space="preserve">NH</t>
  </si>
  <si>
    <t xml:space="preserve">Product page (Beef Tallow Potato Chips, 5 oz): 'Six Month Shelf Life'.</t>
  </si>
  <si>
    <t xml:space="preserve">PopUp Grocer (NYC); distributor listing on brand store</t>
  </si>
  <si>
    <t xml:space="preserve">https://popupgrocer.com/pages/directory (availability 'NYC Flagship', 2026-10-23); https://popupgrocer.com/products/beefys-own</t>
  </si>
  <si>
    <t xml:space="preserve">Ethan Bender</t>
  </si>
  <si>
    <t xml:space="preserve">https://instagram.com/beefysown</t>
  </si>
  <si>
    <t xml:space="preserve">BR1:16</t>
  </si>
  <si>
    <t xml:space="preserve">Northeast (New Hampshire) family-run brand, est. 2022. why_now is weak (new distro SKU, Shopify published_at).</t>
  </si>
  <si>
    <t xml:space="preserve">shelf_stable_basis &lt;- https://beefysown.com/products/beef-tallow-potato-chips (2026-10-24, opened); </t>
  </si>
  <si>
    <t xml:space="preserve">AB-127</t>
  </si>
  <si>
    <t xml:space="preserve">Li-Lac Chocolates</t>
  </si>
  <si>
    <t xml:space="preserve">George</t>
  </si>
  <si>
    <t xml:space="preserve">Demetrious</t>
  </si>
  <si>
    <t xml:space="preserve">New York City brand, no graded store within ten blocks, online store only, a new store listing 2 days ago, revenue unknown, contact named; founder review: not-emerging.</t>
  </si>
  <si>
    <t xml:space="preserve">Holiday 2026 advent calendars and Halloween items added to brand store, Oct 2026</t>
  </si>
  <si>
    <t xml:space="preserve">https://www.li-lacchocolates.com/</t>
  </si>
  <si>
    <t xml:space="preserve">https://www.li-lacchocolates.com/pages/about-us</t>
  </si>
  <si>
    <t xml:space="preserve">find George Demetrious at Li-Lac Chocolates on LinkedIn and paste the profile URL; founder review (not-emerging): read founder_review_reason first</t>
  </si>
  <si>
    <t xml:space="preserve">3 oz Chocolate Bar with custom wrapper (200-bar minimum, business gifts); Chocolate Pumpkin Discs</t>
  </si>
  <si>
    <t xml:space="preserve">New York (founded at 120 Christopher St, 1923)</t>
  </si>
  <si>
    <t xml:space="preserve">https://www.li-lacchocolates.com</t>
  </si>
  <si>
    <t xml:space="preserve">Heritage chocolatier (since 1923), gift-focused, not an emerging CPG brand; has a custom business-bar program that may compete with or complement office drops; 60-day shelf life not stated</t>
  </si>
  <si>
    <t xml:space="preserve">Brand FAQ: solid milk and dark chocolate stay fresh for about nine months, solid white chocolate about 6 months; filled confections are guaranteed fresh for at least 21 days.</t>
  </si>
  <si>
    <t xml:space="preserve">Own shops (contact page 'Store Hours &amp; Locations'; addresses not captured)</t>
  </si>
  <si>
    <t xml:space="preserve">https://www.li-lacchocolates.com/pages/contact-us</t>
  </si>
  <si>
    <t xml:space="preserve">George Demetrious</t>
  </si>
  <si>
    <t xml:space="preserve">https://www.instagram.com/lilacchocolates/</t>
  </si>
  <si>
    <t xml:space="preserve">BR2:65</t>
  </si>
  <si>
    <t xml:space="preserve">'New York's oldest chocolate house'. Current owners not identified. Why-now from Shopify publish dates.</t>
  </si>
  <si>
    <t xml:space="preserve">shelf_stable_basis &lt;- https://www.li-lacchocolates.com/pages/frequently-asked-questions (2026-10-24, opened); </t>
  </si>
  <si>
    <t xml:space="preserve">AB-026</t>
  </si>
  <si>
    <t xml:space="preserve">Righteous Felon</t>
  </si>
  <si>
    <t xml:space="preserve">Brendan</t>
  </si>
  <si>
    <t xml:space="preserve">Cawley</t>
  </si>
  <si>
    <t xml:space="preserve">Founder &amp; CEO</t>
  </si>
  <si>
    <t xml:space="preserve">Northeast brand, no graded store within ten blocks, online store only, a new store listing 80 days ago, revenue unknown, contact named.</t>
  </si>
  <si>
    <t xml:space="preserve">New 18- and 30-count variety meat stick packs published on brand store</t>
  </si>
  <si>
    <t xml:space="preserve">https://www.righteousfelon.com/products/savoury-variety-sticks-30pack</t>
  </si>
  <si>
    <t xml:space="preserve">https://www.righteousfelon.com/pages/about</t>
  </si>
  <si>
    <t xml:space="preserve">find Brendan Cawley at Righteous Felon on LinkedIn and paste the profile URL</t>
  </si>
  <si>
    <t xml:space="preserve">https://startupcpg.com/startup-cpg-newswire-righteous-felon-craft-jerky-hits-the-gas-on-the-getaway-car-expands-retail-presence-dominates-holiday-gifting-season/</t>
  </si>
  <si>
    <t xml:space="preserve">Righteous Felon O.G. Hickory Beef Stick (9-pack); Lil' Rebels mini sticks</t>
  </si>
  <si>
    <t xml:space="preserve">West Chester</t>
  </si>
  <si>
    <t xml:space="preserve">https://www.righteousfelon.com</t>
  </si>
  <si>
    <t xml:space="preserve">Brand FAQ: 'Shelf Life from time of production: Jerky = 18 months, Biltong = 9 months, Sticks = 12 months.' Refrigerate after opening.</t>
  </si>
  <si>
    <t xml:space="preserve">Find a Dealer locator on brand site (not readable without JavaScript); Amazon (Buy with Prime)</t>
  </si>
  <si>
    <t xml:space="preserve">https://www.wholefoodsmarket.com/search?text=righteous%20felon (no results in cluster stores, 2026-10-23)</t>
  </si>
  <si>
    <t xml:space="preserve">Brendan Cawley</t>
  </si>
  <si>
    <t xml:space="preserve">BR1:27</t>
  </si>
  <si>
    <t xml:space="preserve">Craft jerky and meat sticks; site has an 18+ age gate. Also runs a wholesale/delivery program for luxury operators (rtzn-wholesale page). why_now is Shopify published_at.</t>
  </si>
  <si>
    <t xml:space="preserve">hq_city &lt;- https://startupcpg.com/startup-cpg-newswire-righteous-felon-craft-jerky-hits-the-gas-on-the-getaway-car-expands-retail-presence-dominates-holiday-gifting-season/ (2026-10-24, opened); founder_name &lt;- https://startupcpg.com/startup-cpg-newswire-righteous-felon-craft-jerky-hits-the-gas-on-the-getaway-car-expands-retail-presence-dominates-holiday-gifting-season/ (2026-10-24, opened); founder_title &lt;- https://startupcpg.com/startup-cpg-newswire-righteous-felon-craft-jerky-hits-the-gas-on-the-getaway-car-expands-retail-presence-dominates-holiday-gifting-season/ (2026-10-24, opened); founder_profile_url &lt;- https://startupcpg.com/startup-cpg-newswire-righteous-felon-craft-jerky-hits-the-gas-on-the-getaway-car-expands-retail-presence-dominates-holiday-gifting-season/ (2026-10-24, opened); startup_cpg_member &lt;- https://startupcpg.com/startup-cpg-newswire-righteous-felon-craft-jerky-hits-the-gas-on-the-getaway-car-expands-retail-presence-dominates-holiday-gifting-season/ (2026-10-24, opened); startup_cpg_evidence_url &lt;- https://startupcpg.com/startup-cpg-newswire-righteous-felon-craft-jerky-hits-the-gas-on-the-getaway-car-expands-retail-presence-dominates-holiday-gifting-season/ (2026-10-24, opened); shelf_stable_basis &lt;- https://www.righteousfelon.com/pages/faq (2026-10-24, opened); </t>
  </si>
  <si>
    <t xml:space="preserve">AB-187</t>
  </si>
  <si>
    <t xml:space="preserve">Tranquila Coffee Company</t>
  </si>
  <si>
    <t xml:space="preserve">New York City brand, no graded store within ten blocks, online store only, a new store listing 211 days ago, revenue unknown, contact seen only in a snippet; founder review: other.</t>
  </si>
  <si>
    <t xml:space="preserve">Launched Oat Milk Latte and Classic Latte on its store</t>
  </si>
  <si>
    <t xml:space="preserve">https://tranquilacoffee.com/products.json</t>
  </si>
  <si>
    <t xml:space="preserve">https://tranquilacoffee.com</t>
  </si>
  <si>
    <t xml:space="preserve">Tranquila canned decaf Oat Milk Latte / Classic Latte</t>
  </si>
  <si>
    <t xml:space="preserve">Very early brand (two SKUs), no founder, HQ or current retailer found; 60-day shelf life not stated</t>
  </si>
  <si>
    <t xml:space="preserve">https://popupgrocer.com/products/tranquila-coffee-company</t>
  </si>
  <si>
    <t xml:space="preserve">Eric Gonzalez</t>
  </si>
  <si>
    <t xml:space="preserve">unverified, founder to confirm</t>
  </si>
  <si>
    <t xml:space="preserve">https://instagram.com/tranquilacoffee</t>
  </si>
  <si>
    <t xml:space="preserve">BR3:61</t>
  </si>
  <si>
    <t xml:space="preserve">Decaf RTD is an office-friendly angle (afternoon). Date is Shopify publish date.</t>
  </si>
  <si>
    <t xml:space="preserve">hq_city &lt;- https://tranquilacoffee.com/policies/privacy-policy (2026-10-24, opened); hq_state &lt;- https://tranquilacoffee.com/policies/privacy-policy (2026-10-24, opened); founder_name &lt;- https://urnow.richmond.edu/features/article/-/27533/cool-beans-how-two-spiders-brewed-their-way-into-coffee-entrepreneurship.html (2026-10-24, snippet-unverified); founder_title &lt;- https://urnow.richmond.edu/features/article/-/27533/cool-beans-how-two-spiders-brewed-their-way-into-coffee-entrepreneurship.html (2026-10-24, snippet-unverified); </t>
  </si>
  <si>
    <t xml:space="preserve">AB-234</t>
  </si>
  <si>
    <t xml:space="preserve">Kim's Magic Pop</t>
  </si>
  <si>
    <t xml:space="preserve">Northeast brand, store page shows Whole Foods Market NoMad inside the cluster, a new store listing 255 days ago, revenue unknown, no contact named; founder review: not-emerging.</t>
  </si>
  <si>
    <t xml:space="preserve">Launched Kim's Protein Mini Pop (Dark Chocolate and Salted Caramel drizzled popped cakes, 8 g plant protein, 4 oz bags) on its store</t>
  </si>
  <si>
    <t xml:space="preserve">https://kimsmagicpop.com/products.json?limit=250</t>
  </si>
  <si>
    <t xml:space="preserve">https://kimsmagicpop.com/pages/about-us</t>
  </si>
  <si>
    <t xml:space="preserve">no person named on an opened page: not ready; before using the retailer line, check Whole Foods Market NoMad still lists it: https://www.wholefoodsmarket.com/search?text=Kim%27s%20Magic%20Pop with your store set to NoMad (catalogs change daily); founder review (not-emerging): read founder_review_reason first</t>
  </si>
  <si>
    <t xml:space="preserve">Popped Lentil Snack 2.9 oz; Mini Pop and Protein Mini Pop (air-popped grain sheets)</t>
  </si>
  <si>
    <t xml:space="preserve">Palisades Park, NJ (privacy policy: DELICE GLOBAL, Inc., 150 Roosevelt Place, Palisades Park, NJ 07650)</t>
  </si>
  <si>
    <t xml:space="preserve">https://kimsmagicpop.com</t>
  </si>
  <si>
    <t xml:space="preserve">Founded 1998 with large-scale retail and private-label business; may be an established manufacturer rather than an emerging brand</t>
  </si>
  <si>
    <t xml:space="preserve">Air-popped dry grain snack sold ambient; no shelf-life figure published, founder to confirm</t>
  </si>
  <si>
    <t xml:space="preserve">Whole Foods Market (WFM catalog); 'large-scale retail distribution' and private label (about page)</t>
  </si>
  <si>
    <t xml:space="preserve">https://www.wholefoodsmarket.com/api/search?text=kim%27s%20magic%20pop&amp;store=10773&amp;limit=60&amp;offset=0; https://www.wholefoodsmarket.com/api/search?text=kim%27s%20magic%20pop&amp;store=10162&amp;limit=60&amp;offset=0; https://www.wholefoodsmarket.com/api/search?text=kim%27s%20magic%20pop&amp;store=10131&amp;limit=60&amp;offset=0; https://www.wholefoodsmarket.com/api/search?text=kim%27s%20magic%20pop&amp;store=10713&amp;limit=60&amp;offset=0</t>
  </si>
  <si>
    <t xml:space="preserve">BR4:29</t>
  </si>
  <si>
    <t xml:space="preserve">Homepage banner: Halloween code BOO15 (shows the brand issues discount codes). WFM flags Local at Union Square and NoMad (2026-10-23).</t>
  </si>
  <si>
    <t xml:space="preserve">why_now &lt;- https://kimsmagicpop.com/products.json?limit=250 (2026-10-24, opened); why_now_url &lt;- https://kimsmagicpop.com/products.json?limit=250 (2026-10-24, opened); why_now_date &lt;- https://kimsmagicpop.com/products.json?limit=250 (2026-10-24, opened); hq_city &lt;- https://kimsmagicpop.com/policies/privacy-policy (2026-10-24, opened); </t>
  </si>
  <si>
    <t xml:space="preserve">AB-246</t>
  </si>
  <si>
    <t xml:space="preserve">Chris's Cookies</t>
  </si>
  <si>
    <t xml:space="preserve">Northeast brand, store page shows Whole Foods Market NoMad inside the cluster, no dated why-now in the last 12 months, revenue unknown, contact seen only in a snippet; founder review: other.</t>
  </si>
  <si>
    <t xml:space="preserve">https://www.chriscookies.com/</t>
  </si>
  <si>
    <t xml:space="preserve">no person named on an opened page: not ready; before using the retailer line, check Whole Foods Market NoMad still lists it: https://www.wholefoodsmarket.com/search?text=Chris%27s%20Cookies with your store set to NoMad (catalogs change daily); founder review (other): read founder_review_reason first</t>
  </si>
  <si>
    <t xml:space="preserve">Almond Horn Cookies 6 oz; Dark Chocolate Dipped Almond Horn</t>
  </si>
  <si>
    <t xml:space="preserve">Teterboro</t>
  </si>
  <si>
    <t xml:space="preserve">Bakery-style cookies: shelf life and individual wrapping unconfirmed; 60-day shelf life not stated; no online store: buy path is the store only</t>
  </si>
  <si>
    <t xml:space="preserve">https://www.chriscookies.com</t>
  </si>
  <si>
    <t xml:space="preserve">Homepage gives no shelf life or storage; founder to confirm</t>
  </si>
  <si>
    <t xml:space="preserve">Whole Foods Market (WFM catalog, flagged Local)</t>
  </si>
  <si>
    <t xml:space="preserve">https://www.wholefoodsmarket.com/api/search?text=chris%27s%20cookies&amp;store=10773&amp;limit=60&amp;offset=0; https://www.wholefoodsmarket.com/api/search?text=chris%27s%20cookies&amp;store=10713&amp;limit=60&amp;offset=0</t>
  </si>
  <si>
    <t xml:space="preserve">Christian Gargiulo</t>
  </si>
  <si>
    <t xml:space="preserve">BR4:41</t>
  </si>
  <si>
    <t xml:space="preserve">Homepage address: 100 Hollister Road, Teterboro NJ 07608; 'indulgent all natural cookies, brownies, bars'. WFM NoMad listing from sweep 2026-10-23 (query 'cookies').</t>
  </si>
  <si>
    <t xml:space="preserve">founder_name &lt;- https://www.bakingbusiness.com/articles/31276-savelli-named-interim-c-e-o-of-chris-s-cookies (2026-10-24, snippet-unverified); founder_title &lt;- https://www.bakingbusiness.com/articles/31276-savelli-named-interim-c-e-o-of-chris-s-cookies (2026-10-24, snippet-unverified); </t>
  </si>
  <si>
    <t xml:space="preserve">AB-057</t>
  </si>
  <si>
    <t xml:space="preserve">Every Body Eat</t>
  </si>
  <si>
    <t xml:space="preserve">Trish</t>
  </si>
  <si>
    <t xml:space="preserve">Brand based outside the Northeast, store page shows Whole Foods Market NoMad inside the cluster, no dated why-now in the last 12 months, revenue unknown, contact named; founder review: other.</t>
  </si>
  <si>
    <t xml:space="preserve">https://www.wholefoodsmarket.com/search?text=every%20body%20eat</t>
  </si>
  <si>
    <t xml:space="preserve">find Trish Thomas at Every Body Eat on LinkedIn and paste the profile URL; before using the retailer line, check Whole Foods Market NoMad still lists it: https://www.wholefoodsmarket.com/search?text=Every%20Body%20Eat with your store set to NoMad (catalogs change daily); founder review (other): read founder_review_reason first</t>
  </si>
  <si>
    <t xml:space="preserve">https://everybodyeating.com/</t>
  </si>
  <si>
    <t xml:space="preserve">Every Body Eat Snack Cracker Thins, Cheese-Less, 4 oz</t>
  </si>
  <si>
    <t xml:space="preserve">Evanston</t>
  </si>
  <si>
    <t xml:space="preserve">Brand site unreachable; identity fields need a second pass; allergen-free positioning may suit shared pantries; no online store: buy path is the store only</t>
  </si>
  <si>
    <t xml:space="preserve">https://everybodyeating.com</t>
  </si>
  <si>
    <t xml:space="preserve">Boxed cracker thins, ambient</t>
  </si>
  <si>
    <t xml:space="preserve">https://www.wholefoodsmarket.com/search?text=every%20body%20eat (Union Square and NoMad contexts: Snack Cracker Thins IN_STOCK 2026-10-23)</t>
  </si>
  <si>
    <t xml:space="preserve">Trish Thomas</t>
  </si>
  <si>
    <t xml:space="preserve">Nichole Wilson</t>
  </si>
  <si>
    <t xml:space="preserve">Nichole</t>
  </si>
  <si>
    <t xml:space="preserve">Wilson</t>
  </si>
  <si>
    <t xml:space="preserve">BR1:58</t>
  </si>
  <si>
    <t xml:space="preserve">Also sells crunchy cookie bites (cookies slice).</t>
  </si>
  <si>
    <t xml:space="preserve">website &lt;- https://everybodyeating.com/ (2026-10-24, opened); hq_city &lt;- https://everybodyeating.com/pages/contact (2026-10-24, opened); hq_state &lt;- https://everybodyeating.com/pages/contact (2026-10-24, opened); founder_name &lt;- https://everybodyeating.com/ (2026-10-24, opened); founder_title &lt;- https://everybodyeating.com/ (2026-10-24, opened); </t>
  </si>
  <si>
    <t xml:space="preserve">AB-059</t>
  </si>
  <si>
    <t xml:space="preserve">Louisville Vegan Jerky Co.</t>
  </si>
  <si>
    <t xml:space="preserve">Brand based outside the Northeast, store page shows Whole Foods Market NoMad inside the cluster, no dated why-now in the last 12 months, revenue unknown, contact seen only in a snippet; founder review: other.</t>
  </si>
  <si>
    <t xml:space="preserve">https://www.wholefoodsmarket.com/search?text=louisville%20vegan%20jerky</t>
  </si>
  <si>
    <t xml:space="preserve">no person named on an opened page: not ready; before using the retailer line, check Whole Foods Market NoMad still lists it: https://www.wholefoodsmarket.com/search?text=Louisville%20Vegan%20Jerky%20Co. with your store set to NoMad (catalogs change daily); founder review (other): read founder_review_reason first</t>
  </si>
  <si>
    <t xml:space="preserve">Louisville Jerky Co. Maple Bacon Vegan Jerky, 3 oz</t>
  </si>
  <si>
    <t xml:space="preserve">Louisville</t>
  </si>
  <si>
    <t xml:space="preserve">Plant-based jerky; brand site not found (louisvillejerky.com redirects to an unrelated store); no online store: buy path is the store only</t>
  </si>
  <si>
    <t xml:space="preserve">https://www.lvjco.com</t>
  </si>
  <si>
    <t xml:space="preserve">KY</t>
  </si>
  <si>
    <t xml:space="preserve">https://www.wholefoodsmarket.com/search?text=louisville%20vegan%20jerky (Union Square and NoMad contexts IN_STOCK 2026-10-23)</t>
  </si>
  <si>
    <t xml:space="preserve">Stanley Chase III</t>
  </si>
  <si>
    <t xml:space="preserve">search snippets; unverified, founder to confirm</t>
  </si>
  <si>
    <t xml:space="preserve">BR1:60</t>
  </si>
  <si>
    <t xml:space="preserve">Shelf presence confirmed; identity fields need a second pass.</t>
  </si>
  <si>
    <t xml:space="preserve">website &lt;- https://www.lvjco.com/ (2026-10-24, opened); hq_city &lt;- https://www.lvjco.com/policies/terms-of-service (2026-10-24, opened); hq_state &lt;- https://www.lvjco.com/policies/terms-of-service (2026-10-24, opened); founder_name &lt;- https://www.cbinsights.com/company/louisville-vegan-jerky-co/people (2026-10-24, snippet-unverified); </t>
  </si>
  <si>
    <t xml:space="preserve">AB-290</t>
  </si>
  <si>
    <t xml:space="preserve">Big Picture Farm</t>
  </si>
  <si>
    <t xml:space="preserve">Northeast brand, no graded store within ten blocks, online store only, news 5 days ago, revenue unknown, no contact named; founder review: other.</t>
  </si>
  <si>
    <t xml:space="preserve">Golden Milk Caramels named a 2027 sofi Award finalist (Sweet Snacks)</t>
  </si>
  <si>
    <t xml:space="preserve">Goat's milk caramels; Chai Pocket Pack</t>
  </si>
  <si>
    <t xml:space="preserve">unknown (Vermont farmstead)</t>
  </si>
  <si>
    <t xml:space="preserve">https://bigpicturefarm.com</t>
  </si>
  <si>
    <t xml:space="preserve">Gift-oriented line; per-unit price and pocket-pack size need checking for a 50-unit drop. Founders not named on the pages opened</t>
  </si>
  <si>
    <t xml:space="preserve">Wrapped caramels sold ambient online and in specialty stores; shelf life not stated</t>
  </si>
  <si>
    <t xml:space="preserve">https://instagram.com/bigpicturefarm</t>
  </si>
  <si>
    <t xml:space="preserve">BR5:26</t>
  </si>
  <si>
    <t xml:space="preserve">Meta: 'Vermont farmstead goat dairy and confectionery whose award-winning caramels have won over a dozen national awards'. Chai Pocket Pack published 2026-08-27 (products.json). A Startup CPG search hit (2026 Shelfie winners) did not show the brand name in the text I checked, so startup_cpg_member stays unknown.</t>
  </si>
  <si>
    <t xml:space="preserve">AB-223</t>
  </si>
  <si>
    <t xml:space="preserve">The Purple Drop</t>
  </si>
  <si>
    <t xml:space="preserve">https://www.linkedin.com/in/maria-vepa/</t>
  </si>
  <si>
    <t xml:space="preserve">Northeast brand, no graded store within ten blocks, online store only, news 61 days ago, revenue unknown, contact seen only in a snippet; founder review: under-floor, claim-borderline.</t>
  </si>
  <si>
    <t xml:space="preserve">Won a 2026 Startup CPG Shelfie Award (Beverage category, announced 2026-08-24) weeks after launching ready-to-drink chicha morada in shelf-stable cans</t>
  </si>
  <si>
    <t xml:space="preserve">https://startupcpg.com/startup-cpg-newswire-the-purple-drop-launches-ready-to-drink-chicha-morada-inspired-by-peruvian-tradition/</t>
  </si>
  <si>
    <t xml:space="preserve">no person named on an opened page: not ready; founder review (under-floor, claim-borderline): read founder_review_reason first</t>
  </si>
  <si>
    <t xml:space="preserve">Chicha morada RTD (purple corn, pineapple, lime, spices), 8.4 oz can</t>
  </si>
  <si>
    <t xml:space="preserve">Danbury</t>
  </si>
  <si>
    <t xml:space="preserve">https://thepurpledrop.com</t>
  </si>
  <si>
    <t xml:space="preserve">First-year brand, may be under the $500k floor (no sales figure); homepage mentions anthocyanins and 'nourishing' (no explicit claim seen)</t>
  </si>
  <si>
    <t xml:space="preserve">family-owned (release)</t>
  </si>
  <si>
    <t xml:space="preserve">Brand wholesale page: '12 months Shelf-stable. No fridge required (but cold is better)'; also release: 'shelf-stable can'</t>
  </si>
  <si>
    <t xml:space="preserve">No sales figure published. Launched 2026 (Startup CPG 2026-07-23): early stage, band founder to confirm</t>
  </si>
  <si>
    <t xml:space="preserve">Specialty retail and cafe locations (release, unnamed)</t>
  </si>
  <si>
    <t xml:space="preserve">Maria Velasquez</t>
  </si>
  <si>
    <t xml:space="preserve">listed on a page the researcher opened; LinkedIn not opened</t>
  </si>
  <si>
    <t xml:space="preserve">BR4:18</t>
  </si>
  <si>
    <t xml:space="preserve">Also a BevNET Live NYC 2026 New Beverage Showdown semifinalist ('Purple Drop', search-result snippet, not opened). Northeast brand with no NYC retailer found.</t>
  </si>
  <si>
    <t xml:space="preserve">why_now &lt;- https://startupcpg.com/startup-cpg-shelfie-winners-2026/ (2026-10-24, opened); why_now_url &lt;- https://startupcpg.com/startup-cpg-shelfie-winners-2026/ (2026-10-24, opened); why_now_date &lt;- https://startupcpg.com/startup-cpg-shelfie-winners-2026/ (2026-10-24, opened); shelf_stable_basis &lt;- https://thepurpledrop.com/pages/wholesale (2026-10-24, opened); founder_profile_url &lt;- https://startupcpg.transistor.fm/episodes/founder-feature-maria-of-the-purple-drop (2026-10-24, opened); </t>
  </si>
  <si>
    <t xml:space="preserve">AB-074</t>
  </si>
  <si>
    <t xml:space="preserve">Fat Witch Bakery</t>
  </si>
  <si>
    <t xml:space="preserve">New York City brand, no graded store within ten blocks, online store only, a new store listing 45 days ago, revenue unknown, no contact named; founder review: other.</t>
  </si>
  <si>
    <t xml:space="preserve">Fall 2026 limited Pumpkin Witch and Halloween boxes added to brand store</t>
  </si>
  <si>
    <t xml:space="preserve">https://www.fatwitch.com/</t>
  </si>
  <si>
    <t xml:space="preserve">https://www.fatwitch.com/pages/about-us</t>
  </si>
  <si>
    <t xml:space="preserve">Fat Witch Baby brownie (individual brownies, gift boxes)</t>
  </si>
  <si>
    <t xml:space="preserve">New York (Chelsea Market origin)</t>
  </si>
  <si>
    <t xml:space="preserve">https://www.fatwitch.com</t>
  </si>
  <si>
    <t xml:space="preserve">Shelf life unknown for a fresh bakery brownie; confirm 60+ days before outreach; 60-day shelf life not stated</t>
  </si>
  <si>
    <t xml:space="preserve">No shelf-life statement found on brand site (FAQ pages 404); fresh-baked brownies may not reach 60 days</t>
  </si>
  <si>
    <t xml:space="preserve">https://www.wholefoodsmarket.com/api/search?text=fat%20witch&amp;store=10162&amp;limit=60&amp;offset=0</t>
  </si>
  <si>
    <t xml:space="preserve">https://www.instagram.com/fatwitchbakery/</t>
  </si>
  <si>
    <t xml:space="preserve">BR2:11</t>
  </si>
  <si>
    <t xml:space="preserve">Baked in NYC since 1998 per brand site. Not in WFM cluster catalogs. Chelsea Market shop status not confirmed on 2026-10-23. Why-now date from Shopify publish dates.</t>
  </si>
  <si>
    <t xml:space="preserve">AB-277</t>
  </si>
  <si>
    <t xml:space="preserve">Morito Chocolates</t>
  </si>
  <si>
    <t xml:space="preserve">New York City brand, no graded store within ten blocks, online store only, a new store listing 20 days ago, revenue unknown, no contact named; founder review: under-floor, claim-borderline.</t>
  </si>
  <si>
    <t xml:space="preserve">Released a Morito x Hot Bread Kitchen holiday gift and a new Hazelnut Cinnamon flavor</t>
  </si>
  <si>
    <t xml:space="preserve">https://moritochocolates.com/products.json</t>
  </si>
  <si>
    <t xml:space="preserve">2026-10-04</t>
  </si>
  <si>
    <t xml:space="preserve">Salted Peanut Mini Cups; Hazelnut Cinnamon Dark Chocolate sticks</t>
  </si>
  <si>
    <t xml:space="preserve">https://moritochocolates.com</t>
  </si>
  <si>
    <t xml:space="preserve">Meta description says 'low in sugar' (nutrient-content claim). Very small Hot Bread Kitchen alumna; founder unnamed; chocolate may soften in summer delivery</t>
  </si>
  <si>
    <t xml:space="preserve">Vegan dark chocolate shipped nationwide; shelf life not stated</t>
  </si>
  <si>
    <t xml:space="preserve">http://instagram.com/moritochocolates</t>
  </si>
  <si>
    <t xml:space="preserve">BR5:13</t>
  </si>
  <si>
    <t xml:space="preserve">HBK Breadwinners Marketplace: 'Handmade in Brooklyn, Morito specializes in small-batch chocolate cups and sticks designed for gifting, specialty retail'. Cacao partner: Hacienda Jeanmarie, Puerto Rico (about page).</t>
  </si>
  <si>
    <t xml:space="preserve">AB-183</t>
  </si>
  <si>
    <t xml:space="preserve">Taply</t>
  </si>
  <si>
    <t xml:space="preserve">New York City brand, no graded store within ten blocks, online store only, a new store listing 26 days ago, revenue unknown, no contact named; founder review: claim-borderline.</t>
  </si>
  <si>
    <t xml:space="preserve">New Maple Water Sample Pack listed on store</t>
  </si>
  <si>
    <t xml:space="preserve">https://drinktaply.com/products.json</t>
  </si>
  <si>
    <t xml:space="preserve">https://drinktaply.com</t>
  </si>
  <si>
    <t xml:space="preserve">Taply lightly sparkling organic maple water (Lime, Razzberry), can</t>
  </si>
  <si>
    <t xml:space="preserve">'Electrolytes, Antioxidants &amp; Minerals' positioning (nutrient-content; check for claims); no current NYC retailer found | Health-claim scan 2026-10-24: a customer review on the homepage mentions 'electrolytes and prebiotics'; check the pack for functional wording; 60-day shelf life not stated</t>
  </si>
  <si>
    <t xml:space="preserve">https://popupgrocer.com/products/taply</t>
  </si>
  <si>
    <t xml:space="preserve">BR3:57</t>
  </si>
  <si>
    <t xml:space="preserve">Homepage: 'Tapped in NY &amp; VT', no sugar added, 35 calories. Regional (NY/VT) sourcing story.</t>
  </si>
  <si>
    <t xml:space="preserve">hq_city &lt;- https://drinktaply.com/policies/privacy-policy (2026-10-24, opened); hq_state &lt;- https://drinktaply.com/policies/privacy-policy (2026-10-24, opened); founder_review_reason &lt;- https://drinktaply.com (2026-10-24, stage 3 correction); </t>
  </si>
  <si>
    <t xml:space="preserve">AB-261</t>
  </si>
  <si>
    <t xml:space="preserve">Top Seedz</t>
  </si>
  <si>
    <t xml:space="preserve">Brady</t>
  </si>
  <si>
    <t xml:space="preserve">New York State brand, no graded store within ten blocks, online store only, a new store listing 2 days ago, revenue unknown, contact named; founder review: format, claim-borderline.</t>
  </si>
  <si>
    <t xml:space="preserve">Black Pepper &amp; Turmeric Crackers named 2027 sofi Gold Award finalist (Bread, Bakery &amp; Crackers)</t>
  </si>
  <si>
    <t xml:space="preserve">https://topseedz.com/blogs/recipes/2027-specialty-food-association-gold-award-finalist</t>
  </si>
  <si>
    <t xml:space="preserve">https://topseedz.com/</t>
  </si>
  <si>
    <t xml:space="preserve">find Rebecca Brady at Top Seedz on LinkedIn and paste the profile URL; founder review (format, claim-borderline): read founder_review_reason first</t>
  </si>
  <si>
    <t xml:space="preserve">Black Pepper &amp; Turmeric seed crackers; Organic Sea Salt Roasted Seeds 6 oz</t>
  </si>
  <si>
    <t xml:space="preserve">Buffalo (terms of service: Top Seedz LLC, 101 Oak Street, Suite 105, Buffalo, NY 14203)</t>
  </si>
  <si>
    <t xml:space="preserve">https://topseedz.com</t>
  </si>
  <si>
    <t xml:space="preserve">Homepage wording 'food made for you to feel good' (soft wellness language, no explicit claim); single-serve format not confirmed</t>
  </si>
  <si>
    <t xml:space="preserve">Dry seed crackers and roasted seeds sold ambient; no shelf-life figure published, founder to confirm</t>
  </si>
  <si>
    <t xml:space="preserve">Whole Foods Market Williamsburg, Brooklyn (WFM catalog, flagged Local); 'Find Us' locator; corporate gifting</t>
  </si>
  <si>
    <t xml:space="preserve">https://www.wholefoodsmarket.com/api/search?text=seeds&amp;store=10487&amp;limit=60&amp;offset=0&amp;featured=local</t>
  </si>
  <si>
    <t xml:space="preserve">Rebecca Brady</t>
  </si>
  <si>
    <t xml:space="preserve">BR4:56</t>
  </si>
  <si>
    <t xml:space="preserve">Made in Buffalo, NY through the Journey's End refugee workforce program; woman-owned (homepage). Has a Corporate Gifting page.</t>
  </si>
  <si>
    <t xml:space="preserve">hq_city &lt;- https://topseedz.com/policies/terms-of-service (2026-10-24, opened); </t>
  </si>
  <si>
    <t xml:space="preserve">AB-006</t>
  </si>
  <si>
    <t xml:space="preserve">Strip Jerky</t>
  </si>
  <si>
    <t xml:space="preserve">Schlesinger</t>
  </si>
  <si>
    <t xml:space="preserve">New York City brand, no graded store within ten blocks, online store only, no dated why-now in the last 12 months, revenue unknown, contact named; founder review: under-floor, claim-borderline.</t>
  </si>
  <si>
    <t xml:space="preserve">New Hot Honey Date flavor drop: more than 1,800 bags sold in pre-orders in the six weeks before it (Entrepreneur Q&amp;A); a Forbes 'Best Things We Ate, June 2026' mention could not be opened (HTTP 403), unverified, founder to confirm</t>
  </si>
  <si>
    <t xml:space="preserve">https://www.entrepreneur.com/building-a-business/at-age-25-shes-turning-the-business-that-started-in-her-apartment-into-over-200k-a-year</t>
  </si>
  <si>
    <t xml:space="preserve">2026-07-06</t>
  </si>
  <si>
    <t xml:space="preserve">https://stripjerky.com/pages/press</t>
  </si>
  <si>
    <t xml:space="preserve">find Nicole Schlesinger at Strip Jerky on LinkedIn and paste the profile URL; founder review (under-floor, claim-borderline): read founder_review_reason first</t>
  </si>
  <si>
    <t xml:space="preserve">Strip Jerky grass-fed beef jerky, Original and Hot Honey Date (single-serve bag, 24g protein per bag)</t>
  </si>
  <si>
    <t xml:space="preserve">https://stripjerky.com</t>
  </si>
  <si>
    <t xml:space="preserve">Launch-year brand (projected $200k+ revenue for 2026, likely below the $500k band); protein-forward nutrient-content claim (24g protein per bag)</t>
  </si>
  <si>
    <t xml:space="preserve">bootstrapped</t>
  </si>
  <si>
    <t xml:space="preserve">Packaged beef jerky sold ambient online and in PopUp Grocer 'Bites + Chews' aisle</t>
  </si>
  <si>
    <t xml:space="preserve">Not banded: Entrepreneur (2026-07-06) says projected more than $200,000 revenue in 2026 and "multi-six-figure"; could fall either side of $500k</t>
  </si>
  <si>
    <t xml:space="preserve">PopUp Grocer (NYC); store locator widget on brand site (stores not readable without JavaScript)</t>
  </si>
  <si>
    <t xml:space="preserve">https://popupgrocer.com/pages/directory (brand listed with availability 'NYC Flagship', 2026-10-23); https://popupgrocer.com/products/strip-jerky</t>
  </si>
  <si>
    <t xml:space="preserve">Nicole Schlesinger</t>
  </si>
  <si>
    <t xml:space="preserve">https://instagram.com/thestripjerky</t>
  </si>
  <si>
    <t xml:space="preserve">BR1:7</t>
  </si>
  <si>
    <t xml:space="preserve">Founder is a NYC-based ICE culinary school alum (Entrepreneur Q&amp;A). Startup CPG flag based on founder naming the Startup CPG community as a key resource in the Entrepreneur Q&amp;A, not a membership list. Forbes link taken from brand press page; Forbes page itself not opened. Business address on privacy policy is in Tribeca (not recorded here). | Stage 1 correction 2026-10-24: Spot check round 1: the Forbes URL returned 403, so the why-now is re-sourced to the opened Entrepreneur article (was: Featured in Forbes 'Best Things We Ate - June 2026'; new Hot Honey Date flavor drop (1,800+ pre-order bags per Entrepreneur))</t>
  </si>
  <si>
    <t xml:space="preserve">why_now &lt;- https://www.entrepreneur.com/building-a-business/at-age-25-shes-turning-the-business-that-started-in-her-apartment-into-over-200k-a-year (2026-10-24, stage 1 correction); why_now_url &lt;- https://www.entrepreneur.com/building-a-business/at-age-25-shes-turning-the-business-that-started-in-her-apartment-into-over-200k-a-year (2026-10-24, stage 1 correction); why_now_date &lt;- https://www.entrepreneur.com/building-a-business/at-age-25-shes-turning-the-business-that-started-in-her-apartment-into-over-200k-a-year (2026-10-24, stage 1 correction); </t>
  </si>
  <si>
    <t xml:space="preserve">AB-043</t>
  </si>
  <si>
    <t xml:space="preserve">Unique Snacks (Unique Pretzels)</t>
  </si>
  <si>
    <t xml:space="preserve">Northeast brand, store page shows Whole Foods Market Union Square inside the cluster, a new store listing 8 days ago, revenue unknown, no contact named; founder review: scale, format.</t>
  </si>
  <si>
    <t xml:space="preserve">Puff Knots featured in Women's Health Oct-Dec 2026 issue; top three products added to Walmart shelves across the Northeast (2026-03-09)</t>
  </si>
  <si>
    <t xml:space="preserve">https://www.uniquesnacks.com/blogs/snack-notes</t>
  </si>
  <si>
    <t xml:space="preserve">https://www.uniquesnacks.com/pages/about-us</t>
  </si>
  <si>
    <t xml:space="preserve">no person named on an opened page: not ready; before using the retailer line, check Whole Foods Market Union Square still lists it: https://www.wholefoodsmarket.com/search?text=Unique%20Snacks with your store set to Union Square (catalogs change daily); founder review (scale, format): read founder_review_reason first</t>
  </si>
  <si>
    <t xml:space="preserve">Unique Pretzel Splits, Original 11 oz; Puff Knots</t>
  </si>
  <si>
    <t xml:space="preserve">Reading</t>
  </si>
  <si>
    <t xml:space="preserve">https://www.uniquesnacks.com</t>
  </si>
  <si>
    <t xml:space="preserve">Established multi-generation bakery (Unique Pretzel Bakery, Inc.), likely above the $10M band; large-format bags, not single-serve</t>
  </si>
  <si>
    <t xml:space="preserve">scale;format</t>
  </si>
  <si>
    <t xml:space="preserve">family-owned (six generations per site)</t>
  </si>
  <si>
    <t xml:space="preserve">Baked hard pretzels in sealed bags and tins, ambient</t>
  </si>
  <si>
    <t xml:space="preserve">Walmart (Northeast, from March 2026); Whole Foods Market; brand store locator</t>
  </si>
  <si>
    <t xml:space="preserve">https://www.wholefoodsmarket.com/search?text=pretzels (Union Square context: Unique Pretzels Splits Original 11 oz and Extra Dark IN_STOCK, category search 2026-10-23)</t>
  </si>
  <si>
    <t xml:space="preserve">BR1:44</t>
  </si>
  <si>
    <t xml:space="preserve">Entity Unique Pretzel Bakery, Inc., Reading PA (terms of service). Holiday tins on brand store suit gifting more than pantry drops.</t>
  </si>
  <si>
    <t xml:space="preserve">AB-099</t>
  </si>
  <si>
    <t xml:space="preserve">By the Way Bakery</t>
  </si>
  <si>
    <t xml:space="preserve">Helene</t>
  </si>
  <si>
    <t xml:space="preserve">New York State brand, store page shows Whole Foods Market Union Square inside the cluster, no dated why-now in the last 12 months, revenue unknown, contact named (first name only); founder review: perishable-risk.</t>
  </si>
  <si>
    <t xml:space="preserve">https://www.btwbakery.com/our-story</t>
  </si>
  <si>
    <t xml:space="preserve">find Helene at By the Way Bakery on LinkedIn and paste the profile URL; surname not public: take it from LinkedIn; before using the retailer line, check Whole Foods Market Union Square still lists it: https://www.wholefoodsmarket.com/search?text=By%20the%20Way%20Bakery with your store set to Union Square (catalogs change daily); founder review (perishable-risk): read founder_review_reason first</t>
  </si>
  <si>
    <t xml:space="preserve">Brownie Bites 14 oz; Raspberry Slice 5 oz (gluten-free, dairy-free)</t>
  </si>
  <si>
    <t xml:space="preserve">Hastings-on-Hudson</t>
  </si>
  <si>
    <t xml:space="preserve">Fresh or frozen bakery line likely fails the 60-day shelf-stable rule; confirm storage before outreach; 60-day shelf life not stated; no online store: buy path is the store only</t>
  </si>
  <si>
    <t xml:space="preserve">perishable-risk</t>
  </si>
  <si>
    <t xml:space="preserve">https://www.btwbakery.com</t>
  </si>
  <si>
    <t xml:space="preserve">Line includes cupcakes, cakes and muffins at Whole Foods; shelf life and storage not stated on pages opened</t>
  </si>
  <si>
    <t xml:space="preserve">Whole Foods; four own retail shops (brand Our Story)</t>
  </si>
  <si>
    <t xml:space="preserve">https://www.wholefoodsmarket.com/api/search?text=by%20the%20way%20bakery&amp;store=10162&amp;limit=60&amp;offset=0</t>
  </si>
  <si>
    <t xml:space="preserve">first name on brand Our Story</t>
  </si>
  <si>
    <t xml:space="preserve">https://www.instagram.com/bythewaybakery/</t>
  </si>
  <si>
    <t xml:space="preserve">BR2:37</t>
  </si>
  <si>
    <t xml:space="preserve">First shop opened in Hastings-on-Hudson in 2011; certified kosher commissary. NoMad and Chelsea not checked separately.</t>
  </si>
  <si>
    <t xml:space="preserve">AB-264</t>
  </si>
  <si>
    <t xml:space="preserve">Hu Kitchen (Hu Chocolate)</t>
  </si>
  <si>
    <t xml:space="preserve">Karp</t>
  </si>
  <si>
    <t xml:space="preserve">New York City brand, store page shows Whole Foods Market NoMad inside the cluster, no dated why-now in the last 12 months, revenue unknown, contact named; founder review: owner, scale.</t>
  </si>
  <si>
    <t xml:space="preserve">https://hukitchen.com/pages/about-us</t>
  </si>
  <si>
    <t xml:space="preserve">find Jessica Karp at Hu Kitchen (Hu Chocolate) on LinkedIn and paste the profile URL; before using the retailer line, check Whole Foods Market NoMad still lists it: https://www.wholefoodsmarket.com/search?text=Hu%20Kitchen with your store set to NoMad (catalogs change daily); founder review (owner, scale): read founder_review_reason first</t>
  </si>
  <si>
    <t xml:space="preserve">Organic dark chocolate bars and Gems (22-24 SKUs per cluster WFM)</t>
  </si>
  <si>
    <t xml:space="preserve">New York (terms of service: Hu Master Holdings, LLC, 78 5th Ave, New York, NY 10011)</t>
  </si>
  <si>
    <t xml:space="preserve">https://hukitchen.com</t>
  </si>
  <si>
    <t xml:space="preserve">National brand (22-24 SKUs per cluster WFM) almost certainly above the $10M ceiling; corporate ownership to confirm</t>
  </si>
  <si>
    <t xml:space="preserve">owner;scale</t>
  </si>
  <si>
    <t xml:space="preserve">acquired by Mondelez International (announced 2021-01-05; unverified, founder to confirm)</t>
  </si>
  <si>
    <t xml:space="preserve">Wrapped dark chocolate sold ambient; no shelf-life figure checked</t>
  </si>
  <si>
    <t xml:space="preserve">Whole Foods Market; 'Find in Store' locator</t>
  </si>
  <si>
    <t xml:space="preserve">https://www.wholefoodsmarket.com/api/search?text=hu%20chocolate&amp;store=10773&amp;limit=60&amp;offset=0; https://www.wholefoodsmarket.com/api/search?text=hu%20chocolate&amp;store=10162&amp;limit=60&amp;offset=0; https://www.wholefoodsmarket.com/api/search?text=hu%20chocolate&amp;store=10131&amp;limit=60&amp;offset=0; https://www.wholefoodsmarket.com/api/search?text=hu%20chocolate&amp;store=10713&amp;limit=60&amp;offset=0</t>
  </si>
  <si>
    <t xml:space="preserve">Jessica Karp</t>
  </si>
  <si>
    <t xml:space="preserve">BR4:59</t>
  </si>
  <si>
    <t xml:space="preserve">Recorded so the size gate is visible. NYC-origin brand.</t>
  </si>
  <si>
    <t xml:space="preserve">funding_stage &lt;- https://www.nosh.com/news/2021/snacking-giant-mondelez-acquires-hu-kitchen (2026-10-24, snippet-unverified); hq_city &lt;- https://hukitchen.com/policies/terms-of-service (2026-10-24, opened); </t>
  </si>
  <si>
    <t xml:space="preserve">AB-044</t>
  </si>
  <si>
    <t xml:space="preserve">Quinn Snacks</t>
  </si>
  <si>
    <t xml:space="preserve">Kristy</t>
  </si>
  <si>
    <t xml:space="preserve">Brand based outside the Northeast, store page shows Whole Foods Market Union Square inside the cluster, no dated why-now in the last 12 months, revenue unknown, contact named (first name only); founder review: other.</t>
  </si>
  <si>
    <t xml:space="preserve">https://quinnsnacks.com/pages/story</t>
  </si>
  <si>
    <t xml:space="preserve">find Kristy at Quinn Snacks on LinkedIn and paste the profile URL; surname not public: take it from LinkedIn; before using the retailer line, check Whole Foods Market Union Square still lists it: https://www.wholefoodsmarket.com/search?text=Quinn%20Snacks with your store set to Union Square (catalogs change daily); founder review (other): read founder_review_reason first</t>
  </si>
  <si>
    <t xml:space="preserve">Quinn Peanut Butter Filled Pretzel Nuggets snack pack (1.5 oz x 6)</t>
  </si>
  <si>
    <t xml:space="preserve">https://quinnsnacks.com</t>
  </si>
  <si>
    <t xml:space="preserve">Filled nuggets contain peanuts and tree nuts (allergen-heavy for shared pantries); no direct online store; no online store: buy path is the store only</t>
  </si>
  <si>
    <t xml:space="preserve">Bagged pretzels and filled pretzel nuggets, ambient</t>
  </si>
  <si>
    <t xml:space="preserve">https://www.wholefoodsmarket.com/search?text=quinn%20pretzel (Union Square context: Pretzel Sticks Sea Salt, PB &amp; Honey Filled Pretzel Sticks, Maple Almond Butter Nuggets IN_STOCK 2026-10-23)</t>
  </si>
  <si>
    <t xml:space="preserve">first name on brand site</t>
  </si>
  <si>
    <t xml:space="preserve">BR1:45</t>
  </si>
  <si>
    <t xml:space="preserve">Quinn Foods LLC, Boulder CO (terms of service). Founded 2010.</t>
  </si>
  <si>
    <t xml:space="preserve">product prices show $0.00 to $1.00; appears to route to retailers</t>
  </si>
  <si>
    <t xml:space="preserve">AB-041</t>
  </si>
  <si>
    <t xml:space="preserve">BEEST Snacks</t>
  </si>
  <si>
    <t xml:space="preserve">Lucas</t>
  </si>
  <si>
    <t xml:space="preserve">Prado</t>
  </si>
  <si>
    <t xml:space="preserve">Brand based outside the Northeast, no graded store within ten blocks, online store only, news 87 days ago, revenue unknown, contact named; founder review: claim-borderline.</t>
  </si>
  <si>
    <t xml:space="preserve">Exhibited at 2026 Summer Fancy Food Show (Javits, NYC, booth 4309B) and featured on Good Morning America on 2026-07-25</t>
  </si>
  <si>
    <t xml:space="preserve">https://startupcpg.com/startup-cpg-newswire-beest-snacks-featured-on-good-morning-america-in-foodie-trends-segment/</t>
  </si>
  <si>
    <t xml:space="preserve">2026-07-29</t>
  </si>
  <si>
    <t xml:space="preserve">https://www.beestsnacks.com/pages/about-us</t>
  </si>
  <si>
    <t xml:space="preserve">find Lucas Prado at BEEST Snacks on LinkedIn and paste the profile URL; founder review (claim-borderline): read founder_review_reason first</t>
  </si>
  <si>
    <t xml:space="preserve">BEEST Charcuterie Trail Mix (pork jerky chips, parmesan crisps, almonds), 4 oz</t>
  </si>
  <si>
    <t xml:space="preserve">https://www.beestsnacks.com</t>
  </si>
  <si>
    <t xml:space="preserve">High-protein positioning (52g protein per bag); founder story references diabetes in the family, check pack copy</t>
  </si>
  <si>
    <t xml:space="preserve">Brand wholesale page: '9 mo Shelf stable' and '9-Month Shelf Stable'.</t>
  </si>
  <si>
    <t xml:space="preserve">KeHE Trend Finder 2026 Golden Ticket (fast track to national distribution); Amazon</t>
  </si>
  <si>
    <t xml:space="preserve">https://startupcpg.com/startup-cpg-newswire-beest-snacks-wins-kehe-trend-finder-2026-golden-ticket-earns-fast-track-to-nationwide-distribution/</t>
  </si>
  <si>
    <t xml:space="preserve">Lucas Prado</t>
  </si>
  <si>
    <t xml:space="preserve">surname not on site</t>
  </si>
  <si>
    <t xml:space="preserve">BR1:42</t>
  </si>
  <si>
    <t xml:space="preserve">Homepage 'Press &amp; recognition': Forbes (food founders using AI, July 2026), Good Morning America Foodie Forecast (July 2026), 'Top 50 Food &amp; Beverage, ranked #42' (April 2026).</t>
  </si>
  <si>
    <t xml:space="preserve">shelf_stable_basis &lt;- https://www.beestsnacks.com/pages/wholesale (2026-10-24, opened); notes &lt;- https://www.beestsnacks.com/ (2026-10-24, opened); </t>
  </si>
  <si>
    <t xml:space="preserve">AB-186</t>
  </si>
  <si>
    <t xml:space="preserve">Laurel's</t>
  </si>
  <si>
    <t xml:space="preserve">Isabel</t>
  </si>
  <si>
    <t xml:space="preserve">Brand based outside the Northeast, no graded store within ten blocks, online store only, news 137 days ago, revenue unknown, contact named; founder review: claim-borderline.</t>
  </si>
  <si>
    <t xml:space="preserve">Chain-wide 1,800-store Target launch slated for August 2026, after Whole Foods, Erewhon and Wegmans (Startup CPG Podcast #252, published 2026-06-09)</t>
  </si>
  <si>
    <t xml:space="preserve">https://startupcpg.com/portfolio/252-the-rise-of-laurels-coffee-whole-foods-wegmans-1800-target-stores-in-two-years/</t>
  </si>
  <si>
    <t xml:space="preserve">https://drinklaurels.com/pages/faq</t>
  </si>
  <si>
    <t xml:space="preserve">find Isabel Washington at Laurel's on LinkedIn and paste the profile URL; founder review (claim-borderline): read founder_review_reason first</t>
  </si>
  <si>
    <t xml:space="preserve">https://citrusdiaries.substack.com/p/isabel-washington-of-laurels</t>
  </si>
  <si>
    <t xml:space="preserve">Laurel's Classic Latte (A2 regenerative dairy, 80 mg caffeine), can</t>
  </si>
  <si>
    <t xml:space="preserve">https://drinklaurels.com</t>
  </si>
  <si>
    <t xml:space="preserve">Dairy latte (milk allergen); HQ and current NYC retail not confirmed | Health-claim scan 2026-10-24: the homepage calls the A2 lattes 'your Gut Friendly Best Friend': founder to decide; the tent card must not repeat it</t>
  </si>
  <si>
    <t xml:space="preserve">FAQ: 'Do Laurel's lattes need to be refrigerated? No. Our cans are shelf-stable...' (drinklaurels.com/pages/faq, opened 2026-10-23)</t>
  </si>
  <si>
    <t xml:space="preserve">Pop Up Grocer (past brand, directory); product locator not readable</t>
  </si>
  <si>
    <t xml:space="preserve">https://popupgrocer.com/products/laurels</t>
  </si>
  <si>
    <t xml:space="preserve">Isabel Washington</t>
  </si>
  <si>
    <t xml:space="preserve">https://instagram.com/drinklaurels</t>
  </si>
  <si>
    <t xml:space="preserve">BR3:60</t>
  </si>
  <si>
    <t xml:space="preserve">Flavors: Classic, Dirty Chai, Matcha. Pop Up Grocer directory entry 2026-03-04 (past brand). Date is Shopify publish date. | Added 2026-10-24: Startup CPG Podcast guest (#252, 2026-06-09); membership not stated, so startup_cpg_member left unknown</t>
  </si>
  <si>
    <t xml:space="preserve">hq_city &lt;- https://drinklaurels.com/policies/privacy-policy (2026-10-24, opened); hq_state &lt;- https://drinklaurels.com/policies/privacy-policy (2026-10-24, opened); founder_name &lt;- https://citrusdiaries.substack.com/p/isabel-washington-of-laurels (2026-10-24, opened); founder_title &lt;- https://thingtesting.com/stories/founder-story-laurels-coffee (2026-10-24, opened); why_now &lt;- https://startupcpg.com/portfolio/252-the-rise-of-laurels-coffee-whole-foods-wegmans-1800-target-stores-in-two-years/ (2026-10-24, opened); why_now_url &lt;- https://startupcpg.com/portfolio/252-the-rise-of-laurels-coffee-whole-foods-wegmans-1800-target-stores-in-two-years/ (2026-10-24, opened); why_now_date &lt;- https://feeds.transistor.fm/the-startup-cpg-podcast (2026-10-24, opened); notes &lt;- https://startupcpg.com/portfolio/252-the-rise-of-laurels-coffee-whole-foods-wegmans-1800-target-stores-in-two-years/ (2026-10-24, opened); founder_profile_url &lt;- https://thingtesting.com/stories/founder-story-laurels-coffee (2026-10-24, opened); founder_review_reason &lt;- https://drinklaurels.com (2026-10-24, stage 3 correction); </t>
  </si>
  <si>
    <t xml:space="preserve">AB-291</t>
  </si>
  <si>
    <t xml:space="preserve">Bixby Chocolate</t>
  </si>
  <si>
    <t xml:space="preserve">McAleer</t>
  </si>
  <si>
    <t xml:space="preserve">Northeast brand, no graded store within ten blocks, online store only, a new store listing 14 days ago, revenue unknown, contact named; founder review: other.</t>
  </si>
  <si>
    <t xml:space="preserve">Released new 2 oz holiday bars (Toffee Milk, Peppermint Dark) and showed at SFFS 2026 as a 2026 Good Food Award winner</t>
  </si>
  <si>
    <t xml:space="preserve">https://bixbychocolate.com/products.json</t>
  </si>
  <si>
    <t xml:space="preserve">2026-10-10</t>
  </si>
  <si>
    <t xml:space="preserve">https://events.specialtyfood.com/event/2026-summer-fancy-food-show/exhibitor/RXhoaWJpdG9yXzIzNjU0MDI=</t>
  </si>
  <si>
    <t xml:space="preserve">find Kate McAleer at Bixby Chocolate on LinkedIn and paste the profile URL; founder review (other): read founder_review_reason first</t>
  </si>
  <si>
    <t xml:space="preserve">Toffee Milk Chocolate Bar, 2 oz</t>
  </si>
  <si>
    <t xml:space="preserve">Rockland</t>
  </si>
  <si>
    <t xml:space="preserve">https://bixbychocolate.com</t>
  </si>
  <si>
    <t xml:space="preserve">No retailer within ten blocks; relies on online store. Founded 2011, revenue unknown</t>
  </si>
  <si>
    <t xml:space="preserve">ME</t>
  </si>
  <si>
    <t xml:space="preserve">Wrapped 2 oz chocolate bars sold ambient online and in stores</t>
  </si>
  <si>
    <t xml:space="preserve">The Meadow (brand_claim, 16.1 blocks out)</t>
  </si>
  <si>
    <t xml:space="preserve">The Meadow (Mulberry St); Kadoo NYC; Park Slope Food Coop (brand Stockist locator)</t>
  </si>
  <si>
    <t xml:space="preserve">https://stockist.co/api/v1/map_93ezwnvq/locations/search?latitude=40.7411&amp;longitude=-73.9897&amp;distance=5 (widget on https://bixbychocolate.com/pages/store-locator)</t>
  </si>
  <si>
    <t xml:space="preserve">Kate McAleer</t>
  </si>
  <si>
    <t xml:space="preserve">Donna McAleer</t>
  </si>
  <si>
    <t xml:space="preserve">Donna</t>
  </si>
  <si>
    <t xml:space="preserve">https://www.instagram.com/bixbychocolate/</t>
  </si>
  <si>
    <t xml:space="preserve">BR5:27</t>
  </si>
  <si>
    <t xml:space="preserve">SFFS 2026: 'Crafted on the working waterfront of Rockland, Maine, Bixby Chocolate is Maine's first bean-to-bar chocolate maker. Founded in 2011 by mother-daughter team Kate and Donna McAleer'. 2024 sofi Gold (Belize 70% bar) is older than 12 months.</t>
  </si>
  <si>
    <t xml:space="preserve">AB-150</t>
  </si>
  <si>
    <t xml:space="preserve">Harney &amp; Sons (bottled iced tea and juice drinks)</t>
  </si>
  <si>
    <t xml:space="preserve">John</t>
  </si>
  <si>
    <t xml:space="preserve">Harney</t>
  </si>
  <si>
    <t xml:space="preserve">Founder and President</t>
  </si>
  <si>
    <t xml:space="preserve">New York State brand, no graded store within ten blocks, online store only, a new store listing 120 days ago, revenue unknown, contact named; founder review: claim-borderline.</t>
  </si>
  <si>
    <t xml:space="preserve">New RTD SKUs: Williamsburg iced tea line (2026-01-23), Organic Hibiscus Iced Tea (2026-04-28), Lavender Lemonade Juice Drink (2026-06-26)</t>
  </si>
  <si>
    <t xml:space="preserve">https://www.harney.com/products/lavender-lemonade-juice-drink</t>
  </si>
  <si>
    <t xml:space="preserve">https://www.harney.com/pages/find-your-matcha</t>
  </si>
  <si>
    <t xml:space="preserve">find John Harney at Harney &amp; Sons (bottled iced tea and juice drinks) on LinkedIn and paste the profile URL; founder review (claim-borderline): read founder_review_reason first</t>
  </si>
  <si>
    <t xml:space="preserve">https://www.harney.com/pages/about-us</t>
  </si>
  <si>
    <t xml:space="preserve">Harney &amp; Sons Organic Peach Iced Tea, 12 oz can; Lavender Lemonade Juice Drink, 16 oz bottle</t>
  </si>
  <si>
    <t xml:space="preserve">Millerton</t>
  </si>
  <si>
    <t xml:space="preserve">https://www.harney.com/products/organic-peach-iced-tea-cans</t>
  </si>
  <si>
    <t xml:space="preserve">Established family tea company, likely above the emerging-brand size; site has a 'Hemp Division' and a prebiotic iced tea (place only plain teas/juices); RTD shelf stability not stated | Added 2026-10-24: the brand also sells hemp-extracted CBD bottled teas (The Hemp Division). Only non-CBD bottled teas could be placed; confirm SKU before outreach; 60-day shelf life not stated</t>
  </si>
  <si>
    <t xml:space="preserve">https://www.harney.com</t>
  </si>
  <si>
    <t xml:space="preserve">family-owned (est. 1983)</t>
  </si>
  <si>
    <t xml:space="preserve">No storage statement; cases ship via FedEx ground to the lower 48 (suggests ambient, not confirmed)</t>
  </si>
  <si>
    <t xml:space="preserve">Harney &amp; Sons SoHo store and Millerton store (own shops)</t>
  </si>
  <si>
    <t xml:space="preserve">John Harney</t>
  </si>
  <si>
    <t xml:space="preserve">https://www.instagram.com/harneytea</t>
  </si>
  <si>
    <t xml:space="preserve">BR3:24</t>
  </si>
  <si>
    <t xml:space="preserve">Matcha page: 'family tea company in Millerton, New York, founded by John Harney in 1983 and now in its third generation'. Founder title is as printed on the about page; current day-to-day leader not confirmed. Dates are Shopify publish dates.</t>
  </si>
  <si>
    <t xml:space="preserve">founder_review_reason &lt;- https://www.harney.com/pages/the-hemp-division (2026-10-24, opened); </t>
  </si>
  <si>
    <t xml:space="preserve">AB-098</t>
  </si>
  <si>
    <t xml:space="preserve">Jacques Torres Chocolate</t>
  </si>
  <si>
    <t xml:space="preserve">Jacques</t>
  </si>
  <si>
    <t xml:space="preserve">Torres</t>
  </si>
  <si>
    <t xml:space="preserve">Proprietor</t>
  </si>
  <si>
    <t xml:space="preserve">New York City brand, no graded store within ten blocks, online store only, a new store listing 37 days ago, revenue unknown, contact named; founder review: not-emerging, format.</t>
  </si>
  <si>
    <t xml:space="preserve">Holiday 2026 collection (Hanukkah gelt, Christmas figures) added to brand store, Sept 2026</t>
  </si>
  <si>
    <t xml:space="preserve">https://mrchocolate.com/</t>
  </si>
  <si>
    <t xml:space="preserve">find Jacques Torres at Jacques Torres Chocolate on LinkedIn and paste the profile URL; founder review (not-emerging, format): read founder_review_reason first</t>
  </si>
  <si>
    <t xml:space="preserve">https://jacquestorres.com/about/</t>
  </si>
  <si>
    <t xml:space="preserve">Pretzel Mint Bark; holiday chocolate figures</t>
  </si>
  <si>
    <t xml:space="preserve">New York (brand calls itself 'Best Gourmet Chocolate in New York')</t>
  </si>
  <si>
    <t xml:space="preserve">https://mrchocolate.com</t>
  </si>
  <si>
    <t xml:space="preserve">Established celebrity-chef chocolatier with own shops, not an emerging CPG brand; gift-focused, single-serve SKU not confirmed; 60-day shelf life not stated</t>
  </si>
  <si>
    <t xml:space="preserve">not-emerging;format</t>
  </si>
  <si>
    <t xml:space="preserve">Brand FAQ: 'Chocolate bars and baking discs can be stored up to 6 months in their original packaging'; bon bons and truffles best within 3-4 weeks; refrigeration not necessary.</t>
  </si>
  <si>
    <t xml:space="preserve">Own shops ('In store only' items on brand store)</t>
  </si>
  <si>
    <t xml:space="preserve">https://www.wholefoodsmarket.com/api/search?text=jacques%20torres&amp;store=10162&amp;limit=60&amp;offset=0</t>
  </si>
  <si>
    <t xml:space="preserve">Jacques Torres</t>
  </si>
  <si>
    <t xml:space="preserve">https://www.instagram.com/jacquestorres/</t>
  </si>
  <si>
    <t xml:space="preserve">BR2:36</t>
  </si>
  <si>
    <t xml:space="preserve">Shop addresses not captured. Not in WFM cluster catalogs. Why-now from Shopify publish dates.</t>
  </si>
  <si>
    <t xml:space="preserve">shelf_stable_basis &lt;- https://mrchocolate.com/pages/faqs (2026-10-24, opened); </t>
  </si>
  <si>
    <t xml:space="preserve">AB-307</t>
  </si>
  <si>
    <t xml:space="preserve">Milène Jardine Chocolatier</t>
  </si>
  <si>
    <t xml:space="preserve">New York City brand, no graded store within ten blocks, online store only, a new store listing 170 days ago, revenue unknown, contact seen only in a snippet; founder review: perishable-risk.</t>
  </si>
  <si>
    <t xml:space="preserve">Launched five vegan chocolate bars (Raw Pistachio, Rosemary, South American Dark, Sicilian Salted Lemon, Coconut Lime Leaf)</t>
  </si>
  <si>
    <t xml:space="preserve">https://milenejardine.com/products.json</t>
  </si>
  <si>
    <t xml:space="preserve">2026-05-07</t>
  </si>
  <si>
    <t xml:space="preserve">https://madeinqueens.org/products</t>
  </si>
  <si>
    <t xml:space="preserve">no person named on an opened page: not ready; founder review (perishable-risk): read founder_review_reason first</t>
  </si>
  <si>
    <t xml:space="preserve">https://milenejardine.com</t>
  </si>
  <si>
    <t xml:space="preserve">Raw Pistachio vegan chocolate bar ($7)</t>
  </si>
  <si>
    <t xml:space="preserve">New York City (Made in Queens maker)</t>
  </si>
  <si>
    <t xml:space="preserve">Truffles are cream-based (perishable, excluded); only the vegan bars might fit. Confirm the bars' shelf life without refrigeration; 60-day shelf life not stated</t>
  </si>
  <si>
    <t xml:space="preserve">Bars carry a note on bringing chocolate to room temperature 'when stored in the refrigerator'; truffles are made with real cream and are perishable</t>
  </si>
  <si>
    <t xml:space="preserve">Milène Jardine</t>
  </si>
  <si>
    <t xml:space="preserve">inferred from the brand name and first-person site copy; founder to confirm</t>
  </si>
  <si>
    <t xml:space="preserve">https://www.instagram.com/milene.jardine.chocolatier/</t>
  </si>
  <si>
    <t xml:space="preserve">BR5:43</t>
  </si>
  <si>
    <t xml:space="preserve">Made in Queens certified maker; Entrepreneur Space current client ('Milene Jardine, Chocolates'). Site: 'Made in New York City'.</t>
  </si>
  <si>
    <t xml:space="preserve">AB-292</t>
  </si>
  <si>
    <t xml:space="preserve">Moka Origins</t>
  </si>
  <si>
    <t xml:space="preserve">Ishan</t>
  </si>
  <si>
    <t xml:space="preserve">Tigunait</t>
  </si>
  <si>
    <t xml:space="preserve">Northeast brand, no graded store within ten blocks, online store only, a new store listing 12 days ago, revenue unknown, contact named; founder review: other.</t>
  </si>
  <si>
    <t xml:space="preserve">Launched S'mores and Mexican Spice chocolate bars for fall 2026</t>
  </si>
  <si>
    <t xml:space="preserve">https://mokaorigins.com/products.json</t>
  </si>
  <si>
    <t xml:space="preserve">https://events.specialtyfood.com/event/2026-summer-fancy-food-show/exhibitor/RXhoaWJpdG9yXzI0MjEyNTE=</t>
  </si>
  <si>
    <t xml:space="preserve">find Ishan Tigunait at Moka Origins on LinkedIn and paste the profile URL; founder review (other): read founder_review_reason first</t>
  </si>
  <si>
    <t xml:space="preserve">https://mokaorigins.com/pages/our-story</t>
  </si>
  <si>
    <t xml:space="preserve">S'mores Chocolate bar; Mexican Spice Milk Chocolate, 4 oz</t>
  </si>
  <si>
    <t xml:space="preserve">unknown (chocolate factory in Pennsylvania)</t>
  </si>
  <si>
    <t xml:space="preserve">https://mokaorigins.com</t>
  </si>
  <si>
    <t xml:space="preserve">Brand also sells coffee beans (not eligible). 4 oz bars are large for a pantry drop; check smaller formats. No NYC retailer found</t>
  </si>
  <si>
    <t xml:space="preserve">Wrapped bean-to-bar chocolate sold ambient online</t>
  </si>
  <si>
    <t xml:space="preserve">Ishan Tigunait</t>
  </si>
  <si>
    <t xml:space="preserve">Jeff Abella</t>
  </si>
  <si>
    <t xml:space="preserve">Jeff</t>
  </si>
  <si>
    <t xml:space="preserve">Abella</t>
  </si>
  <si>
    <t xml:space="preserve">https://www.instagram.com/mokaorigins/</t>
  </si>
  <si>
    <t xml:space="preserve">BR5:28</t>
  </si>
  <si>
    <t xml:space="preserve">SFFS 2026 (State: Pennsylvania): 'bean-to-bar chocolate maker and specialty coffee roaster based in Pennsylvania', sourcing from Cameroon, Ghana, Togo, Tanzania, Uganda.</t>
  </si>
  <si>
    <t xml:space="preserve">AB-160</t>
  </si>
  <si>
    <t xml:space="preserve">Nixie Sparkling Water</t>
  </si>
  <si>
    <t xml:space="preserve">Bernard Dawes</t>
  </si>
  <si>
    <t xml:space="preserve">Northeast brand, no graded store within ten blocks, online store only, a new store listing 241 days ago, revenue unknown, contact named; founder review: other.</t>
  </si>
  <si>
    <t xml:space="preserve">New flavors Strawberry Cream and Cherry Cola listed</t>
  </si>
  <si>
    <t xml:space="preserve">https://drinknixie.com/products.json</t>
  </si>
  <si>
    <t xml:space="preserve">https://drinknixie.com/pages/about-us</t>
  </si>
  <si>
    <t xml:space="preserve">find Nicole Bernard Dawes at Nixie Sparkling Water on LinkedIn and paste the profile URL; founder review (other): read founder_review_reason first</t>
  </si>
  <si>
    <t xml:space="preserve">https://entreprenista.com/nicole-bernard-dawes-of-nixie-sparkling-water-on-proving-that-certified-organic-products-can-be-category-leaders</t>
  </si>
  <si>
    <t xml:space="preserve">Nixie zero-sugar Classic Cola / Strawberry Hibiscus sparkling water, 12 oz can</t>
  </si>
  <si>
    <t xml:space="preserve">Wellesley</t>
  </si>
  <si>
    <t xml:space="preserve">https://drinknixie.com</t>
  </si>
  <si>
    <t xml:space="preserve">HQ and NYC retail not confirmed; most products show $0.00 on own store (online ordering may be limited)</t>
  </si>
  <si>
    <t xml:space="preserve">Brand FAQ: Nixie is shelf-stable and can be stored at room temperature (drinknixie.com/pages/frequently-asked-questions, opened 2026-10-24)</t>
  </si>
  <si>
    <t xml:space="preserve">Nicole Bernard Dawes</t>
  </si>
  <si>
    <t xml:space="preserve">Sarah Alexander</t>
  </si>
  <si>
    <t xml:space="preserve">Alexander</t>
  </si>
  <si>
    <t xml:space="preserve">Director of Customer Marketing</t>
  </si>
  <si>
    <t xml:space="preserve">https://www.instagram.com/drinknixie</t>
  </si>
  <si>
    <t xml:space="preserve">BR3:34</t>
  </si>
  <si>
    <t xml:space="preserve">Zero-sugar soda line (cola, root beer, cream soda) plus sparkling waters. 24-pack listed at $34.99. Dates are Shopify publish dates.</t>
  </si>
  <si>
    <t xml:space="preserve">hq_city &lt;- https://drinknixie.com/policies/terms-of-service (2026-10-24, opened); hq_state &lt;- https://drinknixie.com/policies/terms-of-service (2026-10-24, opened); founder_title &lt;- https://drinknixie.com/pages/about-us (2026-10-24, opened); founder_name &lt;- https://entreprenista.com/nicole-bernard-dawes-of-nixie-sparkling-water-on-proving-that-certified-organic-products-can-be-category-leaders (2026-10-24, opened); marketing_name &lt;- https://attend.expowest.com/event/natural-products-expo-west-2026/exhibitor/RXhoaWJpdG9yXzIzNTc2NzI= (2026-10-24, opened); marketing_title &lt;- https://attend.expowest.com/event/natural-products-expo-west-2026/exhibitor/RXhoaWJpdG9yXzIzNTc2NzI= (2026-10-24, opened); shelf_stable &lt;- https://drinknixie.com/pages/frequently-asked-questions (2026-10-24, opened); shelf_stable_basis &lt;- https://drinknixie.com/pages/frequently-asked-questions (2026-10-24, opened); </t>
  </si>
  <si>
    <t xml:space="preserve">https://attend.expowest.com/event/natural-products-expo-west-2026/exhibitor/RXhoaWJpdG9yXzIzNTc2NzI=</t>
  </si>
  <si>
    <t xml:space="preserve">AB-095</t>
  </si>
  <si>
    <t xml:space="preserve">Joyva</t>
  </si>
  <si>
    <t xml:space="preserve">Richard</t>
  </si>
  <si>
    <t xml:space="preserve">Radutzky</t>
  </si>
  <si>
    <t xml:space="preserve">Third- and fourth-generation owners/operators</t>
  </si>
  <si>
    <t xml:space="preserve">New York City brand, no graded store within ten blocks, online store only, no dated why-now in the last 12 months, revenue unknown, contact named; founder review: not-emerging.</t>
  </si>
  <si>
    <t xml:space="preserve">https://joyva.com/pages/faq</t>
  </si>
  <si>
    <t xml:space="preserve">find Richard Radutzky at Joyva on LinkedIn and paste the profile URL; founder review (not-emerging): read founder_review_reason first</t>
  </si>
  <si>
    <t xml:space="preserve">https://joyva.com/pages/our-story</t>
  </si>
  <si>
    <t xml:space="preserve">Jell Rings Single Packs; Sesame Crunch; chocolate-covered halvah</t>
  </si>
  <si>
    <t xml:space="preserve">https://joyva.com</t>
  </si>
  <si>
    <t xml:space="preserve">Heritage brand (1907), not emerging; revenue unknown; may still fit a local 'Brooklyn-made' story</t>
  </si>
  <si>
    <t xml:space="preserve">family owned (fourth generation, founded 1907)</t>
  </si>
  <si>
    <t xml:space="preserve">Brand FAQ: halvah 'can be stored at room temperature'; chocolate products stored in pantry; BEST BY dates printed</t>
  </si>
  <si>
    <t xml:space="preserve">Stores across the country and online retailers (brand home page)</t>
  </si>
  <si>
    <t xml:space="preserve">https://joyva.com/pages/where-to-find; https://www.wholefoodsmarket.com/api/search?text=joyva&amp;store=10162&amp;limit=60&amp;offset=0</t>
  </si>
  <si>
    <t xml:space="preserve">Richard Radutzky</t>
  </si>
  <si>
    <t xml:space="preserve">Farrah Bezner</t>
  </si>
  <si>
    <t xml:space="preserve">Farrah</t>
  </si>
  <si>
    <t xml:space="preserve">Bezner</t>
  </si>
  <si>
    <t xml:space="preserve">https://www.instagram.com/joyva1907/</t>
  </si>
  <si>
    <t xml:space="preserve">BR2:33</t>
  </si>
  <si>
    <t xml:space="preserve">Brooklyn maker of tahini, halvah and jell candies. Locator is Destini (not machine-read). Not in WFM cluster catalogs.</t>
  </si>
  <si>
    <t xml:space="preserve">marketing_name &lt;- https://joyva.com/pages/our-story (2026-10-24, opened); marketing_title &lt;- https://joyva.com/pages/our-story (2026-10-24, opened); marketing_profile_url &lt;- https://joyva.com/pages/our-story (2026-10-24, opened); </t>
  </si>
  <si>
    <t xml:space="preserve">AB-049</t>
  </si>
  <si>
    <t xml:space="preserve">Barnana</t>
  </si>
  <si>
    <t xml:space="preserve">Caue</t>
  </si>
  <si>
    <t xml:space="preserve">Suplicy</t>
  </si>
  <si>
    <t xml:space="preserve">Brand based outside the Northeast, store page shows Whole Foods Market Union Square inside the cluster, a new store listing 327 days ago, revenue unknown, contact named; founder review: not-emerging, format.</t>
  </si>
  <si>
    <t xml:space="preserve">New plantain chip flavors Flamin' Ghost and Cosmic Churro on brand store</t>
  </si>
  <si>
    <t xml:space="preserve">https://barnana.com/products/flamin-ghost-plantain-chips-barnana</t>
  </si>
  <si>
    <t xml:space="preserve">2025-12-01</t>
  </si>
  <si>
    <t xml:space="preserve">https://barnana.com/pages/story</t>
  </si>
  <si>
    <t xml:space="preserve">find Caue Suplicy at Barnana on LinkedIn and paste the profile URL; before using the retailer line, check Whole Foods Market Union Square still lists it: https://www.wholefoodsmarket.com/search?text=Barnana with your store set to Union Square (catalogs change daily); founder review (not-emerging, format): read founder_review_reason first</t>
  </si>
  <si>
    <t xml:space="preserve">Barnana Organic Plantain Chips, Himalayan Pink Salt, 5 oz</t>
  </si>
  <si>
    <t xml:space="preserve">https://barnana.com</t>
  </si>
  <si>
    <t xml:space="preserve">Long-established national natural brand (likely mid-size); share-size bags only</t>
  </si>
  <si>
    <t xml:space="preserve">Brand FAQ: 'Plantain Chips - 10 months, Cassava Chips - 12 months, Banana Bites - 18 months, Plantain Scoops - 12 months.'</t>
  </si>
  <si>
    <t xml:space="preserve">Whole Foods Market; brand store locator</t>
  </si>
  <si>
    <t xml:space="preserve">https://www.wholefoodsmarket.com/search?text=barnana (Union Square context: Pink Salt and Acapulco Lime Plantain Chips 5 oz IN_STOCK 2026-10-23)</t>
  </si>
  <si>
    <t xml:space="preserve">Caue Suplicy</t>
  </si>
  <si>
    <t xml:space="preserve">Nik Ingersoll</t>
  </si>
  <si>
    <t xml:space="preserve">Nik</t>
  </si>
  <si>
    <t xml:space="preserve">Ingersoll</t>
  </si>
  <si>
    <t xml:space="preserve">BR1:50</t>
  </si>
  <si>
    <t xml:space="preserve">HQ not found on pages opened. why_now date is Shopify published_at.</t>
  </si>
  <si>
    <t xml:space="preserve">shelf_stable_basis &lt;- https://barnana.com/pages/faq (2026-10-24, opened); hq_city &lt;- https://barnana.com/policies/refund-policy (2026-10-24, opened); hq_state &lt;- https://barnana.com/policies/refund-policy (2026-10-24, opened); </t>
  </si>
  <si>
    <t xml:space="preserve">AB-162</t>
  </si>
  <si>
    <t xml:space="preserve">COAQUA</t>
  </si>
  <si>
    <t xml:space="preserve">Justin</t>
  </si>
  <si>
    <t xml:space="preserve">Bruckel</t>
  </si>
  <si>
    <t xml:space="preserve">Brand based outside the Northeast, brand locator shows Jack's Market 0.9 blocks outside it, a new store listing 115 days ago, revenue unknown, contact named; founder review: other.</t>
  </si>
  <si>
    <t xml:space="preserve">Jack's Market, 115 W 31st St</t>
  </si>
  <si>
    <t xml:space="preserve">Added to Pop Up Grocer's NYC Flagship directory; new 14-pack variety case listed on own store 2026-10-20</t>
  </si>
  <si>
    <t xml:space="preserve">https://popupgrocer.com/products/coaqua</t>
  </si>
  <si>
    <t xml:space="preserve">https://www.drinkcoaqua.com/pages/store-locator</t>
  </si>
  <si>
    <t xml:space="preserve">find Justin Bruckel at COAQUA on LinkedIn and paste the profile URL; the retailer line rests on the brand's own store locator: say 'your store locator lists ...'; founder review (other): read founder_review_reason first</t>
  </si>
  <si>
    <t xml:space="preserve">https://www.drinkcoaqua.com/pages/about-us</t>
  </si>
  <si>
    <t xml:space="preserve">COAQUA young green coconut water, 12 fl oz can (OG Still; Espresso'd; Lemony Passion)</t>
  </si>
  <si>
    <t xml:space="preserve">Ponte Vedra Beach</t>
  </si>
  <si>
    <t xml:space="preserve">https://www.drinkcoaqua.com</t>
  </si>
  <si>
    <t xml:space="preserve">Shelf stability not stated by brand; one SKU is caffeinated (Espresso'd); founder and HQ not found on site | Added 2026-10-24: HQ and owners now found (Ponte Vedra Beach, FL; Justin Bruckel and Anthony Cadieux II); still no shelf-stability statement; one SKU is caffeinated; 60-day shelf life not stated</t>
  </si>
  <si>
    <t xml:space="preserve">Canned coconut water; no storage statement found on site</t>
  </si>
  <si>
    <t xml:space="preserve">Jack's Market, 115 W 31st St (brand_claim, 0.9 blocks out);Lincoln Market, 501 6th Ave (brand_claim, 1.2 blocks out);Westside Market, 170 W 23rd St (brand_claim, 2.0 blocks out);Westside Market, 77 7th Ave (brand_claim, 2.0 blocks out);D'Agostino, 341 3rd Ave (brand_claim, 3.5 blocks out);Gristedes, 25 University Place (brand_claim, 4.4 blocks out);Gristedes, 225 8th Ave (brand_claim, 6.6 blocks out);D'Agostino, 528 3rd Ave (brand_claim, 7.6 blocks out)</t>
  </si>
  <si>
    <t xml:space="preserve">Westside Market; Lincoln Market; D'Agostino; Gristedes; Jack's Market; Elm Drugs (brand Stockist locator, 48 points, 18 near the cluster); Pop Up Grocer NYC Flagship (Pop Up Grocer directory)</t>
  </si>
  <si>
    <t xml:space="preserve">https://www.drinkcoaqua.com/pages/store-locator; https://stockist.co/api/v1/u12267/locations/search?latitude=40.7400&amp;longitude=-73.9900&amp;distance=3; https://popupgrocer.com/products/coaqua</t>
  </si>
  <si>
    <t xml:space="preserve">Justin Bruckel</t>
  </si>
  <si>
    <t xml:space="preserve">Anthony Cadieux II</t>
  </si>
  <si>
    <t xml:space="preserve">Anthony</t>
  </si>
  <si>
    <t xml:space="preserve">Cadieux II</t>
  </si>
  <si>
    <t xml:space="preserve">Co Founder)</t>
  </si>
  <si>
    <t xml:space="preserve">https://www.instagram.com/coaqua</t>
  </si>
  <si>
    <t xml:space="preserve">BR3:36</t>
  </si>
  <si>
    <t xml:space="preserve">Stockist query 2026-10-23: 48 locations total, heavily NYC (Westside Market, D'Agostino, Gristedes), so likely NYC-based but HQ unconfirmed. Pop Up Grocer directory entry dated 2026-07-01, availability 'NYC Flagship'. Strong near-cluster footprint.</t>
  </si>
  <si>
    <t xml:space="preserve">hq_city &lt;- https://www.drinkcoaqua.com/pages/about-us (2026-10-24, opened); hq_state &lt;- https://www.drinkcoaqua.com/pages/about-us (2026-10-24, opened); founder_name &lt;- https://www.drinkcoaqua.com/pages/about-us (2026-10-24, opened); founder_title &lt;- https://attend.expowest.com/event/natural-products-expo-west-2026/exhibitor/RXhoaWJpdG9yXzIzNTg4NTc= (2026-10-24, opened); founder_review_reason &lt;- https://www.drinkcoaqua.com/pages/about-us (2026-10-24, opened); founder_profile_url &lt;- https://www.drinkcoaqua.com/pages/about-us (2026-10-24, opened); </t>
  </si>
  <si>
    <t xml:space="preserve">AB-164</t>
  </si>
  <si>
    <t xml:space="preserve">Luba Libations</t>
  </si>
  <si>
    <t xml:space="preserve">Christiana</t>
  </si>
  <si>
    <t xml:space="preserve">Trapani</t>
  </si>
  <si>
    <t xml:space="preserve">Co-Founder</t>
  </si>
  <si>
    <t xml:space="preserve">Brand based outside the Northeast, no graded store within ten blocks, online store only, news 60 days ago, revenue unknown, contact named; founder review: alcohol-adjacent.</t>
  </si>
  <si>
    <t xml:space="preserve">New distribution partnership with Breakthru Beverage in Minnesota, all four flavors (2026-08-25); selected as an emerging brand for the 2026 Nourishing Change Conference (2026-04-08)</t>
  </si>
  <si>
    <t xml:space="preserve">https://startupcpg.com/startup-cpg-newswire-luba-libations-expands-midwest-footprint-with-breakthru-beverage-partnership-in-minnesota/</t>
  </si>
  <si>
    <t xml:space="preserve">https://drinkluba.com/pages/our-story</t>
  </si>
  <si>
    <t xml:space="preserve">find Christiana Trapani at Luba Libations on LinkedIn and paste the profile URL; founder review (alcohol-adjacent): read founder_review_reason first</t>
  </si>
  <si>
    <t xml:space="preserve">https://startupcpg.com/startup-cpg-newswire-luba-libations-selected-as-emerging-brand-for-2026-nourishing-change-conference/</t>
  </si>
  <si>
    <t xml:space="preserve">Luba non-alcoholic Kyiv Mule, 12 oz can</t>
  </si>
  <si>
    <t xml:space="preserve">Sturgeon Bay (Door County)</t>
  </si>
  <si>
    <t xml:space="preserve">https://drinkluba.com</t>
  </si>
  <si>
    <t xml:space="preserve">Wisconsin brand with no confirmed current NYC retail; NA cocktail positioning in an office pantry</t>
  </si>
  <si>
    <t xml:space="preserve">Brand page: canned then tunnel pasteurized, which makes it safe and shelf stable (drinkluba.com/pages/our-story, opened 2026-10-24); shelf-life length not stated</t>
  </si>
  <si>
    <t xml:space="preserve">https://popupgrocer.com/products/luba-libations</t>
  </si>
  <si>
    <t xml:space="preserve">Christiana Trapani</t>
  </si>
  <si>
    <t xml:space="preserve">Nic Trapani</t>
  </si>
  <si>
    <t xml:space="preserve">Nic</t>
  </si>
  <si>
    <t xml:space="preserve">President</t>
  </si>
  <si>
    <t xml:space="preserve">BR3:38</t>
  </si>
  <si>
    <t xml:space="preserve">Story page: 'non-alcoholic cocktail and mixer brand from Door County, Wisconsin'; explicitly no adaptogens, nootropics or caffeine (clean on claims). 4-pack $12.99.</t>
  </si>
  <si>
    <t xml:space="preserve">hq_city &lt;- https://drinkluba.com/policies/contact-information (2026-10-24, opened); shelf_stable &lt;- https://drinkluba.com/pages/our-story (2026-10-24, opened); shelf_stable_basis &lt;- https://drinkluba.com/pages/our-story (2026-10-24, opened); founder_name &lt;- https://startupcpg.com/startup-cpg-newswire-luba-libations-selected-as-emerging-brand-for-2026-nourishing-change-conference/ (2026-10-24, opened); founder_title &lt;- https://attend.expowest.com/event/natural-products-expo-west-2026/exhibitor/RXhoaWJpdG9yXzIzNTY4MzE= (2026-10-24, opened); why_now &lt;- https://startupcpg.com/startup-cpg-newswire-luba-libations-expands-midwest-footprint-with-breakthru-beverage-partnership-in-minnesota/ (2026-10-24, opened); why_now_url &lt;- https://startupcpg.com/startup-cpg-newswire-luba-libations-expands-midwest-footprint-with-breakthru-beverage-partnership-in-minnesota/ (2026-10-24, opened); why_now_date &lt;- https://startupcpg.com/startup-cpg-newswire-luba-libations-expands-midwest-footprint-with-breakthru-beverage-partnership-in-minnesota/ (2026-10-24, opened); startup_cpg_member &lt;- https://startupcpg.com/startup-cpg-newswire-luba-libations-expands-midwest-footprint-with-breakthru-beverage-partnership-in-minnesota/ (2026-10-24, opened); startup_cpg_evidence_url &lt;- https://startupcpg.com/startup-cpg-newswire-luba-libations-selected-as-emerging-brand-for-2026-nourishing-change-conference/ (2026-10-24, opened); </t>
  </si>
  <si>
    <t xml:space="preserve">AB-309</t>
  </si>
  <si>
    <t xml:space="preserve">Smolbol (Mismi Foods)</t>
  </si>
  <si>
    <t xml:space="preserve">Northeast brand, no graded store within ten blocks, online store only, news 118 days ago, revenue unknown, no contact named; founder review: claim-borderline.</t>
  </si>
  <si>
    <t xml:space="preserve">Exhibited in the Startup CPG pavilion at the 2026 Summer Fancy Food Show</t>
  </si>
  <si>
    <t xml:space="preserve">https://events.specialtyfood.com/event/2026-summer-fancy-food-show/exhibitor/RXhoaWJpdG9yXzI0NTExNTY=</t>
  </si>
  <si>
    <t xml:space="preserve">Smolbol Sea Salt cassava-coated peanuts, 1.75 oz on-the-go pack</t>
  </si>
  <si>
    <t xml:space="preserve">https://www.amazon.com/smolbol</t>
  </si>
  <si>
    <t xml:space="preserve">Homepage calls it a 'guilt-free, energy-boosting snack' (vague benefit wording; check the pack). Peanut product, so expect office allergen vetoes. Buy path not confirmed ('buy now' link not followed to a store)</t>
  </si>
  <si>
    <t xml:space="preserve">https://www.smolbol.com</t>
  </si>
  <si>
    <t xml:space="preserve">Coated roasted peanuts in sealed 1.75 oz and 6 oz bags; shelf life not stated</t>
  </si>
  <si>
    <t xml:space="preserve">https://www.instagram.com/enjoysmolbol/</t>
  </si>
  <si>
    <t xml:space="preserve">BR5:45</t>
  </si>
  <si>
    <t xml:space="preserve">SFFS 2026 as Mismi Foods LLC (State: Massachusetts). Startup CPG pavilion: 'crunchy coated peanut snack... Inspired by a beloved Brazilian snack tradition... Available in 5 flavors'. 1.75 oz packs fit a single-serve drop. | Stage 1 online-store check 2026-10-24: Brand homepage links an Amazon store and has a cart (Amazon page not opened; founder to confirm discount-code ability) (https://www.smolbol.com)</t>
  </si>
  <si>
    <t xml:space="preserve">online_store &lt;- https://www.smolbol.com (2026-10-24, opened, stage 1); </t>
  </si>
  <si>
    <t xml:space="preserve">AB-294</t>
  </si>
  <si>
    <t xml:space="preserve">Snackios</t>
  </si>
  <si>
    <t xml:space="preserve">Exhibited at the 2026 Summer Fancy Food Show with a new product flagged</t>
  </si>
  <si>
    <t xml:space="preserve">https://events.specialtyfood.com/event/2026-summer-fancy-food-show/exhibitor/RXhoaWJpdG9yXzIzMTc3OTU=</t>
  </si>
  <si>
    <t xml:space="preserve">Snackios Sea Salt Pita Chips, 2 oz bag</t>
  </si>
  <si>
    <t xml:space="preserve">https://snackios.com/2-oz-bags/</t>
  </si>
  <si>
    <t xml:space="preserve">Founder and NJ town not named on pages opened. 'Baked fresh daily' with no stated shelf life. Seed-oil-free and 'better-for-you' wording, no health claim seen</t>
  </si>
  <si>
    <t xml:space="preserve">https://snackios.com</t>
  </si>
  <si>
    <t xml:space="preserve">Baked pita and bagel chips in 2 oz, 4 oz and 6 oz bags sold online; a reviewer notes 'a good expiration date'</t>
  </si>
  <si>
    <t xml:space="preserve">Locator page is script-rendered; a customer review mentions Food Lion</t>
  </si>
  <si>
    <t xml:space="preserve">https://www.instagram.com/snackios</t>
  </si>
  <si>
    <t xml:space="preserve">BR5:30</t>
  </si>
  <si>
    <t xml:space="preserve">SFFS 2026 (State: New Jersey): 'family-operated, women-owned manufacturer of artisan pita and bagel chips based in New Jersey... 8 craveable' flavors. 2 oz bags fit a single-serve drop.</t>
  </si>
  <si>
    <t xml:space="preserve">AB-214</t>
  </si>
  <si>
    <t xml:space="preserve">Brothers All Natural</t>
  </si>
  <si>
    <t xml:space="preserve">New York State brand, no graded store within ten blocks, online store only, news 185 days ago, revenue unknown, no contact named; founder review: other.</t>
  </si>
  <si>
    <t xml:space="preserve">Parent Brothers International announced an SK Capital recapitalization for accelerated growth (2026-04-22) and hired former PepsiCo executive Melissa McCormack as VP, CPG Sales for Brothers All Natural (2026-03-31)</t>
  </si>
  <si>
    <t xml:space="preserve">https://www.brothersinternational.com/press</t>
  </si>
  <si>
    <t xml:space="preserve">2026-04-22</t>
  </si>
  <si>
    <t xml:space="preserve">https://brothersallnatural.com/faq/</t>
  </si>
  <si>
    <t xml:space="preserve">Strawberry Freeze Dried Fruit Crisps 1 oz bag (8-pack); Apple Cinnamon 0.35 oz (24-pack)</t>
  </si>
  <si>
    <t xml:space="preserve">Rochester (parent Brothers International: 1175 Lexington Avenue, Rochester, NY 14606)</t>
  </si>
  <si>
    <t xml:space="preserve">https://brothersallnatural.com</t>
  </si>
  <si>
    <t xml:space="preserve">Kids and Disney-licensed line (site nav shows Disney); nutrient-content wording ('zero grams of fat', '30-80 calories per serving')</t>
  </si>
  <si>
    <t xml:space="preserve">Brand FAQ: freeze-drying 'allows foods to be stored at room temperature for one year or longer'</t>
  </si>
  <si>
    <t xml:space="preserve">Store finder (not machine-readable)</t>
  </si>
  <si>
    <t xml:space="preserve">https://brothersallnatural.com/store-locator/</t>
  </si>
  <si>
    <t xml:space="preserve">https://www.instagram.com/brothersallnatural</t>
  </si>
  <si>
    <t xml:space="preserve">BR4:9</t>
  </si>
  <si>
    <t xml:space="preserve">Footer: Brothers International Food Holdings, LLC. Not found in WFM cluster catalogs on 2026-10-23.</t>
  </si>
  <si>
    <t xml:space="preserve">hq_city &lt;- https://www.brothersinternational.com/press (2026-10-24, opened); hq_state &lt;- https://www.brothersinternational.com/press (2026-10-24, opened); why_now &lt;- https://www.brothersinternational.com/press (2026-10-24, opened); why_now_url &lt;- https://www.brothersinternational.com/press (2026-10-24, opened); why_now_date &lt;- https://www.brothersinternational.com/press (2026-10-24, opened); </t>
  </si>
  <si>
    <t xml:space="preserve">AB-094</t>
  </si>
  <si>
    <t xml:space="preserve">Lagusta's Luscious</t>
  </si>
  <si>
    <t xml:space="preserve">New York State brand, no graded store within ten blocks, online store only, a new store listing 7 days ago, revenue unknown, contact seen only in a snippet; founder review: other.</t>
  </si>
  <si>
    <t xml:space="preserve">Fall 2026 collections (Sweet Hauntings Box, Thanksliving) on brand store; Wirecutter top pick noted on product name</t>
  </si>
  <si>
    <t xml:space="preserve">https://lagustasluscious.com/</t>
  </si>
  <si>
    <t xml:space="preserve">2026-10-17</t>
  </si>
  <si>
    <t xml:space="preserve">https://lagustasluscious.com/pages/about-us</t>
  </si>
  <si>
    <t xml:space="preserve">https://lagustasluscious.com/pages/press</t>
  </si>
  <si>
    <t xml:space="preserve">Peanut Butter Caramel Bar; Earl Grey Bar (vegan)</t>
  </si>
  <si>
    <t xml:space="preserve">New Paltz</t>
  </si>
  <si>
    <t xml:space="preserve">https://lagustasluscious.com</t>
  </si>
  <si>
    <t xml:space="preserve">Artisan handmade confections, shelf life unknown and likely small volume; some product names may draw office vetoes; 60-day shelf life not stated</t>
  </si>
  <si>
    <t xml:space="preserve">Brand FAQ: caramel and bars with a caramel layer keep up to three months; filled non-caramel bonbons should be eaten within one month. Store at cool room temperature.</t>
  </si>
  <si>
    <t xml:space="preserve">Own shop (brand about page mentions shop with drinks and pastries)</t>
  </si>
  <si>
    <t xml:space="preserve">Yearwood</t>
  </si>
  <si>
    <t xml:space="preserve">surname on brand press page; first name Lagusta implied by the brand name, founder to confirm</t>
  </si>
  <si>
    <t xml:space="preserve">https://www.instagram.com/lagustasluscious/</t>
  </si>
  <si>
    <t xml:space="preserve">BR2:32</t>
  </si>
  <si>
    <t xml:space="preserve">Founded 2003; social-justice and vegan positioning. Weekly Saturday restocks suggest limited capacity for 275 units. Spot check 2026-10-23: about page lists 'New Paltz, NY 12561' (HQ corrected from 'unknown') and also a 'New York, New York' location (possible NYC shop; address not captured, founder to confirm). Why-now date from Shopify publish date.</t>
  </si>
  <si>
    <t xml:space="preserve">shelf_stable_basis &lt;- https://lagustasluscious.com/pages/faq (2026-10-24, opened); founder_name &lt;- https://lagustasluscious.com/pages/press (2026-10-24, opened); founder_title &lt;- https://lagustasluscious.com/pages/press (2026-10-24, opened); </t>
  </si>
  <si>
    <t xml:space="preserve">AB-178</t>
  </si>
  <si>
    <t xml:space="preserve">Rockaway Soda</t>
  </si>
  <si>
    <t xml:space="preserve">Bridget</t>
  </si>
  <si>
    <t xml:space="preserve">Firtle</t>
  </si>
  <si>
    <t xml:space="preserve">New York City brand, no graded store within ten blocks, online store only, no dated why-now in the last 12 months, revenue unknown, contact named; founder review: claim-borderline.</t>
  </si>
  <si>
    <t xml:space="preserve">https://drinkrockaway.com/pages/story</t>
  </si>
  <si>
    <t xml:space="preserve">find Bridget Firtle at Rockaway Soda on LinkedIn and paste the profile URL; founder review (claim-borderline): read founder_review_reason first</t>
  </si>
  <si>
    <t xml:space="preserve">https://amny.com/news/queens-entrepreneur-rockaway-sparkling-water-company</t>
  </si>
  <si>
    <t xml:space="preserve">ROCKAWAY Pineapple Ginger soda (real fruit, 7 g organic cane sugar), can</t>
  </si>
  <si>
    <t xml:space="preserve">Queens (Rockaway, New York City)</t>
  </si>
  <si>
    <t xml:space="preserve">https://drinkrockaway.com</t>
  </si>
  <si>
    <t xml:space="preserve">No current retailer found (Pop Up Grocer lists it as a past brand); 'healthier sodas' wording is soft but check label; 60-day shelf life not stated</t>
  </si>
  <si>
    <t xml:space="preserve">independently owned (story page)</t>
  </si>
  <si>
    <t xml:space="preserve">https://popupgrocer.com/products/rockaway-soda</t>
  </si>
  <si>
    <t xml:space="preserve">Bridget Firtle</t>
  </si>
  <si>
    <t xml:space="preserve">https://instagram.com/drinkrockaway</t>
  </si>
  <si>
    <t xml:space="preserve">BR3:52</t>
  </si>
  <si>
    <t xml:space="preserve">Story: Born in a special place in New York City (Rockaway), 1% of sales for the ocean, women-owned per Pop Up Grocer. Newest store listing is lime-mint (2025-08-19), outside the 12-month window, so no current why-now.</t>
  </si>
  <si>
    <t xml:space="preserve">hq_city &lt;- https://drinkrockaway.com/policies/privacy-policy (2026-10-24, opened); founder_name &lt;- https://amny.com/news/queens-entrepreneur-rockaway-sparkling-water-company (2026-10-24, opened); founder_title &lt;- https://amny.com/news/queens-entrepreneur-rockaway-sparkling-water-company (2026-10-24, opened); founder_profile_url &lt;- https://amny.com/news/queens-entrepreneur-rockaway-sparkling-water-company (2026-10-24, opened); </t>
  </si>
  <si>
    <t xml:space="preserve">AB-114</t>
  </si>
  <si>
    <t xml:space="preserve">Knipschildt Chocolatier (Chocopologie)</t>
  </si>
  <si>
    <t xml:space="preserve">Fritz</t>
  </si>
  <si>
    <t xml:space="preserve">Knipschildt</t>
  </si>
  <si>
    <t xml:space="preserve">Northeast brand, store page shows Whole Foods Market NoMad inside the cluster, no dated why-now in the last 12 months, revenue unknown, contact named; founder review: not-emerging, perishable-risk, alcohol-adjacent.</t>
  </si>
  <si>
    <t xml:space="preserve">https://chocopologie.com/pages/about-us-1</t>
  </si>
  <si>
    <t xml:space="preserve">find Fritz Knipschildt at Knipschildt Chocolatier (Chocopologie) on LinkedIn and paste the profile URL; before using the retailer line, check Whole Foods Market NoMad still lists it: https://www.wholefoodsmarket.com/search?text=Knipschildt%20Chocolatier with your store set to NoMad (catalogs change daily); founder review (not-emerging, perishable-risk, alcohol-adjacent): read founder_review_reason first</t>
  </si>
  <si>
    <t xml:space="preserve">https://chocopologie.com/</t>
  </si>
  <si>
    <t xml:space="preserve">Sea Salt Caramel Collection 2.1 oz; truffle collections</t>
  </si>
  <si>
    <t xml:space="preserve">Norwalk</t>
  </si>
  <si>
    <t xml:space="preserve">https://chocopologie.com</t>
  </si>
  <si>
    <t xml:space="preserve">Luxury truffle maker; perishable cakes in line and an espresso martini truffle (check alcohol); not an emerging snack brand; 60-day shelf life not stated</t>
  </si>
  <si>
    <t xml:space="preserve">not-emerging;perishable-risk;alcohol-adjacent</t>
  </si>
  <si>
    <t xml:space="preserve">Product page (La Madeline au Truffle): 'Product has a 7 day shelf life' and ships Next Day Air. No shelf-life figure found for bars.</t>
  </si>
  <si>
    <t xml:space="preserve">https://www.wholefoodsmarket.com/api/search?text=knipschildt&amp;store=10162&amp;limit=60&amp;offset=0; https://www.wholefoodsmarket.com/api/search?text=knipschildt&amp;store=10773&amp;limit=60&amp;offset=0; https://www.wholefoodsmarket.com/api/search?text=knipschildt&amp;store=10131&amp;limit=60&amp;offset=0</t>
  </si>
  <si>
    <t xml:space="preserve">Fritz Knipschildt</t>
  </si>
  <si>
    <t xml:space="preserve">https://www.instagram.com/fritzknipschildt/</t>
  </si>
  <si>
    <t xml:space="preserve">BR2:52</t>
  </si>
  <si>
    <t xml:space="preserve">Last new product on brand store Feb 2026 (Dubai Chocolate Easter Eggs).</t>
  </si>
  <si>
    <t xml:space="preserve">hq_city &lt;- https://chocopologie.com/policies/refund-policy (2026-10-24, opened); hq_state &lt;- https://chocopologie.com/policies/refund-policy (2026-10-24, opened); shelf_stable_basis &lt;- https://chocopologie.com/products/la-madeline-au-truffle (2026-10-24, opened); </t>
  </si>
  <si>
    <t xml:space="preserve">AB-031</t>
  </si>
  <si>
    <t xml:space="preserve">LOVE CORN</t>
  </si>
  <si>
    <t xml:space="preserve">Northeast brand, store page shows Whole Foods Market NoMad inside the cluster, no dated why-now in the last 12 months, revenue unknown, contact seen only in a snippet; founder review: scale.</t>
  </si>
  <si>
    <t xml:space="preserve">Limited Edition Halloween packs on WFM NoMad shelf listing (undated)</t>
  </si>
  <si>
    <t xml:space="preserve">https://www.wholefoodsmarket.com/search?text=love%20corn</t>
  </si>
  <si>
    <t xml:space="preserve">https://lovecorn.com</t>
  </si>
  <si>
    <t xml:space="preserve">no person named on an opened page: not ready; before using the retailer line, check Whole Foods Market NoMad still lists it: https://www.wholefoodsmarket.com/search?text=LOVE%20CORN with your store set to NoMad (catalogs change daily); founder review (scale): read founder_review_reason first</t>
  </si>
  <si>
    <t xml:space="preserve">LOVE CORN Sea Salt crunchy roasted corn, 0.7 oz single bags (20-count)</t>
  </si>
  <si>
    <t xml:space="preserve">Ho-Ho-Kus</t>
  </si>
  <si>
    <t xml:space="preserve">UK-founded, investor-backed brand with wide US distribution; may be above the $10M band (no sourced figure)</t>
  </si>
  <si>
    <t xml:space="preserve">Roasted corn kernels in sealed bags, ambient</t>
  </si>
  <si>
    <t xml:space="preserve">Whole Foods Market; Publix; Kroger; Target (per investor page in search results, not opened)</t>
  </si>
  <si>
    <t xml:space="preserve">https://www.wholefoodsmarket.com/search?text=love%20corn (Union Square, NoMad, Chelsea contexts: 4 oz bags and 0.7 oz x 9 variety pack IN_STOCK 2026-10-23)</t>
  </si>
  <si>
    <t xml:space="preserve">Gavin McCloskey</t>
  </si>
  <si>
    <t xml:space="preserve">search snippet citing the brand site, founded 2016; unverified, founder to confirm</t>
  </si>
  <si>
    <t xml:space="preserve">Missy McCloskey</t>
  </si>
  <si>
    <t xml:space="preserve">https://instagram.com/lovecorn_snacks</t>
  </si>
  <si>
    <t xml:space="preserve">BR1:32</t>
  </si>
  <si>
    <t xml:space="preserve">US returns address Middletown PA (refund policy). NJ office from search snippets only. Love Story page states a 3-year goal to donate 1 million samples and lists Retailer Programs, a sign of an active sampling budget. No dated signal in the last 12 months found (latest brand store product 2025-06).</t>
  </si>
  <si>
    <t xml:space="preserve">hq_city &lt;- https://love-corn.breezy.hr/ (2026-10-24, opened); founder_name &lt;- https://love-corn.breezy.hr/p/839c329e7d69-field-sales-philadelphia-south-jersey-full-time-45-50k/apply (2026-10-24, snippet-unverified); </t>
  </si>
  <si>
    <t xml:space="preserve">AB-046</t>
  </si>
  <si>
    <t xml:space="preserve">Simply 7</t>
  </si>
  <si>
    <t xml:space="preserve">https://www.wholefoodsmarket.com/search?text=simply%207%20lentil</t>
  </si>
  <si>
    <t xml:space="preserve">no person named on an opened page: not ready; before using the retailer line, check Whole Foods Market NoMad still lists it: https://www.wholefoodsmarket.com/search?text=Simply%207 with your store set to NoMad (catalogs change daily); founder review (other): read founder_review_reason first</t>
  </si>
  <si>
    <t xml:space="preserve">Simply 7 Lentil Chips, Sea Salt, 4 oz</t>
  </si>
  <si>
    <t xml:space="preserve">Brand site unreachable through proxy on 2026-10-23; owner and HQ unconfirmed; no online store: buy path is the store only</t>
  </si>
  <si>
    <t xml:space="preserve">https://www.simply7snacks.com</t>
  </si>
  <si>
    <t xml:space="preserve">Bagged lentil chips, ambient</t>
  </si>
  <si>
    <t xml:space="preserve">https://www.wholefoodsmarket.com/search?text=simply%207%20lentil (Sea Salt and Jalapeño 4 oz IN_STOCK in each cluster store context, 2026-10-23)</t>
  </si>
  <si>
    <t xml:space="preserve">Rashim Oberoi</t>
  </si>
  <si>
    <t xml:space="preserve">search snippet; unverified, founder to confirm</t>
  </si>
  <si>
    <t xml:space="preserve">BR1:47</t>
  </si>
  <si>
    <t xml:space="preserve">Shelf presence confirmed; everything else needs a second pass.</t>
  </si>
  <si>
    <t xml:space="preserve">website &lt;- https://www.simply7snacks.com/ (2026-10-24, opened); hq_city &lt;- https://www.simply7snacks.com/contact/ (2026-10-24, opened); hq_state &lt;- https://www.simply7snacks.com/contact/ (2026-10-24, opened); founder_name &lt;- https://theshelbyreport.com/2014/01/16/simply7-snacks-debuts-gluten-free-certified-quinoa-chip-line (2026-10-24, snippet-unverified); </t>
  </si>
  <si>
    <t xml:space="preserve">AB-064</t>
  </si>
  <si>
    <t xml:space="preserve">Guinness Steak Cuts (Sidari Artisan Brands)</t>
  </si>
  <si>
    <t xml:space="preserve">Elizabeth</t>
  </si>
  <si>
    <t xml:space="preserve">Brauser</t>
  </si>
  <si>
    <t xml:space="preserve">Co-founder, Sidari Artisan Brands</t>
  </si>
  <si>
    <t xml:space="preserve">Brand based outside the Northeast, no graded store within ten blocks, online store only, news 32 days ago, revenue unknown, contact named; founder review: alcohol-adjacent.</t>
  </si>
  <si>
    <t xml:space="preserve">Debuted NY-Style Pastrami and The Spicy Blend flavors at the NACS Show, expanding the line from three to five flavors</t>
  </si>
  <si>
    <t xml:space="preserve">https://www.snackandbakery.com/articles/116326-guinness-steak-cuts-adds-two-new-flavors-to-lineup</t>
  </si>
  <si>
    <t xml:space="preserve">https://startupcpg.com/startup-cpg-newswire-steak-not-jerky-sidari-artisan-brands-partners-with-guinness-to-bring-the-steakhouse-to-the-snack-aisle/</t>
  </si>
  <si>
    <t xml:space="preserve">find Elizabeth Brauser at Guinness Steak Cuts (Sidari Artisan Brands) on LinkedIn and paste the profile URL; founder review (alcohol-adjacent): read founder_review_reason first</t>
  </si>
  <si>
    <t xml:space="preserve">Guinness Steak Cuts, Original (Pot Roast)</t>
  </si>
  <si>
    <t xml:space="preserve">https://www.amazon.com/Guinness-Steak-Original-Flavor-Ounce/dp</t>
  </si>
  <si>
    <t xml:space="preserve">Licensed beer brand (marinated with Guinness 0.0, 'designed to pair with a pint'); offices may veto alcohol-adjacent branding; shelf stability unconfirmed; 60-day shelf life not stated</t>
  </si>
  <si>
    <t xml:space="preserve">https://guinnesssteakcuts.com</t>
  </si>
  <si>
    <t xml:space="preserve">Release calls it a steak snack sold on Amazon; storage not stated</t>
  </si>
  <si>
    <t xml:space="preserve">Amazon (national launch April 2026); retail debut fall 2025</t>
  </si>
  <si>
    <t xml:space="preserve">https://www.wholefoodsmarket.com/search?text=guinness%20steak%20cuts (no WFM results, 2026-10-23)</t>
  </si>
  <si>
    <t xml:space="preserve">Elizabeth Brauser</t>
  </si>
  <si>
    <t xml:space="preserve">Mary Santelli</t>
  </si>
  <si>
    <t xml:space="preserve">Mary</t>
  </si>
  <si>
    <t xml:space="preserve">Santelli</t>
  </si>
  <si>
    <t xml:space="preserve">BR1:65</t>
  </si>
  <si>
    <t xml:space="preserve">Release datelined CLEVELAND, OH (April 2026). Not alcohol itself (Guinness 0.0 marinade), but alcohol-brand licensing is flagged for founder review. | Stage 1 online-store check 2026-10-24: Brand homepage 'BUY NOW' buttons go to Amazon (Amazon only; Amazon page not opened; founder to confirm discount-code ability) (https://guinnesssteakcuts.com)</t>
  </si>
  <si>
    <t xml:space="preserve">why_now &lt;- https://www.snackandbakery.com/articles/116326-guinness-steak-cuts-adds-two-new-flavors-to-lineup (2026-10-24, opened); why_now_url &lt;- https://www.snackandbakery.com/articles/116326-guinness-steak-cuts-adds-two-new-flavors-to-lineup (2026-10-24, opened); why_now_date &lt;- https://www.snackandbakery.com/articles/116326-guinness-steak-cuts-adds-two-new-flavors-to-lineup (2026-10-24, opened); online_store &lt;- https://guinnesssteakcuts.com (2026-10-24, opened, stage 1); </t>
  </si>
  <si>
    <t xml:space="preserve">AB-179</t>
  </si>
  <si>
    <t xml:space="preserve">Ample Hydration</t>
  </si>
  <si>
    <t xml:space="preserve">Noah</t>
  </si>
  <si>
    <t xml:space="preserve">Fischman</t>
  </si>
  <si>
    <t xml:space="preserve">Northeast brand, no graded store within ten blocks, online store only, a new store listing 115 days ago, revenue unknown, contact named; founder review: claim-borderline.</t>
  </si>
  <si>
    <t xml:space="preserve">Added to Pop Up Grocer NYC Flagship directory; Pure Maple Water relisted on own store 2026-05-29; now shipping to Canada</t>
  </si>
  <si>
    <t xml:space="preserve">https://popupgrocer.com/products/ample-hydration</t>
  </si>
  <si>
    <t xml:space="preserve">https://drinkample.com/pages/faqs</t>
  </si>
  <si>
    <t xml:space="preserve">find Noah Fischman at Ample Hydration on LinkedIn and paste the profile URL; founder review (claim-borderline): read founder_review_reason first</t>
  </si>
  <si>
    <t xml:space="preserve">https://drinkample.com/pages/our-story</t>
  </si>
  <si>
    <t xml:space="preserve">Ample Pure Maple Water (organic, one ingredient, 35 calories), can</t>
  </si>
  <si>
    <t xml:space="preserve">Englewood Cliffs</t>
  </si>
  <si>
    <t xml:space="preserve">https://drinkample.com</t>
  </si>
  <si>
    <t xml:space="preserve">'Hydration' and naturally occurring electrolytes positioning (check label for claims); single SKU; HQ not found</t>
  </si>
  <si>
    <t xml:space="preserve">FAQ: 'Ample is shelf stable, so unopened cans can be stored at room temperature' (drinkample.com/pages/faqs, opened 2026-10-23)</t>
  </si>
  <si>
    <t xml:space="preserve">Pop Up Grocer (brand_claim, unplaced)</t>
  </si>
  <si>
    <t xml:space="preserve">Pop Up Grocer NYC Flagship, 205 Bleecker St (retailer directory); store locator page not readable</t>
  </si>
  <si>
    <t xml:space="preserve">Noah Fischman</t>
  </si>
  <si>
    <t xml:space="preserve">BR3:53</t>
  </si>
  <si>
    <t xml:space="preserve">Jewish-owned per Pop Up Grocer directory. A clean, plain product for an office pantry.</t>
  </si>
  <si>
    <t xml:space="preserve">hq_city &lt;- https://drinkample.com/policies/privacy-policy (2026-10-24, opened); hq_state &lt;- https://drinkample.com/policies/privacy-policy (2026-10-24, opened); </t>
  </si>
  <si>
    <t xml:space="preserve">AB-274</t>
  </si>
  <si>
    <t xml:space="preserve">Claudio's Kitchen</t>
  </si>
  <si>
    <t xml:space="preserve">Claudio</t>
  </si>
  <si>
    <t xml:space="preserve">New York City brand, no graded store within ten blocks, online store only, a new store listing 53 days ago, revenue unknown, contact named (first name only); founder review: perishable-risk.</t>
  </si>
  <si>
    <t xml:space="preserve">Launched a 'Gowanus Bites' cookie of the month</t>
  </si>
  <si>
    <t xml:space="preserve">https://claudioskitchennyc.com/products/cookie-of-the-month-gowanus-bites</t>
  </si>
  <si>
    <t xml:space="preserve">https://events.specialtyfood.com/event/2026-summer-fancy-food-show/exhibitor/RXhoaWJpdG9yXzI0MjQ1NjY=</t>
  </si>
  <si>
    <t xml:space="preserve">find Claudio at Claudio's Kitchen on LinkedIn and paste the profile URL; surname not public: take it from LinkedIn; founder review (perishable-risk): read founder_review_reason first</t>
  </si>
  <si>
    <t xml:space="preserve">https://claudioskitchennyc.com</t>
  </si>
  <si>
    <t xml:space="preserve">Cookie of the Month 'Gowanus Bites'; Rainbow cookies; Palmier</t>
  </si>
  <si>
    <t xml:space="preserve">Brooklyn (Gowanus, 11215)</t>
  </si>
  <si>
    <t xml:space="preserve">Fresh-baked Italian cookies shipped weekly; 60-day shelf life and retail labeling unconfirmed, so it may fail the perishable gate; 60-day shelf life not stated</t>
  </si>
  <si>
    <t xml:space="preserve">Homepage says 'Shipped Fresh from Our Brooklyn Kitchen Weekly'; no shelf life stated</t>
  </si>
  <si>
    <t xml:space="preserve">Claudio's Kitchen shop (unverified, unplaced)</t>
  </si>
  <si>
    <t xml:space="preserve">Own Gowanus coffee shop</t>
  </si>
  <si>
    <t xml:space="preserve">https://www.instagram.com/claudioskitchennyc/</t>
  </si>
  <si>
    <t xml:space="preserve">BR5:10</t>
  </si>
  <si>
    <t xml:space="preserve">SFFS 2026 exhibitor (Bread &amp; Bakery, In The Fancy Bodega). Founder story: Rome-born, moved to New York in 2015. why_now date is Shopify published_at.</t>
  </si>
  <si>
    <t xml:space="preserve">AB-191</t>
  </si>
  <si>
    <t xml:space="preserve">Pop &amp; Bottle</t>
  </si>
  <si>
    <t xml:space="preserve">Jash</t>
  </si>
  <si>
    <t xml:space="preserve">Mehta</t>
  </si>
  <si>
    <t xml:space="preserve">Co-Founder and CEO</t>
  </si>
  <si>
    <t xml:space="preserve">HQ unknown, no graded store within ten blocks, online store only, a new store listing 22 days ago, revenue unknown, contact named; founder review: claim-borderline.</t>
  </si>
  <si>
    <t xml:space="preserve">New matcha almond milk lattes (Blueberry, Strawberry, Vanilla Bean), Organic Decaf Cold Brew and Matcha Coconut Water listed</t>
  </si>
  <si>
    <t xml:space="preserve">https://www.popandbottle.com/products.json</t>
  </si>
  <si>
    <t xml:space="preserve">https://www.popandbottle.com/pages/our-story</t>
  </si>
  <si>
    <t xml:space="preserve">find Jash Mehta at Pop &amp; Bottle on LinkedIn and paste the profile URL; founder review (claim-borderline): read founder_review_reason first</t>
  </si>
  <si>
    <t xml:space="preserve">https://karagoldin.com/podcasts/jash-mehta/</t>
  </si>
  <si>
    <t xml:space="preserve">Pop &amp; Bottle Vanilla Bean Matcha almond milk latte; Organic Decaf Cold Brew</t>
  </si>
  <si>
    <t xml:space="preserve">https://www.popandbottle.com</t>
  </si>
  <si>
    <t xml:space="preserve">One SKU contains marine collagen (check other SKUs for functional add-ins); tree-nut allergen (almond milk); HQ not found</t>
  </si>
  <si>
    <t xml:space="preserve">Brand FAQ: oat milk lattes are pantry friendly and do not need to be refrigerated (popandbottle.com/pages/faq, opened 2026-10-24); shelf-life length not stated</t>
  </si>
  <si>
    <t xml:space="preserve">Pop Up Grocer (past brand, directory); GoToAisle locator not readable</t>
  </si>
  <si>
    <t xml:space="preserve">https://popupgrocer.com/products/pop-bottle</t>
  </si>
  <si>
    <t xml:space="preserve">Jash Mehta</t>
  </si>
  <si>
    <t xml:space="preserve">Charis Lee</t>
  </si>
  <si>
    <t xml:space="preserve">Charis</t>
  </si>
  <si>
    <t xml:space="preserve">Sr. Brand Manager</t>
  </si>
  <si>
    <t xml:space="preserve">https://instagram.com/popandbottle</t>
  </si>
  <si>
    <t xml:space="preserve">BR3:65</t>
  </si>
  <si>
    <t xml:space="preserve">Dates are Shopify publish dates; new items show $0.00 (pre-launch or retail-only).</t>
  </si>
  <si>
    <t xml:space="preserve">founder_name &lt;- https://karagoldin.com/podcasts/jash-mehta/ (2026-10-24, opened); founder_title &lt;- https://karagoldin.com/podcasts/jash-mehta/ (2026-10-24, opened); shelf_stable &lt;- https://www.popandbottle.com/pages/faq (2026-10-24, opened); shelf_stable_basis &lt;- https://www.popandbottle.com/pages/faq (2026-10-24, opened); marketing_name &lt;- https://attend.expowest.com/event/natural-products-expo-west-2026/exhibitor/RXhoaWJpdG9yXzIzNTg4MTU= (2026-10-24, opened); marketing_title &lt;- https://attend.expowest.com/event/natural-products-expo-west-2026/exhibitor/RXhoaWJpdG9yXzIzNTg4MTU= (2026-10-24, opened); founder_profile_url &lt;- https://karagoldin.com/podcasts/jash-mehta/ (2026-10-24, opened); </t>
  </si>
  <si>
    <t xml:space="preserve">https://attend.expowest.com/event/natural-products-expo-west-2026/exhibitor/RXhoaWJpdG9yXzIzNTg4MTU=</t>
  </si>
  <si>
    <t xml:space="preserve">AB-269</t>
  </si>
  <si>
    <t xml:space="preserve">Skinny Earth</t>
  </si>
  <si>
    <t xml:space="preserve">Pat</t>
  </si>
  <si>
    <t xml:space="preserve">New York State brand, no graded store within ten blocks, online store only, a new store listing 63 days ago, revenue unknown, contact named (first name only); founder review: format.</t>
  </si>
  <si>
    <t xml:space="preserve">Added Sweet Plantain Chips to its online store</t>
  </si>
  <si>
    <t xml:space="preserve">https://skinnyearth.com/products/sweet-plantain-chips</t>
  </si>
  <si>
    <t xml:space="preserve">2026-08-22</t>
  </si>
  <si>
    <t xml:space="preserve">https://events.specialtyfood.com/event/2026-summer-fancy-food-show/exhibitor/RXhoaWJpdG9yXzI0NjQ3ODM=</t>
  </si>
  <si>
    <t xml:space="preserve">find Pat at Skinny Earth on LinkedIn and paste the profile URL; surname not public: take it from LinkedIn; founder review (format): read founder_review_reason first</t>
  </si>
  <si>
    <t xml:space="preserve">Green Plantain Chips; Gluten Free Pink Salt D'Crisp</t>
  </si>
  <si>
    <t xml:space="preserve">Long Island (town unknown)</t>
  </si>
  <si>
    <t xml:space="preserve">https://skinnyearth.com</t>
  </si>
  <si>
    <t xml:space="preserve">Bag size and single-serve format not confirmed ($9.99 listings); brand also sells pancake mix and oatmeal (not eligible SKUs)</t>
  </si>
  <si>
    <t xml:space="preserve">Bagged chips and crisps sold ambient online; shelf life not stated</t>
  </si>
  <si>
    <t xml:space="preserve">unknown (SFFS listing flags 'In The Fancy Bodega')</t>
  </si>
  <si>
    <t xml:space="preserve">Èfè</t>
  </si>
  <si>
    <t xml:space="preserve">https://www.instagram.com/skinnyearth/</t>
  </si>
  <si>
    <t xml:space="preserve">BR5:5</t>
  </si>
  <si>
    <t xml:space="preserve">SFFS 2026 description: 'crafted with all-natural, non-GMO ingredients on Long Island, New York. Founded by mother-daughter team Pat and Èfè, Nigerian American'. why_now date is Shopify published_at.</t>
  </si>
  <si>
    <t xml:space="preserve">AB-252</t>
  </si>
  <si>
    <t xml:space="preserve">Whey Water</t>
  </si>
  <si>
    <t xml:space="preserve">Ujwal</t>
  </si>
  <si>
    <t xml:space="preserve">Trivedi</t>
  </si>
  <si>
    <t xml:space="preserve">Northeast brand, no graded store within ten blocks, online store only, news 219 days ago, revenue unknown, contact named; founder review: claim-borderline.</t>
  </si>
  <si>
    <t xml:space="preserve">Announced May 2026 DTC launch of sparkling protein beverage</t>
  </si>
  <si>
    <t xml:space="preserve">https://startupcpg.com/startup-cpg-newswire-whey-water-announces-may-2026-launch-of-sparkling-protein-beverage/</t>
  </si>
  <si>
    <t xml:space="preserve">2026-03-19</t>
  </si>
  <si>
    <t xml:space="preserve">find Ujwal Trivedi at Whey Water on LinkedIn and paste the profile URL; founder review (claim-borderline): read founder_review_reason first</t>
  </si>
  <si>
    <t xml:space="preserve">Sparkling protein beverage, 12 oz can (18g whey protein isolate, 5g sugar)</t>
  </si>
  <si>
    <t xml:space="preserve">Metuchen</t>
  </si>
  <si>
    <t xml:space="preserve">https://drinkwheywater.com</t>
  </si>
  <si>
    <t xml:space="preserve">Protein drink positioned for post-workout and the workday; protein nutrient claims; dairy-based (confirm ambient storage)</t>
  </si>
  <si>
    <t xml:space="preserve">Brand FAQ: store at room temperature; commercial heat pasteurization for shelf stability; no months stated | brand FAQ; no shelf-life figure, founder to confirm 60+ days</t>
  </si>
  <si>
    <t xml:space="preserve">No sales figure published. DTC launch scheduled May 2026 (Startup CPG 2026-03-19)</t>
  </si>
  <si>
    <t xml:space="preserve">DTC (drinkwheywater.com)</t>
  </si>
  <si>
    <t xml:space="preserve">Ujwal Trivedi</t>
  </si>
  <si>
    <t xml:space="preserve">BR4:47</t>
  </si>
  <si>
    <t xml:space="preserve">Release explicitly names 'on-the-go consumption during the workday' as an occasion.</t>
  </si>
  <si>
    <t xml:space="preserve">shelf_stable &lt;- https://drinkwheywater.com/pages/faq (2026-10-24, opened); shelf_stable_basis &lt;- https://drinkwheywater.com/pages/faq (2026-10-24, opened); </t>
  </si>
  <si>
    <t xml:space="preserve">AB-140</t>
  </si>
  <si>
    <t xml:space="preserve">Nguyen Coffee Supply</t>
  </si>
  <si>
    <t xml:space="preserve">Sahra</t>
  </si>
  <si>
    <t xml:space="preserve">New York City brand, no graded store within ten blocks, online store only, a new store listing 221 days ago, revenue unknown, contact named; founder review: dormant, claim-borderline.</t>
  </si>
  <si>
    <t xml:space="preserve">Launched Vietnamese Coffee Ground Espresso on its store (not the RTD line)</t>
  </si>
  <si>
    <t xml:space="preserve">https://nguyencoffeesupply.com/products/vietnamese-coffee-ground-espresso</t>
  </si>
  <si>
    <t xml:space="preserve">https://nguyencoffeesupply.com/pages/about-us</t>
  </si>
  <si>
    <t xml:space="preserve">find Sahra Nguyen at Nguyen Coffee Supply on LinkedIn and paste the profile URL; founder review (dormant, claim-borderline): read founder_review_reason first</t>
  </si>
  <si>
    <t xml:space="preserve">Vietnamese Coffee RTD cans: Espresso Black, Condensed Milk Latte, Coconut Milk Latte</t>
  </si>
  <si>
    <t xml:space="preserve">https://nguyencoffeesupply.com/products/cold-brew-variety-pack</t>
  </si>
  <si>
    <t xml:space="preserve">RTD 6-pack showed 'currently sold out' on own store (2026-10-23), so cans may be paused; core business is roasted coffee. Copy uses 'boost of energy' wording (caffeine, not a structure claim, but check)</t>
  </si>
  <si>
    <t xml:space="preserve">dormant;claim-borderline</t>
  </si>
  <si>
    <t xml:space="preserve">https://nguyencoffeesupply.com</t>
  </si>
  <si>
    <t xml:space="preserve">RTD product copy: 'Shelf stable' (nguyencoffeesupply.com/products.json, cold-brew-variety-pack, read 2026-10-23)</t>
  </si>
  <si>
    <t xml:space="preserve">Business Insider profile: Nguyen Coffee Supply declined to share revenue figures with Insider; founded 2018-11 as a DTC brand roasting in Brooklyn</t>
  </si>
  <si>
    <t xml:space="preserve">Sahra Nguyen</t>
  </si>
  <si>
    <t xml:space="preserve">https://www.instagram.com/nguyencoffeesupply</t>
  </si>
  <si>
    <t xml:space="preserve">BR3:14</t>
  </si>
  <si>
    <t xml:space="preserve">About page: founded 2018 by Sahra Nguyen, roasts in Brooklyn. Runs an 'Office Coffee Program' (seen on product page), so already sells to offices. RTD variety pack first listed 2024-11-25. why_now_date is the Shopify publish date. | Added 2026-10-24: Press release (Nombase newswire 2026-03-18, title and summary only, 403): Ground Espresso is its first product sourced, roasted and packed in Vietnam; Sahra Nguyen named Founder and CEO; available at Whole Foods Market (unverified, founder to confirm). Earlier RTD retail: Target about 500 stores (2024), Whole Foods 280+ (2024), Sprouts 400+ (2025) per World Coffee Portal and Shore Fire headlines in search results</t>
  </si>
  <si>
    <t xml:space="preserve">notes &lt;- https://www.nombase.com/newswire/2026/03/18/nguyen-coffee-supply-launches-ground-espresso-its-first-product-sourced-and-roasted-in-vietnam (2026-10-24, snippet-unverified); revenue_basis &lt;- https://shorefire.com/images/uploads/album/Sahra_Nguyen_Business_Insider.pdf (2026-10-24, opened); </t>
  </si>
  <si>
    <t xml:space="preserve">AB-279</t>
  </si>
  <si>
    <t xml:space="preserve">Nature's Best Snacks</t>
  </si>
  <si>
    <t xml:space="preserve">New York City brand, no graded store within ten blocks, online store only, no dated why-now in the last 12 months, revenue unknown, no contact named; founder review: other.</t>
  </si>
  <si>
    <t xml:space="preserve">Grab &amp; Go Crunchy ChinChin bite-size cookie snack, 3 oz</t>
  </si>
  <si>
    <t xml:space="preserve">https://naturesbestsnacks.com</t>
  </si>
  <si>
    <t xml:space="preserve">No dated launch or news in the last 12 months; newest online SKU is from 2024. Founder unnamed</t>
  </si>
  <si>
    <t xml:space="preserve">Fried-dough chin chin, plantain chips and caramelized peanuts in sealed bags shipped nationwide; shelf life not stated</t>
  </si>
  <si>
    <t xml:space="preserve">unknown (store locator page has no machine-readable list)</t>
  </si>
  <si>
    <t xml:space="preserve">https://www.instagram.com/naturesbestsnacks/</t>
  </si>
  <si>
    <t xml:space="preserve">BR5:15</t>
  </si>
  <si>
    <t xml:space="preserve">Entrepreneur Space current client: 'Nature's Best Snacks, African Inspired Savory Snacks'. Site: 'Born in Queens. Rooted in West Africa (Cameroon).' Also sells 3.5 oz plantain chips and 5 oz caramelized peanuts.</t>
  </si>
  <si>
    <t xml:space="preserve">AB-128</t>
  </si>
  <si>
    <t xml:space="preserve">Sanzo</t>
  </si>
  <si>
    <t xml:space="preserve">Sandro</t>
  </si>
  <si>
    <t xml:space="preserve">Roco</t>
  </si>
  <si>
    <t xml:space="preserve">New York City brand, no graded store within ten blocks, online store only, no dated why-now in the last 12 months, revenue unknown, contact named; founder review: scale.</t>
  </si>
  <si>
    <t xml:space="preserve">https://drinksanzo.com/pages/about</t>
  </si>
  <si>
    <t xml:space="preserve">find Sandro Roco at Sanzo on LinkedIn and paste the profile URL; founder review (scale): read founder_review_reason first</t>
  </si>
  <si>
    <t xml:space="preserve">Sanzo Calamansi sparkling water, 12 oz can</t>
  </si>
  <si>
    <t xml:space="preserve">https://drinksanzo.com</t>
  </si>
  <si>
    <t xml:space="preserve">Series A funded with 2,000+ doors by 2022; may be above the $10M revenue band (no sourced figure). Store locator is a JS widget (GoToAisle) not readable; no named near-cluster store confirmed</t>
  </si>
  <si>
    <t xml:space="preserve">Series A ($10M, 2022, CircleUp Growth Partners)</t>
  </si>
  <si>
    <t xml:space="preserve">https://www.foodbusinessnews.net/articles/20727-sanzo-raises-10-million-in-series-a-funding</t>
  </si>
  <si>
    <t xml:space="preserve">Brand FAQ: 'Our sparkling water is shelf stable' (drinksanzo.com/pages/faq, opened 2026-10-23)</t>
  </si>
  <si>
    <t xml:space="preserve">Modern Retail 2023-08-02: Sanzo declined to share specific revenue figures; 3,000 retail doors nationwide and household penetration up 300% year over year (no revenue figure)</t>
  </si>
  <si>
    <t xml:space="preserve">Whole Foods Market; Erewhon; Panda Express (foodservice); 2,000+ retail and foodservice outlets (2022 press)</t>
  </si>
  <si>
    <t xml:space="preserve">Sandro Roco</t>
  </si>
  <si>
    <t xml:space="preserve">Kimberly Lam</t>
  </si>
  <si>
    <t xml:space="preserve">Senior Marketing Director</t>
  </si>
  <si>
    <t xml:space="preserve">https://www.instagram.com/drinksanzo</t>
  </si>
  <si>
    <t xml:space="preserve">BR3:2</t>
  </si>
  <si>
    <t xml:space="preserve">Queens-born Filipino American founder; FBN dateline NEW YORK. Whole Foods product page exists for Yuzu 6-pack (wholefoodsmarket.com/grocery/product/...b0bfkcmr99, from search results, not store-specific). No dated signal found in last 12 months.</t>
  </si>
  <si>
    <t xml:space="preserve">marketing_name &lt;- https://www.modernretail.co/marketing/amid-its-retail-expansion-sanzo-is-investing-in-more-nontraditional-collaborations-with-food-and-accessories-brands/ (2026-10-24, opened); marketing_title &lt;- https://www.modernretail.co/marketing/amid-its-retail-expansion-sanzo-is-investing-in-more-nontraditional-collaborations-with-food-and-accessories-brands/ (2026-10-24, opened); revenue_basis &lt;- https://www.modernretail.co/marketing/amid-its-retail-expansion-sanzo-is-investing-in-more-nontraditional-collaborations-with-food-and-accessories-brands/ (2026-10-24, opened); marketing_profile_url &lt;- https://www.modernretail.co/marketing/amid-its-retail-expansion-sanzo-is-investing-in-more-nontraditional-collaborations-with-food-and-accessories-brands/ (2026-10-24, opened); </t>
  </si>
  <si>
    <t xml:space="preserve">https://www.modernretail.co/marketing/amid-its-retail-expansion-sanzo-is-investing-in-more-nontraditional-collaborations-with-food-and-accessories-brands/</t>
  </si>
  <si>
    <t xml:space="preserve">AB-158</t>
  </si>
  <si>
    <t xml:space="preserve">Vita Coco</t>
  </si>
  <si>
    <t xml:space="preserve">Kirban</t>
  </si>
  <si>
    <t xml:space="preserve">CEO per an older press headline quoted on the our-story page</t>
  </si>
  <si>
    <t xml:space="preserve">https://vitacoco.com/pages/our-story</t>
  </si>
  <si>
    <t xml:space="preserve">find Michael Kirban at Vita Coco on LinkedIn and paste the profile URL; founder review (scale): read founder_review_reason first</t>
  </si>
  <si>
    <t xml:space="preserve">Vita Coco Coconut Water, 11.1 oz carton</t>
  </si>
  <si>
    <t xml:space="preserve">https://vitacoco.com</t>
  </si>
  <si>
    <t xml:space="preserve">Large national brand, almost certainly far above the $10M band; recorded as a reference and a possible later standard-tier buyer, not a founding prospect</t>
  </si>
  <si>
    <t xml:space="preserve">Brand FAQ: shelf stable for up to 12 months outside of the fridge (Tetra Pak, flash pasteurized) (vitacoco.com/pages/faq, opened 2026-10-24)</t>
  </si>
  <si>
    <t xml:space="preserve">No figure opened (investor site returned 403)</t>
  </si>
  <si>
    <t xml:space="preserve">unknown (GoToAisle locator not readable)</t>
  </si>
  <si>
    <t xml:space="preserve">Michael Kirban</t>
  </si>
  <si>
    <t xml:space="preserve">Jenny Ly</t>
  </si>
  <si>
    <t xml:space="preserve">Jenny</t>
  </si>
  <si>
    <t xml:space="preserve">Ly</t>
  </si>
  <si>
    <t xml:space="preserve">Brand Activation Manager</t>
  </si>
  <si>
    <t xml:space="preserve">https://www.instagram.com/vitacoco</t>
  </si>
  <si>
    <t xml:space="preserve">BR3:32</t>
  </si>
  <si>
    <t xml:space="preserve">Widely reported as New York-based; HQ not stated on pages opened, so left unknown (founder to confirm).</t>
  </si>
  <si>
    <t xml:space="preserve">hq_city &lt;- https://vitacoco.com/policies/privacy-policy (2026-10-24, opened); hq_state &lt;- https://vitacoco.com/policies/privacy-policy (2026-10-24, opened); shelf_stable &lt;- https://vitacoco.com/pages/faq (2026-10-24, opened); shelf_stable_basis &lt;- https://vitacoco.com/pages/faq (2026-10-24, opened); founder_name &lt;- https://vitacoco.com/pages/our-story (2026-10-24, opened); founder_title &lt;- https://vitacoco.com/pages/our-story (2026-10-24, opened); marketing_name &lt;- https://attend.expowest.com/event/natural-products-expo-west-2026/exhibitor/RXhoaWJpdG9yXzIzNTYzNDU= (2026-10-24, opened); marketing_title &lt;- https://attend.expowest.com/event/natural-products-expo-west-2026/exhibitor/RXhoaWJpdG9yXzIzNTYzNDU= (2026-10-24, opened); </t>
  </si>
  <si>
    <t xml:space="preserve">https://attend.expowest.com/event/natural-products-expo-west-2026/exhibitor/RXhoaWJpdG9yXzIzNTYzNDU=</t>
  </si>
  <si>
    <t xml:space="preserve">AB-050</t>
  </si>
  <si>
    <t xml:space="preserve">DANG Foods</t>
  </si>
  <si>
    <t xml:space="preserve">Brand based outside the Northeast, store page shows Whole Foods Market Union Square inside the cluster, no dated why-now in the last 12 months, revenue unknown, no contact named; founder review: other.</t>
  </si>
  <si>
    <t xml:space="preserve">https://dangfoods.com/pages/our-dang-story</t>
  </si>
  <si>
    <t xml:space="preserve">no person named on an opened page: not ready; before using the retailer line, check Whole Foods Market Union Square still lists it: https://www.wholefoodsmarket.com/search?text=DANG%20Foods with your store set to Union Square (catalogs change daily); founder review (other): read founder_review_reason first</t>
  </si>
  <si>
    <t xml:space="preserve">Dang Sticky Rice Chips, Original, 3.5 oz</t>
  </si>
  <si>
    <t xml:space="preserve">Sausalito</t>
  </si>
  <si>
    <t xml:space="preserve">https://dangfoods.com</t>
  </si>
  <si>
    <t xml:space="preserve">Main office listed as 'Dang Foods at Safe Catch' (Sausalito), which suggests a parent or partner company; budget owner unclear</t>
  </si>
  <si>
    <t xml:space="preserve">Bagged rice chips and toasted coconut chips, ambient</t>
  </si>
  <si>
    <t xml:space="preserve">https://www.wholefoodsmarket.com/search?text=rice%20crackers (Union Square context: Dang Sticky Rice Chips Original and Coconut Crunch 3.5 oz IN_STOCK, category search 2026-10-23)</t>
  </si>
  <si>
    <t xml:space="preserve">BR1:51</t>
  </si>
  <si>
    <t xml:space="preserve">Brand story says the founders lived between NYC and Bangkok.</t>
  </si>
  <si>
    <t xml:space="preserve">AB-051</t>
  </si>
  <si>
    <t xml:space="preserve">Humble Potato Chips Co.</t>
  </si>
  <si>
    <t xml:space="preserve">Brand based outside the Northeast (HQ unverified), store page shows Whole Foods Market NoMad inside the cluster, no dated why-now in the last 12 months, revenue unknown, contact seen only in a snippet; founder review: other.</t>
  </si>
  <si>
    <t xml:space="preserve">Rumbles (ridged) line on WFM NYC shelves (undated)</t>
  </si>
  <si>
    <t xml:space="preserve">https://www.wholefoodsmarket.com/search?text=humble%20potato%20chips</t>
  </si>
  <si>
    <t xml:space="preserve">no person named on an opened page: not ready; before using the retailer line, check Whole Foods Market NoMad still lists it: https://www.wholefoodsmarket.com/search?text=Humble%20Potato%20Chips%20Co. with your store set to NoMad (catalogs change daily); founder review (other): read founder_review_reason first</t>
  </si>
  <si>
    <t xml:space="preserve">Humble Organic Sea Salt Rumbles Potato Chips, 5 oz</t>
  </si>
  <si>
    <t xml:space="preserve">Puslinch or Guelph (unverified, founder to confirm)</t>
  </si>
  <si>
    <t xml:space="preserve">Canadian brand; brand site shows only 'Coming Soon'; HQ and founders from search snippets only; no online store: buy path is the store only</t>
  </si>
  <si>
    <t xml:space="preserve">https://humblepotatochips.com</t>
  </si>
  <si>
    <t xml:space="preserve">Bagged organic potato chips, ambient</t>
  </si>
  <si>
    <t xml:space="preserve">https://www.wholefoodsmarket.com/search?text=humble%20potato%20chips (4 items IN_STOCK in each cluster store context, 2026-10-23)</t>
  </si>
  <si>
    <t xml:space="preserve">Alicia Lahey</t>
  </si>
  <si>
    <t xml:space="preserve">unverified, founder to confirm; search snippets</t>
  </si>
  <si>
    <t xml:space="preserve">Jeff Lahey</t>
  </si>
  <si>
    <t xml:space="preserve">BR1:52</t>
  </si>
  <si>
    <t xml:space="preserve">Strong NYC shelf presence; identity fields need a second pass.</t>
  </si>
  <si>
    <t xml:space="preserve">AB-156</t>
  </si>
  <si>
    <t xml:space="preserve">Slate Milk</t>
  </si>
  <si>
    <t xml:space="preserve">Manny</t>
  </si>
  <si>
    <t xml:space="preserve">Lubin</t>
  </si>
  <si>
    <t xml:space="preserve">Northeast brand, no graded store within ten blocks, online store only, news 66 days ago, revenue unknown, contact named; founder review: scale, claim-borderline.</t>
  </si>
  <si>
    <t xml:space="preserve">LAGO completed a strategic financing facility for Slate (2026-08-19, size not disclosed); raised a 23M Series B to scale US retail distribution (2025-09-22)</t>
  </si>
  <si>
    <t xml:space="preserve">https://www.abfjournal.com/?p=171272</t>
  </si>
  <si>
    <t xml:space="preserve">https://slatemilk.com/pages/our-story</t>
  </si>
  <si>
    <t xml:space="preserve">find Manny Lubin at Slate Milk on LinkedIn and paste the profile URL; founder review (scale, claim-borderline): read founder_review_reason first</t>
  </si>
  <si>
    <t xml:space="preserve">Slate 20g Protein Milk Shake / Protein Iced Coffee, can</t>
  </si>
  <si>
    <t xml:space="preserve">Boston area (Westwood, MA mailing address; press says Boston-based)</t>
  </si>
  <si>
    <t xml:space="preserve">https://slatemilk.com</t>
  </si>
  <si>
    <t xml:space="preserve">Protein positioning (20g to 42g protein, 0g added sugar) is a nutrient-content claim; dairy product (lactose-free) needs allergen care; possibly above $10M (no figure)</t>
  </si>
  <si>
    <t xml:space="preserve">Series B (23M, 2025-09); debt facility from LAGO (2026-08)</t>
  </si>
  <si>
    <t xml:space="preserve">Brand FAQ: 'Our Slate Cans do NOT require refrigeration and remain shelf-stable in your cabinet for months' (slatemilk.com/pages/slate-faqs, opened 2026-10-23)</t>
  </si>
  <si>
    <t xml:space="preserve">unknown (GoToAisle 'Find Stores' widget not readable)</t>
  </si>
  <si>
    <t xml:space="preserve">Manny Lubin</t>
  </si>
  <si>
    <t xml:space="preserve">Josh Belinsky</t>
  </si>
  <si>
    <t xml:space="preserve">Josh</t>
  </si>
  <si>
    <t xml:space="preserve">Belinsky</t>
  </si>
  <si>
    <t xml:space="preserve">https://www.instagram.com/slatemilk</t>
  </si>
  <si>
    <t xml:space="preserve">BR3:30</t>
  </si>
  <si>
    <t xml:space="preserve">Story page: Kickstarter, then ABC Shark Tank appearance. HQ not stated on pages read. Date is Shopify publish date.</t>
  </si>
  <si>
    <t xml:space="preserve">hq_city &lt;- https://www.worldcoffeeportal.com/news/slate-milk-raises-23m-to-scale-rtd-retail-distribution-network (2026-10-24, opened); hq_state &lt;- https://slatemilk.com/policies/privacy-policy (2026-10-24, opened); why_now &lt;- https://www.abfjournal.com/?p=171272 (2026-10-24, opened); why_now_url &lt;- https://www.abfjournal.com/?p=171272 (2026-10-24, opened); why_now_date &lt;- https://www.abfjournal.com/?p=171272 (2026-10-24, opened); funding_stage &lt;- https://www.worldcoffeeportal.com/news/slate-milk-raises-23m-to-scale-rtd-retail-distribution-network (2026-10-24, opened); </t>
  </si>
  <si>
    <t xml:space="preserve">AB-165</t>
  </si>
  <si>
    <t xml:space="preserve">Elmhurst 1925</t>
  </si>
  <si>
    <t xml:space="preserve">Henry</t>
  </si>
  <si>
    <t xml:space="preserve">Schwartz</t>
  </si>
  <si>
    <t xml:space="preserve">New York State brand, no graded store within ten blocks, online store only, a new store listing 130 days ago, revenue unknown, contact named; founder review: scale, claim-borderline.</t>
  </si>
  <si>
    <t xml:space="preserve">Good Housekeeping 2026 Snack Awards named Clean Protein Pistachio Creme Best Protein Drink; Clean Protein line nationwide at Sprouts (press page)</t>
  </si>
  <si>
    <t xml:space="preserve">https://elmhurst1925.com/blogs/press</t>
  </si>
  <si>
    <t xml:space="preserve">https://elmhurst1925.com/pages/our-story</t>
  </si>
  <si>
    <t xml:space="preserve">find Henry Schwartz at Elmhurst 1925 on LinkedIn and paste the profile URL; founder review (scale, claim-borderline): read founder_review_reason first</t>
  </si>
  <si>
    <t xml:space="preserve">Elmhurst Clean Protein Pistachio Creme plant-based protein drink</t>
  </si>
  <si>
    <t xml:space="preserve">Elma</t>
  </si>
  <si>
    <t xml:space="preserve">https://elmhurst1925.com</t>
  </si>
  <si>
    <t xml:space="preserve">Protein positioning (nutrient-content claims); plant-milk maker whose single-serve format is not confirmed; tree-nut and other allergens; may be above $10M (no figure). Destini locator not readable</t>
  </si>
  <si>
    <t xml:space="preserve">Brand FAQ: 'DO I HAVE TO REFRIGERATE MY CARTON? Nope! If the carton or bottle is unopened...' (elmhurst1925.com/pages/faq, opened 2026-10-23)</t>
  </si>
  <si>
    <t xml:space="preserve">Sprouts Farmers Market (Clean Protein nationwide, 2026 press); Pop Up Grocer NYC Flagship, 205 Bleecker St (retailer directory)</t>
  </si>
  <si>
    <t xml:space="preserve">https://elmhurst1925.com/blogs/press; https://popupgrocer.com/products/elmhurst-1925</t>
  </si>
  <si>
    <t xml:space="preserve">Henry Schwartz</t>
  </si>
  <si>
    <t xml:space="preserve">Christie Hartman</t>
  </si>
  <si>
    <t xml:space="preserve">Christie</t>
  </si>
  <si>
    <t xml:space="preserve">Hartman</t>
  </si>
  <si>
    <t xml:space="preserve">https://www.instagram.com/elmhurst1925</t>
  </si>
  <si>
    <t xml:space="preserve">BR3:39</t>
  </si>
  <si>
    <t xml:space="preserve">Our-story: relaunch of New York City's last dairy, Elmhurst (Queens and Brooklyn milk delivery). Current HQ and plant location not stated on pages read (founder to confirm). Clean Protein SKUs listed 2026-02-27.</t>
  </si>
  <si>
    <t xml:space="preserve">hq_city &lt;- https://elmhurst1925.com/policies/terms-of-service (2026-10-24, opened); hq_state &lt;- https://elmhurst1925.com/policies/terms-of-service (2026-10-24, opened); marketing_name &lt;- https://attend.expowest.com/event/natural-products-expo-west-2026/exhibitor/RXhoaWJpdG9yXzIzNTc0MjA= (2026-10-24, opened); marketing_title &lt;- https://attend.expowest.com/event/natural-products-expo-west-2026/exhibitor/RXhoaWJpdG9yXzIzNTc0MjA= (2026-10-24, opened); </t>
  </si>
  <si>
    <t xml:space="preserve">https://attend.expowest.com/event/natural-products-expo-west-2026/exhibitor/RXhoaWJpdG9yXzIzNTc0MjA=</t>
  </si>
  <si>
    <t xml:space="preserve">AB-180</t>
  </si>
  <si>
    <t xml:space="preserve">MODA Mocktails</t>
  </si>
  <si>
    <t xml:space="preserve">Grace</t>
  </si>
  <si>
    <t xml:space="preserve">Hachigian</t>
  </si>
  <si>
    <t xml:space="preserve">Brand based outside the Northeast, no graded store within ten blocks, online store only, a new store listing 16 days ago, revenue in band, contact named; founder review: other.</t>
  </si>
  <si>
    <t xml:space="preserve">Featured in Entrepreneur (2026-10-08): 500k revenue since launch, co-founder Grace Hachigian runs the East Coast from NYC; added to Pop Up Grocer NYC Flagship directory 2026-09-29</t>
  </si>
  <si>
    <t xml:space="preserve">https://www.entrepreneur.com/building-a-business/this-mother-daughter-duo-started-a-sparkling-side-hustle-that-made-500000-in-less-than-a-year</t>
  </si>
  <si>
    <t xml:space="preserve">https://modamocktails.com/about-us-2/</t>
  </si>
  <si>
    <t xml:space="preserve">find Grace Hachigian at MODA Mocktails on LinkedIn and paste the profile URL; founder review (other): read founder_review_reason first</t>
  </si>
  <si>
    <t xml:space="preserve">MODA non-alcoholic canned mocktail</t>
  </si>
  <si>
    <t xml:space="preserve">Newport Beach</t>
  </si>
  <si>
    <t xml:space="preserve">https://modamocktails.com/shop</t>
  </si>
  <si>
    <t xml:space="preserve">Very early: FAQ answers 'Where can I buy MODA?' with 'TBD' and the shop showed no products; HQ unknown | Added 2026-10-24: no longer pre-retail. Entrepreneur 2026-10-08 reports 500k revenue since launch and shelf space at multiple national chains; co-founder Grace Hachigian is NYC-based. Shelf stability still not stated; 60-day shelf life not stated</t>
  </si>
  <si>
    <t xml:space="preserve">https://modamocktails.com</t>
  </si>
  <si>
    <t xml:space="preserve">press quote, cumulative since launch (edge of band)</t>
  </si>
  <si>
    <t xml:space="preserve">Entrepreneur 2026-10-08: MODA has hit $500,000 in revenue since launch earlier this year; $3 million to $5 million projected for 2027 (projection); founders personally invested over $500,000 | about 500k since launch in 2026 (press quote)</t>
  </si>
  <si>
    <t xml:space="preserve">Pop Up Grocer NYC Flagship, 205 Bleecker St (retailer directory)</t>
  </si>
  <si>
    <t xml:space="preserve">https://popupgrocer.com/products/moda-mocktails</t>
  </si>
  <si>
    <t xml:space="preserve">Grace Hachigian</t>
  </si>
  <si>
    <t xml:space="preserve">Sosy Hachigian</t>
  </si>
  <si>
    <t xml:space="preserve">Sosy</t>
  </si>
  <si>
    <t xml:space="preserve">BR3:54</t>
  </si>
  <si>
    <t xml:space="preserve">MODA = mother and daughter (about page). Women-owned per Pop Up Grocer. Brand-new in NYC retail, so a timely but unproven prospect. | Stage 1 online-store check 2026-10-24: WooCommerce shop page with add-to-cart buttons (https://modamocktails.com/shop)</t>
  </si>
  <si>
    <t xml:space="preserve">hq_city &lt;- https://modamocktails.com/pages/contact (2026-10-24, opened); hq_state &lt;- https://modamocktails.com/pages/contact (2026-10-24, opened); founder_name &lt;- https://www.entrepreneur.com/building-a-business/this-mother-daughter-duo-started-a-sparkling-side-hustle-that-made-500000-in-less-than-a-year (2026-10-24, opened); founder_title &lt;- https://www.entrepreneur.com/building-a-business/this-mother-daughter-duo-started-a-sparkling-side-hustle-that-made-500000-in-less-than-a-year (2026-10-24, opened); revenue_band &lt;- https://www.entrepreneur.com/building-a-business/this-mother-daughter-duo-started-a-sparkling-side-hustle-that-made-500000-in-less-than-a-year (2026-10-24, opened); revenue_basis &lt;- https://www.entrepreneur.com/building-a-business/this-mother-daughter-duo-started-a-sparkling-side-hustle-that-made-500000-in-less-than-a-year (2026-10-24, opened); why_now &lt;- https://www.entrepreneur.com/building-a-business/this-mother-daughter-duo-started-a-sparkling-side-hustle-that-made-500000-in-less-than-a-year (2026-10-24, opened); why_now_url &lt;- https://www.entrepreneur.com/building-a-business/this-mother-daughter-duo-started-a-sparkling-side-hustle-that-made-500000-in-less-than-a-year (2026-10-24, opened); why_now_date &lt;- https://www.entrepreneur.com/building-a-business/this-mother-daughter-duo-started-a-sparkling-side-hustle-that-made-500000-in-less-than-a-year (2026-10-24, opened); founder_review_reason &lt;- https://www.entrepreneur.com/building-a-business/this-mother-daughter-duo-started-a-sparkling-side-hustle-that-made-500000-in-less-than-a-year (2026-10-24, opened); founder_profile_url &lt;- https://www.entrepreneur.com/building-a-business/this-mother-daughter-duo-started-a-sparkling-side-hustle-that-made-500000-in-less-than-a-year (2026-10-24, opened); online_store &lt;- https://modamocktails.com/shop (2026-10-24, opened, stage 1); </t>
  </si>
  <si>
    <t xml:space="preserve">AB-295</t>
  </si>
  <si>
    <t xml:space="preserve">Scamps Toffee</t>
  </si>
  <si>
    <t xml:space="preserve">Northeast brand, no graded store within ten blocks, online store only, a new store listing 60 days ago, revenue unknown, contact named (first name only); founder review: other.</t>
  </si>
  <si>
    <t xml:space="preserve">Launched Pumpkin Spice Toffee Popcorn mini-pops for fall 2026</t>
  </si>
  <si>
    <t xml:space="preserve">https://www.scampstoffee.com/products.json</t>
  </si>
  <si>
    <t xml:space="preserve">https://events.specialtyfood.com/event/2026-summer-fancy-food-show/exhibitor/RXhoaWJpdG9yXzI0MjExMjE=</t>
  </si>
  <si>
    <t xml:space="preserve">find Justin at Scamps Toffee on LinkedIn and paste the profile URL; surname not public: take it from LinkedIn; founder review (other): read founder_review_reason first</t>
  </si>
  <si>
    <t xml:space="preserve">https://www.scampstoffee.com/pages/about</t>
  </si>
  <si>
    <t xml:space="preserve">Pumpkin Spice Mini Toffee Popcorn, 3.5 oz bag; No Nut Milk Chocolate Toffee bag</t>
  </si>
  <si>
    <t xml:space="preserve">https://www.scampstoffee.com</t>
  </si>
  <si>
    <t xml:space="preserve">Gift-led confectioner under new owners since 2025; per-unit price high for pantry sampling. No NYC retailer found</t>
  </si>
  <si>
    <t xml:space="preserve">Chocolate-covered toffee and toffee popcorn in sealed bags sold ambient online</t>
  </si>
  <si>
    <t xml:space="preserve">Gift shops and specialty retailers (wholesale page)</t>
  </si>
  <si>
    <t xml:space="preserve">Emily Korns</t>
  </si>
  <si>
    <t xml:space="preserve">Emily</t>
  </si>
  <si>
    <t xml:space="preserve">Korns</t>
  </si>
  <si>
    <t xml:space="preserve">https://www.instagram.com/scampstoffee/</t>
  </si>
  <si>
    <t xml:space="preserve">BR5:31</t>
  </si>
  <si>
    <t xml:space="preserve">SFFS 2026 exhibitor (State: Pennsylvania). No-nut toffee SKUs exist (allergen-friendly option).</t>
  </si>
  <si>
    <t xml:space="preserve">AB-268</t>
  </si>
  <si>
    <t xml:space="preserve">Norwegian Baked</t>
  </si>
  <si>
    <t xml:space="preserve">New York City brand, no graded store within ten blocks, online store only, a new store listing 248 days ago, revenue unknown, no contact named; founder review: format, claim-borderline.</t>
  </si>
  <si>
    <t xml:space="preserve">KnekkeGodis named 2026 sofi Gold (Sweet Snack); new Sea Salt Flakes Knekkebrød added to the online store</t>
  </si>
  <si>
    <t xml:space="preserve">https://norwegianbaked.com/products/sea-salt-flakes-knekkebrod-crispbread</t>
  </si>
  <si>
    <t xml:space="preserve">https://www.specialtyfood.com/awards/sofi-awards/winners/</t>
  </si>
  <si>
    <t xml:space="preserve">no person named on an opened page: not ready; founder review (format, claim-borderline): read founder_review_reason first</t>
  </si>
  <si>
    <t xml:space="preserve">Classic Knekkebrød organic crispbread; KnekkeGodis chocolate-kissed crispbread</t>
  </si>
  <si>
    <t xml:space="preserve">https://norwegianbaked.com</t>
  </si>
  <si>
    <t xml:space="preserve">Sold as share-size packs ($12); single-serve format not seen. Founder is unnamed (first-person story only). Site copy says 'nutrient-rich' and 'healthy addition' (soft wording, no structure-function claim)</t>
  </si>
  <si>
    <t xml:space="preserve">Baked seeded crispbread sold ambient by mail and in stores; shelf life not stated</t>
  </si>
  <si>
    <t xml:space="preserve">'Stores nationwide' and farmers' markets (about page); locator is a Storemapper widget that returned no data</t>
  </si>
  <si>
    <t xml:space="preserve">https://www.instagram.com/norwegianbaked/</t>
  </si>
  <si>
    <t xml:space="preserve">BR5:4</t>
  </si>
  <si>
    <t xml:space="preserve">SFA 2026 sofi winners page lists 'Sweet Snack, Gold: Norwegian Baked-KnekkeGodis'; also a 2026 sofi finalist (foodindustryexecutive.com, 2025-10-23) and a SFFS 2026 exhibitor ('Crafted in Brooklyn'). why_now date is the products.json published_at of the new flavor. Storemapper id 38723-xMjx8y7OMoFklMoq returned an empty store list.</t>
  </si>
  <si>
    <t xml:space="preserve">AB-093</t>
  </si>
  <si>
    <t xml:space="preserve">Peeled Snacks</t>
  </si>
  <si>
    <t xml:space="preserve">New York City brand (HQ unverified), no graded store within ten blocks, online store only, a new store listing 243 days ago, revenue unknown, no contact named; founder review: other.</t>
  </si>
  <si>
    <t xml:space="preserve">Brand store relisted its four organic dried fruit SKUs in Feb 2026</t>
  </si>
  <si>
    <t xml:space="preserve">https://peeledsnacks.com/</t>
  </si>
  <si>
    <t xml:space="preserve">2026-02-23</t>
  </si>
  <si>
    <t xml:space="preserve">https://peeledsnacks.com/pages/about-us</t>
  </si>
  <si>
    <t xml:space="preserve">Organic Dried Mango; Organic Tropical Blend (12 x 2.5 oz)</t>
  </si>
  <si>
    <t xml:space="preserve">Cumberland RI or Brooklyn NY (search snippets conflict: Craft and Winmo say Cumberland RI, CB Insights says Brooklyn; unverified, founder to confirm)</t>
  </si>
  <si>
    <t xml:space="preserve">https://peeledsnacks.com</t>
  </si>
  <si>
    <t xml:space="preserve">HQ, team and retailers not stated on brand site; buy path is online only as far as found; 60-day shelf life not stated</t>
  </si>
  <si>
    <t xml:space="preserve">Dried fruit in 2.5 oz bags; shelf-life figure not found</t>
  </si>
  <si>
    <t xml:space="preserve">https://www.wholefoodsmarket.com/api/search?text=peeled%20snacks&amp;store=10162&amp;limit=60&amp;offset=0</t>
  </si>
  <si>
    <t xml:space="preserve">https://www.instagram.com/peeledsnacks/</t>
  </si>
  <si>
    <t xml:space="preserve">BR2:31</t>
  </si>
  <si>
    <t xml:space="preserve">Donates 10% of profits to fight hunger (about page). No added sugar. Not in WFM cluster catalogs. Why-now is weak (Shopify publish date).</t>
  </si>
  <si>
    <t xml:space="preserve">hq_city &lt;- https://craft.co/peeled-snacks (2026-10-24, snippet-unverified); </t>
  </si>
  <si>
    <t xml:space="preserve">AB-022</t>
  </si>
  <si>
    <t xml:space="preserve">BobbySue's Nuts</t>
  </si>
  <si>
    <t xml:space="preserve">Barb</t>
  </si>
  <si>
    <t xml:space="preserve">Kobren</t>
  </si>
  <si>
    <t xml:space="preserve">New York State brand, no graded store within ten blocks, online store only, no dated why-now in the last 12 months, revenue unknown, contact named.</t>
  </si>
  <si>
    <t xml:space="preserve">https://www.bobbysuesnuts.com/story</t>
  </si>
  <si>
    <t xml:space="preserve">find Barb Kobren at BobbySue's Nuts on LinkedIn and paste the profile URL</t>
  </si>
  <si>
    <t xml:space="preserve">BobbySue's Nuts hand-roasted nut mixes (on-the-go packs listed on homepage)</t>
  </si>
  <si>
    <t xml:space="preserve">Chappaqua</t>
  </si>
  <si>
    <t xml:space="preserve">https://www.bobbysuesnuts.com</t>
  </si>
  <si>
    <t xml:space="preserve">Hand-roasted nut mixes in sealed packs, ambient</t>
  </si>
  <si>
    <t xml:space="preserve">unknown (Find Us page did not render without JavaScript)</t>
  </si>
  <si>
    <t xml:space="preserve">https://www.wholefoodsmarket.com/search?text=bobbysue%27s%20nuts (no results in Union Square, NoMad or Chelsea context, 2026-10-23)</t>
  </si>
  <si>
    <t xml:space="preserve">Barb Kobren</t>
  </si>
  <si>
    <t xml:space="preserve">a.k.a. BobbySue</t>
  </si>
  <si>
    <t xml:space="preserve">BR1:23</t>
  </si>
  <si>
    <t xml:space="preserve">Westchester brand with an animal-welfare mission; team named on story page (Barb, Adam, Greg, Marta, Dave). Business address on site footer is Chappaqua NY. Older press includes sofi awards and Consumer Reports mention.</t>
  </si>
  <si>
    <t xml:space="preserve">AB-212</t>
  </si>
  <si>
    <t xml:space="preserve">North Fork Potato Chips</t>
  </si>
  <si>
    <t xml:space="preserve">Martin</t>
  </si>
  <si>
    <t xml:space="preserve">Sidor</t>
  </si>
  <si>
    <t xml:space="preserve">Farmer and owner, Martin Sidor Farms</t>
  </si>
  <si>
    <t xml:space="preserve">New York State brand, no graded store within ten blocks, online store only, no dated why-now in the last 12 months, revenue unknown, contact named; founder review: other.</t>
  </si>
  <si>
    <t xml:space="preserve">https://northforkchips.com/our-story/</t>
  </si>
  <si>
    <t xml:space="preserve">find Martin Sidor at North Fork Potato Chips on LinkedIn and paste the profile URL; founder review (other): read founder_review_reason first</t>
  </si>
  <si>
    <t xml:space="preserve">Kettle-cooked potato chips in sunflower oil (sampler cases sold online)</t>
  </si>
  <si>
    <t xml:space="preserve">Cutchogue (Long Island)</t>
  </si>
  <si>
    <t xml:space="preserve">https://northforkchips.com</t>
  </si>
  <si>
    <t xml:space="preserve">No Manhattan retailer found; qualifies only through the online store, and discount-code ability is unknown</t>
  </si>
  <si>
    <t xml:space="preserve">family-owned farm business (Martin Sidor Farms, per Our Story)</t>
  </si>
  <si>
    <t xml:space="preserve">Bagged kettle chips sold ambient; no shelf-life figure published, founder to confirm 60+ days</t>
  </si>
  <si>
    <t xml:space="preserve">King Kullen (Long Island); LI Welcome Center; local grocers and delis (homepage Find in Stores list)</t>
  </si>
  <si>
    <t xml:space="preserve">https://northforkchips.com/</t>
  </si>
  <si>
    <t xml:space="preserve">Martin Sidor</t>
  </si>
  <si>
    <t xml:space="preserve">https://www.instagram.com/northforkchips</t>
  </si>
  <si>
    <t xml:space="preserve">BR4:7</t>
  </si>
  <si>
    <t xml:space="preserve">Contact page: 8595 Cox Ln, Unit 4, Cutchogue, NY 11935. Family potato farm since 1910 (Our Story). Homepage store list shows Long Island stores only. Not in WFM cluster catalogs on 2026-10-23. No dated 12-month signal on site.</t>
  </si>
  <si>
    <t xml:space="preserve">nyc_retailers_near_cluster &lt;- https://northforkchips.com/ (2026-10-24, opened); </t>
  </si>
  <si>
    <t xml:space="preserve">AB-171</t>
  </si>
  <si>
    <t xml:space="preserve">Esprizio</t>
  </si>
  <si>
    <t xml:space="preserve">Brand based outside the Northeast (HQ unverified), no graded store within ten blocks, online store only, news 79 days ago, revenue unknown, contact seen only in a snippet; founder review: other.</t>
  </si>
  <si>
    <t xml:space="preserve">2026 Startup CPG Shelfie Award finalist, Coffee category; variety pack listed 2026-01-21</t>
  </si>
  <si>
    <t xml:space="preserve">https://drinkesprizio.com/pages/our-story</t>
  </si>
  <si>
    <t xml:space="preserve">Esprizio Blood Orange Espresso Spritz, can</t>
  </si>
  <si>
    <t xml:space="preserve">Los Angeles (unverified, founder to confirm)</t>
  </si>
  <si>
    <t xml:space="preserve">https://drinkesprizio.com</t>
  </si>
  <si>
    <t xml:space="preserve">California brand, no NYC retail found; caffeinated; 60-day shelf life not stated</t>
  </si>
  <si>
    <t xml:space="preserve">https://stockist.co/api/v1/map_p3xw2j6q/locations/search?latitude=40.7400&amp;longitude=-73.9900&amp;distance=3</t>
  </si>
  <si>
    <t xml:space="preserve">Nick Elliott</t>
  </si>
  <si>
    <t xml:space="preserve">BR3:45</t>
  </si>
  <si>
    <t xml:space="preserve">Our-story banner: 'Inspired by Italy. Born in California.' (basis for hq_state CA). | Added 2026-10-24: Launch press release: Esprizio reimagines ready-to-drink coffee with the sparkling espresso spritz (BevNET PR 2026-03-18, 403); BevNET review 2026 notes the word spritz may confuse shoppers with alcohol (unverified, founder to confirm)</t>
  </si>
  <si>
    <t xml:space="preserve">founder_name &lt;- https://imginn.com/leylinelabs/ (2026-10-24, snippet-unverified); hq_city &lt;- https://www.nombase.com/companies/drink-esprizio (2026-10-24, snippet-unverified); notes &lt;- https://bevnet.com/pr/2026/03/18/esprizio-reimagines-readytodrink-coffee-with-the-sparkling-espresso-spritz (2026-10-24, snippet-unverified); </t>
  </si>
  <si>
    <t xml:space="preserve">AB-135</t>
  </si>
  <si>
    <t xml:space="preserve">Boylan Bottling</t>
  </si>
  <si>
    <t xml:space="preserve">Launched limited-edition Freedom Cola for the US 250th, regional launch through Big Geyser in the New York area (unverified, founder to confirm: BevNET page blocked)</t>
  </si>
  <si>
    <t xml:space="preserve">https://bevnet.com/pr/2026/06/09/boylan-bottling-launches-freedom-cola-a-limitededition-craft-soda-celebrating-250-years-of-american-independence</t>
  </si>
  <si>
    <t xml:space="preserve">https://boylanbottling.com</t>
  </si>
  <si>
    <t xml:space="preserve">find Chris Taylor at Boylan Bottling on LinkedIn and paste the profile URL; founder review (not-emerging): read founder_review_reason first</t>
  </si>
  <si>
    <t xml:space="preserve">Boylan Cane Sugar Black Cherry soda, 12 oz glass bottle</t>
  </si>
  <si>
    <t xml:space="preserve">Heritage brand (since 1891) with national distribution; likely above the emerging-brand profile. Manhattan HQ (22 Vanderbilt Ave) is a plus</t>
  </si>
  <si>
    <t xml:space="preserve">private, established 1891</t>
  </si>
  <si>
    <t xml:space="preserve">Brand FAQ: Do your products need to be refrigerated? A: NO (boylanbottling.com/pages/faqs, opened 2026-10-24); best-by date printed on the bottle neck, shelf-life length not stated</t>
  </si>
  <si>
    <t xml:space="preserve">Big Geyser distribution in the New York area (2026 press release snippet, not opened)</t>
  </si>
  <si>
    <t xml:space="preserve">Chris Taylor</t>
  </si>
  <si>
    <t xml:space="preserve">https://www.instagram.com/boylanbottling</t>
  </si>
  <si>
    <t xml:space="preserve">BR3:9</t>
  </si>
  <si>
    <t xml:space="preserve">Site footer: 22 Vanderbilt Ave, 22nd Fl, New York, NY 10017. Product finder is a GoToAisle JS widget (not readable).</t>
  </si>
  <si>
    <t xml:space="preserve">shelf_stable &lt;- https://boylanbottling.com/pages/faqs (2026-10-24, opened); shelf_stable_basis &lt;- https://boylanbottling.com/pages/faqs (2026-10-24, opened); </t>
  </si>
  <si>
    <t xml:space="preserve">AB-265</t>
  </si>
  <si>
    <t xml:space="preserve">Yaté Yerba Mate</t>
  </si>
  <si>
    <t xml:space="preserve">Eric</t>
  </si>
  <si>
    <t xml:space="preserve">Hoang</t>
  </si>
  <si>
    <t xml:space="preserve">New York City brand (HQ unverified), no graded store within ten blocks, online store only, no dated why-now in the last 12 months, revenue unknown, contact named; founder review: claim-borderline.</t>
  </si>
  <si>
    <t xml:space="preserve">Homepage banner: 'All new Unsweetened Original' (undated; founder to confirm launch date)</t>
  </si>
  <si>
    <t xml:space="preserve">https://www.drinkyate.com/</t>
  </si>
  <si>
    <t xml:space="preserve">find Eric Hoang at Yaté Yerba Mate on LinkedIn and paste the profile URL; founder review (claim-borderline): read founder_review_reason first</t>
  </si>
  <si>
    <t xml:space="preserve">https://firebellymarketing.com/podcast/eric-hoang/</t>
  </si>
  <si>
    <t xml:space="preserve">Sparkling yerba mate, 12 oz can (Original Unsweetened, Original Golden, Sub-lime Ginger)</t>
  </si>
  <si>
    <t xml:space="preserve">New York (2024 release datelined NEW YORK, NY); a BevNET review snippet says 'born and made in LA', unverified, founder to confirm</t>
  </si>
  <si>
    <t xml:space="preserve">https://www.drinkyate.com</t>
  </si>
  <si>
    <t xml:space="preserve">Caffeinated yerba mate with 'unexpectedly healthy pick-me-up' wording (soft functional positioning); 60-day shelf life not stated</t>
  </si>
  <si>
    <t xml:space="preserve">Canned; storage not stated on homepage, founder to confirm</t>
  </si>
  <si>
    <t xml:space="preserve">NYC distribution via Gold Coast Distributors (2024 release); wholesale via Pod Foods, Faire and Airgoods; store locator page</t>
  </si>
  <si>
    <t xml:space="preserve">https://startupcpg.com/startup-cpg-newswire-yate-yerba-mate-partners-with-gold-coast-distributors-to-expand-footprint-in-nyc/</t>
  </si>
  <si>
    <t xml:space="preserve">Eric Hoang</t>
  </si>
  <si>
    <t xml:space="preserve">BR4:60</t>
  </si>
  <si>
    <t xml:space="preserve">Startup CPG release (2024-08-26) names Eric Hoang as press contact (role not stated). Not in WFM cluster catalogs on 2026-10-23. NYC bodega/deli distribution through Gold Coast is the likely buy path; confirm stores near the cluster.</t>
  </si>
  <si>
    <t xml:space="preserve">founder_name &lt;- https://firebellymarketing.com/podcast/eric-hoang/ (2026-10-24, opened); founder_title &lt;- https://firebellymarketing.com/podcast/eric-hoang/ (2026-10-24, opened); founder_profile_url &lt;- https://firebellymarketing.com/podcast/eric-hoang/ (2026-10-24, opened); hq_city &lt;- https://startupcpg.com/startup-cpg-newswire-yate-yerba-mate-partners-with-gold-coast-distributors-to-expand-footprint-in-nyc/ (2026-10-24, opened); </t>
  </si>
  <si>
    <t xml:space="preserve">AB-211</t>
  </si>
  <si>
    <t xml:space="preserve">RISE Brewing Co.</t>
  </si>
  <si>
    <t xml:space="preserve">Grant</t>
  </si>
  <si>
    <t xml:space="preserve">Gyesky</t>
  </si>
  <si>
    <t xml:space="preserve">Brand based outside the Northeast, store page shows Whole Foods Market NoMad inside the cluster, a new store listing 175 days ago, revenue unknown, contact named; founder review: owner, scale, claim-borderline.</t>
  </si>
  <si>
    <t xml:space="preserve">Relaunched its canned line in a new 11 oz format (Classic, Vanilla, Mocha, Salted Caramel Oatmilk Lattes and Black Cold Brew); homepage banner 'New RISE 11oz now available'</t>
  </si>
  <si>
    <t xml:space="preserve">https://risebrewingco.com/products.json?limit=250</t>
  </si>
  <si>
    <t xml:space="preserve">2026-05-02</t>
  </si>
  <si>
    <t xml:space="preserve">https://risebrewingco.com/pages/about-us</t>
  </si>
  <si>
    <t xml:space="preserve">find Grant Gyesky at RISE Brewing Co. on LinkedIn and paste the profile URL; before using the retailer line, check Whole Foods Market NoMad still lists it: https://www.wholefoodsmarket.com/search?text=RISE%20Brewing%20Co. with your store set to NoMad (catalogs change daily); founder review (owner, scale, claim-borderline): read founder_review_reason first</t>
  </si>
  <si>
    <t xml:space="preserve">https://www.jpmorgan.com/commercial-banking/insights/rise-brewing-co-ascends-in-the-beverage-industry</t>
  </si>
  <si>
    <t xml:space="preserve">RISE 11 oz Classic Oatmilk Latte can (shelf-stable per brand); Original Black Nitro Cold Brew 11 fl oz</t>
  </si>
  <si>
    <t xml:space="preserve">Houston, TX (privacy policy: RISE Beverages LLC, 601 Arlington St, Houston TX 77007). Brand was founded in NYC.</t>
  </si>
  <si>
    <t xml:space="preserve">https://risebrewingco.com</t>
  </si>
  <si>
    <t xml:space="preserve">20,000+ doors (2021) may put it above the $10M ceiling; brand already runs its own office coffee program (kegs, cans), so it may see Desk Drop as overlap</t>
  </si>
  <si>
    <t xml:space="preserve">owner;scale;claim-borderline</t>
  </si>
  <si>
    <t xml:space="preserve">acquired by UPTIME Energy (early 2025; unverified, founder to confirm)</t>
  </si>
  <si>
    <t xml:space="preserve">About page: Oat Milk Latte, Oat Milk Mocha and Original Black cans are 'shelf stable'; storage for other cans not stated</t>
  </si>
  <si>
    <t xml:space="preserve">About page says 'over 20,000 doors nationwide' in 2021 (store count, not used for band)</t>
  </si>
  <si>
    <t xml:space="preserve">Whole Foods Market; Amazon (image filenames); 20,000+ doors (2021, brand about page)</t>
  </si>
  <si>
    <t xml:space="preserve">https://www.wholefoodsmarket.com/api/search?text=rise%20brewing&amp;store=10773&amp;limit=60&amp;offset=0; https://www.wholefoodsmarket.com/api/search?text=rise%20brewing&amp;store=10162&amp;limit=60&amp;offset=0; https://www.wholefoodsmarket.com/api/search?text=rise%20brewing&amp;store=10131&amp;limit=60&amp;offset=0; https://www.wholefoodsmarket.com/api/search?text=rise%20brewing&amp;store=10713&amp;limit=60&amp;offset=0</t>
  </si>
  <si>
    <t xml:space="preserve">Grant Gyesky</t>
  </si>
  <si>
    <t xml:space="preserve">Jarrett McGovern</t>
  </si>
  <si>
    <t xml:space="preserve">Jarrett</t>
  </si>
  <si>
    <t xml:space="preserve">McGovern</t>
  </si>
  <si>
    <t xml:space="preserve">Co-founder and Chief Creative Officer</t>
  </si>
  <si>
    <t xml:space="preserve">https://www.instagram.com/risebrewingco/</t>
  </si>
  <si>
    <t xml:space="preserve">BR4:6</t>
  </si>
  <si>
    <t xml:space="preserve">Founded 2014; BevNET New Beverage Showdown winner 2017 (about page). Homepage banner 'New RISE 11oz now available' (undated). Office page https://risebrewingco.com/pages/offices pitches nitro kegs and cans to offices. Storemapper id 18418 found on locator page but returned no data.</t>
  </si>
  <si>
    <t xml:space="preserve">why_now &lt;- https://risebrewingco.com/products.json?limit=250 (2026-10-24, opened); why_now_url &lt;- https://risebrewingco.com/products.json?limit=250 (2026-10-24, opened); why_now_date &lt;- https://risebrewingco.com/products.json?limit=250 (2026-10-24, opened); founder_name &lt;- https://www.jpmorgan.com/commercial-banking/insights/rise-brewing-co-ascends-in-the-beverage-industry (2026-10-24, opened); founder_title &lt;- https://www.jpmorgan.com/commercial-banking/insights/rise-brewing-co-ascends-in-the-beverage-industry (2026-10-24, opened); founder_profile_url &lt;- https://www.jpmorgan.com/commercial-banking/insights/rise-brewing-co-ascends-in-the-beverage-industry (2026-10-24, opened); marketing_name &lt;- https://www.jpmorgan.com/commercial-banking/insights/rise-brewing-co-ascends-in-the-beverage-industry (2026-10-24, opened); marketing_title &lt;- https://www.jpmorgan.com/commercial-banking/insights/rise-brewing-co-ascends-in-the-beverage-industry (2026-10-24, opened); marketing_profile_url &lt;- https://www.jpmorgan.com/commercial-banking/insights/rise-brewing-co-ascends-in-the-beverage-industry (2026-10-24, opened); hq_city &lt;- https://risebrewingco.com/policies/privacy-policy (2026-10-24, opened); hq_state &lt;- https://risebrewingco.com/policies/privacy-policy (2026-10-24, opened); funding_stage &lt;- https://www.bevnet.com/news/2025/uptime-energy-acquires-rise-brewing-co-new-glass-bottle-line-targets-c-stores (2026-10-24, snippet-unverified); </t>
  </si>
  <si>
    <t xml:space="preserve">AB-079</t>
  </si>
  <si>
    <t xml:space="preserve">Emmy's Organics</t>
  </si>
  <si>
    <t xml:space="preserve">Abrams</t>
  </si>
  <si>
    <t xml:space="preserve">New York State brand, store page shows Whole Foods Market NoMad inside the cluster, a new store listing 216 days ago, revenue unknown, contact named; founder review: owner.</t>
  </si>
  <si>
    <t xml:space="preserve">Launched Oatmeal No-Bakes line (Mar 2026) and refreshed Coconut Cookies listings (May 2026) on brand store</t>
  </si>
  <si>
    <t xml:space="preserve">https://emmysorganics.com/</t>
  </si>
  <si>
    <t xml:space="preserve">2026-03-22</t>
  </si>
  <si>
    <t xml:space="preserve">https://emmysorganics.com/pages/about-us</t>
  </si>
  <si>
    <t xml:space="preserve">find Samantha Abrams at Emmy's Organics on LinkedIn and paste the profile URL; before using the retailer line, check Whole Foods Market NoMad still lists it: https://www.wholefoodsmarket.com/search?text=Emmy%27s%20Organics with your store set to NoMad (catalogs change daily); founder review (owner): read founder_review_reason first</t>
  </si>
  <si>
    <t xml:space="preserve">founder and marketing lead</t>
  </si>
  <si>
    <t xml:space="preserve">https://litupwithlo.buzzsprout.com/1492621/episodes/8214168-samantha-abrams-co-founder-of-emmy-s-organics-emmysorganics-triumphs-challenges-of-founding-a-successful-company-built-on-real-ingredients-with-her-husband</t>
  </si>
  <si>
    <t xml:space="preserve">Organic Dark Cacao Coconut Cookies 6 oz; Grab&amp;Go single packs</t>
  </si>
  <si>
    <t xml:space="preserve">Ithaca</t>
  </si>
  <si>
    <t xml:space="preserve">https://emmysorganics.com</t>
  </si>
  <si>
    <t xml:space="preserve">Possible Grupo Bimbo ownership since July 2021 (search snippet; unverified, founder to confirm); 60-day shelf life not stated</t>
  </si>
  <si>
    <t xml:space="preserve">owner</t>
  </si>
  <si>
    <t xml:space="preserve">Packaged coconut cookies sold ambient at Whole Foods; shelf-life figure not published on pages opened</t>
  </si>
  <si>
    <t xml:space="preserve">https://www.wholefoodsmarket.com/api/search?text=emmys%20cookies&amp;store=10162&amp;limit=60&amp;offset=0; https://www.wholefoodsmarket.com/api/search?text=emmys%20cookies&amp;store=10773&amp;limit=60&amp;offset=0; https://www.wholefoodsmarket.com/api/search?text=emmys%20cookies&amp;store=10131&amp;limit=60&amp;offset=0</t>
  </si>
  <si>
    <t xml:space="preserve">Samantha Abrams</t>
  </si>
  <si>
    <t xml:space="preserve">Ian Gaffney</t>
  </si>
  <si>
    <t xml:space="preserve">Ian</t>
  </si>
  <si>
    <t xml:space="preserve">Gaffney</t>
  </si>
  <si>
    <t xml:space="preserve">https://www.instagram.com/emmysorganics/</t>
  </si>
  <si>
    <t xml:space="preserve">BR2:16</t>
  </si>
  <si>
    <t xml:space="preserve">Brand about page: 'Made With love in Ithaca, NY'. WFM cluster stores carry 6 oz bags; single-serve Grab&amp;Go packs are on the brand store. Why-now dates from Shopify publish dates.</t>
  </si>
  <si>
    <t xml:space="preserve">founder_name &lt;- https://litupwithlo.buzzsprout.com/1492621/episodes/8214168-samantha-abrams-co-founder-of-emmy-s-organics-emmysorganics-triumphs-challenges-of-founding-a-successful-company-built-on-real-ingredients-with-her-husband (2026-10-24, opened); marketing_name &lt;- https://litupwithlo.buzzsprout.com/1492621/episodes/8214168-samantha-abrams-co-founder-of-emmy-s-organics-emmysorganics-triumphs-challenges-of-founding-a-successful-company-built-on-real-ingredients-with-her-husband (2026-10-24, opened); marketing_title &lt;- https://litupwithlo.buzzsprout.com/1492621/episodes/8214168-samantha-abrams-co-founder-of-emmy-s-organics-emmysorganics-triumphs-challenges-of-founding-a-successful-company-built-on-real-ingredients-with-her-husband (2026-10-24, opened); founder_review &lt;- https://www.nosh.com/?p=141074 (2026-10-24, snippet-unverified); founder_review_reason &lt;- https://www.nosh.com/?p=141074 (2026-10-24, snippet-unverified); </t>
  </si>
  <si>
    <t xml:space="preserve">AB-085</t>
  </si>
  <si>
    <t xml:space="preserve">Crispy Green</t>
  </si>
  <si>
    <t xml:space="preserve">Northeast brand, store page shows Whole Foods Market NoMad inside the cluster, no dated why-now in the last 12 months, revenue unknown, no contact named; founder review: scale, dormant, claim-borderline.</t>
  </si>
  <si>
    <t xml:space="preserve">https://crispygreen.com/pages/our-story</t>
  </si>
  <si>
    <t xml:space="preserve">no person named on an opened page: not ready; before using the retailer line, check Whole Foods Market NoMad still lists it: https://www.wholefoodsmarket.com/search?text=Crispy%20Green with your store set to NoMad (catalogs change daily); founder review (scale, dormant, claim-borderline): read founder_review_reason first</t>
  </si>
  <si>
    <t xml:space="preserve">Freeze-Dried Strawberry Crispy Fruit, single-serve bag</t>
  </si>
  <si>
    <t xml:space="preserve">Fairfield</t>
  </si>
  <si>
    <t xml:space="preserve">https://crispygreen.com</t>
  </si>
  <si>
    <t xml:space="preserve">Claims to be the #1 freeze-dried fruit brand (may be above size band); kids/lunchbox positioning; no new SKU since 2024</t>
  </si>
  <si>
    <t xml:space="preserve">scale;dormant;claim-borderline</t>
  </si>
  <si>
    <t xml:space="preserve">Brand FAQ: 'What is Crispy Fruit's shelf-life? Three years.' Home page: 'long-lasting, shelf-stable products'.</t>
  </si>
  <si>
    <t xml:space="preserve">Whole Foods; Amazon; brand claims '#1 freeze-dried fruit brand in the country'</t>
  </si>
  <si>
    <t xml:space="preserve">https://www.wholefoodsmarket.com/api/search?text=crispy%20green&amp;store=10162&amp;limit=60&amp;offset=0; https://www.wholefoodsmarket.com/api/search?text=crispy%20green&amp;store=10773&amp;limit=60&amp;offset=0; https://www.wholefoodsmarket.com/api/search?text=crispy%20green&amp;store=10131&amp;limit=60&amp;offset=0</t>
  </si>
  <si>
    <t xml:space="preserve">https://www.instagram.com/crispygreensnacks/</t>
  </si>
  <si>
    <t xml:space="preserve">BR2:22</t>
  </si>
  <si>
    <t xml:space="preserve">Founded 2004 per brand Our Story. Locator is Destini (not machine-read). 100% fruit, no added sugar.</t>
  </si>
  <si>
    <t xml:space="preserve">hq_city &lt;- https://crispygreen.com/policies/contact-information (2026-10-24, opened); shelf_stable_basis &lt;- https://crispygreen.com/pages/faqs (2026-10-24, opened); </t>
  </si>
  <si>
    <t xml:space="preserve">AB-052</t>
  </si>
  <si>
    <t xml:space="preserve">Inka Crops</t>
  </si>
  <si>
    <t xml:space="preserve">Brand based outside the Northeast (HQ unverified), store page shows Whole Foods Market Union Square inside the cluster, no dated why-now in the last 12 months, revenue unknown, no contact named; founder review: other.</t>
  </si>
  <si>
    <t xml:space="preserve">https://www.wholefoodsmarket.com/search?text=inka%20plantain</t>
  </si>
  <si>
    <t xml:space="preserve">no person named on an opened page: not ready; before using the retailer line, check Whole Foods Market Union Square still lists it: https://www.wholefoodsmarket.com/search?text=Inka%20Crops with your store set to Union Square (catalogs change daily); founder review (other): read founder_review_reason first</t>
  </si>
  <si>
    <t xml:space="preserve">Inka Plantain Chips, Sea Salt, 4 oz</t>
  </si>
  <si>
    <t xml:space="preserve">Lima, Peru (search snippet; US importer Inka Foods Inc in Citrus Heights CA per Panjiva trade-record snippets; unverified, founder to confirm)</t>
  </si>
  <si>
    <t xml:space="preserve">Brand site returned no readable content; owner, HQ and US entity unconfirmed; no online store: buy path is the store only</t>
  </si>
  <si>
    <t xml:space="preserve">https://inkacrops.com</t>
  </si>
  <si>
    <t xml:space="preserve">Peru (country)</t>
  </si>
  <si>
    <t xml:space="preserve">Bagged plantain chips, ambient</t>
  </si>
  <si>
    <t xml:space="preserve">https://www.wholefoodsmarket.com/search?text=inka%20plantain (Union Square and Chelsea contexts IN_STOCK 2026-10-23; not shown at NoMad)</t>
  </si>
  <si>
    <t xml:space="preserve">BR1:53</t>
  </si>
  <si>
    <t xml:space="preserve">inkacrops.com/en responded (HTTP 200) with no readable text.</t>
  </si>
  <si>
    <t xml:space="preserve">hq_city &lt;- https://www.peru-retail.com/inka-crops-snack-peruano-retailers-walmart-y-amazon/ (2026-10-24, snippet-unverified); hq_state &lt;- https://www.peru-retail.com/inka-crops-snack-peruano-retailers-walmart-y-amazon/ (2026-10-24, opened); </t>
  </si>
  <si>
    <t xml:space="preserve">AB-028</t>
  </si>
  <si>
    <t xml:space="preserve">Saffron Road (crunchy chickpeas)</t>
  </si>
  <si>
    <t xml:space="preserve">Adnan</t>
  </si>
  <si>
    <t xml:space="preserve">Durrani</t>
  </si>
  <si>
    <t xml:space="preserve">Northeast brand, store page shows Whole Foods Market NoMad inside the cluster, no dated why-now in the last 12 months, revenue unknown, contact named; founder review: scale.</t>
  </si>
  <si>
    <t xml:space="preserve">https://www.saffronroad.com/pages/about-us</t>
  </si>
  <si>
    <t xml:space="preserve">find Adnan Durrani at Saffron Road (crunchy chickpeas) on LinkedIn and paste the profile URL; before using the retailer line, check Whole Foods Market NoMad still lists it: https://www.wholefoodsmarket.com/search?text=Saffron%20Road with your store set to NoMad (catalogs change daily); founder review (scale): read founder_review_reason first</t>
  </si>
  <si>
    <t xml:space="preserve">Saffron Road Bombay Spice Crunchy Chickpea Snack, 6 oz</t>
  </si>
  <si>
    <t xml:space="preserve">Snack line of a national frozen-entree brand (American Halal Company); likely above the $10M band; product pages show $0.00 so no direct online store; no online store: buy path is the store only</t>
  </si>
  <si>
    <t xml:space="preserve">https://www.saffronroad.com</t>
  </si>
  <si>
    <t xml:space="preserve">Roasted chickpea snacks in sealed bags, ambient</t>
  </si>
  <si>
    <t xml:space="preserve">Whole Foods Market; Target; Sprouts; Safeway (customer reviews on homepage)</t>
  </si>
  <si>
    <t xml:space="preserve">https://www.wholefoodsmarket.com/search?text=saffron%20road%20chickpea (store context Union Square and NoMad: Sea Salt, Bombay Spice, Korean BBQ chickpeas IN_STOCK 2026-10-23)</t>
  </si>
  <si>
    <t xml:space="preserve">Adnan Durrani</t>
  </si>
  <si>
    <t xml:space="preserve">BR1:29</t>
  </si>
  <si>
    <t xml:space="preserve">Parent American Halal Company, 1111 Summer St, Stamford CT (contact page). Debuted 2010 in Whole Foods as a frozen entree brand. why_now relates to entrees, not snacks.</t>
  </si>
  <si>
    <t xml:space="preserve">AB-008</t>
  </si>
  <si>
    <t xml:space="preserve">Little Latke</t>
  </si>
  <si>
    <t xml:space="preserve">Blue</t>
  </si>
  <si>
    <t xml:space="preserve">Brand based outside the Northeast, no graded store within ten blocks, online store only, a new store listing 95 days ago, revenue unknown, contact named.</t>
  </si>
  <si>
    <t xml:space="preserve">Featured in Startup CPG 'Chipsplosion' roundup; new Variety Pack on brand store (2026-04-29)</t>
  </si>
  <si>
    <t xml:space="preserve">https://www.littlelatke.com/pages/story</t>
  </si>
  <si>
    <t xml:space="preserve">find Taylor Blue at Little Latke on LinkedIn and paste the profile URL</t>
  </si>
  <si>
    <t xml:space="preserve">Little Latke potato crisps, The Original / Garlic Parm / Spicy Honey Dijon</t>
  </si>
  <si>
    <t xml:space="preserve">Chicago</t>
  </si>
  <si>
    <t xml:space="preserve">https://www.littlelatke.com</t>
  </si>
  <si>
    <t xml:space="preserve">Brand FAQ: 'What's the shelf life? About 10-12 months.' Store in a cool, dry place.</t>
  </si>
  <si>
    <t xml:space="preserve">PopUp Grocer; Foxtrot Market; Meadow Lane; ~50 specialty grocers; onboarding with UNFI; 2026 targets Central Market, Fresh Market, Target (Startup CPG, 2026-07-21)</t>
  </si>
  <si>
    <t xml:space="preserve">https://popupgrocer.com/pages/directory (availability 'NYC Flagship', 2026-10-23); https://startupcpg.com/14-chip-brands-taking-your-tastebuds-on-a-flavor-tour/</t>
  </si>
  <si>
    <t xml:space="preserve">Taylor Blue</t>
  </si>
  <si>
    <t xml:space="preserve">https://instagram.com/little.latke</t>
  </si>
  <si>
    <t xml:space="preserve">BR1:9</t>
  </si>
  <si>
    <t xml:space="preserve">HQ conflict: Potato Business (2026-05-12) calls it 'the Dallas-based snack brand', while the Shopify contact page gives Chicago IL. Founder to confirm. Same article: new Garlic Parm and Spicy Honey Dijon flavors rolling out to select retailers nationwide (a press signal older than the July 2026 Startup CPG feature already in why_now).</t>
  </si>
  <si>
    <t xml:space="preserve">shelf_stable_basis &lt;- https://www.littlelatke.com/pages/faq (2026-10-24, opened); founder_title &lt;- https://www.potatobusiness.com/product/little-latke-adds-garlic-parm-and-spicy-honey-dijon-to-snack-range/ (2026-10-24, opened); notes &lt;- https://www.potatobusiness.com/product/little-latke-adds-garlic-parm-and-spicy-honey-dijon-to-snack-range/ (2026-10-24, opened); </t>
  </si>
  <si>
    <t xml:space="preserve">AB-147</t>
  </si>
  <si>
    <t xml:space="preserve">Mingle Mocktails</t>
  </si>
  <si>
    <t xml:space="preserve">Founder and Chief Mingle Officer</t>
  </si>
  <si>
    <t xml:space="preserve">Northeast brand, no graded store within ten blocks, online store only, a new store listing 28 days ago, revenue unknown, contact named; founder review: claim-borderline.</t>
  </si>
  <si>
    <t xml:space="preserve">Espresso Martini Mocktail can listed on store</t>
  </si>
  <si>
    <t xml:space="preserve">https://www.minglemocktails.com/pages/espresso-martini</t>
  </si>
  <si>
    <t xml:space="preserve">2026-09-26</t>
  </si>
  <si>
    <t xml:space="preserve">https://www.minglemocktails.com/pages/about-mm</t>
  </si>
  <si>
    <t xml:space="preserve">find Laura Taylor at Mingle Mocktails on LinkedIn and paste the profile URL; founder review (claim-borderline): read founder_review_reason first</t>
  </si>
  <si>
    <t xml:space="preserve">https://channel.io/blog/articles/77035651</t>
  </si>
  <si>
    <t xml:space="preserve">Mingle Espresso Martini Mocktail can (85 mg caffeine); Cucumber Melon Mojito</t>
  </si>
  <si>
    <t xml:space="preserve">Wayne</t>
  </si>
  <si>
    <t xml:space="preserve">https://www.minglemocktails.com</t>
  </si>
  <si>
    <t xml:space="preserve">Core mocktails are fine, but the 'Mingle Mood' line uses adaptogens 'to help you feel relaxed' (structure or function wording); only the non-functional SKUs could be placed; 60-day shelf life not stated</t>
  </si>
  <si>
    <t xml:space="preserve">No storage statement read</t>
  </si>
  <si>
    <t xml:space="preserve">Laura Taylor</t>
  </si>
  <si>
    <t xml:space="preserve">https://www.instagram.com/minglemocktails</t>
  </si>
  <si>
    <t xml:space="preserve">BR3:21</t>
  </si>
  <si>
    <t xml:space="preserve">HQ not confirmed (no address found). Date is Shopify publish date of the Espresso Martini product.</t>
  </si>
  <si>
    <t xml:space="preserve">hq_city &lt;- https://www.minglemocktails.com/policies/privacy-policy (2026-10-24, opened); hq_state &lt;- https://www.minglemocktails.com/policies/privacy-policy (2026-10-24, opened); founder_name &lt;- https://channel.io/blog/articles/77035651 (2026-10-24, opened); founder_title &lt;- https://channel.io/blog/articles/77035651 (2026-10-24, opened); </t>
  </si>
  <si>
    <t xml:space="preserve">AB-288</t>
  </si>
  <si>
    <t xml:space="preserve">True North Granola</t>
  </si>
  <si>
    <t xml:space="preserve">Parwaz</t>
  </si>
  <si>
    <t xml:space="preserve">Northeast brand, no graded store within ten blocks, online store only, a new store listing 95 days ago, revenue unknown, contact named (first name only); founder review: claim-borderline.</t>
  </si>
  <si>
    <t xml:space="preserve">Exhibited at the 2026 Summer Fancy Food Show with a new product flagged; added Almond Crunch in 1 oz single-serve bags</t>
  </si>
  <si>
    <t xml:space="preserve">https://truenorthgranola.com/products.json</t>
  </si>
  <si>
    <t xml:space="preserve">https://events.specialtyfood.com/event/2026-summer-fancy-food-show/exhibitor/RXhoaWJpdG9yXzI0NDA5MDA=</t>
  </si>
  <si>
    <t xml:space="preserve">find Parwaz at True North Granola on LinkedIn and paste the profile URL; surname not public: take it from LinkedIn; founder review (claim-borderline): read founder_review_reason first</t>
  </si>
  <si>
    <t xml:space="preserve">https://truenorthgranola.com/pages/about-us</t>
  </si>
  <si>
    <t xml:space="preserve">Almond Crunch granola, 1 oz single-serving bag; Discovery Pack of 2 oz snack bags</t>
  </si>
  <si>
    <t xml:space="preserve">unknown (Vermont kitchen)</t>
  </si>
  <si>
    <t xml:space="preserve">https://truenorthgranola.com</t>
  </si>
  <si>
    <t xml:space="preserve">New owners since summer 2025; homepage meta says 'happens to be healthy' (soft wording). No NYC retailer found</t>
  </si>
  <si>
    <t xml:space="preserve">Packaged granola in sealed 1 oz, 2 oz and 8 oz bags; shelf life not stated</t>
  </si>
  <si>
    <t xml:space="preserve">Ankur</t>
  </si>
  <si>
    <t xml:space="preserve">https://www.instagram.com/truenorthgranola/</t>
  </si>
  <si>
    <t xml:space="preserve">BR5:24</t>
  </si>
  <si>
    <t xml:space="preserve">SFFS 2026: 'Since 2006, True North Granola has been crafting extraordinary granola by hand in Vermont'. Startup CPG search hit (2025 Shelfie winners) is older than 12 months and was not confirmed to name the brand, so startup_cpg_member stays unknown.</t>
  </si>
  <si>
    <t xml:space="preserve">AB-012</t>
  </si>
  <si>
    <t xml:space="preserve">Vaca Chips</t>
  </si>
  <si>
    <t xml:space="preserve">Brian</t>
  </si>
  <si>
    <t xml:space="preserve">Gibb</t>
  </si>
  <si>
    <t xml:space="preserve">Brand based outside the Northeast, no graded store within ten blocks, online store only, a new store listing 22 days ago, revenue unknown, contact named.</t>
  </si>
  <si>
    <t xml:space="preserve">New 18-pack variety offer on brand store</t>
  </si>
  <si>
    <t xml:space="preserve">https://www.vacachips.com/products/vaca-18-pack-variety</t>
  </si>
  <si>
    <t xml:space="preserve">https://vacachips.com/pages/about-us</t>
  </si>
  <si>
    <t xml:space="preserve">find Brian Gibb at Vaca Chips on LinkedIn and paste the profile URL</t>
  </si>
  <si>
    <t xml:space="preserve">Vaca Chips beef-tallow-fried tortilla chips (sampler and 12-pack bundles)</t>
  </si>
  <si>
    <t xml:space="preserve">Huntington Beach</t>
  </si>
  <si>
    <t xml:space="preserve">https://www.vacachips.com</t>
  </si>
  <si>
    <t xml:space="preserve">Bagged fried tortilla chips sold ambient</t>
  </si>
  <si>
    <t xml:space="preserve">https://popupgrocer.com/pages/directory (availability 'NYC Flagship', 2026-10-23); https://popupgrocer.com/products/vaca-chips</t>
  </si>
  <si>
    <t xml:space="preserve">Brian Gibb</t>
  </si>
  <si>
    <t xml:space="preserve">https://instagram.com/vacachips</t>
  </si>
  <si>
    <t xml:space="preserve">BR1:13</t>
  </si>
  <si>
    <t xml:space="preserve">LinkedIn snippet: Joshua Haddox, Cofounder and COO at Vaca Chips (https://www.linkedin.com/in/joshua-haddox-mba-48b17b54/). No marketing lead found. Homepage (opened) lists new placements at Bristol Farms, Lazy Acres and Gelson's (California, undated).</t>
  </si>
  <si>
    <t xml:space="preserve">notes &lt;- https://www.linkedin.com/in/joshua-haddox-mba-48b17b54/ (2026-10-24, snippet-unverified); </t>
  </si>
  <si>
    <t xml:space="preserve">AB-306</t>
  </si>
  <si>
    <t xml:space="preserve">Oso Cacao</t>
  </si>
  <si>
    <t xml:space="preserve">New York City brand, no graded store within ten blocks, online store only, no dated why-now in the last 12 months, revenue unknown, no contact named; founder review: alcohol-adjacent.</t>
  </si>
  <si>
    <t xml:space="preserve">no person named on an opened page: not ready; founder review (alcohol-adjacent): read founder_review_reason first</t>
  </si>
  <si>
    <t xml:space="preserve">Oso Cacao mango with chili-lime bean-to-bar chocolate ($12 bar)</t>
  </si>
  <si>
    <t xml:space="preserve">Queens (Made in Queens maker; Entrepreneur Space client)</t>
  </si>
  <si>
    <t xml:space="preserve">https://www.osocacao.com/shop</t>
  </si>
  <si>
    <t xml:space="preserve">One SKU is a bourbon whiskey bar (check alcohol content; use another flavor). $12 bars are pricey for 50 units per office. No Manhattan stockist found</t>
  </si>
  <si>
    <t xml:space="preserve">https://www.osocacao.com</t>
  </si>
  <si>
    <t xml:space="preserve">Wrapped plant-based chocolate bars; ships Tuesdays and Thursdays only to protect quality</t>
  </si>
  <si>
    <t xml:space="preserve">Standalone Cheese; Wild Roots Provisions; Cocoa and Cream LA; Posh Deli (Wantagh); Abeja Coffee; The Green Salmon; JFK airport terminals (FAQ)</t>
  </si>
  <si>
    <t xml:space="preserve">https://www.osocacao.com/faq</t>
  </si>
  <si>
    <t xml:space="preserve">https://www.instagram.com/oso_cacao/</t>
  </si>
  <si>
    <t xml:space="preserve">BR5:42</t>
  </si>
  <si>
    <t xml:space="preserve">Made in Queens directory: 'authentic bean-to-bar chocolate that is proudly Mexican-inspired and NYC-made... focusing exclusively on small farms in Mexico'; M/WBE. Also an Entrepreneur Space current client. The directory lists a personal contact email and phone, which were not recorded.</t>
  </si>
  <si>
    <t xml:space="preserve">AB-247</t>
  </si>
  <si>
    <t xml:space="preserve">Graza</t>
  </si>
  <si>
    <t xml:space="preserve">Benin</t>
  </si>
  <si>
    <t xml:space="preserve">New York City brand (HQ unverified), store page shows Whole Foods Market NoMad inside the cluster, a new store listing 164 days ago, revenue over $10M, contact named; founder review: scale-reported, scale, not-emerging.</t>
  </si>
  <si>
    <t xml:space="preserve">Launched E.V.O.O. potato chips: brand-shop listings published 2026-05-13; homepage 'New E.V.O.O. Potato Chips'; WFM Union Square tags them 'Latest &amp; Greatest'</t>
  </si>
  <si>
    <t xml:space="preserve">https://www.graza.co/products.json?limit=250</t>
  </si>
  <si>
    <t xml:space="preserve">https://www.graza.co/</t>
  </si>
  <si>
    <t xml:space="preserve">find Andrew Benin at Graza on LinkedIn and paste the profile URL; before using the retailer line, check Whole Foods Market NoMad still lists it: https://www.wholefoodsmarket.com/search?text=Graza with your store set to NoMad (catalogs change daily); founder review (scale-reported, scale, not-emerging): read founder_review_reason first</t>
  </si>
  <si>
    <t xml:space="preserve">https://nbcchicago.com/news/business/money-report/31-year-old-built-a-company-that-could-bring-in-48-million-this-year-all-due-to-olive-oil/3457955</t>
  </si>
  <si>
    <t xml:space="preserve">Graza E.V.O.O. Sea Salt Potato Chips, 5.5 oz bag (also Zesty Caesar, Salt &amp; Vinegar, Hot n' Sweet)</t>
  </si>
  <si>
    <t xml:space="preserve">Brooklyn (185 Wythe Avenue per a business-directory search snippet; unverified, founder to confirm)</t>
  </si>
  <si>
    <t xml:space="preserve">https://www.graza.co</t>
  </si>
  <si>
    <t xml:space="preserve">Established olive-oil brand (22-24 SKUs per cluster WFM) likely above the $10M ceiling; chips are a 2026 line extension, which is the why-now</t>
  </si>
  <si>
    <t xml:space="preserve">scale-reported;scale;not-emerging</t>
  </si>
  <si>
    <t xml:space="preserve">Bagged kettle-style chips sold ambient; no shelf-life figure published, founder to confirm</t>
  </si>
  <si>
    <t xml:space="preserve">Company projection of $48M+ gross sales for 2024 (CNBC, 2024-06-07)</t>
  </si>
  <si>
    <t xml:space="preserve">Whole Foods Market (chips at all four cluster stores; 'Find Chips' locator on homepage)</t>
  </si>
  <si>
    <t xml:space="preserve">https://www.wholefoodsmarket.com/api/search?text=graza%20chips&amp;store=10773&amp;limit=60&amp;offset=0; https://www.wholefoodsmarket.com/api/search?text=graza%20chips&amp;store=10162&amp;limit=60&amp;offset=0; https://www.wholefoodsmarket.com/api/search?text=graza%20chips&amp;store=10131&amp;limit=60&amp;offset=0; https://www.wholefoodsmarket.com/api/search?text=graza%20chips&amp;store=10713&amp;limit=60&amp;offset=0</t>
  </si>
  <si>
    <t xml:space="preserve">Andrew Benin</t>
  </si>
  <si>
    <t xml:space="preserve">Amanda Everest</t>
  </si>
  <si>
    <t xml:space="preserve">BR4:42</t>
  </si>
  <si>
    <t xml:space="preserve">Chip launch date taken from Shopify product published_at on graza.co (brand's own store data). WFM 'new' filter (featured=new) at Union Square lists all four chip SKUs, 2026-10-23.</t>
  </si>
  <si>
    <t xml:space="preserve">founder_title &lt;- https://nbcchicago.com/news/business/money-report/31-year-old-built-a-company-that-could-bring-in-48-million-this-year-all-due-to-olive-oil/3457955 (2026-10-24, opened); founder_profile_url &lt;- https://nbcchicago.com/news/business/money-report/31-year-old-built-a-company-that-could-bring-in-48-million-this-year-all-due-to-olive-oil/3457955 (2026-10-24, opened); revenue_band &lt;- https://nbcchicago.com/news/business/money-report/31-year-old-built-a-company-that-could-bring-in-48-million-this-year-all-due-to-olive-oil/3457955 (2026-10-24, opened); revenue_basis &lt;- https://nbcchicago.com/news/business/money-report/31-year-old-built-a-company-that-could-bring-in-48-million-this-year-all-due-to-olive-oil/3457955 (2026-10-24, opened); hq_city &lt;- https://www.cbinsights.com/company/graza (2026-10-24, snippet-unverified); marketing_name &lt;- https://advertisingweek.com/amanda-everest-head-of-marketing-graza (2026-10-24, snippet-unverified); marketing_title &lt;- https://advertisingweek.com/amanda-everest-head-of-marketing-graza (2026-10-24, snippet-unverified); </t>
  </si>
  <si>
    <t xml:space="preserve">AB-192</t>
  </si>
  <si>
    <t xml:space="preserve">Sunbear</t>
  </si>
  <si>
    <t xml:space="preserve">Danielle</t>
  </si>
  <si>
    <t xml:space="preserve">Krueger</t>
  </si>
  <si>
    <t xml:space="preserve">HQ unknown, brand locator shows Tompkins Square Bagels inside the cluster, no dated why-now in the last 12 months, revenue unknown, contact named; founder review: claim-borderline.</t>
  </si>
  <si>
    <t xml:space="preserve">Tompkins Square Bagels, 23 E 17th St</t>
  </si>
  <si>
    <t xml:space="preserve">https://drinksunbear.com/pages/store-locator</t>
  </si>
  <si>
    <t xml:space="preserve">find Danielle Krueger at Sunbear on LinkedIn and paste the profile URL; the retailer line rests on the brand's own store locator: say 'your store locator lists ...'; founder review (claim-borderline): read founder_review_reason first</t>
  </si>
  <si>
    <t xml:space="preserve">https://ice.edu/blog/danielle-krueger-sunbear</t>
  </si>
  <si>
    <t xml:space="preserve">Sunbear Sparkling Hydration (organic coconut water and fruit juice), Watermelon, can</t>
  </si>
  <si>
    <t xml:space="preserve">https://drinksunbear.com</t>
  </si>
  <si>
    <t xml:space="preserve">'Hydration' and natural electrolytes positioning (nutrient-content; check label); newest store listings are 2024, so no fresh launch signal; founder and HQ not found; 60-day shelf life not stated</t>
  </si>
  <si>
    <t xml:space="preserve">Tompkins Square Bagels, 23 E 17th St (brand_claim, inside);Lincoln Market, 501 6th Ave (brand_claim, 1.2 blocks out);West Side Market, 77 7th Ave (brand_claim, 2.0 blocks out);Tompkins Square Bagels, 184 2nd Ave (brand_claim, 4.5 blocks out);The Station Cafe, 623 2nd Ave (brand_claim, 9.2 blocks out)</t>
  </si>
  <si>
    <t xml:space="preserve">Tompkins Square Bagels; Lincoln Market; West Side Market; Ermina's Market; cafes (brand Stockist locator: 53 points, 10 near the cluster); Pop Up Grocer (past brand)</t>
  </si>
  <si>
    <t xml:space="preserve">https://drinksunbear.com/pages/store-locator; https://stockist.co/api/v1/map_g3y52nz3/locations/search?latitude=40.7400&amp;longitude=-73.9900&amp;distance=3</t>
  </si>
  <si>
    <t xml:space="preserve">Danielle Krueger</t>
  </si>
  <si>
    <t xml:space="preserve">BR3:66</t>
  </si>
  <si>
    <t xml:space="preserve">Stockist queried 2026-10-23: NYC-heavy footprint (Manhattan and Brooklyn delis, bagel shops, markets), likely NYC-based but unconfirmed. A store inside the cluster (23 E 17th St). | Added 2026-10-24: Legal entity per terms of service: Coco Fizz LLC, with an Albany NY registered-agent address (bracketed template text). HQ city still unknown; a co-founder is mentioned in search summaries but not named</t>
  </si>
  <si>
    <t xml:space="preserve">founder_name &lt;- https://ice.edu/blog/danielle-krueger-sunbear (2026-10-24, opened); founder_title &lt;- https://ice.edu/blog/danielle-krueger-sunbear (2026-10-24, opened); notes &lt;- https://drinksunbear.com/policies/terms-of-service (2026-10-24, opened); founder_profile_url &lt;- https://ice.edu/blog/danielle-krueger-sunbear (2026-10-24, opened); </t>
  </si>
  <si>
    <t xml:space="preserve">AB-189</t>
  </si>
  <si>
    <t xml:space="preserve">Fruitbelt</t>
  </si>
  <si>
    <t xml:space="preserve">Michele</t>
  </si>
  <si>
    <t xml:space="preserve">Gazzolo</t>
  </si>
  <si>
    <t xml:space="preserve">Brand based outside the Northeast, no graded store within ten blocks, online store only, a new store listing 12 days ago, revenue unknown, contact named; founder review: other.</t>
  </si>
  <si>
    <t xml:space="preserve">New Cherry Rhubarb Tonic listed on store</t>
  </si>
  <si>
    <t xml:space="preserve">https://fruitbelt.com/products.json</t>
  </si>
  <si>
    <t xml:space="preserve">https://fruitbelt.com/pages/story-the-roots-of-fruitbelt</t>
  </si>
  <si>
    <t xml:space="preserve">find Michele Gazzolo at Fruitbelt on LinkedIn and paste the profile URL; founder review (other): read founder_review_reason first</t>
  </si>
  <si>
    <t xml:space="preserve">https://preparedfoods.com/articles/122793-fruitbelt-sparkling-tonic-names-new-vice-president</t>
  </si>
  <si>
    <t xml:space="preserve">Fruitbelt Cherry Rhubarb sparkling tonic (fruit juice, honey, bitters), non-alcoholic</t>
  </si>
  <si>
    <t xml:space="preserve">Pullman</t>
  </si>
  <si>
    <t xml:space="preserve">https://fruitbelt.com</t>
  </si>
  <si>
    <t xml:space="preserve">Michigan brand with two NYC points, both outside the cluster; bitters-based tonic (confirm 0.0% and pack format: $48-58 suggests multi-packs); 60-day shelf life not stated</t>
  </si>
  <si>
    <t xml:space="preserve">MI</t>
  </si>
  <si>
    <t xml:space="preserve">Dimes Market (brand_claim, 33.6 blocks out)</t>
  </si>
  <si>
    <t xml:space="preserve">Dimes Market, 143 Division St; Soho Jones, Brooklyn (brand Stockist locator); Pop Up Grocer (past brand)</t>
  </si>
  <si>
    <t xml:space="preserve">https://stockist.co/api/v1/map_v3jz28e3/locations/search?latitude=40.74&amp;longitude=-73.99&amp;distance=50</t>
  </si>
  <si>
    <t xml:space="preserve">Michele Gazzolo</t>
  </si>
  <si>
    <t xml:space="preserve">Carol Mueller</t>
  </si>
  <si>
    <t xml:space="preserve">Carol</t>
  </si>
  <si>
    <t xml:space="preserve">Mueller</t>
  </si>
  <si>
    <t xml:space="preserve">Vice President of Sales and Marketing</t>
  </si>
  <si>
    <t xml:space="preserve">https://instagram.com/fruitbelt</t>
  </si>
  <si>
    <t xml:space="preserve">BR3:63</t>
  </si>
  <si>
    <t xml:space="preserve">Story: imagined in 2012 to capture 'the character of Michigan's Fruit belt' (basis for hq_state MI; city not stated).</t>
  </si>
  <si>
    <t xml:space="preserve">hq_city &lt;- https://fruitbelt.com/policies/privacy-policy (2026-10-24, opened); founder_name &lt;- https://preparedfoods.com/articles/122793-fruitbelt-sparkling-tonic-names-new-vice-president (2026-10-24, opened); founder_title &lt;- https://preparedfoods.com/articles/122793-fruitbelt-sparkling-tonic-names-new-vice-president (2026-10-24, opened); marketing_name &lt;- https://preparedfoods.com/articles/122793-fruitbelt-sparkling-tonic-names-new-vice-president (2026-10-24, opened); marketing_title &lt;- https://preparedfoods.com/articles/122793-fruitbelt-sparkling-tonic-names-new-vice-president (2026-10-24, opened); marketing_profile_url &lt;- https://preparedfoods.com/articles/122793-fruitbelt-sparkling-tonic-names-new-vice-president (2026-10-24, opened); </t>
  </si>
  <si>
    <t xml:space="preserve">AB-019</t>
  </si>
  <si>
    <t xml:space="preserve">Joon Pistachios</t>
  </si>
  <si>
    <t xml:space="preserve">Cody</t>
  </si>
  <si>
    <t xml:space="preserve">Allen</t>
  </si>
  <si>
    <t xml:space="preserve">Brand based outside the Northeast, no graded store within ten blocks, online store only, news 340 days ago, revenue unknown, contact named; founder review: shelf life not stated.</t>
  </si>
  <si>
    <t xml:space="preserve">Founders featured on Foodbevy's Startup To Scale podcast: '1500+ Doors in 6 Months', growth to 1,000+ doors within months</t>
  </si>
  <si>
    <t xml:space="preserve">https://podcast.foodbevy.com/1832151/episodes/18203095-246-1500-doors-on-6-months-joon-pistachio-s-tremendous-growth</t>
  </si>
  <si>
    <t xml:space="preserve">2025-11-18</t>
  </si>
  <si>
    <t xml:space="preserve">https://www.eatjoonfoods.com/pages/about</t>
  </si>
  <si>
    <t xml:space="preserve">find Cody Allen at Joon Pistachios on LinkedIn and paste the profile URL; founder review (shelf life or online store): read founder_review_reason first</t>
  </si>
  <si>
    <t xml:space="preserve">Joon Dill Pickle Pistachios, 4.5 oz bag</t>
  </si>
  <si>
    <t xml:space="preserve">https://www.eatjoonfoods.com</t>
  </si>
  <si>
    <t xml:space="preserve">national retail distribution in the why-now ('1,000+ doors'): check the revenue band at intake</t>
  </si>
  <si>
    <t xml:space="preserve">Roasted flavored pistachios in sealed bags, ambient</t>
  </si>
  <si>
    <t xml:space="preserve">https://popupgrocer.com/pages/directory (availability 'NYC Flagship', 2026-10-23); https://popupgrocer.com/products/joon</t>
  </si>
  <si>
    <t xml:space="preserve">Cody Allen</t>
  </si>
  <si>
    <t xml:space="preserve">Alexandre  Bennet</t>
  </si>
  <si>
    <t xml:space="preserve">Alexandre</t>
  </si>
  <si>
    <t xml:space="preserve">Bennet</t>
  </si>
  <si>
    <t xml:space="preserve">https://instagram.com/eatjoonfoods</t>
  </si>
  <si>
    <t xml:space="preserve">BR1:20</t>
  </si>
  <si>
    <t xml:space="preserve">Entity JOON TREATS LLC, Los Angeles (terms of service). Co-founder Cody's family runs Allen Brothers Wholesale Distribution in Philadelphia (about page).</t>
  </si>
  <si>
    <t xml:space="preserve">founder_name &lt;- https://podcast.foodbevy.com/1832151/episodes/18203095-246-1500-doors-on-6-months-joon-pistachio-s-tremendous-growth (2026-10-24, opened); founder_profile_url &lt;- https://podcast.foodbevy.com/1832151/episodes/18203095-246-1500-doors-on-6-months-joon-pistachio-s-tremendous-growth (2026-10-24, opened); why_now &lt;- https://podcast.foodbevy.com/1832151/episodes/18203095-246-1500-doors-on-6-months-joon-pistachio-s-tremendous-growth (2026-10-24, opened); why_now_url &lt;- https://podcast.foodbevy.com/1832151/episodes/18203095-246-1500-doors-on-6-months-joon-pistachio-s-tremendous-growth (2026-10-24, opened); why_now_date &lt;- https://podcast.foodbevy.com/1832151/episodes/18203095-246-1500-doors-on-6-months-joon-pistachio-s-tremendous-growth (2026-10-24, opened); </t>
  </si>
  <si>
    <t xml:space="preserve">AB-298</t>
  </si>
  <si>
    <t xml:space="preserve">The Maple Brothers</t>
  </si>
  <si>
    <t xml:space="preserve">Northeast brand, no graded store within ten blocks, online store only, a new store listing 160 days ago, revenue unknown, no contact named; founder review: other.</t>
  </si>
  <si>
    <t xml:space="preserve">Added three oat bar flavors to its US online store and exhibited in the Startup CPG pavilion at SFFS 2026</t>
  </si>
  <si>
    <t xml:space="preserve">https://themaplebrothers.com/products.json</t>
  </si>
  <si>
    <t xml:space="preserve">2026-05-17</t>
  </si>
  <si>
    <t xml:space="preserve">https://events.specialtyfood.com/event/2026-summer-fancy-food-show/exhibitor/RXhoaWJpdG9yXzI0NTA2ODU=</t>
  </si>
  <si>
    <t xml:space="preserve">Chocolate Chip &amp; Maple Oat Bars (organic, maple-sweetened)</t>
  </si>
  <si>
    <t xml:space="preserve">https://themaplebrothers.com</t>
  </si>
  <si>
    <t xml:space="preserve">Positioned as a kids' snack and described as 'a beloved European brand' re-entering the US, so the US entity's size and NY plans are unclear. Founders unnamed</t>
  </si>
  <si>
    <t xml:space="preserve">Wrapped organic oat bars sold ambient online; shelf life not stated</t>
  </si>
  <si>
    <t xml:space="preserve">https://www.instagram.com/themaplebrothers</t>
  </si>
  <si>
    <t xml:space="preserve">BR5:34</t>
  </si>
  <si>
    <t xml:space="preserve">SFFS 2026 exhibitor (State: Vermont; Pavilion: Start Up CPG). Startup CPG pavilion text: 'Grade A maple syrup sweetened organic oat bars. They are vegan, gluten-free, USDA organic'.</t>
  </si>
  <si>
    <t xml:space="preserve">AB-133</t>
  </si>
  <si>
    <t xml:space="preserve">Halmi</t>
  </si>
  <si>
    <t xml:space="preserve">Bae</t>
  </si>
  <si>
    <t xml:space="preserve">New York City brand, no graded store within ten blocks, online store only, no dated why-now in the last 12 months, revenue unknown, contact named; founder review: dormant, claim-borderline.</t>
  </si>
  <si>
    <t xml:space="preserve">https://drinkhalmi.com/pages/faqs</t>
  </si>
  <si>
    <t xml:space="preserve">find Hannah Bae at Halmi on LinkedIn and paste the profile URL; founder review (dormant, claim-borderline): read founder_review_reason first</t>
  </si>
  <si>
    <t xml:space="preserve">https://drinkhalmi.com/pages/our-story</t>
  </si>
  <si>
    <t xml:space="preserve">Halmi Cinnamon, Ginger, Jujube, Persimmon sparkling drink (SuJeongGwa-inspired), can</t>
  </si>
  <si>
    <t xml:space="preserve">Ridgewood (Queens, New York City)</t>
  </si>
  <si>
    <t xml:space="preserve">https://drinkhalmi.com</t>
  </si>
  <si>
    <t xml:space="preserve">Only drink SKU shows 'Sold out' on own store (2026-10-23) and newest store listing is 2023, so the brand may be dormant. FAQ says ingredients are 'known for their digestive and health properties' (soft wellness wording; check label and marketing)</t>
  </si>
  <si>
    <t xml:space="preserve">Brand FAQ: 'pasteurized and will be shelf-stable for 1 year in moderate conditions' (drinkhalmi.com/pages/faqs, opened 2026-10-23)</t>
  </si>
  <si>
    <t xml:space="preserve">Hannah Bae</t>
  </si>
  <si>
    <t xml:space="preserve">https://www.instagram.com/drinkhalmi</t>
  </si>
  <si>
    <t xml:space="preserve">BR3:7</t>
  </si>
  <si>
    <t xml:space="preserve">Korean-American founded; CB Insights snippet (not opened) lists New York, so HQ left unknown (unverified, founder to confirm). Our-story page cites ABC7 New York coverage. Low priority: confirm the brand is still producing before outreach.</t>
  </si>
  <si>
    <t xml:space="preserve">hq_city &lt;- https://drinkhalmi.com/policies/privacy-policy (2026-10-24, opened); hq_state &lt;- https://drinkhalmi.com/policies/privacy-policy (2026-10-24, opened); founder_name &lt;- https://drinkhalmi.com/pages/our-story (2026-10-24, opened); founder_title &lt;- https://drinkhalmi.com/pages/our-story (2026-10-24, opened); founder_profile_url &lt;- https://drinkhalmi.com/pages/our-story (2026-10-24, opened); </t>
  </si>
  <si>
    <t xml:space="preserve">AB-033</t>
  </si>
  <si>
    <t xml:space="preserve">34 Degrees</t>
  </si>
  <si>
    <t xml:space="preserve">Craig</t>
  </si>
  <si>
    <t xml:space="preserve">Brand based outside the Northeast, store page shows Whole Foods Market NoMad inside the cluster, no dated why-now in the last 12 months, revenue unknown, contact named; founder review: scale, format.</t>
  </si>
  <si>
    <t xml:space="preserve">https://34-degrees.com/pages/our-story</t>
  </si>
  <si>
    <t xml:space="preserve">find Craig Lieberman at 34 Degrees on LinkedIn and paste the profile URL; before using the retailer line, check Whole Foods Market NoMad still lists it: https://www.wholefoodsmarket.com/search?text=34%20Degrees with your store set to NoMad (catalogs change daily); founder review (scale, format): read founder_review_reason first</t>
  </si>
  <si>
    <t xml:space="preserve">34 Degrees Original Crisps, 4.5 oz; Rosemary Garlic Mates</t>
  </si>
  <si>
    <t xml:space="preserve">Denver</t>
  </si>
  <si>
    <t xml:space="preserve">https://34-degrees.com</t>
  </si>
  <si>
    <t xml:space="preserve">Wide national distribution (US and Canada) suggests revenue above the band; deli-cracker format is shared-size, not single-serve</t>
  </si>
  <si>
    <t xml:space="preserve">Thin baked crisps sold ambient in deli departments</t>
  </si>
  <si>
    <t xml:space="preserve">Whole Foods Market; Kroger; Walmart; Publix; Sprouts; Meijer; Wegmans; Safeway; Albertsons; King Soopers</t>
  </si>
  <si>
    <t xml:space="preserve">https://www.wholefoodsmarket.com/search?text=34%20degrees%20crisps (6 items IN_STOCK in each cluster store context, 2026-10-23)</t>
  </si>
  <si>
    <t xml:space="preserve">Craig Lieberman</t>
  </si>
  <si>
    <t xml:space="preserve">BR1:34</t>
  </si>
  <si>
    <t xml:space="preserve">34 Degrees, LLC, 2825 Larimer St, Denver CO (terms of service). Our story page mentions three new Snaps snacking flavors (Sea Salt, Everything, Umami), undated. Founder name added in the 2026-10-23 spot check.</t>
  </si>
  <si>
    <t xml:space="preserve">AB-248</t>
  </si>
  <si>
    <t xml:space="preserve">Tate's Bake Shop</t>
  </si>
  <si>
    <t xml:space="preserve">Kathleen</t>
  </si>
  <si>
    <t xml:space="preserve">New York State brand, store page shows Whole Foods Market NoMad inside the cluster, no dated why-now in the last 12 months, revenue unknown, contact named; founder review: owner, scale.</t>
  </si>
  <si>
    <t xml:space="preserve">https://www.tatesbakeshop.com/</t>
  </si>
  <si>
    <t xml:space="preserve">find Kathleen King at Tate's Bake Shop on LinkedIn and paste the profile URL; before using the retailer line, check Whole Foods Market NoMad still lists it: https://www.wholefoodsmarket.com/search?text=Tate%27s%20Bake%20Shop with your store set to NoMad (catalogs change daily); founder review (owner, scale): read founder_review_reason first</t>
  </si>
  <si>
    <t xml:space="preserve">https://cspdailynews.com/snacks-candy/mondelez-acquires-tates-bake-shop</t>
  </si>
  <si>
    <t xml:space="preserve">Tiny Tate's Cookies multipack (single-serve bags); Lemon Cookies 7 oz</t>
  </si>
  <si>
    <t xml:space="preserve">Southampton, Long Island (homepage: 'Southampton Born')</t>
  </si>
  <si>
    <t xml:space="preserve">https://www.tatesbakeshop.com</t>
  </si>
  <si>
    <t xml:space="preserve">National brand (8-9 SKUs per cluster WFM, nationwide distribution) almost certainly above the $10M ceiling; corporate ownership to confirm</t>
  </si>
  <si>
    <t xml:space="preserve">acquired by Mondelez International (deal announced 2018-05-08, about $500M)</t>
  </si>
  <si>
    <t xml:space="preserve">Brand FAQ: 'Packaged items have a shelf life of up to three months'; no additives or preservatives; check the best-by date</t>
  </si>
  <si>
    <t xml:space="preserve">Acquisition price about $500M (2018); no sales figure, so revenue_band stays unknown, but the brand is far above the ceiling</t>
  </si>
  <si>
    <t xml:space="preserve">Whole Foods Market; national grocery</t>
  </si>
  <si>
    <t xml:space="preserve">https://www.wholefoodsmarket.com/api/search?text=tate%27s&amp;store=10773&amp;limit=60&amp;offset=0; https://www.wholefoodsmarket.com/api/search?text=tate%27s&amp;store=10162&amp;limit=60&amp;offset=0; https://www.wholefoodsmarket.com/api/search?text=tate%27s&amp;store=10131&amp;limit=60&amp;offset=0; https://www.wholefoodsmarket.com/api/search?text=tate%27s&amp;store=10713&amp;limit=60&amp;offset=0</t>
  </si>
  <si>
    <t xml:space="preserve">Kathleen King</t>
  </si>
  <si>
    <t xml:space="preserve">BR4:43</t>
  </si>
  <si>
    <t xml:space="preserve">Recorded so the size gate is visible; New York State origin.</t>
  </si>
  <si>
    <t xml:space="preserve">shelf_stable_basis &lt;- https://www.tatesbakeshop.com/faq (2026-10-24, opened); funding_stage &lt;- https://cspdailynews.com/snacks-candy/mondelez-acquires-tates-bake-shop (2026-10-24, opened); revenue_basis &lt;- https://cspdailynews.com/snacks-candy/mondelez-acquires-tates-bake-shop (2026-10-24, opened); founder_name &lt;- https://cspdailynews.com/snacks-candy/mondelez-acquires-tates-bake-shop (2026-10-24, opened); founder_title &lt;- https://cspdailynews.com/snacks-candy/mondelez-acquires-tates-bake-shop (2026-10-24, opened); founder_profile_url &lt;- https://cspdailynews.com/snacks-candy/mondelez-acquires-tates-bake-shop (2026-10-24, opened); </t>
  </si>
  <si>
    <t xml:space="preserve">AB-020</t>
  </si>
  <si>
    <t xml:space="preserve">(P)RiND</t>
  </si>
  <si>
    <t xml:space="preserve">Matteo</t>
  </si>
  <si>
    <t xml:space="preserve">Caloia</t>
  </si>
  <si>
    <t xml:space="preserve">Brand based outside the Northeast, no graded store within ten blocks, online store only, a new store listing 180 days ago, revenue unknown, contact named; founder review: claim-borderline.</t>
  </si>
  <si>
    <t xml:space="preserve">Launched office bundles (Burgeoning Office, Medium Office, Wall Street) and a 'For Offices' page</t>
  </si>
  <si>
    <t xml:space="preserve">https://www.eatprind.com/products/medium-office-bundle</t>
  </si>
  <si>
    <t xml:space="preserve">2026-04-27</t>
  </si>
  <si>
    <t xml:space="preserve">https://eatprind.com/pages/about</t>
  </si>
  <si>
    <t xml:space="preserve">find Matteo Caloia at (P)RiND on LinkedIn and paste the profile URL; founder review (claim-borderline): read founder_review_reason first</t>
  </si>
  <si>
    <t xml:space="preserve">(P)RiND Parmesan Pops, single pack (6 Pack Variety - Single Pack)</t>
  </si>
  <si>
    <t xml:space="preserve">https://www.eatprind.com</t>
  </si>
  <si>
    <t xml:space="preserve">Positioned 'High Protein Parmesan Pops' (nutrient-content claim) and 'functional'; cheese-based, confirm shelf life of 60+ days</t>
  </si>
  <si>
    <t xml:space="preserve">Oven-baked aged-cheese-rind crisps sold ambient online and at PopUp Grocer</t>
  </si>
  <si>
    <t xml:space="preserve">PopUp Grocer (NYC); Faire wholesale; brand store locator</t>
  </si>
  <si>
    <t xml:space="preserve">https://popupgrocer.com/pages/directory (availability 'NYC Flagship', 2026-10-23); https://popupgrocer.com/products/prind</t>
  </si>
  <si>
    <t xml:space="preserve">Matteo Caloia</t>
  </si>
  <si>
    <t xml:space="preserve">Kai</t>
  </si>
  <si>
    <t xml:space="preserve">https://instagram.com/eatprind</t>
  </si>
  <si>
    <t xml:space="preserve">BR1:21</t>
  </si>
  <si>
    <t xml:space="preserve">Already selling to offices, a strong fit for the pitch. Monthly mystery flavor drops (2026-07). Business city from privacy policy.</t>
  </si>
  <si>
    <t xml:space="preserve">AB-061</t>
  </si>
  <si>
    <t xml:space="preserve">Belle's Gourmet Popcorn</t>
  </si>
  <si>
    <t xml:space="preserve">Belle</t>
  </si>
  <si>
    <t xml:space="preserve">Sharon</t>
  </si>
  <si>
    <t xml:space="preserve">Brand based outside the Northeast, no graded store within ten blocks, online store only, a new store listing 177 days ago, revenue unknown, contact named; founder review: other.</t>
  </si>
  <si>
    <t xml:space="preserve">Launched in 1,000+ Walmart stores; new seasonal flavors (Pumpkin Spice Latte, White Chocolatey Peppermint) on brand store 2026-10-19</t>
  </si>
  <si>
    <t xml:space="preserve">https://startupcpg.com/startup-cpg-newswire-belles-gourmet-popcorn-launches-in-more-than-1000-walmart-stores-nationwide/</t>
  </si>
  <si>
    <t xml:space="preserve">find Belle Sharon at Belle's Gourmet Popcorn on LinkedIn and paste the profile URL; founder review (other): read founder_review_reason first</t>
  </si>
  <si>
    <t xml:space="preserve">Belle's Avocado Kettle Corn ($4.99 bag)</t>
  </si>
  <si>
    <t xml:space="preserve">Farmers Branch</t>
  </si>
  <si>
    <t xml:space="preserve">https://bellespopcorn.com</t>
  </si>
  <si>
    <t xml:space="preserve">Several SKUs are sweet (Lemon Meringue, Peanut Butter Crunch, Dubai-Style Chocolate); savory fit is Avocado Kettle Corn only; peanut allergen in one SKU; national retail distribution in the why-now ('Walmart'): check the revenue band at intake</t>
  </si>
  <si>
    <t xml:space="preserve">family-owned</t>
  </si>
  <si>
    <t xml:space="preserve">Bagged popcorn, ambient</t>
  </si>
  <si>
    <t xml:space="preserve">Walmart (1,000+ stores, April 2026)</t>
  </si>
  <si>
    <t xml:space="preserve">https://startupcpg.com/startup-cpg-newswire-belles-gourmet-popcorn-launches-in-more-than-1000-walmart-stores-nationwide/; https://www.wholefoodsmarket.com/search?text=belle%27s%20gourmet%20popcorn (no WFM results, 2026-10-23)</t>
  </si>
  <si>
    <t xml:space="preserve">Belle Sharon</t>
  </si>
  <si>
    <t xml:space="preserve">Dror Sharon</t>
  </si>
  <si>
    <t xml:space="preserve">Dror</t>
  </si>
  <si>
    <t xml:space="preserve">BR1:62</t>
  </si>
  <si>
    <t xml:space="preserve">Release datelined FARMERS BRANCH, TX (April 2026).</t>
  </si>
  <si>
    <t xml:space="preserve">AB-213</t>
  </si>
  <si>
    <t xml:space="preserve">Brooklyn Biltong</t>
  </si>
  <si>
    <t xml:space="preserve">Ben</t>
  </si>
  <si>
    <t xml:space="preserve">van den Heever</t>
  </si>
  <si>
    <t xml:space="preserve">Brand based outside the Northeast (HQ unverified), no graded store within ten blocks, online store only, a new store listing 72 days ago, revenue unknown, contact named; founder review: claim-borderline.</t>
  </si>
  <si>
    <t xml:space="preserve">Added single-serve 0.8 oz bags in 2026 (Classic Skinny Sticks and Garlic and Pepper &amp; Coriander Tender Steak Slices published 2026-06-30, Classic 2026-07-28, Chili Peri Peri 2026-08-13), offered as a free bag plus shipping</t>
  </si>
  <si>
    <t xml:space="preserve">https://www.brooklynbiltong.com/products.json?limit=250</t>
  </si>
  <si>
    <t xml:space="preserve">2026-08-13</t>
  </si>
  <si>
    <t xml:space="preserve">https://www.brooklynbiltong.com/pages/storage-instructions</t>
  </si>
  <si>
    <t xml:space="preserve">find Ben van den Heever at Brooklyn Biltong on LinkedIn and paste the profile URL; founder review (claim-borderline): read founder_review_reason first</t>
  </si>
  <si>
    <t xml:space="preserve">https://www.brooklynbiltong.com/pages/about-us-history</t>
  </si>
  <si>
    <t xml:space="preserve">Classic Tender Steak Slices 0.8 oz single-serve bag (also 3.2 oz bag; Skinny Sticks 0.8 oz and 3.5 oz)</t>
  </si>
  <si>
    <t xml:space="preserve">Goldsboro, NC (privacy-policy mailing address: 1002 Sunburst Drive, Goldsboro, North Carolina 27534). A CB Insights snippet lists 314 Prospect Ave, Brooklyn (unverified). Founder to confirm where the team sits.</t>
  </si>
  <si>
    <t xml:space="preserve">https://www.brooklynbiltong.com</t>
  </si>
  <si>
    <t xml:space="preserve">Protein and keto positioning ('50 grams of protein', 'Keto certified', 'HEALTHY MEAT SNACKS'); HQ not confirmed as NYC</t>
  </si>
  <si>
    <t xml:space="preserve">NC (privacy-policy address; founder to confirm)</t>
  </si>
  <si>
    <t xml:space="preserve">Storage page: 'An unopened bag of biltong can last up to 12 months stored in a cool, dry place'</t>
  </si>
  <si>
    <t xml:space="preserve">Store locator (not machine-readable); wholesale via Faire</t>
  </si>
  <si>
    <t xml:space="preserve">https://www.brooklynbiltong.com/pages/store-locator</t>
  </si>
  <si>
    <t xml:space="preserve">Ben van den Heever</t>
  </si>
  <si>
    <t xml:space="preserve">https://www.instagram.com/brooklynbiltong</t>
  </si>
  <si>
    <t xml:space="preserve">BR4:8</t>
  </si>
  <si>
    <t xml:space="preserve">Air-dried grass-fed beef, South African recipe from the founder's grandfather in Pretoria. Store locator uses a Roseperl widget whose store list loads from an API; no stores could be read. Not checked in WFM (no brand hit for 'brooklyn biltong' in cluster catalogs on 2026-10-23).</t>
  </si>
  <si>
    <t xml:space="preserve">why_now &lt;- https://www.brooklynbiltong.com/products.json?limit=250 (2026-10-24, opened); why_now_url &lt;- https://www.brooklynbiltong.com/products.json?limit=250 (2026-10-24, opened); why_now_date &lt;- https://www.brooklynbiltong.com/products.json?limit=250 (2026-10-24, opened); product_example &lt;- https://www.brooklynbiltong.com/products.json?limit=250 (2026-10-24, opened); hq_city &lt;- https://www.brooklynbiltong.com/policies/privacy-policy (2026-10-24, opened); hq_state &lt;- https://www.brooklynbiltong.com/policies/privacy-policy (2026-10-24, opened); </t>
  </si>
  <si>
    <t xml:space="preserve">AB-251</t>
  </si>
  <si>
    <t xml:space="preserve">DEFI Snacks</t>
  </si>
  <si>
    <t xml:space="preserve">Tatyana</t>
  </si>
  <si>
    <t xml:space="preserve">Northeast brand, no graded store within ten blocks, online store only, news 344 days ago, revenue unknown, contact named; founder review: claim-borderline.</t>
  </si>
  <si>
    <t xml:space="preserve">Grand Prize winner, Enthuse Foundation 7th Women Founders Pitch Competition (NYC finale 2025-11-06); site banner now says 'Winner of the 2026 Mintel MOST INNOVATIVE PRODUCT award'</t>
  </si>
  <si>
    <t xml:space="preserve">https://startupcpg.com/startup-cpg-newswire-enthuse-foundation-names-defi-snacks-grand-prize-winner-and-bake-me-healthy-runner-up-in-7th-annual-women-founders-pitch-competition/</t>
  </si>
  <si>
    <t xml:space="preserve">2025-11-14</t>
  </si>
  <si>
    <t xml:space="preserve">find Tatyana Jones at DEFI Snacks on LinkedIn and paste the profile URL; founder review (claim-borderline): read founder_review_reason first</t>
  </si>
  <si>
    <t xml:space="preserve">http://defi-snacks.com/pages/about</t>
  </si>
  <si>
    <t xml:space="preserve">High-protein chocolate bites (25g+ protein; sprouted buckwheat, casein and whey crisps)</t>
  </si>
  <si>
    <t xml:space="preserve">Chatham</t>
  </si>
  <si>
    <t xml:space="preserve">Protein positioning (25g+ protein); new brand; 60-day shelf life not stated</t>
  </si>
  <si>
    <t xml:space="preserve">http://defi-snacks.com</t>
  </si>
  <si>
    <t xml:space="preserve">Not stated in release</t>
  </si>
  <si>
    <t xml:space="preserve">Tatyana Jones</t>
  </si>
  <si>
    <t xml:space="preserve">BR4:46</t>
  </si>
  <si>
    <t xml:space="preserve">Woman-led brand. Founder not named in the passages read. NYC pitch-event winner, so likely receptive to NYC trial.</t>
  </si>
  <si>
    <t xml:space="preserve">founder_name &lt;- http://defi-snacks.com/pages/about (2026-10-24, opened); founder_title &lt;- http://defi-snacks.com/pages/about (2026-10-24, opened); founder_profile_url &lt;- http://defi-snacks.com/pages/about (2026-10-24, opened); online_store &lt;- http://defi-snacks.com/ (2026-10-24, opened); why_now &lt;- http://defi-snacks.com/pages/defi-in-the-news (2026-10-24, opened); </t>
  </si>
  <si>
    <t xml:space="preserve">AB-134</t>
  </si>
  <si>
    <t xml:space="preserve">Manhattan Special</t>
  </si>
  <si>
    <t xml:space="preserve">Aurora</t>
  </si>
  <si>
    <t xml:space="preserve">Passaro</t>
  </si>
  <si>
    <t xml:space="preserve">Key people</t>
  </si>
  <si>
    <t xml:space="preserve">New York City brand, no graded store within ten blocks, online store only, no dated why-now in the last 12 months, revenue unknown, contact named; founder review: not-emerging, claim-borderline.</t>
  </si>
  <si>
    <t xml:space="preserve">https://www.manhattanspecial.com/after-about/</t>
  </si>
  <si>
    <t xml:space="preserve">find Aurora Passaro at Manhattan Special on LinkedIn and paste the profile URL; founder review (not-emerging, claim-borderline): read founder_review_reason first</t>
  </si>
  <si>
    <t xml:space="preserve">https://en.wikipedia.org/wiki/Manhattan_Special</t>
  </si>
  <si>
    <t xml:space="preserve">Manhattan Special Pure Espresso Coffee Soda, 12 oz glass bottle</t>
  </si>
  <si>
    <t xml:space="preserve">https://www.manhattanspecial.com/our-products/</t>
  </si>
  <si>
    <t xml:space="preserve">Heritage brand (since 1895), not an emerging brand, and contains caffeine; retailer locator is a request form, so no near-cluster store is listed. Fit is a judgment call; 60-day shelf life not stated</t>
  </si>
  <si>
    <t xml:space="preserve">not-emerging;claim-borderline</t>
  </si>
  <si>
    <t xml:space="preserve">https://www.manhattanspecial.com</t>
  </si>
  <si>
    <t xml:space="preserve">family-owned (since 1895)</t>
  </si>
  <si>
    <t xml:space="preserve">Bottled soda; no shelf-life statement found on brand site</t>
  </si>
  <si>
    <t xml:space="preserve">Walmart.com (diet decaf listing, from search results)</t>
  </si>
  <si>
    <t xml:space="preserve">Aurora Passaro</t>
  </si>
  <si>
    <t xml:space="preserve">key people per Wikipedia</t>
  </si>
  <si>
    <t xml:space="preserve">Louis Passaro</t>
  </si>
  <si>
    <t xml:space="preserve">Louis</t>
  </si>
  <si>
    <t xml:space="preserve">BR3:8</t>
  </si>
  <si>
    <t xml:space="preserve">Products page: 12 oz espresso coffee sodas and all-natural sodas 'Order Online'; 32 oz not online. Brooklyn (Williamsburg) location is from a Wikipedia search snippet only, not on pages opened (unverified, founder to confirm). Family names in search snippets not recorded as contacts.</t>
  </si>
  <si>
    <t xml:space="preserve">hq_city &lt;- https://en.wikipedia.org/wiki/Manhattan_Special (2026-10-24, opened); hq_state &lt;- https://en.wikipedia.org/wiki/Manhattan_Special (2026-10-24, opened); founder_name &lt;- https://en.wikipedia.org/wiki/Manhattan_Special (2026-10-24, opened); founder_title &lt;- https://en.wikipedia.org/wiki/Manhattan_Special (2026-10-24, opened); </t>
  </si>
  <si>
    <t xml:space="preserve">AB-024</t>
  </si>
  <si>
    <t xml:space="preserve">LesserEvil</t>
  </si>
  <si>
    <t xml:space="preserve">Charles</t>
  </si>
  <si>
    <t xml:space="preserve">Coristine</t>
  </si>
  <si>
    <t xml:space="preserve">President and CEO</t>
  </si>
  <si>
    <t xml:space="preserve">https://www.linkedin.com/in/charles-coristine-7b611b13/</t>
  </si>
  <si>
    <t xml:space="preserve">Northeast brand, store page shows Whole Foods Market NoMad inside the cluster, news 43 days ago, revenue over $10M, contact named plus a marketing lead; founder review: scale-reported, scale.</t>
  </si>
  <si>
    <t xml:space="preserve">Launched Cheezmos Puffs (Cowgirl Cheddar, Jalapeño Cheddar)</t>
  </si>
  <si>
    <t xml:space="preserve">https://www.snackandbakery.com/articles/116310-lesserevil-expands-cheezmos-line-with-two-puffed-snacks</t>
  </si>
  <si>
    <t xml:space="preserve">https://www.lesserevil.com/pages/our-story</t>
  </si>
  <si>
    <t xml:space="preserve">the source is dated 2025: check Charles still holds the role; before using the retailer line, check Whole Foods Market NoMad still lists it: https://www.wholefoodsmarket.com/search?text=LesserEvil with your store set to NoMad (catalogs change daily); founder review (scale-reported, scale): read founder_review_reason first</t>
  </si>
  <si>
    <t xml:space="preserve">https://www.snackandbakery.com/articles/114444-2025-snack-producer-of-the-year-lesserevil</t>
  </si>
  <si>
    <t xml:space="preserve">LesserEvil Organic Real Cheddar Space Balls 10-count snack packs; Cowboy Cheddar Cheezmos Snack Pack</t>
  </si>
  <si>
    <t xml:space="preserve">https://www.lesserevil.com</t>
  </si>
  <si>
    <t xml:space="preserve">Scale suggests revenue well above $10M (own factory, 17+ SKUs per NYC WFM store) though no sourced figure; $600 may be below their sampling threshold</t>
  </si>
  <si>
    <t xml:space="preserve">scale-reported;scale</t>
  </si>
  <si>
    <t xml:space="preserve">Bagged organic popcorn and puffs sold ambient; multi-count snack packs</t>
  </si>
  <si>
    <t xml:space="preserve">Snack and Bakery 2025 profile: sales $104M (2023), $169M (2024), $225M projected (2025)</t>
  </si>
  <si>
    <t xml:space="preserve">https://www.wholefoodsmarket.com/search?text=lesserevil (17-18 items IN_STOCK in each of Union Square, NoMad, Chelsea contexts, 2026-10-23)</t>
  </si>
  <si>
    <t xml:space="preserve">Charles Coristine</t>
  </si>
  <si>
    <t xml:space="preserve">Snack and Bakery 2025 key personnel: "Charles Coristine, CEO"; he bought the company in 2011, so owner rather than original founder. LinkedIn URL linked from https://karagoldin.com/podcasts/charles-coristine/; LinkedIn not opened.</t>
  </si>
  <si>
    <t xml:space="preserve">Caitlin</t>
  </si>
  <si>
    <t xml:space="preserve">Mack</t>
  </si>
  <si>
    <t xml:space="preserve">VP of Marketing</t>
  </si>
  <si>
    <t xml:space="preserve">Snack and Bakery 2025 key personnel; Modern Retail 2024-09 called her director of digital and brand marketing. A stage-1 LinkedIn snippet (about two months old) says a Caitlin Mack joined PRETZELIZED (rank 9) as VP of Marketing; she may have left. Confirm before contacting.</t>
  </si>
  <si>
    <t xml:space="preserve">BR1:25</t>
  </si>
  <si>
    <t xml:space="preserve">All products manufactured at Danbury CT headquarters (our story page). Revenue band left unknown on purpose: no sourced figure.</t>
  </si>
  <si>
    <t xml:space="preserve">revenue_band &lt;- https://www.snackandbakery.com/articles/114444-2025-snack-producer-of-the-year-lesserevil (2026-10-24, stage 3 correction); revenue_basis &lt;- https://www.snackandbakery.com/articles/114444-2025-snack-producer-of-the-year-lesserevil (2026-10-24, stage 3 correction); </t>
  </si>
  <si>
    <t xml:space="preserve">2025</t>
  </si>
  <si>
    <t xml:space="preserve">person 'caitlin mack' shared with AB-003</t>
  </si>
  <si>
    <t xml:space="preserve">AB-297</t>
  </si>
  <si>
    <t xml:space="preserve">DM Snacks (Damn, Man Snacks)</t>
  </si>
  <si>
    <t xml:space="preserve">Frann</t>
  </si>
  <si>
    <t xml:space="preserve">Northeast brand, no graded store within ten blocks, online store only, a new store listing 60 days ago, revenue unknown, contact named (first name only); founder review: format, claim-borderline.</t>
  </si>
  <si>
    <t xml:space="preserve">Launched a Happy Nuts collection and four 8 oz flavors (Thai Chili, Coconut Curry, Honey Sea Salt, Pineapple Habanero)</t>
  </si>
  <si>
    <t xml:space="preserve">https://www.dmsnacks.com/products.json</t>
  </si>
  <si>
    <t xml:space="preserve">https://events.specialtyfood.com/event/2026-summer-fancy-food-show/exhibitor/RXhoaWJpdG9yXzI0NzYzNzc=</t>
  </si>
  <si>
    <t xml:space="preserve">find Frann at DM Snacks (Damn, Man Snacks) on LinkedIn and paste the profile URL; surname not public: take it from LinkedIn; founder review (format, claim-borderline): read founder_review_reason first</t>
  </si>
  <si>
    <t xml:space="preserve">DM Snacks Thai Chili Peanuts, 8 oz bag; Bourbon Pecans 5 oz</t>
  </si>
  <si>
    <t xml:space="preserve">https://www.dmsnacks.com</t>
  </si>
  <si>
    <t xml:space="preserve">Gift-box company first; share-size bags only. Sister brand Sugar Plum Chocolates sells meat snacks too (check refrigeration if that line is offered)</t>
  </si>
  <si>
    <t xml:space="preserve">Seasoned nuts in resealable 5 oz and 8 oz bags sold ambient online</t>
  </si>
  <si>
    <t xml:space="preserve">Neil Edley</t>
  </si>
  <si>
    <t xml:space="preserve">Neil</t>
  </si>
  <si>
    <t xml:space="preserve">Edley</t>
  </si>
  <si>
    <t xml:space="preserve">https://www.instagram.com/damnmansnacks</t>
  </si>
  <si>
    <t xml:space="preserve">BR5:33</t>
  </si>
  <si>
    <t xml:space="preserve">SFFS 2026 (Sugar Plum Inc, State: Pennsylvania): 'Sugar Plum Chocolates and DM Snacks are family-owned Pennsylvania specialty food brands founded by Frann and Neil Edley'. Site: 'Woman-owned. Packed in PA.'</t>
  </si>
  <si>
    <t xml:space="preserve">AB-289</t>
  </si>
  <si>
    <t xml:space="preserve">Josephine's Baking Co.</t>
  </si>
  <si>
    <t xml:space="preserve">Lydda</t>
  </si>
  <si>
    <t xml:space="preserve">Northeast brand, no graded store within ten blocks, online store only, a new store listing 32 days ago, revenue unknown, contact named (first name only); founder review: format, claim-borderline.</t>
  </si>
  <si>
    <t xml:space="preserve">Launched Vanilla and Coconut Crispy Cookies and a Nut-Free Favorites bundle</t>
  </si>
  <si>
    <t xml:space="preserve">https://josephinesbakingco.com/products.json</t>
  </si>
  <si>
    <t xml:space="preserve">https://events.specialtyfood.com/event/2026-summer-fancy-food-show/exhibitor/RXhoaWJpdG9yXzI0NTA3ODc=</t>
  </si>
  <si>
    <t xml:space="preserve">find Lydda at Josephine's Baking Co. on LinkedIn and paste the profile URL; surname not public: take it from LinkedIn; founder review (format, claim-borderline): read founder_review_reason first</t>
  </si>
  <si>
    <t xml:space="preserve">https://josephinesbakingco.com/pages/about-us</t>
  </si>
  <si>
    <t xml:space="preserve">Vanilla Crispy Cookies, gluten-free, 5 oz stand-up pouch</t>
  </si>
  <si>
    <t xml:space="preserve">unknown (made in Massachusetts and Vermont)</t>
  </si>
  <si>
    <t xml:space="preserve">https://josephinesbakingco.com</t>
  </si>
  <si>
    <t xml:space="preserve">Only 5 oz share pouches seen, no single-serve. Meta description calls the cookies 'a healthy and tasty snack' (soft wording)</t>
  </si>
  <si>
    <t xml:space="preserve">Crispy gluten-free cookies in resealable 5 oz pouches shipped nationwide; shelf life not stated</t>
  </si>
  <si>
    <t xml:space="preserve">'Mimi'; surname not given</t>
  </si>
  <si>
    <t xml:space="preserve">https://www.instagram.com/josephinesbakingco/</t>
  </si>
  <si>
    <t xml:space="preserve">BR5:25</t>
  </si>
  <si>
    <t xml:space="preserve">SFFS 2026 (State: Massachusetts): 'women-owned, Latina-owned mother-daughter brand crafting premium gluten-free cookies'. Homepage: 'Our cookies are proudly made in Massachusetts &amp; Vermont'.</t>
  </si>
  <si>
    <t xml:space="preserve">AB-202</t>
  </si>
  <si>
    <t xml:space="preserve">Spirited Zero Proof</t>
  </si>
  <si>
    <t xml:space="preserve">Laurie</t>
  </si>
  <si>
    <t xml:space="preserve">Lloyd</t>
  </si>
  <si>
    <t xml:space="preserve">Brand based outside the Northeast, no graded store within ten blocks, online store only, a new store listing 25 days ago, revenue unknown, contact named; founder review: other.</t>
  </si>
  <si>
    <t xml:space="preserve">Added to Pop Up Grocer NYC Flagship directory; Original and Lemon Spritz listed 2026-06-03</t>
  </si>
  <si>
    <t xml:space="preserve">https://popupgrocer.com/products/spirited-zero-proof</t>
  </si>
  <si>
    <t xml:space="preserve">2026-09-29</t>
  </si>
  <si>
    <t xml:space="preserve">https://spiritedzeroproof.com/pages/our-story</t>
  </si>
  <si>
    <t xml:space="preserve">find Laurie Lloyd at Spirited Zero Proof on LinkedIn and paste the profile URL; founder review (other): read founder_review_reason first</t>
  </si>
  <si>
    <t xml:space="preserve">Spirited Original Spritz zero-proof RTD cocktail, can (under 30 calories)</t>
  </si>
  <si>
    <t xml:space="preserve">Miami Beach</t>
  </si>
  <si>
    <t xml:space="preserve">https://spiritedzeroproof.com</t>
  </si>
  <si>
    <t xml:space="preserve">Cocktail-style positioning in an office pantry; Miami founder, so NYC push would be new; shelf stability not stated; 60-day shelf life not stated</t>
  </si>
  <si>
    <t xml:space="preserve">Pop Up Grocer NYC Flagship, 205 Bleecker St (retailer directory); find-a-store page not readable</t>
  </si>
  <si>
    <t xml:space="preserve">Laurie Lloyd</t>
  </si>
  <si>
    <t xml:space="preserve">BR3:76</t>
  </si>
  <si>
    <t xml:space="preserve">FAQ: 100% alcohol free, no THC, mushrooms or adaptogens (clean on claims). Founder described as 'a Miami-based entrepreneur' (basis for hq).</t>
  </si>
  <si>
    <t xml:space="preserve">hq_city &lt;- https://spiritedzeroproof.com/policies/privacy-policy (2026-10-24, opened); </t>
  </si>
  <si>
    <t xml:space="preserve">AB-188</t>
  </si>
  <si>
    <t xml:space="preserve">Loom</t>
  </si>
  <si>
    <t xml:space="preserve">Bill</t>
  </si>
  <si>
    <t xml:space="preserve">Butrymowicz</t>
  </si>
  <si>
    <t xml:space="preserve">Northeast brand, no graded store within ten blocks, online store only, a new store listing 223 days ago, revenue unknown, contact named; founder review: claim-borderline.</t>
  </si>
  <si>
    <t xml:space="preserve">Original Variety 12 Pack listed on store</t>
  </si>
  <si>
    <t xml:space="preserve">https://www.drinkloom.com/products.json</t>
  </si>
  <si>
    <t xml:space="preserve">2026-03-15</t>
  </si>
  <si>
    <t xml:space="preserve">https://www.drinkloom.com/pages/about</t>
  </si>
  <si>
    <t xml:space="preserve">find Bill Butrymowicz at Loom on LinkedIn and paste the profile URL; founder review (claim-borderline): read founder_review_reason first</t>
  </si>
  <si>
    <t xml:space="preserve">Loom low-sugar juice drink, bottle (Dark Cherry, Midnight Mango)</t>
  </si>
  <si>
    <t xml:space="preserve">Lakewood</t>
  </si>
  <si>
    <t xml:space="preserve">https://www.drinkloom.com</t>
  </si>
  <si>
    <t xml:space="preserve">HQ and current NYC retail not confirmed; 'no added sugar' nutrient-content claim; 60-day shelf life not stated</t>
  </si>
  <si>
    <t xml:space="preserve">About page: 'Each bottle is aseptically filled' (aseptic filling usually means ambient storage, but no explicit statement)</t>
  </si>
  <si>
    <t xml:space="preserve">Pop Up Grocer (past brand, directory); Stockist widget present but no locations returned</t>
  </si>
  <si>
    <t xml:space="preserve">https://popupgrocer.com/products/loom</t>
  </si>
  <si>
    <t xml:space="preserve">Bill Butrymowicz</t>
  </si>
  <si>
    <t xml:space="preserve">https://instagram.com/drinkloom</t>
  </si>
  <si>
    <t xml:space="preserve">BR3:62</t>
  </si>
  <si>
    <t xml:space="preserve">Founder grew up in his father's beverage distribution business (about page). Date is Shopify publish date.</t>
  </si>
  <si>
    <t xml:space="preserve">hq_city &lt;- https://www.drinkloom.com/policies/terms-of-service (2026-10-24, opened); hq_state &lt;- https://www.drinkloom.com/policies/terms-of-service (2026-10-24, opened); </t>
  </si>
  <si>
    <t xml:space="preserve">AB-029</t>
  </si>
  <si>
    <t xml:space="preserve">Vermont Smoke &amp; Cure</t>
  </si>
  <si>
    <t xml:space="preserve">Northeast brand, store page shows Whole Foods Market NoMad inside the cluster, a new store listing 159 days ago, revenue unknown, no contact named; founder review: owner.</t>
  </si>
  <si>
    <t xml:space="preserve">Launched Kraft A.1. and Lea &amp; Perrins inspired smoked beef sticks (1 oz, 6-count)</t>
  </si>
  <si>
    <t xml:space="preserve">https://store.vermontsmokeandcure.com/products/kraft-a-1-inspired-smoked-premium-beef-stick-1oz-6ct</t>
  </si>
  <si>
    <t xml:space="preserve">https://store.vermontsmokeandcure.com</t>
  </si>
  <si>
    <t xml:space="preserve">no person named on an opened page: not ready; before using the retailer line, check Whole Foods Market NoMad still lists it: https://www.wholefoodsmarket.com/search?text=Vermont%20Smoke%20%26%20Cure with your store set to NoMad (catalogs change daily); founder review (owner): read founder_review_reason first</t>
  </si>
  <si>
    <t xml:space="preserve">Vermont Smoke &amp; Cure BBQ Beef Stick, 1 oz</t>
  </si>
  <si>
    <t xml:space="preserve">Hinesburg</t>
  </si>
  <si>
    <t xml:space="preserve">Owned by Johnsonville LLC since Sept 2020 (big-brand parent), plus licensed Kraft A.1. and Lea &amp; Perrins sticks</t>
  </si>
  <si>
    <t xml:space="preserve">https://www.vermontsmokeandcure.com</t>
  </si>
  <si>
    <t xml:space="preserve">Individually wrapped 1 oz smoked meat sticks sold ambient (WFM single-stick listings)</t>
  </si>
  <si>
    <t xml:space="preserve">https://www.wholefoodsmarket.com/search?text=vermont%20smoke%20cure (Union Square, NoMad, Chelsea contexts: Original, Uncured Pepperoni Turkey and BBQ Beef 1 oz sticks IN_STOCK 2026-10-23)</t>
  </si>
  <si>
    <t xml:space="preserve">BR1:30</t>
  </si>
  <si>
    <t xml:space="preserve">Single 1 oz sticks are ideal pantry units. 'Our Story' URL 404s; leadership not found on site. why_now date is Shopify published_at.</t>
  </si>
  <si>
    <t xml:space="preserve">hq_city &lt;- https://www.provisioneronline.com/articles/109952-johnsonville-acquires-vermont-smoke-cure (2026-10-24, opened); founder_review_reason &lt;- https://www.provisioneronline.com/articles/109952-johnsonville-acquires-vermont-smoke-cure (2026-10-24, opened); </t>
  </si>
  <si>
    <t xml:space="preserve">AB-038</t>
  </si>
  <si>
    <t xml:space="preserve">Gheelish</t>
  </si>
  <si>
    <t xml:space="preserve">Darin</t>
  </si>
  <si>
    <t xml:space="preserve">Alpert</t>
  </si>
  <si>
    <t xml:space="preserve">Founder/CEO</t>
  </si>
  <si>
    <t xml:space="preserve">Brand based outside the Northeast, no graded store within ten blocks, online store only, news 46 days ago, revenue unknown, contact named; founder review: claim-borderline, scale.</t>
  </si>
  <si>
    <t xml:space="preserve">Trade-press feature on growth from kitchen to 4,000+ stores; tortilla chips line added</t>
  </si>
  <si>
    <t xml:space="preserve">https://www.snackandbakery.com/articles/116281-gheelish-clarifies-the-brands-better-for-you-snack-growth</t>
  </si>
  <si>
    <t xml:space="preserve">https://www.gheelish.com/pages/about-us</t>
  </si>
  <si>
    <t xml:space="preserve">find Darin Alpert at Gheelish on LinkedIn and paste the profile URL; founder review (claim-borderline, scale): read founder_review_reason first</t>
  </si>
  <si>
    <t xml:space="preserve">Gheelish organic popcorn popped in grass-fed ghee, Lightly Buttered</t>
  </si>
  <si>
    <t xml:space="preserve">Raleigh</t>
  </si>
  <si>
    <t xml:space="preserve">https://www.gheelish.com</t>
  </si>
  <si>
    <t xml:space="preserve">Founder interview says ghee fats 'support gut and immune health' (press, not pack); new line is protein cookies; no NYC retailer found; scale signal in the why-now ('4,000+ stores'): likely above the $10M band; ask at intake</t>
  </si>
  <si>
    <t xml:space="preserve">Bagged air-popped popcorn and tortilla chips, ambient</t>
  </si>
  <si>
    <t xml:space="preserve">Sprouts (nationwide); 4,000+ stores (brand story page)</t>
  </si>
  <si>
    <t xml:space="preserve">https://www.wholefoodsmarket.com/search?text=gheelish (no results in cluster stores, 2026-10-23)</t>
  </si>
  <si>
    <t xml:space="preserve">Darin Alpert</t>
  </si>
  <si>
    <t xml:space="preserve">BR1:39</t>
  </si>
  <si>
    <t xml:space="preserve">Business address in privacy policy is Raleigh NC. Brand story names co-founder Kelly (first name).</t>
  </si>
  <si>
    <t xml:space="preserve">AB-296</t>
  </si>
  <si>
    <t xml:space="preserve">Lark Fine Foods</t>
  </si>
  <si>
    <t xml:space="preserve">Northeast brand, no graded store within ten blocks, online store only, a new store listing 20 days ago, revenue unknown, no contact named; founder review: format.</t>
  </si>
  <si>
    <t xml:space="preserve">Added Tea Cakes and ribboned Tea Cakes to its online store</t>
  </si>
  <si>
    <t xml:space="preserve">https://larkfinefoods.com/products.json</t>
  </si>
  <si>
    <t xml:space="preserve">https://events.specialtyfood.com/event/2026-summer-fancy-food-show/exhibitor/RXhoaWJpdG9yXzI0ODY2MDE=</t>
  </si>
  <si>
    <t xml:space="preserve">no person named on an opened page: not ready; founder review (format): read founder_review_reason first</t>
  </si>
  <si>
    <t xml:space="preserve">Olive Scourtin sweet-and-savory biscuits; Tea Cakes</t>
  </si>
  <si>
    <t xml:space="preserve">Essex</t>
  </si>
  <si>
    <t xml:space="preserve">https://larkfinefoods.com</t>
  </si>
  <si>
    <t xml:space="preserve">Founded 2008 and gift-box led; single-serve format not seen. Founder not named on pages opened</t>
  </si>
  <si>
    <t xml:space="preserve">Packaged biscuits and shortbread sold ambient online and in specialty stores; shelf life not stated</t>
  </si>
  <si>
    <t xml:space="preserve">Specialty retailers (unnamed)</t>
  </si>
  <si>
    <t xml:space="preserve">BR5:32</t>
  </si>
  <si>
    <t xml:space="preserve">SFFS 2026: 'Founded in 2008, Lark Fine Foods is a 100% woman-owned and operated specialty foods company located north of Boston in historic Essex, Massachusetts'.</t>
  </si>
  <si>
    <t xml:space="preserve">AB-108</t>
  </si>
  <si>
    <t xml:space="preserve">jcoco</t>
  </si>
  <si>
    <t xml:space="preserve">Jean</t>
  </si>
  <si>
    <t xml:space="preserve">Thompson</t>
  </si>
  <si>
    <t xml:space="preserve">Brand based outside the Northeast, store page shows Whole Foods Market NoMad inside the cluster, a new store listing 39 days ago, revenue unknown, contact named; founder review: owner.</t>
  </si>
  <si>
    <t xml:space="preserve">Launched Sweet Heat bars (Thai Chili Peanut, Chili Almond, Spicy Pineapple), Sept 2026</t>
  </si>
  <si>
    <t xml:space="preserve">https://jcocochocolate.com/</t>
  </si>
  <si>
    <t xml:space="preserve">2026-09-15</t>
  </si>
  <si>
    <t xml:space="preserve">https://jcocochocolate.com/pages/about</t>
  </si>
  <si>
    <t xml:space="preserve">find Jean Thompson at jcoco on LinkedIn and paste the profile URL; before using the retailer line, check Whole Foods Market NoMad still lists it: https://www.wholefoodsmarket.com/search?text=jcoco with your store set to NoMad (catalogs change daily); founder review (owner): read founder_review_reason first</t>
  </si>
  <si>
    <t xml:space="preserve">Black Fig and Pistachio Dark Chocolate Bar 3 oz; Thai Chili Peanut bar</t>
  </si>
  <si>
    <t xml:space="preserve">Tukwila</t>
  </si>
  <si>
    <t xml:space="preserve">https://jcocochocolate.com</t>
  </si>
  <si>
    <t xml:space="preserve">Part of Seattle Chocolate Co. (parent company size unknown); 'delicious and nutritious' wording; 60-day shelf life not stated</t>
  </si>
  <si>
    <t xml:space="preserve">WA</t>
  </si>
  <si>
    <t xml:space="preserve">owned by Seattle Chocolate Co. (site footer)</t>
  </si>
  <si>
    <t xml:space="preserve">Whole Foods; store locator (Secomapp widget, not machine-read)</t>
  </si>
  <si>
    <t xml:space="preserve">https://www.wholefoodsmarket.com/api/search?text=jcoco&amp;store=10162&amp;limit=60&amp;offset=0; https://www.wholefoodsmarket.com/api/search?text=jcoco&amp;store=10773&amp;limit=60&amp;offset=0; https://www.wholefoodsmarket.com/api/search?text=jcoco&amp;store=10131&amp;limit=60&amp;offset=0</t>
  </si>
  <si>
    <t xml:space="preserve">Jean Thompson</t>
  </si>
  <si>
    <t xml:space="preserve">https://www.instagram.com/jcocochocolate/</t>
  </si>
  <si>
    <t xml:space="preserve">BR2:46</t>
  </si>
  <si>
    <t xml:space="preserve">Founded 2012; gives back with every bar. Why-now from Shopify publish dates.</t>
  </si>
  <si>
    <t xml:space="preserve">hq_city &lt;- https://jcocochocolate.com/pages/about (2026-10-24, opened); </t>
  </si>
  <si>
    <t xml:space="preserve">AB-193</t>
  </si>
  <si>
    <t xml:space="preserve">Beekeeper Coffee</t>
  </si>
  <si>
    <t xml:space="preserve">Creech</t>
  </si>
  <si>
    <t xml:space="preserve">Brand based outside the Northeast, no graded store within ten blocks, online store only, a new store listing 32 days ago, revenue unknown, contact named; founder review: scale.</t>
  </si>
  <si>
    <t xml:space="preserve">Relaunched lineup on store: Mocha and Horchata Lattes (2026-07-21), Black (2026-09-12), Vanilla Latte (2026-09-22)</t>
  </si>
  <si>
    <t xml:space="preserve">https://beekeepercoffee.com/products.json</t>
  </si>
  <si>
    <t xml:space="preserve">https://beekeepercoffee.com/pages/faq</t>
  </si>
  <si>
    <t xml:space="preserve">find David Creech at Beekeeper Coffee on LinkedIn and paste the profile URL; founder review (scale): read founder_review_reason first</t>
  </si>
  <si>
    <t xml:space="preserve">https://www.foodnavigator.com/Article/2024/10/03/Beekeeper-Coffee-taps-into-youth-culture-to-build-its-RTD-honey-sweetened-coffee/</t>
  </si>
  <si>
    <t xml:space="preserve">Beekeeper Vanilla Latte (cold brew with a drop of honey), can</t>
  </si>
  <si>
    <t xml:space="preserve">https://beekeepercoffee.com</t>
  </si>
  <si>
    <t xml:space="preserve">Dairy lattes made in Tennessee; HQ and NYC retail not confirmed; national collab history may put it above the band</t>
  </si>
  <si>
    <t xml:space="preserve">FAQ: 'all of our Latte and Cold Brew products are shelf-stable' (beekeepercoffee.com/pages/faq, opened 2026-10-23)</t>
  </si>
  <si>
    <t xml:space="preserve">Taco Bell (Horchata latte collab, 2024 press listed on about page); Pop Up Grocer (past brand); GoToAisle locator not readable</t>
  </si>
  <si>
    <t xml:space="preserve">https://beekeepercoffee.com/pages/about-us</t>
  </si>
  <si>
    <t xml:space="preserve">David Creech</t>
  </si>
  <si>
    <t xml:space="preserve">Graham Neuburger</t>
  </si>
  <si>
    <t xml:space="preserve">Neuburger</t>
  </si>
  <si>
    <t xml:space="preserve">https://instagram.com/beekeepercoffee</t>
  </si>
  <si>
    <t xml:space="preserve">BR3:67</t>
  </si>
  <si>
    <t xml:space="preserve">FAQ: manufacturing facility in Tennessee, sources from neighboring dairy farms. Co-founders referenced in a BevNET headline on the about page (names not given). Dates are Shopify publish dates.</t>
  </si>
  <si>
    <t xml:space="preserve">founder_name &lt;- https://www.foodnavigator.com/Article/2024/10/03/Beekeeper-Coffee-taps-into-youth-culture-to-build-its-RTD-honey-sweetened-coffee/ (2026-10-24, opened); founder_title &lt;- https://www.foodnavigator.com/Article/2024/10/03/Beekeeper-Coffee-taps-into-youth-culture-to-build-its-RTD-honey-sweetened-coffee/ (2026-10-24, opened); marketing_name &lt;- https://attend.expowest.com/event/natural-products-expo-west-2026/exhibitor/RXhoaWJpdG9yXzIzNTc2MDY= (2026-10-24, opened); marketing_title &lt;- https://attend.expowest.com/event/natural-products-expo-west-2026/exhibitor/RXhoaWJpdG9yXzIzNTc2MDY= (2026-10-24, opened); hq_state &lt;- https://attend.expowest.com/event/natural-products-expo-west-2026/exhibitor/RXhoaWJpdG9yXzIzNTc2MDY= (2026-10-24, opened); </t>
  </si>
  <si>
    <t xml:space="preserve">https://attend.expowest.com/event/natural-products-expo-west-2026/exhibitor/RXhoaWJpdG9yXzIzNTc2MDY=</t>
  </si>
  <si>
    <t xml:space="preserve">AB-205</t>
  </si>
  <si>
    <t xml:space="preserve">Kimino</t>
  </si>
  <si>
    <t xml:space="preserve">Brand based outside the Northeast, no graded store within ten blocks, online store only, a new store listing 359 days ago, revenue unknown, contact seen only in a snippet; founder review: other.</t>
  </si>
  <si>
    <t xml:space="preserve">Relaunched US lineup: Sparkling Juices and Sparkling Waters (Yuzu, Ume, Mikan, Ringo, Momo) listed on the US store</t>
  </si>
  <si>
    <t xml:space="preserve">https://us.kimino.com/products.json</t>
  </si>
  <si>
    <t xml:space="preserve">2025-10-30</t>
  </si>
  <si>
    <t xml:space="preserve">https://us.kimino.com/pages/kimino-about-page</t>
  </si>
  <si>
    <t xml:space="preserve">Kimino Yuzu Sparkling Juice / Sparkling Water (Japanese fruit), can</t>
  </si>
  <si>
    <t xml:space="preserve">https://us.kimino.com</t>
  </si>
  <si>
    <t xml:space="preserve">Japan-rooted brand ('farmers and makers from Japan'); US entity location and NYC retail not found; 24-packs only online; 60-day shelf life not stated</t>
  </si>
  <si>
    <t xml:space="preserve">unknown (wholesale page only)</t>
  </si>
  <si>
    <t xml:space="preserve">Bill Creelman</t>
  </si>
  <si>
    <t xml:space="preserve">Andres Montoya</t>
  </si>
  <si>
    <t xml:space="preserve">Andres</t>
  </si>
  <si>
    <t xml:space="preserve">Montoya</t>
  </si>
  <si>
    <t xml:space="preserve">National Director</t>
  </si>
  <si>
    <t xml:space="preserve">National Director, not a marketing title</t>
  </si>
  <si>
    <t xml:space="preserve">BR3:79</t>
  </si>
  <si>
    <t xml:space="preserve">kimino.com is a splash page linking to Japan and USA stores. Fits the Asian-flavor sparkling set with Sanzo and Moshi (category exclusivity per drop). Date is Shopify publish date.</t>
  </si>
  <si>
    <t xml:space="preserve">hq_city &lt;- https://us.kimino.com/policies/privacy-policy (2026-10-24, opened); hq_state &lt;- https://us.kimino.com/policies/privacy-policy (2026-10-24, opened); founder_name &lt;- https://www.cbinsights.com/compare/kimino-drinks-vs-spindrift-beverage-co (2026-10-24, snippet-unverified); founder_title &lt;- https://www.cbinsights.com/compare/kimino-drinks-vs-spindrift-beverage-co (2026-10-24, snippet-unverified); marketing_name &lt;- https://attend.expowest.com/event/natural-products-expo-west-2026/exhibitor/RXhoaWJpdG9yXzIzNTg3MzU= (2026-10-24, opened); marketing_title &lt;- https://attend.expowest.com/event/natural-products-expo-west-2026/exhibitor/RXhoaWJpdG9yXzIzNTg3MzU= (2026-10-24, opened); </t>
  </si>
  <si>
    <t xml:space="preserve">https://attend.expowest.com/event/natural-products-expo-west-2026/exhibitor/RXhoaWJpdG9yXzIzNTg3MzU=</t>
  </si>
  <si>
    <t xml:space="preserve">AB-115</t>
  </si>
  <si>
    <t xml:space="preserve">Mast</t>
  </si>
  <si>
    <t xml:space="preserve">New York State brand, no graded store within ten blocks, online store only, no dated why-now in the last 12 months, revenue unknown, no contact named; founder review: other.</t>
  </si>
  <si>
    <t xml:space="preserve">https://mastmarket.com/pages/faq</t>
  </si>
  <si>
    <t xml:space="preserve">Mast organic chocolate bars (Tanzanian Kokoa Kamili cacao)</t>
  </si>
  <si>
    <t xml:space="preserve">Bedford (contact page; terms list Mt. Kisco)</t>
  </si>
  <si>
    <t xml:space="preserve">https://mastmarket.com</t>
  </si>
  <si>
    <t xml:space="preserve">Brand has pivoted to an organic market (sells many third-party foods); chocolate line not found in cluster WFM catalogs; confirm the chocolate line is still active; 60-day shelf life not stated</t>
  </si>
  <si>
    <t xml:space="preserve">Wrapped chocolate bars sold nationally at grocery; shelf-life figure not found</t>
  </si>
  <si>
    <t xml:space="preserve">Mast Market (brand_claim, unplaced)</t>
  </si>
  <si>
    <t xml:space="preserve">Whole Foods; Wegmans; The Fresh Market; hundreds of independent specialty markets (brand FAQ)</t>
  </si>
  <si>
    <t xml:space="preserve">https://mastmarket.com/pages/faq; https://www.wholefoodsmarket.com/api/search?text=mast%20chocolate&amp;store=10162&amp;limit=60&amp;offset=0</t>
  </si>
  <si>
    <t xml:space="preserve">https://www.instagram.com/mastmarket/</t>
  </si>
  <si>
    <t xml:space="preserve">BR2:53</t>
  </si>
  <si>
    <t xml:space="preserve">Formerly Mast Brothers (mastbrothers.com now redirects to mastmarket.com). Mast Market also stocks local brands and could double as a NYC retailer for other rows. Store address not found on pages opened.</t>
  </si>
  <si>
    <t xml:space="preserve">hq_city &lt;- https://mastmarket.com/policies/contact-information (2026-10-24, opened); </t>
  </si>
  <si>
    <t xml:space="preserve">AB-018</t>
  </si>
  <si>
    <t xml:space="preserve">Ghips</t>
  </si>
  <si>
    <t xml:space="preserve">Brand based outside the Northeast, no graded store within ten blocks, online store only, a new store listing 88 days ago, revenue unknown, no contact named.</t>
  </si>
  <si>
    <t xml:space="preserve">New Sea Salt &amp; Balsamic flavor; brand already sells an 'Office Subscription' product</t>
  </si>
  <si>
    <t xml:space="preserve">https://eatghips.com/products/sea-salt-balsamic</t>
  </si>
  <si>
    <t xml:space="preserve">2026-07-28</t>
  </si>
  <si>
    <t xml:space="preserve">https://eatghips.com/pages/about</t>
  </si>
  <si>
    <t xml:space="preserve">no person named on an opened page: not ready</t>
  </si>
  <si>
    <t xml:space="preserve">Ghips ghee-fried potato chips, Sea Salt Original (5 oz bags)</t>
  </si>
  <si>
    <t xml:space="preserve">Del Mar</t>
  </si>
  <si>
    <t xml:space="preserve">https://eatghips.com</t>
  </si>
  <si>
    <t xml:space="preserve">Bagged potato chips sold ambient</t>
  </si>
  <si>
    <t xml:space="preserve">PopUp Grocer (NYC); Faire; Airgoods</t>
  </si>
  <si>
    <t xml:space="preserve">https://popupgrocer.com/pages/directory (availability 'NYC Flagship', 2026-10-23); https://popupgrocer.com/products/ghips</t>
  </si>
  <si>
    <t xml:space="preserve">https://instagram.com/eatghips</t>
  </si>
  <si>
    <t xml:space="preserve">BR1:19</t>
  </si>
  <si>
    <t xml:space="preserve">Office Subscription SKU (published 2026-01-14) signals interest in office channel. Business city from privacy policy. Founder not named on site.</t>
  </si>
  <si>
    <t xml:space="preserve">AB-039</t>
  </si>
  <si>
    <t xml:space="preserve">PeaKaPop</t>
  </si>
  <si>
    <t xml:space="preserve">Emre</t>
  </si>
  <si>
    <t xml:space="preserve">Brand based outside the Northeast, no graded store within ten blocks, online store only, a new store listing 71 days ago, revenue unknown, contact named (first name only); founder review: claim-borderline.</t>
  </si>
  <si>
    <t xml:space="preserve">Launched Protein Thins on brand store</t>
  </si>
  <si>
    <t xml:space="preserve">https://peakapop.com/products/protein-this</t>
  </si>
  <si>
    <t xml:space="preserve">https://peakapop.com/pages/about-us</t>
  </si>
  <si>
    <t xml:space="preserve">find Emre at PeaKaPop on LinkedIn and paste the profile URL; surname not public: take it from LinkedIn; founder review (claim-borderline): read founder_review_reason first</t>
  </si>
  <si>
    <t xml:space="preserve">PeaKaPop Sea Salt Veggie Crisps (air-popped chickpea and lentil)</t>
  </si>
  <si>
    <t xml:space="preserve">Woodbridge</t>
  </si>
  <si>
    <t xml:space="preserve">https://peakapop.com</t>
  </si>
  <si>
    <t xml:space="preserve">New 'Protein Thins' line (protein positioning)</t>
  </si>
  <si>
    <t xml:space="preserve">Air-popped legume crisps in sealed bags, ambient</t>
  </si>
  <si>
    <t xml:space="preserve">https://popupgrocer.com/pages/directory (availability 'NYC Flagship', 2026-10-23); https://popupgrocer.com/products/peakapop</t>
  </si>
  <si>
    <t xml:space="preserve">first names on brand site</t>
  </si>
  <si>
    <t xml:space="preserve">Zeynep</t>
  </si>
  <si>
    <t xml:space="preserve">https://instagram.com/peakapop</t>
  </si>
  <si>
    <t xml:space="preserve">BR1:40</t>
  </si>
  <si>
    <t xml:space="preserve">Entity Fine Snacks Inc., Woodbridge VA (terms of service). Makes every batch in its own facility (homepage).</t>
  </si>
  <si>
    <t xml:space="preserve">AB-161</t>
  </si>
  <si>
    <t xml:space="preserve">Death Wish Coffee</t>
  </si>
  <si>
    <t xml:space="preserve">Mike</t>
  </si>
  <si>
    <t xml:space="preserve">Brown</t>
  </si>
  <si>
    <t xml:space="preserve">New York State brand, no graded store within ten blocks, online store only, a new store listing 204 days ago, revenue unknown, contact named; founder review: scale, claim-borderline.</t>
  </si>
  <si>
    <t xml:space="preserve">New Caramel Cold Brew Latte can added (after Classic, Mocha, Vanilla lattes in 2025-11)</t>
  </si>
  <si>
    <t xml:space="preserve">https://www.deathwishcoffee.com/products/caramel-cold-brew-latte</t>
  </si>
  <si>
    <t xml:space="preserve">2026-04-03</t>
  </si>
  <si>
    <t xml:space="preserve">https://www.deathwishcoffee.com/pages/about</t>
  </si>
  <si>
    <t xml:space="preserve">find Mike Brown at Death Wish Coffee on LinkedIn and paste the profile URL; founder review (scale, claim-borderline): read founder_review_reason first</t>
  </si>
  <si>
    <t xml:space="preserve">Death Wish Classic Cold Brew Latte, can (approx. 140 mg caffeine)</t>
  </si>
  <si>
    <t xml:space="preserve">Saratoga Springs</t>
  </si>
  <si>
    <t xml:space="preserve">High-caffeine positioning (140 mg per can) and '65% less sugar' nutrient-content claim; national brand since 2012, likely above $10M (no figure); 60-day shelf life not stated</t>
  </si>
  <si>
    <t xml:space="preserve">https://www.deathwishcoffee.com</t>
  </si>
  <si>
    <t xml:space="preserve">No storage statement on latte product copy</t>
  </si>
  <si>
    <t xml:space="preserve">Mike Brown</t>
  </si>
  <si>
    <t xml:space="preserve">https://www.instagram.com/deathwishcoffee</t>
  </si>
  <si>
    <t xml:space="preserve">BR3:35</t>
  </si>
  <si>
    <t xml:space="preserve">About page: headquartered in downtown Saratoga Springs, manufacturing in Round Lake, New York. Dates are Shopify publish dates.</t>
  </si>
  <si>
    <t xml:space="preserve">AB-287</t>
  </si>
  <si>
    <t xml:space="preserve">Popzup Popcorn</t>
  </si>
  <si>
    <t xml:space="preserve">Northeast brand, no graded store within ten blocks, online store only, a new store listing 254 days ago, revenue unknown, no contact named; founder review: claim-borderline.</t>
  </si>
  <si>
    <t xml:space="preserve">Launched 8-pack boxes of its single-serve popcorn bags</t>
  </si>
  <si>
    <t xml:space="preserve">https://popzup.com/products.json</t>
  </si>
  <si>
    <t xml:space="preserve">https://events.specialtyfood.com/event/2026-summer-fancy-food-show/exhibitor/RXhoaWJpdG9yXzI0MjEwMDk=</t>
  </si>
  <si>
    <t xml:space="preserve">Cheddar Head single-serve popcorn, 0.52 oz bag (8-pack and 30-pack)</t>
  </si>
  <si>
    <t xml:space="preserve">Somersworth</t>
  </si>
  <si>
    <t xml:space="preserve">https://popzup.com</t>
  </si>
  <si>
    <t xml:space="preserve">Site copy calls the 70-calorie packs a 'healthy snack'; the SFFS listing says the dairy is 'a complete protein' with '11% daily fiber' (nutrient wording, check the pack). No NYC retailer found; online only for the cluster</t>
  </si>
  <si>
    <t xml:space="preserve">Popped popcorn in sealed single-serve bags shipped nationwide; shelf life not stated</t>
  </si>
  <si>
    <t xml:space="preserve">General stores in New England (customer reviews); online</t>
  </si>
  <si>
    <t xml:space="preserve">https://www.instagram.com/popzup.popcorn/</t>
  </si>
  <si>
    <t xml:space="preserve">BR5:23</t>
  </si>
  <si>
    <t xml:space="preserve">SFFS 2026: 'family owned and operated, popcorn production facility in Somersworth, New Hampshire'; flagged 'Has a New Product' and 'In The Fancy Bodega'. Single-serve 0.52 oz format suits a 50-units-per-office drop. SFFS also lists B Corp, GFCO and SQF level 3, and 'Working With a Distributor: National'.</t>
  </si>
  <si>
    <t xml:space="preserve">AB-101</t>
  </si>
  <si>
    <t xml:space="preserve">Bakery on Main</t>
  </si>
  <si>
    <t xml:space="preserve">Smulders</t>
  </si>
  <si>
    <t xml:space="preserve">Northeast brand, no graded store within ten blocks, online store only, no dated why-now in the last 12 months, revenue unknown, contact named; founder review: other.</t>
  </si>
  <si>
    <t xml:space="preserve">https://bakeryonmain.com/about/</t>
  </si>
  <si>
    <t xml:space="preserve">find Michael Smulders at Bakery on Main on LinkedIn and paste the profile URL; founder review (other): read founder_review_reason first</t>
  </si>
  <si>
    <t xml:space="preserve">Gluten-free granola bars</t>
  </si>
  <si>
    <t xml:space="preserve">Glastonbury (founding location per brand about page; current HQ not stated)</t>
  </si>
  <si>
    <t xml:space="preserve">https://www.amazon.com/stores/UncleCrumbles/page/CCAA198D-5DEE</t>
  </si>
  <si>
    <t xml:space="preserve">Founded 1992; mostly granola and oatmeal (bars a minor line); no cluster retailer found; 60-day shelf life not stated</t>
  </si>
  <si>
    <t xml:space="preserve">https://bakeryonmain.com</t>
  </si>
  <si>
    <t xml:space="preserve">Granola, instant oatmeal and granola bars (ambient grocery categories); shelf-life figure not found</t>
  </si>
  <si>
    <t xml:space="preserve">Local supermarkets (store locator)</t>
  </si>
  <si>
    <t xml:space="preserve">https://bakeryonmain.com/store-locator/; https://www.wholefoodsmarket.com/api/search?text=bakery%20on%20main&amp;store=10162&amp;limit=60&amp;offset=0</t>
  </si>
  <si>
    <t xml:space="preserve">Michael Smulders</t>
  </si>
  <si>
    <t xml:space="preserve">https://www.instagram.com/bakeryonmain/</t>
  </si>
  <si>
    <t xml:space="preserve">BR2:39</t>
  </si>
  <si>
    <t xml:space="preserve">Northeast brand. Not in WFM cluster catalogs. | Stage 1 online-store check 2026-10-24: Amazon storefront linked from the brand homepage (Amazon only; Amazon page not opened; discount code via Amazon promotions, founder to confirm) (https://bakeryonmain.com)</t>
  </si>
  <si>
    <t xml:space="preserve">online_store &lt;- https://bakeryonmain.com (2026-10-24, opened, stage 1); </t>
  </si>
  <si>
    <t xml:space="preserve">AB-069</t>
  </si>
  <si>
    <t xml:space="preserve">Sweet Loren's</t>
  </si>
  <si>
    <t xml:space="preserve">Loren</t>
  </si>
  <si>
    <t xml:space="preserve">Castle</t>
  </si>
  <si>
    <t xml:space="preserve">https://www.linkedin.com/in/loren-brill-castle-56887121/</t>
  </si>
  <si>
    <t xml:space="preserve">New York City brand, store page shows Whole Foods Market NoMad inside the cluster, no dated why-now in the last 12 months, revenue over $10M, contact named plus a marketing lead; founder review: scale-reported, perishable-risk, claim-borderline.</t>
  </si>
  <si>
    <t xml:space="preserve">https://www.sweetlorens.com/pages/our-story</t>
  </si>
  <si>
    <t xml:space="preserve">before using the retailer line, check Whole Foods Market NoMad still lists it: https://www.wholefoodsmarket.com/search?text=Sweet%20Loren%27s with your store set to NoMad (catalogs change daily); founder review (scale-reported, perishable-risk, claim-borderline): read founder_review_reason first</t>
  </si>
  <si>
    <t xml:space="preserve">https://www.sweetlorens.com/blogs/press</t>
  </si>
  <si>
    <t xml:space="preserve">Breakfast Biscuits 5 Count (Cinnamon Sugar, Chocolate, Blueberry)</t>
  </si>
  <si>
    <t xml:space="preserve">New York (brand story: founded in NYC; current HQ address not stated)</t>
  </si>
  <si>
    <t xml:space="preserve">https://www.sweetlorens.com</t>
  </si>
  <si>
    <t xml:space="preserve">Core line is refrigerated dough (excluded); only the shelf-stable Breakfast Biscuits qualify; protein/fiber nutrient claims on new bars</t>
  </si>
  <si>
    <t xml:space="preserve">scale-reported;perishable-risk;claim-borderline</t>
  </si>
  <si>
    <t xml:space="preserve">Brand Our Story: launched 'shelf-stable breakfast biscuits'; most of the rest of the line is refrigerated dough</t>
  </si>
  <si>
    <t xml:space="preserve">press headline: a 2025 projection (CNBC, 2025-02-18), not actuals</t>
  </si>
  <si>
    <t xml:space="preserve">CNBC, 2025-02-18, on the brand's press page: 'set to bring in $120 million this year' (a projection, not actuals)</t>
  </si>
  <si>
    <t xml:space="preserve">Whole Foods (nationwide for biscuits); Publix; Amazon</t>
  </si>
  <si>
    <t xml:space="preserve">https://www.wholefoodsmarket.com/api/search?text=sweet%20lorens%20breakfast%20biscuits&amp;store=10162&amp;limit=60&amp;offset=0; https://www.wholefoodsmarket.com/api/search?text=sweet%20lorens%20breakfast%20biscuits&amp;store=10773&amp;limit=60&amp;offset=0; https://www.wholefoodsmarket.com/api/search?text=sweet%20lorens%20breakfast%20biscuits&amp;store=10131&amp;limit=60&amp;offset=0</t>
  </si>
  <si>
    <t xml:space="preserve">Loren Castle</t>
  </si>
  <si>
    <t xml:space="preserve">Brand press page carries the CNBC piece (2025-02-18): "Castle is founder and CEO of Sweet Loren's". The Org lists "Loren (Brill) Castle". LinkedIn URL linked from https://karagoldin.com/podcasts/loren-castle/; LinkedIn not opened. Fills the stage-1 surname gap.</t>
  </si>
  <si>
    <t xml:space="preserve">Tracy Garbowski</t>
  </si>
  <si>
    <t xml:space="preserve">Tracy</t>
  </si>
  <si>
    <t xml:space="preserve">Garbowski</t>
  </si>
  <si>
    <t xml:space="preserve">Senior Vice President, Marketing</t>
  </si>
  <si>
    <t xml:space="preserve">The Org (updated 2026-01-21): SVP Marketing since 2025. The earlier SVP Marketing, Robyn DeFina (appointed 2022-10 per Food Industry Executive, The Org updated 2023-01), appears superseded; not recorded as a contact.</t>
  </si>
  <si>
    <t xml:space="preserve">https://www.instagram.com/sweetlorens/</t>
  </si>
  <si>
    <t xml:space="preserve">BR2:6</t>
  </si>
  <si>
    <t xml:space="preserve">WFM catalog at all three cluster stores lists the shelf-stable Breakfast Biscuits plus refrigerated dough. Why-now date taken from the brand Shopify product feed publish date (2026-06-11); the new items are refrigerated, so the signal is weak. | Stage 1 correction 2026-10-24: Spot check round 1: the research why-now (June 2026 Ready To Bake Oatmeal Bars and Puff Pastry Sticks) is the refrigerated line, which is excluded; it is no reason for New York trial of the shelf-stable biscuits (was: Launched Ready To Bake Oatmeal Bars and Puff Pastry Sticks (refrigerated) on brand store, June 2026)</t>
  </si>
  <si>
    <t xml:space="preserve">why_now &lt;- https://www.sweetlorens.com/products/chocolate-chunk-oatmeal-bars (2026-10-24, stage 1 correction); why_now_url &lt;- https://www.sweetlorens.com/products/chocolate-chunk-oatmeal-bars (2026-10-24, stage 1 correction); why_now_date &lt;- https://www.sweetlorens.com/products/chocolate-chunk-oatmeal-bars (2026-10-24, stage 1 correction); revenue_band &lt;- https://www.sweetlorens.com/blogs/press (2026-10-24, stage 3 correction); revenue_basis &lt;- https://www.sweetlorens.com/blogs/press (2026-10-24, stage 3 correction); </t>
  </si>
  <si>
    <t xml:space="preserve">https://theorg.com/org/sweet-lorens/person/tracy-garbowski</t>
  </si>
  <si>
    <t xml:space="preserve">2026-01-21</t>
  </si>
  <si>
    <t xml:space="preserve">AB-109</t>
  </si>
  <si>
    <t xml:space="preserve">Kate's Real Food</t>
  </si>
  <si>
    <t xml:space="preserve">Brand based outside the Northeast, no graded store within ten blocks, online store only, a new store listing 36 days ago, revenue unknown, no contact named; founder review: claim-borderline.</t>
  </si>
  <si>
    <t xml:space="preserve">Added Protein Bar Variety Pack (Sept 2026) and new protein bars (Apr 2026)</t>
  </si>
  <si>
    <t xml:space="preserve">https://katesrealfood.com/</t>
  </si>
  <si>
    <t xml:space="preserve">Peanut Butter Dark Chocolate organic energy bar; Coconut Truffle Protein Bar</t>
  </si>
  <si>
    <t xml:space="preserve">Victor</t>
  </si>
  <si>
    <t xml:space="preserve">https://katesrealfood.com</t>
  </si>
  <si>
    <t xml:space="preserve">Protein bar line ('High in protein'); no cluster retailer found | Health-claim scan 2026-10-24: the homepage links a blog post on 'Prebiotic Fiber, &amp; Sustained Energy'. Blog copy, not pack copy; founder to read</t>
  </si>
  <si>
    <t xml:space="preserve">Brand wholesale FAQ: 'Our bars have a 365-day shelf life from the date of production.'</t>
  </si>
  <si>
    <t xml:space="preserve">Select retailers nationwide and online partners (brand store locator page)</t>
  </si>
  <si>
    <t xml:space="preserve">https://www.wholefoodsmarket.com/api/search?text=kates%20real%20food&amp;store=10162&amp;limit=60&amp;offset=0</t>
  </si>
  <si>
    <t xml:space="preserve">https://www.instagram.com/katesrealfood/</t>
  </si>
  <si>
    <t xml:space="preserve">BR2:47</t>
  </si>
  <si>
    <t xml:space="preserve">Organic honey-based bars. Not in WFM cluster catalogs. Why-now from Shopify publish dates.</t>
  </si>
  <si>
    <t xml:space="preserve">shelf_stable &lt;- https://katesrealfood.com/pages/wholesale (2026-10-24, opened); shelf_stable_basis &lt;- https://katesrealfood.com/pages/wholesale (2026-10-24, opened); hq_city &lt;- https://katesrealfood.com/policies/terms-of-service (2026-10-24, opened); hq_state &lt;- https://katesrealfood.com/policies/terms-of-service (2026-10-24, opened); founder_review_reason &lt;- https://katesrealfood.com (2026-10-24, stage 3 correction); </t>
  </si>
  <si>
    <t xml:space="preserve">AB-242</t>
  </si>
  <si>
    <t xml:space="preserve">Baabu Foods</t>
  </si>
  <si>
    <t xml:space="preserve">Northeast brand, no graded store within ten blocks, online store only, no dated why-now in the last 12 months, revenue unknown, contact seen only in a snippet; founder review: claim-borderline.</t>
  </si>
  <si>
    <t xml:space="preserve">https://www.pearlriver.com/products/baabu</t>
  </si>
  <si>
    <t xml:space="preserve">https://baabufoods.com/pages/meet-the-baabus</t>
  </si>
  <si>
    <t xml:space="preserve">Organic Masala Pecans, 6 oz</t>
  </si>
  <si>
    <t xml:space="preserve">unknown, New Jersey (Pearl River listing: 'Small-batch roasted in New Jersey')</t>
  </si>
  <si>
    <t xml:space="preserve">https://baabufoods.com</t>
  </si>
  <si>
    <t xml:space="preserve">Retailer copy for the Chai Biscuits says fennel seeds 'support digestion... promote cardiovascular health' (structure/function); the pecans themselves carry no claim; offer pecans only and check pack wording</t>
  </si>
  <si>
    <t xml:space="preserve">Roasted nuts sold ambient; no shelf-life figure published, founder to confirm</t>
  </si>
  <si>
    <t xml:space="preserve">first names only; surnames founder to confirm</t>
  </si>
  <si>
    <t xml:space="preserve">Mayank</t>
  </si>
  <si>
    <t xml:space="preserve">BR4:37</t>
  </si>
  <si>
    <t xml:space="preserve">6 oz bag is share size. Brand site reachable but gave no HQ text. Pearl River Mart catalog (pearlriver.com online store; Chelsea Market food store at 75 9th Ave not confirmed for this item)</t>
  </si>
  <si>
    <t xml:space="preserve">founder_name &lt;- https://baabufoods.com/pages/meet-the-baabus (2026-10-24, opened); founder_title &lt;- https://baabufoods.com/pages/meet-the-baabus (2026-10-24, opened); founder_profile_url &lt;- https://baabufoods.com/pages/meet-the-baabus (2026-10-24, opened); online_store &lt;- https://baabufoods.com/products.json?limit=250 (2026-10-24, opened); online_store_url &lt;- https://baabufoods.com/ (2026-10-24, opened); </t>
  </si>
  <si>
    <t xml:space="preserve">AB-045</t>
  </si>
  <si>
    <t xml:space="preserve">The Good Crisp Company</t>
  </si>
  <si>
    <t xml:space="preserve">Parry</t>
  </si>
  <si>
    <t xml:space="preserve">Brand based outside the Northeast (HQ unverified), store page shows Whole Foods Market NoMad inside the cluster, news 281 days ago, revenue unknown, contact named; founder review: owner, scale.</t>
  </si>
  <si>
    <t xml:space="preserve">Acquired by investment firm MPearlRock (terms not disclosed); brand in 20,000+ retail doors across the US, Canada, Australia and the UK</t>
  </si>
  <si>
    <t xml:space="preserve">https://www.snackandbakery.com/articles/115026-investment-firm-snaps-up-the-good-crisp-company</t>
  </si>
  <si>
    <t xml:space="preserve">2026-01-16</t>
  </si>
  <si>
    <t xml:space="preserve">https://www.wholefoodsmarket.com/search?text=good%20crisp</t>
  </si>
  <si>
    <t xml:space="preserve">find Matt Parry at The Good Crisp Company on LinkedIn and paste the profile URL; before using the retailer line, check Whole Foods Market NoMad still lists it: https://www.wholefoodsmarket.com/search?text=The%20Good%20Crisp%20Company with your store set to NoMad (catalogs change daily); founder review (owner, scale): read founder_review_reason first</t>
  </si>
  <si>
    <t xml:space="preserve">The Good Crisp Company Stacked Original potato crisps, 5.64 oz canister</t>
  </si>
  <si>
    <t xml:space="preserve">Longmont (returns address); Boulder per CB Insights and a Holland &amp; Hart note (search snippets, unverified, founder to confirm)</t>
  </si>
  <si>
    <t xml:space="preserve">Brand site unreachable through proxy on 2026-10-23; owner, HQ and scale unconfirmed; scale signal in the why-now ('20,000+ retail doors'): likely above the $10M band; ask at intake; no online store: buy path is the store only</t>
  </si>
  <si>
    <t xml:space="preserve">https://www.thegoodcrispcompany.com</t>
  </si>
  <si>
    <t xml:space="preserve">Acquired by MPearlRock (Jan 2026)</t>
  </si>
  <si>
    <t xml:space="preserve">Canister potato crisps and cheese balls, ambient</t>
  </si>
  <si>
    <t xml:space="preserve">https://www.wholefoodsmarket.com/search?text=good%20crisp (10 items IN_STOCK in each cluster store context, 2026-10-23)</t>
  </si>
  <si>
    <t xml:space="preserve">Matt Parry</t>
  </si>
  <si>
    <t xml:space="preserve">BR1:46</t>
  </si>
  <si>
    <t xml:space="preserve">Deep NYC shelf presence (10 SKUs per store). Needs a second pass when the site is reachable.</t>
  </si>
  <si>
    <t xml:space="preserve">website &lt;- https://www.thegoodcrispcompany.com/ (2026-10-24, opened); hq_city &lt;- https://www.thegoodcrispcompany.com/policies/refund-policy (2026-10-24, opened); hq_state &lt;- https://www.thegoodcrispcompany.com/policies/refund-policy (2026-10-24, opened); founder_name &lt;- https://www.thegoodcrispcompany.com/pages/about-us (2026-10-24, opened); founder_title &lt;- https://www.thegoodcrispcompany.com/pages/about-us (2026-10-24, opened); why_now &lt;- https://www.gamaconsumer.com/tag/the-good-crisp-company/ (2026-10-24, snippet-unverified); why_now &lt;- https://www.snackandbakery.com/articles/115026-investment-firm-snaps-up-the-good-crisp-company (2026-10-24, opened); why_now_url &lt;- https://www.snackandbakery.com/articles/115026-investment-firm-snaps-up-the-good-crisp-company (2026-10-24, opened); why_now_date &lt;- https://www.snackandbakery.com/articles/115026-investment-firm-snaps-up-the-good-crisp-company (2026-10-24, opened); founder_name &lt;- https://www.snackandbakery.com/articles/115026-investment-firm-snaps-up-the-good-crisp-company (2026-10-24, opened); funding_stage &lt;- https://www.snackandbakery.com/articles/115026-investment-firm-snaps-up-the-good-crisp-company (2026-10-24, opened); </t>
  </si>
  <si>
    <t xml:space="preserve">AB-310</t>
  </si>
  <si>
    <t xml:space="preserve">Chef Poppin</t>
  </si>
  <si>
    <t xml:space="preserve">Brand based outside the Northeast, no graded store within ten blocks, online store only, news 5 days ago, revenue unknown, no contact named; founder review: scale.</t>
  </si>
  <si>
    <t xml:space="preserve">Kimchi Flavor Coated Gourmet Popcorn named a 2027 sofi Award finalist (Savory Snacks)</t>
  </si>
  <si>
    <t xml:space="preserve">no person named on an opened page: not ready; founder review (scale): read founder_review_reason first</t>
  </si>
  <si>
    <t xml:space="preserve">Chef Poppin Brown Sugar Boba Milk Tea popcorn, single bag ($1.99)</t>
  </si>
  <si>
    <t xml:space="preserve">Hayward</t>
  </si>
  <si>
    <t xml:space="preserve">https://www.chefpoppin.com</t>
  </si>
  <si>
    <t xml:space="preserve">West Coast brand (Hayward, CA) with Taiwanese production; Costco presence suggests it may sit above the revenue band. FAQ says trehalose gives a 'lower glycemic impact' (nutrition wording; check the pack)</t>
  </si>
  <si>
    <t xml:space="preserve">FAQ: 'Unopened bags stay delicious for 18 months.'</t>
  </si>
  <si>
    <t xml:space="preserve">Costco (site banner 'CHEF POPPIN at Costco')</t>
  </si>
  <si>
    <t xml:space="preserve">https://www.instagram.com/chefpoppin/</t>
  </si>
  <si>
    <t xml:space="preserve">BR5:46</t>
  </si>
  <si>
    <t xml:space="preserve">Listed in the 2027 sofi finalists as 'Chef Poppin International Inc.'. Kimchi popcorn published 2026-08-17 (products.json). Contact page address: Hayward, California 94545. Outside the New York-first brief; kept because the single-bag format and 18-month shelf life fit the drop.</t>
  </si>
  <si>
    <t xml:space="preserve">AB-060</t>
  </si>
  <si>
    <t xml:space="preserve">Chifles</t>
  </si>
  <si>
    <t xml:space="preserve">Caballero</t>
  </si>
  <si>
    <t xml:space="preserve">Brand based outside the Northeast, no graded store within ten blocks, online store only, a new store listing 3 days ago, revenue unknown, contact named; founder review: scale.</t>
  </si>
  <si>
    <t xml:space="preserve">New Original Plantain Chips with Avocado Oil 6-pack on brand store; Kroger expansion to 2,200+ stores (release 2025-10-23)</t>
  </si>
  <si>
    <t xml:space="preserve">https://chifleschips.com/products/original-plantain-chips-with-avocado-oil-5-oz-ea-6-pack</t>
  </si>
  <si>
    <t xml:space="preserve">2026-10-21</t>
  </si>
  <si>
    <t xml:space="preserve">https://startupcpg.com/startup-cpg-newswire-chifles-americas-1-plantain-chip-expands-into-more-than-2200-kroger-stores-nationwide/</t>
  </si>
  <si>
    <t xml:space="preserve">find Tina Caballero at Chifles on LinkedIn and paste the profile URL; founder review (scale): read founder_review_reason first</t>
  </si>
  <si>
    <t xml:space="preserve">Chifles Original Plantain Chips with Avocado Oil, 5 oz (6-pack)</t>
  </si>
  <si>
    <t xml:space="preserve">Miami</t>
  </si>
  <si>
    <t xml:space="preserve">https://chifleschips.com</t>
  </si>
  <si>
    <t xml:space="preserve">Self-described 'America's #1 plantain chip' with 15,000+ points of sale and 60-year history; likely above the $10M band (no sourced figure)</t>
  </si>
  <si>
    <t xml:space="preserve">family-owned (60+ years per release)</t>
  </si>
  <si>
    <t xml:space="preserve">Bagged plantain chips and strips, ambient</t>
  </si>
  <si>
    <t xml:space="preserve">Kroger (2,200+ stores); 15,000+ points of sale in the US</t>
  </si>
  <si>
    <t xml:space="preserve">https://startupcpg.com/startup-cpg-newswire-chifles-americas-1-plantain-chip-expands-into-more-than-2200-kroger-stores-nationwide/; https://www.wholefoodsmarket.com/search?text=chifles%20plantain (no WFM results in cluster stores, 2026-10-23)</t>
  </si>
  <si>
    <t xml:space="preserve">Tina Caballero</t>
  </si>
  <si>
    <t xml:space="preserve">BR1:61</t>
  </si>
  <si>
    <t xml:space="preserve">Release datelined MIAMI, FL (October 2025). Avocado-oil SKU created 2026-10-17 on Shopify.</t>
  </si>
  <si>
    <t xml:space="preserve">AB-176</t>
  </si>
  <si>
    <t xml:space="preserve">Saint James Iced Tea</t>
  </si>
  <si>
    <t xml:space="preserve">M</t>
  </si>
  <si>
    <t xml:space="preserve">Brand based outside the Northeast, no graded store within ten blocks, online store only, a new store listing 59 days ago, revenue unknown, contact named; founder review: scale, claim-borderline.</t>
  </si>
  <si>
    <t xml:space="preserve">Launched Mango 'The White Lotus' limited edition and new Fruit Punch flavor on its store</t>
  </si>
  <si>
    <t xml:space="preserve">https://saintjamesicedtea.com/products.json</t>
  </si>
  <si>
    <t xml:space="preserve">https://saintjamesicedtea.com/pages/about</t>
  </si>
  <si>
    <t xml:space="preserve">find John M at Saint James Iced Tea on LinkedIn and paste the profile URL; founder review (scale, claim-borderline): read founder_review_reason first</t>
  </si>
  <si>
    <t xml:space="preserve">Saint James organic iced tea (0-4 g sugar), can; Strawberry Tangerine Yerba Mate (150 mg caffeine)</t>
  </si>
  <si>
    <t xml:space="preserve">Boca Raton</t>
  </si>
  <si>
    <t xml:space="preserve">https://saintjamesicedtea.com</t>
  </si>
  <si>
    <t xml:space="preserve">Founded by AriZona Iced Tea co-founder, so well-resourced and maybe above the band; yerba mate SKUs carry 150 mg caffeine (place the plain iced tea). Pop Up Grocer listing is brand-level, not SKU-level; 60-day shelf life not stated</t>
  </si>
  <si>
    <t xml:space="preserve">family-owned (per Pop Up Grocer directory)</t>
  </si>
  <si>
    <t xml:space="preserve">https://popupgrocer.com/products/saint-james-iced-tea</t>
  </si>
  <si>
    <t xml:space="preserve">FAQ discusses refrigeration only after opening; no explicit shelf-life statement read</t>
  </si>
  <si>
    <t xml:space="preserve">Pop Up Grocer NYC Flagship, 205 Bleecker St (retailer directory); Destini locator not readable</t>
  </si>
  <si>
    <t xml:space="preserve">John M</t>
  </si>
  <si>
    <t xml:space="preserve">Hayley Budden</t>
  </si>
  <si>
    <t xml:space="preserve">Hayley</t>
  </si>
  <si>
    <t xml:space="preserve">Budden</t>
  </si>
  <si>
    <t xml:space="preserve">Director of Field Marketing</t>
  </si>
  <si>
    <t xml:space="preserve">BR3:50</t>
  </si>
  <si>
    <t xml:space="preserve">Pop Up Grocer directory (opened 2026-10-23): 'second-generation, family-owned', availability 'NYC Flagship'. store_selector grade is from the retailer's own directory page naming its NYC Flagship store. Dates are Shopify publish dates.</t>
  </si>
  <si>
    <t xml:space="preserve">hq_city &lt;- https://saintjamesicedtea.com/policies/contact-information (2026-10-24, opened); hq_state &lt;- https://saintjamesicedtea.com/policies/contact-information (2026-10-24, opened); marketing_name &lt;- https://attend.expowest.com/event/natural-products-expo-west-2026/exhibitor/RXhoaWJpdG9yXzIzNTc0NDA= (2026-10-24, opened); marketing_title &lt;- https://attend.expowest.com/event/natural-products-expo-west-2026/exhibitor/RXhoaWJpdG9yXzIzNTc0NDA= (2026-10-24, opened); </t>
  </si>
  <si>
    <t xml:space="preserve">https://attend.expowest.com/event/natural-products-expo-west-2026/exhibitor/RXhoaWJpdG9yXzIzNTc0NDA=</t>
  </si>
  <si>
    <t xml:space="preserve">AB-102</t>
  </si>
  <si>
    <t xml:space="preserve">Blake's Seed Based</t>
  </si>
  <si>
    <t xml:space="preserve">Brand based outside the Northeast, no graded store within ten blocks, online store only, a new store listing 68 days ago, revenue unknown, no contact named; founder review: claim-borderline.</t>
  </si>
  <si>
    <t xml:space="preserve">Launched Protein Treats on brand store, Aug 2026</t>
  </si>
  <si>
    <t xml:space="preserve">https://www.eatblakes.com/</t>
  </si>
  <si>
    <t xml:space="preserve">2026-08-17</t>
  </si>
  <si>
    <t xml:space="preserve">https://www.eatblakes.com/pages/our-story</t>
  </si>
  <si>
    <t xml:space="preserve">Crispy Treats seed-based snack bars; Protein Treats</t>
  </si>
  <si>
    <t xml:space="preserve">Bloomington</t>
  </si>
  <si>
    <t xml:space="preserve">https://www.eatblakes.com</t>
  </si>
  <si>
    <t xml:space="preserve">Kids/classroom allergy-free positioning; '5g plant protein, 3g sugar' nutrient claims; 60-day shelf life not stated</t>
  </si>
  <si>
    <t xml:space="preserve">IN</t>
  </si>
  <si>
    <t xml:space="preserve">Wrapped bars sold in grocery; shelf-life figure not found</t>
  </si>
  <si>
    <t xml:space="preserve">Over 3,000 stores nationwide (brand home page)</t>
  </si>
  <si>
    <t xml:space="preserve">https://www.wholefoodsmarket.com/api/search?text=blakes%20seed%20based&amp;store=10162&amp;limit=60&amp;offset=0</t>
  </si>
  <si>
    <t xml:space="preserve">https://www.instagram.com/eatblakes/</t>
  </si>
  <si>
    <t xml:space="preserve">BR2:40</t>
  </si>
  <si>
    <t xml:space="preserve">Top allergen-free (nut-free, gluten-free, dairy-free). Storemapper locator ID not readable. Not in WFM cluster catalogs. Why-now date from Shopify publish date.</t>
  </si>
  <si>
    <t xml:space="preserve">hq_city &lt;- https://www.eatblakes.com/policies/terms-of-service (2026-10-24, opened); hq_state &lt;- https://www.eatblakes.com/policies/terms-of-service (2026-10-24, opened); </t>
  </si>
  <si>
    <t xml:space="preserve">AB-177</t>
  </si>
  <si>
    <t xml:space="preserve">Neat Soda</t>
  </si>
  <si>
    <t xml:space="preserve">HQ unknown, no graded store within ten blocks, online store only, a new store listing 115 days ago, revenue unknown, no contact named; founder review: claim-borderline.</t>
  </si>
  <si>
    <t xml:space="preserve">Added to Pop Up Grocer NYC Flagship directory</t>
  </si>
  <si>
    <t xml:space="preserve">https://popupgrocer.com/products/neat-soda</t>
  </si>
  <si>
    <t xml:space="preserve">https://neatsoda.com</t>
  </si>
  <si>
    <t xml:space="preserve">Neat Cola / Dr. Neat / Lemon Lime lower-sugar soda, 12 oz can</t>
  </si>
  <si>
    <t xml:space="preserve">Founder, HQ and size unknown; 'less sugar' is a nutrient-content claim. Pop Up Grocer listing is brand-level; 60-day shelf life not stated</t>
  </si>
  <si>
    <t xml:space="preserve">BR3:51</t>
  </si>
  <si>
    <t xml:space="preserve">Homepage: 'Crisp. Less Sugar.' Caffeine-free lemon lime; 6-pack $18.99. why_now_date is the directory entry's publish date. | Added 2026-10-24: Legal entity per privacy policy: AIAC Corp (contact domain aiacbrew.com), with a Dover, DE registered-agent address; aiacbrew.com is a Coming Soon page. HQ and founder still unknown</t>
  </si>
  <si>
    <t xml:space="preserve">notes &lt;- https://neatsoda.com/policies/privacy-policy (2026-10-24, opened); </t>
  </si>
  <si>
    <t xml:space="preserve">AB-181</t>
  </si>
  <si>
    <t xml:space="preserve">COUP'd</t>
  </si>
  <si>
    <t xml:space="preserve">Brand based outside the Northeast, no graded store within ten blocks, online store only, a new store listing 25 days ago, revenue unknown, no contact named; founder review: format.</t>
  </si>
  <si>
    <t xml:space="preserve">Added to Pop Up Grocer NYC Flagship directory; COUP'd Up Duo listed 2026-04-29</t>
  </si>
  <si>
    <t xml:space="preserve">https://popupgrocer.com/products/coupd</t>
  </si>
  <si>
    <t xml:space="preserve">https://getcoupd.com/products.json</t>
  </si>
  <si>
    <t xml:space="preserve">COUP'd Lemon Ginger non-alcoholic aperitif and mixer, bottle</t>
  </si>
  <si>
    <t xml:space="preserve">Greenville</t>
  </si>
  <si>
    <t xml:space="preserve">https://getcoupd.com</t>
  </si>
  <si>
    <t xml:space="preserve">Multi-serve mixer bottle meant to be diluted, so it likely fails 'individually packaged' and 'no preparation'; keep only if a single-serve RTD exists</t>
  </si>
  <si>
    <t xml:space="preserve">MS</t>
  </si>
  <si>
    <t xml:space="preserve">Brand FAQ: heat-pasteurized, lasts up to 1 year unopened in a cool, dry space (getcoupd.com/pages/frequently-asked-questions, opened 2026-10-24)</t>
  </si>
  <si>
    <t xml:space="preserve">BR3:55</t>
  </si>
  <si>
    <t xml:space="preserve">Made from whole produce; women-owned per Pop Up Grocer. $24 per bottle.</t>
  </si>
  <si>
    <t xml:space="preserve">hq_city &lt;- https://getcoupd.com/policies/privacy-policy (2026-10-24, opened); hq_state &lt;- https://getcoupd.com/policies/privacy-policy (2026-10-24, opened); shelf_stable &lt;- https://getcoupd.com/pages/frequently-asked-questions (2026-10-24, opened); shelf_stable_basis &lt;- https://getcoupd.com/pages/frequently-asked-questions (2026-10-24, opened); </t>
  </si>
  <si>
    <t xml:space="preserve">AB-013</t>
  </si>
  <si>
    <t xml:space="preserve">Pa's Peanuts</t>
  </si>
  <si>
    <t xml:space="preserve">Brand based outside the Northeast, no graded store within ten blocks, online store only, a new store listing 22 days ago, revenue unknown, no contact named; founder review: format.</t>
  </si>
  <si>
    <t xml:space="preserve">Low Sodium 8 oz resealable pouch added to brand store</t>
  </si>
  <si>
    <t xml:space="preserve">https://paspeanuts.com/products/pas-peanuts-low-sodium-8oz-resealable-pouch</t>
  </si>
  <si>
    <t xml:space="preserve">https://paspeanuts.com/policies/contact-information</t>
  </si>
  <si>
    <t xml:space="preserve">Pa's Peanuts Original, 8 oz resealable pouch</t>
  </si>
  <si>
    <t xml:space="preserve">Sarasota</t>
  </si>
  <si>
    <t xml:space="preserve">https://paspeanuts.com</t>
  </si>
  <si>
    <t xml:space="preserve">Only 8 oz pouches and jars found; no single-serve unit; very early-stage local brand</t>
  </si>
  <si>
    <t xml:space="preserve">Roasted peanuts in resealable pouch and glass jar, ambient</t>
  </si>
  <si>
    <t xml:space="preserve">PopUp Grocer (NYC); Bread Bandits and Siesta Key Farmers Market (Sarasota FL)</t>
  </si>
  <si>
    <t xml:space="preserve">https://popupgrocer.com/pages/directory (availability 'NYC Flagship', 2026-10-23); https://popupgrocer.com/products/pas-peanuts</t>
  </si>
  <si>
    <t xml:space="preserve">https://instagram.com/paspeanuts</t>
  </si>
  <si>
    <t xml:space="preserve">BR1:14</t>
  </si>
  <si>
    <t xml:space="preserve">Business city from Shopify contact-information page. Low fit for single-serve office drops unless a snack pack exists.</t>
  </si>
  <si>
    <t xml:space="preserve">AB-040</t>
  </si>
  <si>
    <t xml:space="preserve">WILDE (Wilde Brands)</t>
  </si>
  <si>
    <t xml:space="preserve">Brand based outside the Northeast, store page shows Whole Foods Market NoMad inside the cluster, news 2 days ago, revenue over $10M, contact named; founder review: scale-reported, scale, claim-borderline.</t>
  </si>
  <si>
    <t xml:space="preserve">Received $40M investment from S2G; launched Protein Crackers; opened 130,000 sq ft facility</t>
  </si>
  <si>
    <t xml:space="preserve">https://www.snackandbakery.com/articles/116528-chicken-cracker-brand-wilde-receives-40m-investment</t>
  </si>
  <si>
    <t xml:space="preserve">https://www.wildebrands.com/pages/about</t>
  </si>
  <si>
    <t xml:space="preserve">find Jason Wright at WILDE (Wilde Brands) on LinkedIn and paste the profile URL; before using the retailer line, check Whole Foods Market NoMad still lists it: https://www.wholefoodsmarket.com/search?text=WILDE with your store set to NoMad (catalogs change daily); founder review (scale-reported, scale, claim-borderline): read founder_review_reason first</t>
  </si>
  <si>
    <t xml:space="preserve">WILDE Buffalo Chicken Protein Chips, 4 oz; multipack 5.4 oz</t>
  </si>
  <si>
    <t xml:space="preserve">https://www.wildebrands.com</t>
  </si>
  <si>
    <t xml:space="preserve">Revenue above $100M (well over the band); protein-first positioning; $600 campaign likely too small for their budget process</t>
  </si>
  <si>
    <t xml:space="preserve">growth ($40M from S2G Investments, Oct 2026)</t>
  </si>
  <si>
    <t xml:space="preserve">Shelf-stable chips made from chicken breast; produced in a USDA-regulated salty-snack facility (trade press)</t>
  </si>
  <si>
    <t xml:space="preserve">Snack Food &amp; Wholesale Bakery, 2026-10-22: company has surpassed $100 million in sales</t>
  </si>
  <si>
    <t xml:space="preserve">35,000+ retail locations; Whole Foods Market</t>
  </si>
  <si>
    <t xml:space="preserve">https://www.wholefoodsmarket.com/search?text=wilde%20protein%20chips (Union Square, NoMad, Chelsea contexts IN_STOCK 2026-10-23)</t>
  </si>
  <si>
    <t xml:space="preserve">Jason Wright</t>
  </si>
  <si>
    <t xml:space="preserve">BR1:41</t>
  </si>
  <si>
    <t xml:space="preserve">Recorded because it is on NYC shelves and in the news; out of the revenue band.</t>
  </si>
  <si>
    <t xml:space="preserve">hq_city &lt;- https://www.wildebrands.com/policies/terms-of-service (2026-10-24, opened); hq_state &lt;- https://www.wildebrands.com/policies/terms-of-service (2026-10-24, opened); </t>
  </si>
  <si>
    <t xml:space="preserve">AB-154</t>
  </si>
  <si>
    <t xml:space="preserve">Hank's Gourmet Beverages</t>
  </si>
  <si>
    <t xml:space="preserve">Northeast brand, no graded store within ten blocks, online store only, no dated why-now in the last 12 months, revenue unknown, no contact named; founder review: other.</t>
  </si>
  <si>
    <t xml:space="preserve">https://hanksbeverages.com/about/</t>
  </si>
  <si>
    <t xml:space="preserve">Hank's Root Beer, 12 oz glass bottle</t>
  </si>
  <si>
    <t xml:space="preserve">Southampton</t>
  </si>
  <si>
    <t xml:space="preserve">https://hanksbeverages.com/products/hanks-root-beer</t>
  </si>
  <si>
    <t xml:space="preserve">Established regional craft soda (40+ years in beverage), not emerging; NYC retail not found; 60-day shelf life not stated</t>
  </si>
  <si>
    <t xml:space="preserve">https://hanksbeverages.com</t>
  </si>
  <si>
    <t xml:space="preserve">unknown (find-us page not readable)</t>
  </si>
  <si>
    <t xml:space="preserve">https://www.instagram.com/hanksgourmetbeverages</t>
  </si>
  <si>
    <t xml:space="preserve">BR3:28</t>
  </si>
  <si>
    <t xml:space="preserve">About page: 'family business based in Philadelphia'; distributorship founded 1958 by Frank 'Hank' Salvatore (historical, not a current contact). | Stage 1 online-store check 2026-10-24: WooCommerce product page with add-to-cart (https://hanksbeverages.com/products/hanks-root-beer)</t>
  </si>
  <si>
    <t xml:space="preserve">hq_city &lt;- https://hanksbeverages.com/pages/contact (2026-10-24, opened); online_store &lt;- https://hanksbeverages.com/products/hanks-root-beer (2026-10-24, opened, stage 1); </t>
  </si>
  <si>
    <t xml:space="preserve">AB-175</t>
  </si>
  <si>
    <t xml:space="preserve">Brause</t>
  </si>
  <si>
    <t xml:space="preserve">Amna</t>
  </si>
  <si>
    <t xml:space="preserve">Mettmann</t>
  </si>
  <si>
    <t xml:space="preserve">Brand based outside the Northeast, no graded store within ten blocks, online store only, no dated why-now in the last 12 months, revenue unknown, contact named; founder review: claim-borderline.</t>
  </si>
  <si>
    <t xml:space="preserve">Launched at Harmons, Central Market and select BevMo stores via UNFI UpNext, joining 700+ doors (unverified, founder to confirm); earlier 2026 expansions to Washington State and US Foods Direct via Mable</t>
  </si>
  <si>
    <t xml:space="preserve">https://www.brewbound.com/pr/2026/08/25/brause-launches-at-harmons-central-market-and-select-bevmo-locations-via-unfi-upnext</t>
  </si>
  <si>
    <t xml:space="preserve">https://drinkbrause.com</t>
  </si>
  <si>
    <t xml:space="preserve">find Amna Mettmann at Brause on LinkedIn and paste the profile URL; founder review (claim-borderline): read founder_review_reason first</t>
  </si>
  <si>
    <t xml:space="preserve">https://startupcpg.transistor.fm/episodes/founder-feature-amna-mettmann-of-brause</t>
  </si>
  <si>
    <t xml:space="preserve">Brause Sparkling Apple / Apple x Malt (German-style craft soda), 12-pack</t>
  </si>
  <si>
    <t xml:space="preserve">Midway</t>
  </si>
  <si>
    <t xml:space="preserve">Malt product formerly sold as 'Malt Beer' (NA Malzbier); confirm 0.0% ABV and how offices will read it. 'Health-conscious' positioning. Only one NYC stockist, below Canal St; 60-day shelf life not stated</t>
  </si>
  <si>
    <t xml:space="preserve">UT</t>
  </si>
  <si>
    <t xml:space="preserve">Happier Grocery (brand_claim, 22.8 blocks out)</t>
  </si>
  <si>
    <t xml:space="preserve">Happier Grocery, 365 Canal St (brand Stockist locator, only point); Pop Up Grocer (directory)</t>
  </si>
  <si>
    <t xml:space="preserve">https://stockist.co/api/v1/map_r32n7zw3/locations/search?latitude=40.74&amp;longitude=-73.99&amp;distance=50</t>
  </si>
  <si>
    <t xml:space="preserve">Amna Mettmann</t>
  </si>
  <si>
    <t xml:space="preserve">https://www.instagram.com/drinkbrause</t>
  </si>
  <si>
    <t xml:space="preserve">BR3:49</t>
  </si>
  <si>
    <t xml:space="preserve">2025 Startup CPG Shelfie winner, Beverages; appeared on the Startup CPG Podcast (winners page). Store listings are from 2024. | Added 2026-10-24: Startup CPG Shelfie 2025 Non-Alcoholic submissions page lists Brause | Mountain View, CA, while current site policies give Midway, UT. Brand releases also on Startup CPG Newswire (Utah, NorCal, SoCal distribution)</t>
  </si>
  <si>
    <t xml:space="preserve">hq_city &lt;- https://drinkbrause.com/policies/privacy-policy (2026-10-24, opened); hq_state &lt;- https://drinkbrause.com/policies/privacy-policy (2026-10-24, opened); founder_name &lt;- https://startupcpg.transistor.fm/episodes/founder-feature-amna-mettmann-of-brause (2026-10-24, opened); founder_title &lt;- https://startupcpg.transistor.fm/episodes/founder-feature-amna-mettmann-of-brause (2026-10-24, opened); why_now &lt;- https://www.brewbound.com/pr/2026/08/25/brause-launches-at-harmons-central-market-and-select-bevmo-locations-via-unfi-upnext (2026-10-24, snippet-unverified); why_now_url &lt;- https://www.brewbound.com/pr/2026/08/25/brause-launches-at-harmons-central-market-and-select-bevmo-locations-via-unfi-upnext (2026-10-24, snippet-unverified); why_now_date &lt;- https://www.brewbound.com/pr/2026/08/25/brause-launches-at-harmons-central-market-and-select-bevmo-locations-via-unfi-upnext (2026-10-24, snippet-unverified); notes &lt;- https://startupcpg.com/shelfie-awards-2025-non-alcoholic-category-submissions/ (2026-10-24, opened); founder_profile_url &lt;- https://startupcpg.transistor.fm/episodes/founder-feature-amna-mettmann-of-brause (2026-10-24, opened); </t>
  </si>
  <si>
    <t xml:space="preserve">AB-163</t>
  </si>
  <si>
    <t xml:space="preserve">KACE Tea</t>
  </si>
  <si>
    <t xml:space="preserve">Ashley</t>
  </si>
  <si>
    <t xml:space="preserve">Yao</t>
  </si>
  <si>
    <t xml:space="preserve">https://drinkkace.com/pages/about</t>
  </si>
  <si>
    <t xml:space="preserve">find Ashley Yao at KACE Tea on LinkedIn and paste the profile URL; founder review (claim-borderline): read founder_review_reason first</t>
  </si>
  <si>
    <t xml:space="preserve">https://www.ricespicemag.com/read/kace-tea</t>
  </si>
  <si>
    <t xml:space="preserve">KACE Pineapple Black Tea / Mango Calamansi Green Tea (Taiwanese-style fruit tea), can</t>
  </si>
  <si>
    <t xml:space="preserve">https://drinkkace.com</t>
  </si>
  <si>
    <t xml:space="preserve">HQ and current NYC retail not confirmed; newest flavors 2025-07 (outside the 12-month window). Contains caffeine (tea); 60-day shelf life not stated</t>
  </si>
  <si>
    <t xml:space="preserve">https://popupgrocer.com/products/kace-tea</t>
  </si>
  <si>
    <t xml:space="preserve">Ashley Yao</t>
  </si>
  <si>
    <t xml:space="preserve">Kyle Gillaspy</t>
  </si>
  <si>
    <t xml:space="preserve">Gillaspy</t>
  </si>
  <si>
    <t xml:space="preserve">https://www.instagram.com/drinkkace</t>
  </si>
  <si>
    <t xml:space="preserve">BR3:37</t>
  </si>
  <si>
    <t xml:space="preserve">About: fruit tea inspired by Taiwanese-style shaken iced tea; Taiwanese and Filipino roots; AAPI and women-owned per Pop Up Grocer. 12-pack $35.99.</t>
  </si>
  <si>
    <t xml:space="preserve">hq_city &lt;- https://drinkkace.com/policies/privacy-policy (2026-10-24, opened); hq_state &lt;- https://drinkkace.com/policies/privacy-policy (2026-10-24, opened); founder_name &lt;- https://www.ricespicemag.com/read/kace-tea (2026-10-24, opened); founder_title &lt;- https://attend.expowest.com/event/natural-products-expo-west-2026/exhibitor/RXhoaWJpdG9yXzIzNTg5NTI= (2026-10-24, opened); </t>
  </si>
  <si>
    <t xml:space="preserve">AB-010</t>
  </si>
  <si>
    <t xml:space="preserve">Mamame</t>
  </si>
  <si>
    <t xml:space="preserve">Brand based outside the Northeast (HQ unverified), no graded store within ten blocks, online store only, no dated why-now in the last 12 months, revenue unknown, contact seen only in a snippet; founder review: claim-borderline.</t>
  </si>
  <si>
    <t xml:space="preserve">Launched its first sweet tempeh chips and new vegan flavors at Expo West 2026 (NOSH press release seen in search results; unverified, founder to confirm)</t>
  </si>
  <si>
    <t xml:space="preserve">2026-03-05 (unverified)</t>
  </si>
  <si>
    <t xml:space="preserve">https://www.mamamewholefoods.com/pages/our-story</t>
  </si>
  <si>
    <t xml:space="preserve">Mamame Hot Chili Tempeh Chips, 1.8 oz (50g) bag</t>
  </si>
  <si>
    <t xml:space="preserve">Jakarta (search snippets; unverified, founder to confirm)</t>
  </si>
  <si>
    <t xml:space="preserve">https://www.mamamewholefoods.com</t>
  </si>
  <si>
    <t xml:space="preserve">Startup CPG feature calls the chips 'functional' and tempeh a 'superfood'; check pack for structure/function wording</t>
  </si>
  <si>
    <t xml:space="preserve">Indonesia (country; unverified, founder to confirm)</t>
  </si>
  <si>
    <t xml:space="preserve">Brand FAQ: 'Our Tempeh Chips have a shelf life of 12 months when stored in a cool, dry place.' Homepage adds chips are 'tested safe to consume for up to 15 months from production'.</t>
  </si>
  <si>
    <t xml:space="preserve">Whole Foods Market NoMad, 63 Madison Ave (unverified, inside);Whole Foods Market Union Square, 4 Union Sq S (unverified, inside)</t>
  </si>
  <si>
    <t xml:space="preserve">Erewhon; Foxtrot; Wegmans and Hy-Vee (coming soon); FreshDirect; Thrive Market; Whole Foods Market; PopUp Grocer</t>
  </si>
  <si>
    <t xml:space="preserve">https://www.wholefoodsmarket.com/search?text=mamame%20tempeh (store context Union Square 10162 and NoMad 10773: Hot Chili Tempeh Chips 1.8 oz IN_STOCK 2026-10-23); https://popupgrocer.com/products/mamame</t>
  </si>
  <si>
    <t xml:space="preserve">Liz Kang</t>
  </si>
  <si>
    <t xml:space="preserve">with her mother Alvina Chun</t>
  </si>
  <si>
    <t xml:space="preserve">https://instagram.com/mamametempehchips</t>
  </si>
  <si>
    <t xml:space="preserve">BR1:11</t>
  </si>
  <si>
    <t xml:space="preserve">Founder name conflict between brand site (Alvina) and Startup CPG feature (Liz Kang); founder to confirm. HQ not stated on site or policies.</t>
  </si>
  <si>
    <t xml:space="preserve">shelf_stable_basis &lt;- https://www.mamamewholefoods.com/pages/faq (2026-10-24, opened); hq_city &lt;- https://www.foodnavigator-usa.com/Article/2025/08/07/startup-spotlight-how-to-leverage-private-label-for-consumer-education (2026-10-24, snippet-unverified); hq_state &lt;- https://www.mamamewholefoods.com/pages/faq (2026-10-24, opened); founder_name &lt;- https://karagoldin.com/?p=8002 (2026-10-24, snippet-unverified); why_now &lt;- https://www.nosh.com/pr/2026/03/05/mamame-launches-its-firstever-sweet-tempeh-chips-alongside-new-vegan-flavors-at-expo-west-2026 (2026-10-24, snippet-unverified); why_now_date &lt;- https://www.nosh.com/pr/2026/03/05/mamame-launches-its-firstever-sweet-tempeh-chips-alongside-new-vegan-flavors-at-expo-west-2026 (2026-10-24, snippet-unverified); </t>
  </si>
  <si>
    <t xml:space="preserve">AB-196</t>
  </si>
  <si>
    <t xml:space="preserve">Tilden</t>
  </si>
  <si>
    <t xml:space="preserve">Mariah</t>
  </si>
  <si>
    <t xml:space="preserve">Hilton Wood</t>
  </si>
  <si>
    <t xml:space="preserve">Brand based outside the Northeast, no graded store within ten blocks, online store only, no dated why-now in the last 12 months, revenue unknown, contact named; founder review: format.</t>
  </si>
  <si>
    <t xml:space="preserve">https://drinktilden.com/pages/our-story</t>
  </si>
  <si>
    <t xml:space="preserve">find Mariah Hilton Wood at Tilden on LinkedIn and paste the profile URL; founder review (format): read founder_review_reason first</t>
  </si>
  <si>
    <t xml:space="preserve">Tilden ready-to-pour non-alcoholic cocktail, bottle</t>
  </si>
  <si>
    <t xml:space="preserve">Santa Barbara</t>
  </si>
  <si>
    <t xml:space="preserve">https://drinktilden.com</t>
  </si>
  <si>
    <t xml:space="preserve">Multi-serve ready-to-pour bottles, not individually packaged; NYC points are restaurants, not retail</t>
  </si>
  <si>
    <t xml:space="preserve">FAQ: 'Our cocktails will last unopened for 18 months, but need to be refrigerated once opened' (drinktilden.com/pages/faqs, opened 2026-10-23)</t>
  </si>
  <si>
    <t xml:space="preserve">RH Rooftop and RH Guesthouse dining rooms; Ladybird; Carta Wine Bar (brand Stockist locator, 8 points)</t>
  </si>
  <si>
    <t xml:space="preserve">https://stockist.co/api/v1/u15351/locations/search?latitude=40.7400&amp;longitude=-73.9900&amp;distance=3</t>
  </si>
  <si>
    <t xml:space="preserve">Mariah Hilton Wood</t>
  </si>
  <si>
    <t xml:space="preserve">https://instagram.com/drinktilden</t>
  </si>
  <si>
    <t xml:space="preserve">BR3:70</t>
  </si>
  <si>
    <t xml:space="preserve">Began at Harvard Business School (our-story). Low fit for pantry sampling.</t>
  </si>
  <si>
    <t xml:space="preserve">hq_city &lt;- https://drinktilden.com/pages/press (2026-10-24, opened); hq_state &lt;- https://drinktilden.com/pages/press (2026-10-24, opened); </t>
  </si>
  <si>
    <t xml:space="preserve">AB-208</t>
  </si>
  <si>
    <t xml:space="preserve">Pip's Heirloom Snacks (formerly Pipcorn)</t>
  </si>
  <si>
    <t xml:space="preserve">Jen</t>
  </si>
  <si>
    <t xml:space="preserve">Northeast brand, no graded store within ten blocks, online store only, a new store listing 115 days ago, revenue unknown, contact named; founder review: owner, scale.</t>
  </si>
  <si>
    <t xml:space="preserve">Rolled out Snack Size 24-count cases in 2026 (Cheddar Crunchies, Sea Salt Corn Dippers 1.75 oz) plus new Dill Pickle Balls and Kettle Popcorn; homepage banner says Cheddar Fries and Cheddar Crunchies are now at Whole Foods</t>
  </si>
  <si>
    <t xml:space="preserve">https://www.pipsnacks.com/products.json?limit=250</t>
  </si>
  <si>
    <t xml:space="preserve">https://www.pipsnacks.com/pages/faq</t>
  </si>
  <si>
    <t xml:space="preserve">find Jen Martin at Pip's Heirloom Snacks (formerly Pipcorn) on LinkedIn and paste the profile URL; founder review (owner, scale): read founder_review_reason first</t>
  </si>
  <si>
    <t xml:space="preserve">https://www.pipsnacks.com/pages/press</t>
  </si>
  <si>
    <t xml:space="preserve">Heirloom Cheddar Cheese Balls 4.5 oz; Fiery Cheddar Fries 5 oz; site has a Snack Size collection</t>
  </si>
  <si>
    <t xml:space="preserve">Bethlehem, PA (brand contact page address: 1 East Broad Street, Ste 210; owner UpSnack Brands). Brand founded in NYC.</t>
  </si>
  <si>
    <t xml:space="preserve">https://www.pipsnacks.com</t>
  </si>
  <si>
    <t xml:space="preserve">Owned by UpSnack Brands platform; 20,000+ doors suggests it may be above the $10M ceiling</t>
  </si>
  <si>
    <t xml:space="preserve">acquired (joined UpSnack Brands, Fall 2024)</t>
  </si>
  <si>
    <t xml:space="preserve">https://www.fooddive.com/press-release/20251007-pipcorn-rebrands-as-pips-heirloom-snacks-1/</t>
  </si>
  <si>
    <t xml:space="preserve">Brand FAQ: 'shelf life for most of our products is 8 months from the date of manufacture'; popcorn 10 or 12 months</t>
  </si>
  <si>
    <t xml:space="preserve">Press release says 20,000+ retail locations (store count, not used for band)</t>
  </si>
  <si>
    <t xml:space="preserve">Whole Foods Market NoMad, 63 Madison Ave (unverified, inside);Whole Foods Market Union Square, 4 Union Sq S (unverified, inside);Whole Foods Market Chelsea, 250 7th Ave (unverified, 3.0 blocks out)</t>
  </si>
  <si>
    <t xml:space="preserve">Whole Foods Market Manhattan West (unverified, 13.8 blocks out)</t>
  </si>
  <si>
    <t xml:space="preserve">Whole Foods Market; Sprouts; Thrive Market; Amazon; 20,000+ locations</t>
  </si>
  <si>
    <t xml:space="preserve">https://www.wholefoodsmarket.com/api/search?text=pipcorn&amp;store=10773&amp;limit=60&amp;offset=0; https://www.wholefoodsmarket.com/api/search?text=pipcorn&amp;store=10162&amp;limit=60&amp;offset=0; https://www.wholefoodsmarket.com/api/search?text=pipcorn&amp;store=10131&amp;limit=60&amp;offset=0; https://www.wholefoodsmarket.com/api/search?text=pipcorn&amp;store=10713&amp;limit=60&amp;offset=0</t>
  </si>
  <si>
    <t xml:space="preserve">Jen  Martin</t>
  </si>
  <si>
    <t xml:space="preserve">Jennifer with Jeff Martin</t>
  </si>
  <si>
    <t xml:space="preserve">Sonia Ortiz</t>
  </si>
  <si>
    <t xml:space="preserve">Sonia</t>
  </si>
  <si>
    <t xml:space="preserve">Ortiz</t>
  </si>
  <si>
    <t xml:space="preserve">Marketing Director</t>
  </si>
  <si>
    <t xml:space="preserve">BR4:3</t>
  </si>
  <si>
    <t xml:space="preserve">Rebrand from Pipcorn to Pip's announced 2025-10-07 (just outside the 12-month why-now window). Homepage banner (undated): 'Cheddar Fries and Cheddar Crunchies are now available at Whole Foods Market!' WFM store-scoped catalog lists Cheese Balls, Fries and Twists (brand 'Pipsnacks') at all four cluster stores on 2026-10-23. Brand locator uses Destini (not machine-readable). Originally founded in NYC (Shark Tank deal per brand site).</t>
  </si>
  <si>
    <t xml:space="preserve">hq_city &lt;- https://www.pipsnacks.com/pages/contact-us (2026-10-24, opened); hq_state &lt;- https://www.pipsnacks.com/pages/contact-us (2026-10-24, opened); founder_name &lt;- https://www.pipsnacks.com/pages/press (2026-10-24, opened); founder_title &lt;- https://www.pipsnacks.com/pages/press (2026-10-24, opened); founder_profile_url &lt;- https://www.pipsnacks.com/pages/press (2026-10-24, opened); why_now &lt;- https://www.pipsnacks.com/products.json?limit=250 (2026-10-24, opened); why_now_url &lt;- https://www.pipsnacks.com/products.json?limit=250 (2026-10-24, opened); why_now_date &lt;- https://www.pipsnacks.com/products.json?limit=250 (2026-10-24, opened); </t>
  </si>
  <si>
    <t xml:space="preserve">AB-151</t>
  </si>
  <si>
    <t xml:space="preserve">Avery's Beverages</t>
  </si>
  <si>
    <t xml:space="preserve">Northeast brand, no graded store within ten blocks, online store only, a new store listing 193 days ago, revenue unknown, no contact named; founder review: not-emerging.</t>
  </si>
  <si>
    <t xml:space="preserve">New Honey Infused line (Sparkling Honey Water, Honey Cream Soda) added to store</t>
  </si>
  <si>
    <t xml:space="preserve">https://www.drinkaverys.com/products/sparkling-honey-water</t>
  </si>
  <si>
    <t xml:space="preserve">https://www.drinkaverys.com</t>
  </si>
  <si>
    <t xml:space="preserve">no person named on an opened page: not ready; founder review (not-emerging): read founder_review_reason first</t>
  </si>
  <si>
    <t xml:space="preserve">Avery's Honey Cream Soda / Sparkling Honey Water, bottle</t>
  </si>
  <si>
    <t xml:space="preserve">New Britain</t>
  </si>
  <si>
    <t xml:space="preserve">Heritage Connecticut soda maker (since 1904), not emerging; no NYC retail found; HQ city not confirmed on pages read; 60-day shelf life not stated</t>
  </si>
  <si>
    <t xml:space="preserve">private (since 1904)</t>
  </si>
  <si>
    <t xml:space="preserve">https://www.instagram.com/drinkaverys</t>
  </si>
  <si>
    <t xml:space="preserve">BR3:25</t>
  </si>
  <si>
    <t xml:space="preserve">Homepage: 'Real Cane Sugar. Since 1904.' HQ not stated on pages read (founder to confirm). Date is Shopify publish date.</t>
  </si>
  <si>
    <t xml:space="preserve">hq_city &lt;- https://www.drinkaverys.com/pages/contact (2026-10-24, opened); hq_state &lt;- https://www.drinkaverys.com/pages/contact (2026-10-24, opened); </t>
  </si>
  <si>
    <t xml:space="preserve">AB-168</t>
  </si>
  <si>
    <t xml:space="preserve">Steaz</t>
  </si>
  <si>
    <t xml:space="preserve">Fransz</t>
  </si>
  <si>
    <t xml:space="preserve">Director of Marketing, Tipp Distributors Inc. dba Novamex</t>
  </si>
  <si>
    <t xml:space="preserve">HQ unknown, no graded store within ten blocks, online store only, no dated why-now in the last 12 months, revenue unknown, contact named; founder review: scale, claim-borderline.</t>
  </si>
  <si>
    <t xml:space="preserve">Rebrand and new Antioxidant Brew Unsweetened and Yerba Mate flavors (press page cites BevNET, FoodBev, Drug Store News; articles not opened, dates unverified)</t>
  </si>
  <si>
    <t xml:space="preserve">https://drinksteaz.com/pages/press-media</t>
  </si>
  <si>
    <t xml:space="preserve">https://drinksteaz.com/pages/our-story</t>
  </si>
  <si>
    <t xml:space="preserve">find Mike Fransz at Steaz on LinkedIn and paste the profile URL; founder review (scale, claim-borderline): read founder_review_reason first</t>
  </si>
  <si>
    <t xml:space="preserve">https://attend.expowest.com/event/natural-products-expo-west-2026/exhibitor/RXhoaWJpdG9yXzI0MDgxODU=</t>
  </si>
  <si>
    <t xml:space="preserve">Steaz Zero Sugar organic iced tea, can; Steaz Antioxidant Brew / Yerba Mate (165 mg caffeine)</t>
  </si>
  <si>
    <t xml:space="preserve">https://drinksteaz.com</t>
  </si>
  <si>
    <t xml:space="preserve">'Antioxidant Brew' and energy lines with 165 mg caffeine and vitamin C (functional/nutrient positioning); established brand since 2002, likely above $10M; only the plain iced teas are a clean fit; 60-day shelf life not stated</t>
  </si>
  <si>
    <t xml:space="preserve">Mike Fransz</t>
  </si>
  <si>
    <t xml:space="preserve">https://www.instagram.com/steaz</t>
  </si>
  <si>
    <t xml:space="preserve">BR3:42</t>
  </si>
  <si>
    <t xml:space="preserve">Our-story: founded 2002 as the first certified organic tea brand. Zero Sugar SKUs listed 2025-10-01 (just outside the 12-month window).</t>
  </si>
  <si>
    <t xml:space="preserve">marketing_name &lt;- https://attend.expowest.com/event/natural-products-expo-west-2026/exhibitor/RXhoaWJpdG9yXzI0MDgxODU= (2026-10-24, opened); marketing_title &lt;- https://attend.expowest.com/event/natural-products-expo-west-2026/exhibitor/RXhoaWJpdG9yXzI0MDgxODU= (2026-10-24, opened); </t>
  </si>
  <si>
    <t xml:space="preserve">AB-110</t>
  </si>
  <si>
    <t xml:space="preserve">Thunderbird</t>
  </si>
  <si>
    <t xml:space="preserve">Brand based outside the Northeast, no graded store within ten blocks, online store only, no dated why-now in the last 12 months, revenue unknown, no contact named; founder review: other.</t>
  </si>
  <si>
    <t xml:space="preserve">https://www.thunderbirdbar.com/pages/about</t>
  </si>
  <si>
    <t xml:space="preserve">Thunderbird real food energy bar</t>
  </si>
  <si>
    <t xml:space="preserve">https://www.thunderbirdbar.com/collections/all</t>
  </si>
  <si>
    <t xml:space="preserve">No cluster retailer found and online store not confirmed; may fail the buy-path gate; 60-day shelf life not stated</t>
  </si>
  <si>
    <t xml:space="preserve">https://www.thunderbirdbar.com</t>
  </si>
  <si>
    <t xml:space="preserve">Wrapped fruit-and-nut bars; shelf-life figure not found</t>
  </si>
  <si>
    <t xml:space="preserve">Store locator (not machine-read)</t>
  </si>
  <si>
    <t xml:space="preserve">https://www.wholefoodsmarket.com/api/search?text=thunderbird%20bar&amp;store=10162&amp;limit=60&amp;offset=0</t>
  </si>
  <si>
    <t xml:space="preserve">https://www.instagram.com/thunderbirdbar/</t>
  </si>
  <si>
    <t xml:space="preserve">BR2:48</t>
  </si>
  <si>
    <t xml:space="preserve">About page: 'Thunderbird was founded in 2010 in Austin, Texas' by two triathletes (names not given). Terms of service name 'Wella' as the website owner and the refund address is Gather Foods, LLC: possible parent or sister brand, founder to confirm ownership. | Stage 1 online-store check 2026-10-24: Shopify storefront with product pages; homepage banner 'Free Shipping with TRYUS at checkout' (a working discount-code field) (https://www.thunderbirdbar.com)</t>
  </si>
  <si>
    <t xml:space="preserve">hq_city &lt;- https://www.thunderbirdbar.com/policies/refund-policy (2026-10-24, opened); notes &lt;- https://www.thunderbirdbar.com/pages/about (2026-10-24, opened); online_store &lt;- https://www.thunderbirdbar.com (2026-10-24, opened, stage 1); </t>
  </si>
  <si>
    <t xml:space="preserve">AB-125</t>
  </si>
  <si>
    <t xml:space="preserve">KIND Snacks</t>
  </si>
  <si>
    <t xml:space="preserve">HQ unknown, store page shows Whole Foods Market Union Square inside the cluster, no dated why-now in the last 12 months, revenue unknown, no contact named; founder review: owner.</t>
  </si>
  <si>
    <t xml:space="preserve">https://www.kindsnacks.com/</t>
  </si>
  <si>
    <t xml:space="preserve">no person named on an opened page: not ready; before using the retailer line, check Whole Foods Market Union Square still lists it: https://www.wholefoodsmarket.com/search?text=KIND%20Snacks with your store set to Union Square (catalogs change daily); founder review (owner): read founder_review_reason first</t>
  </si>
  <si>
    <t xml:space="preserve">Dark Chocolate &amp; Cherry Cashew Bar 1.4 oz</t>
  </si>
  <si>
    <t xml:space="preserve">https://www.kindsnacks.com</t>
  </si>
  <si>
    <t xml:space="preserve">Big-brand ownership (Mars); far outside the emerging-brand profile; recorded only to prevent re-research; 60-day shelf life not stated</t>
  </si>
  <si>
    <t xml:space="preserve">owned by Mars (site footer: 'Copyright Mars 2026')</t>
  </si>
  <si>
    <t xml:space="preserve">Wrapped bars sold ambient at Whole Foods</t>
  </si>
  <si>
    <t xml:space="preserve">https://www.wholefoodsmarket.com/api/search?text=kind%20bar&amp;store=10162&amp;limit=60&amp;offset=0</t>
  </si>
  <si>
    <t xml:space="preserve">https://www.instagram.com/kindsnacks/</t>
  </si>
  <si>
    <t xml:space="preserve">BR2:63</t>
  </si>
  <si>
    <t xml:space="preserve">Not a prospect.</t>
  </si>
  <si>
    <t xml:space="preserve">AB-200</t>
  </si>
  <si>
    <t xml:space="preserve">Good Twin</t>
  </si>
  <si>
    <t xml:space="preserve">Thomas Lynn</t>
  </si>
  <si>
    <t xml:space="preserve">Founder and CEO, AMASS Brands</t>
  </si>
  <si>
    <t xml:space="preserve">Brand based outside the Northeast, no graded store within ten blocks, online store only, news 39 days ago, revenue unknown, contact named; founder review: owner, scale.</t>
  </si>
  <si>
    <t xml:space="preserve">AMASS release: Good Twin retail sales up 136% year over year (four weeks to 2026-08-08, NielsenIQ), sold at Whole Foods, Erewhon, Safeway, Costco and Gelson's; DTC shipping expanded to 47 states</t>
  </si>
  <si>
    <t xml:space="preserve">https://finviz.com/news/392149/amass-brands-groups-good-twin-retail-sales-accelerate-136-nearly-8x-the-growth-rate-of-the-us-non-alcoholic-wine-category</t>
  </si>
  <si>
    <t xml:space="preserve">https://drinkgoodtwin.com/pages/about</t>
  </si>
  <si>
    <t xml:space="preserve">find Mark Thomas Lynn at Good Twin on LinkedIn and paste the profile URL; founder review (owner, scale): read founder_review_reason first</t>
  </si>
  <si>
    <t xml:space="preserve">Good Twin Single Serve organic non-alcoholic sparkling wine (Blanc, Rose)</t>
  </si>
  <si>
    <t xml:space="preserve">Santa Maria (AMASS dateline and privacy policy; terms page also lists a Los Angeles address)</t>
  </si>
  <si>
    <t xml:space="preserve">https://drinkgoodtwin.com</t>
  </si>
  <si>
    <t xml:space="preserve">Non-alcoholic sparkling wine made from wine grapes (likely dealcoholized; confirm ABV under 0.5% and whether it counts as alcohol for office policies). Wine positioning in an office pantry | Added 2026-10-24: owned by AMASS Brands, which also sells gin and appears to report public quarterly revenue; contact would be a parent-company employee; scale signal in the why-now ('Costco'): likely above the $10M band; ask at intake; 60-day shelf life not stated</t>
  </si>
  <si>
    <t xml:space="preserve">Parent AMASS Brands Group headline: preliminary Q3 2026 net revenue about 5.3M, company-wide across brands (unverified, founder to confirm); no Good Twin-only revenue figure</t>
  </si>
  <si>
    <t xml:space="preserve">Pop Up Grocer (past brand, directory); VTInfo locator not readable</t>
  </si>
  <si>
    <t xml:space="preserve">https://popupgrocer.com/products/good-twin</t>
  </si>
  <si>
    <t xml:space="preserve">Mark Thomas Lynn</t>
  </si>
  <si>
    <t xml:space="preserve">BR3:74</t>
  </si>
  <si>
    <t xml:space="preserve">About: 'Organic non-alcoholic sparkling wine from Italy'. Pop Up Grocer describes it as made from Prosecco grapes. Dates are Shopify publish dates.</t>
  </si>
  <si>
    <t xml:space="preserve">hq_city &lt;- https://finviz.com/news/392149/amass-brands-groups-good-twin-retail-sales-accelerate-136-nearly-8x-the-growth-rate-of-the-us-non-alcoholic-wine-category (2026-10-24, opened); hq_state &lt;- https://drinkgoodtwin.com/policies/terms-of-service (2026-10-24, opened); founder_name &lt;- https://finviz.com/news/392149/amass-brands-groups-good-twin-retail-sales-accelerate-136-nearly-8x-the-growth-rate-of-the-us-non-alcoholic-wine-category (2026-10-24, opened); founder_title &lt;- https://finviz.com/news/392149/amass-brands-groups-good-twin-retail-sales-accelerate-136-nearly-8x-the-growth-rate-of-the-us-non-alcoholic-wine-category (2026-10-24, opened); why_now &lt;- https://finviz.com/news/392149/amass-brands-groups-good-twin-retail-sales-accelerate-136-nearly-8x-the-growth-rate-of-the-us-non-alcoholic-wine-category (2026-10-24, opened); why_now_url &lt;- https://finviz.com/news/392149/amass-brands-groups-good-twin-retail-sales-accelerate-136-nearly-8x-the-growth-rate-of-the-us-non-alcoholic-wine-category (2026-10-24, opened); why_now_date &lt;- https://finviz.com/news/392149/amass-brands-groups-good-twin-retail-sales-accelerate-136-nearly-8x-the-growth-rate-of-the-us-non-alcoholic-wine-category (2026-10-24, opened); revenue_basis &lt;- https://finviz.com/news/392149/amass-brands-groups-good-twin-retail-sales-accelerate-136-nearly-8x-the-growth-rate-of-the-us-non-alcoholic-wine-category (2026-10-24, snippet-unverified); founder_review_reason &lt;- https://drinkgoodtwin.com/policies/privacy-policy (2026-10-24, opened); </t>
  </si>
  <si>
    <t xml:space="preserve">AB-152</t>
  </si>
  <si>
    <t xml:space="preserve">Foxon Park Beverages</t>
  </si>
  <si>
    <t xml:space="preserve">Northeast brand, no graded store within ten blocks, online store only, no dated why-now in the last 12 months, revenue unknown, no contact named; founder review: not-emerging.</t>
  </si>
  <si>
    <t xml:space="preserve">https://foxonpark.com</t>
  </si>
  <si>
    <t xml:space="preserve">Foxon Park Iron Brew soda, 12 oz bottle</t>
  </si>
  <si>
    <t xml:space="preserve">East Haven</t>
  </si>
  <si>
    <t xml:space="preserve">Heritage family soda maker (est. 1922), not emerging; newest store listings 2023-2024; no NYC retail found; 60-day shelf life not stated</t>
  </si>
  <si>
    <t xml:space="preserve">family-owned (est. 1922)</t>
  </si>
  <si>
    <t xml:space="preserve">BR3:26</t>
  </si>
  <si>
    <t xml:space="preserve">Homepage: 'family owned and operated business located in East Haven, Connecticut for over 100 years'. Low priority.</t>
  </si>
  <si>
    <t xml:space="preserve">AB-021</t>
  </si>
  <si>
    <t xml:space="preserve">Tierra Farm</t>
  </si>
  <si>
    <t xml:space="preserve">Gunther</t>
  </si>
  <si>
    <t xml:space="preserve">Fishgold</t>
  </si>
  <si>
    <t xml:space="preserve">New York State brand, no graded store within ten blocks, online store only, a new store listing 40 days ago, revenue over $10M, contact named; founder review: scale-reported.</t>
  </si>
  <si>
    <t xml:space="preserve">Launched The Tierra Bar chocolate line (70% dark chocolate + macadamia / hazelnut) on brand store</t>
  </si>
  <si>
    <t xml:space="preserve">https://www.tierrafarm.com/products/the-tierra-bar-br-70-dark-chocolate-macadamia-nut</t>
  </si>
  <si>
    <t xml:space="preserve">2026-09-14</t>
  </si>
  <si>
    <t xml:space="preserve">https://www.tierrafarm.com/pages/about-us</t>
  </si>
  <si>
    <t xml:space="preserve">find Gunther Fishgold at Tierra Farm on LinkedIn and paste the profile URL; founder review (scale-reported): read founder_review_reason first</t>
  </si>
  <si>
    <t xml:space="preserve">https://mainstreetmag.com/keeping-it-simple/</t>
  </si>
  <si>
    <t xml:space="preserve">Tierra Farm Organic Roasted Jalapeño Rosemary Almonds (bagged)</t>
  </si>
  <si>
    <t xml:space="preserve">Valatie</t>
  </si>
  <si>
    <t xml:space="preserve">https://www.tierrafarm.com</t>
  </si>
  <si>
    <t xml:space="preserve">Manufacturer/distributor selling mainly to independent and co-op grocers; single-serve format and NYC shelf presence not confirmed; budget owner unclear</t>
  </si>
  <si>
    <t xml:space="preserve">scale-reported</t>
  </si>
  <si>
    <t xml:space="preserve">unknown (family-run farm business per about page)</t>
  </si>
  <si>
    <t xml:space="preserve">Certified-organic roasted nuts and trail mixes in sealed (many compostable) bags, ambient</t>
  </si>
  <si>
    <t xml:space="preserve">press quote from 2021 (over 24 months old)</t>
  </si>
  <si>
    <t xml:space="preserve">Founder interview, Main Street Magazine, 2021-06-29: 'Our revenues are now approaching $30 million a year.'</t>
  </si>
  <si>
    <t xml:space="preserve">Independent and cooperative grocery stores (about page); farm store in Valatie NY</t>
  </si>
  <si>
    <t xml:space="preserve">https://www.wholefoodsmarket.com/search?text=tierra%20farm (no results in Union Square, NoMad or Chelsea context, 2026-10-23)</t>
  </si>
  <si>
    <t xml:space="preserve">Gunther Fishgold</t>
  </si>
  <si>
    <t xml:space="preserve">BR1:22</t>
  </si>
  <si>
    <t xml:space="preserve">Certified-organic nut and dried fruit maker 20 miles south of Albany NY; started as an organic vegetable farm in the Finger Lakes, nuts since 1999. 100+ products in compostable bags. why_now date is Shopify published_at.</t>
  </si>
  <si>
    <t xml:space="preserve">founder_name &lt;- https://mainstreetmag.com/keeping-it-simple/ (2026-10-24, opened); founder_title &lt;- https://mainstreetmag.com/keeping-it-simple/ (2026-10-24, opened); founder_profile_url &lt;- https://mainstreetmag.com/keeping-it-simple/ (2026-10-24, opened); revenue_band &lt;- https://mainstreetmag.com/keeping-it-simple/ (2026-10-24, opened); revenue_basis &lt;- https://mainstreetmag.com/keeping-it-simple/ (2026-10-24, opened); </t>
  </si>
  <si>
    <t xml:space="preserve">AB-231</t>
  </si>
  <si>
    <t xml:space="preserve">Chlorophyll Water</t>
  </si>
  <si>
    <t xml:space="preserve">Levine</t>
  </si>
  <si>
    <t xml:space="preserve">Gated out: health-claim: Health-claim wording: site title 'Detox, Hydrate &amp; Energize Drink'; vitamin-fortified functional water.</t>
  </si>
  <si>
    <t xml:space="preserve">First bottled water brand at Misfits Market, in new 16 oz aluminum cans</t>
  </si>
  <si>
    <t xml:space="preserve">https://startupcpg.com/startup-cpg-newswire-chlorophyll-water-makes-history-at-misfits-market/</t>
  </si>
  <si>
    <t xml:space="preserve">https://chlorophyllwater.com/</t>
  </si>
  <si>
    <t xml:space="preserve">Chlorophyll Water 16 oz aluminum can; Nature Enhanced Purified Water 16.9 fl oz bottle</t>
  </si>
  <si>
    <t xml:space="preserve">New York (releases datelined Brooklyn, NY in 2025 and New York, NY in 2026)</t>
  </si>
  <si>
    <t xml:space="preserve">https://chlorophyllwater.com</t>
  </si>
  <si>
    <t xml:space="preserve">'Detox' and 'Energize' are on the website title, not confirmed on pack; founder decides whether this trips the health-claim gate</t>
  </si>
  <si>
    <t xml:space="preserve">health-claim</t>
  </si>
  <si>
    <t xml:space="preserve">health-claim: Health-claim wording: site title 'Detox, Hydrate &amp; Energize Drink'; vitamin-fortified functional water</t>
  </si>
  <si>
    <t xml:space="preserve">first institutional investment (April 2026, Startup CPG Newswire headline; amount not checked)</t>
  </si>
  <si>
    <t xml:space="preserve">Bottled/canned purified water sold ambient in WFM catalog; no shelf-life figure published, founder to confirm</t>
  </si>
  <si>
    <t xml:space="preserve">Health-claim wording: site title 'Detox, Hydrate &amp; Energize Drink'; vitamin-fortified functional water</t>
  </si>
  <si>
    <t xml:space="preserve">Whole Foods Market; Walmart (select stores, Golden Ticket 2025); The Fresh Market; Hy-Vee; Winn-Dixie; Misfits Market</t>
  </si>
  <si>
    <t xml:space="preserve">https://www.wholefoodsmarket.com/api/search?text=chlorophyll%20water&amp;store=10773&amp;limit=60&amp;offset=0; https://www.wholefoodsmarket.com/api/search?text=chlorophyll%20water&amp;store=10162&amp;limit=60&amp;offset=0</t>
  </si>
  <si>
    <t xml:space="preserve">Matt Levine</t>
  </si>
  <si>
    <t xml:space="preserve">BR4:26</t>
  </si>
  <si>
    <t xml:space="preserve">2026 Shelfie finalist (Beverage with Benefits). Ten-plus Startup CPG Newswire releases in 2025-2026 (Walmart, Fresh Market, Hy-Vee, Winn-Dixie). Named Mark Ellis VP of Sales (Feb 2026 headline, not opened). Contains vitamins A, B12, C and D (release).</t>
  </si>
  <si>
    <t xml:space="preserve">AB-092</t>
  </si>
  <si>
    <t xml:space="preserve">Mid-Day Squares</t>
  </si>
  <si>
    <t xml:space="preserve">Gated out: health-claim: Refrigeration recommended: brand FAQ says store in the fridge, 5 days on the go; WFM lists a 'Functional Bar' SKU.</t>
  </si>
  <si>
    <t xml:space="preserve">Launched PB&amp;J Apple flavor (Sept 2026) after Grape and Strawberry earlier in 2026</t>
  </si>
  <si>
    <t xml:space="preserve">https://www.middaysquares.com/</t>
  </si>
  <si>
    <t xml:space="preserve">2026-09-23</t>
  </si>
  <si>
    <t xml:space="preserve">https://www.middaysquares.com/pages/faq</t>
  </si>
  <si>
    <t xml:space="preserve">Cookie Dough chocolate bar 1.16 oz; PB&amp;J Apple</t>
  </si>
  <si>
    <t xml:space="preserve">Montreal</t>
  </si>
  <si>
    <t xml:space="preserve">https://www.middaysquares.com</t>
  </si>
  <si>
    <t xml:space="preserve">health-claim;not-shelf-stable</t>
  </si>
  <si>
    <t xml:space="preserve">health-claim: Refrigeration recommended: brand FAQ says store in the fridge, 5 days on the go; WFM lists a 'Functional Bar' SKU | not-shelf-stable: Refrigeration recommended: brand FAQ says store in the fridge, 5 days on the go; WFM lists a 'Functional Bar' SKU</t>
  </si>
  <si>
    <t xml:space="preserve">QC (Canada)</t>
  </si>
  <si>
    <t xml:space="preserve">Brand FAQ: 'STORE IN THE FRIDGE. TAKE ON THE GO FOR 5 DAYS.'</t>
  </si>
  <si>
    <t xml:space="preserve">Refrigeration recommended: brand FAQ says store in the fridge, 5 days on the go; WFM lists a 'Functional Bar' SKU</t>
  </si>
  <si>
    <t xml:space="preserve">Walmart; Whole Foods; retailer list page</t>
  </si>
  <si>
    <t xml:space="preserve">https://www.wholefoodsmarket.com/api/search?text=mid-day%20squares&amp;store=10162&amp;limit=60&amp;offset=0; https://www.wholefoodsmarket.com/api/search?text=mid-day%20squares&amp;store=10773&amp;limit=60&amp;offset=0; https://www.wholefoodsmarket.com/api/search?text=mid-day%20squares&amp;store=10131&amp;limit=60&amp;offset=0</t>
  </si>
  <si>
    <t xml:space="preserve">https://www.instagram.com/middaysquares/</t>
  </si>
  <si>
    <t xml:space="preserve">BR2:29</t>
  </si>
  <si>
    <t xml:space="preserve">'Made with love in Montreal' footer. Excluded on the refrigeration rule; founder may overrule if 5-day ambient window is acceptable for a 5-day drop. Why-now date from Shopify publish date.</t>
  </si>
  <si>
    <t xml:space="preserve">AB-089</t>
  </si>
  <si>
    <t xml:space="preserve">NuGo Nutrition</t>
  </si>
  <si>
    <t xml:space="preserve">Gated out: health-claim: explicit health positioning on the brand's homepage (opened 2026-10-24): bars sold in 'Diabetes', 'Dialysis', 'GLP-1', 'Digestive Health' and 'Gut.</t>
  </si>
  <si>
    <t xml:space="preserve">Added GLP-1 Protein Bar variety pack (July 2026) and Matcha Latte bar (June 2026) on brand store</t>
  </si>
  <si>
    <t xml:space="preserve">https://nugo.com/</t>
  </si>
  <si>
    <t xml:space="preserve">2026-07-16</t>
  </si>
  <si>
    <t xml:space="preserve">https://nugo.com/pages/about-us</t>
  </si>
  <si>
    <t xml:space="preserve">NuGo Dark Chocolate Cherry bar (12g plant protein); NuGo Slim bars</t>
  </si>
  <si>
    <t xml:space="preserve">Oakmont</t>
  </si>
  <si>
    <t xml:space="preserve">https://nugo.com</t>
  </si>
  <si>
    <t xml:space="preserve">Markets a 'GLP-1 Protein Bar' pack with 'Low Glycemic' and Weight Watchers points (borderline weight/health positioning); protein nutrient claims; 20-year-old brand may be above size band; 60-day shelf life not stated</t>
  </si>
  <si>
    <t xml:space="preserve">health-claim: explicit health positioning on the brand's homepage (opened 2026-10-24): bars sold in 'Diabetes', 'Dialysis', 'GLP-1', 'Digestive Health' and 'Gut Health' collections, which tie the product to medical conditions</t>
  </si>
  <si>
    <t xml:space="preserve">unknown (calls itself an independent company)</t>
  </si>
  <si>
    <t xml:space="preserve">Single wrapped protein bars sold ambient at Whole Foods; shelf-life figure not found</t>
  </si>
  <si>
    <t xml:space="preserve">explicit health positioning on the brand's homepage (opened 2026-10-24): bars sold in 'Diabetes', 'Dialysis', 'GLP-1', 'Digestive Health' and 'Gut Health' collections, which tie the product to medical conditions</t>
  </si>
  <si>
    <t xml:space="preserve">https://www.wholefoodsmarket.com/api/search?text=nugo&amp;store=10162&amp;limit=60&amp;offset=0; https://www.wholefoodsmarket.com/api/search?text=nugo&amp;store=10773&amp;limit=60&amp;offset=0; https://www.wholefoodsmarket.com/api/search?text=nugo&amp;store=10131&amp;limit=60&amp;offset=0</t>
  </si>
  <si>
    <t xml:space="preserve">https://www.instagram.com/nugonutrition/</t>
  </si>
  <si>
    <t xml:space="preserve">BR2:26</t>
  </si>
  <si>
    <t xml:space="preserve">Brand also sells protein powders. Locator is a Secomapp widget (not machine-read). Why-now dates from Shopify publish dates.</t>
  </si>
  <si>
    <t xml:space="preserve">hq_city &lt;- https://nugo.com/pages/contact-faq (2026-10-24, opened); hq_state &lt;- https://nugo.com/pages/contact-faq (2026-10-24, opened); excluded &lt;- https://nugo.com (2026-10-24, stage 3 correction); exclusion_reason &lt;- https://nugo.com (2026-10-24, stage 3 correction); </t>
  </si>
  <si>
    <t xml:space="preserve">AB-080</t>
  </si>
  <si>
    <t xml:space="preserve">Spring &amp; Mulberry</t>
  </si>
  <si>
    <t xml:space="preserve">Kathryn</t>
  </si>
  <si>
    <t xml:space="preserve">Gated out: health-claim: explicit health claim on the brand's homepage (opened 2026-10-24): 'dates help regulate digestion, slow the absorption of naturally occurring suga.</t>
  </si>
  <si>
    <t xml:space="preserve">New Painterly gift sets and Salted Almond bar added to brand store, Oct 2026</t>
  </si>
  <si>
    <t xml:space="preserve">https://springandmulberry.com/</t>
  </si>
  <si>
    <t xml:space="preserve">https://springandmulberry.com/pages/about</t>
  </si>
  <si>
    <t xml:space="preserve">https://springandmulberry.com/pages/founders</t>
  </si>
  <si>
    <t xml:space="preserve">Date Pecan Date Sweetened Chocolate Bar 2.1 oz</t>
  </si>
  <si>
    <t xml:space="preserve">https://springandmulberry.com</t>
  </si>
  <si>
    <t xml:space="preserve">'No refined sugar' and 'healing power of whole food' wellness language on brand site; check pack copy for claims</t>
  </si>
  <si>
    <t xml:space="preserve">health-claim: explicit health claim on the brand's homepage (opened 2026-10-24): 'dates help regulate digestion, slow the absorption of naturally occurring sugars, and improve gut health'; 'Gut Friendly'; footer carries the FDA structure/function disclaimer</t>
  </si>
  <si>
    <t xml:space="preserve">Brand FAQ: best-buy date is 12 months for Embellished Bars with toppings and 14-16 months for the Essence Line; chocolate can melt above 75F.</t>
  </si>
  <si>
    <t xml:space="preserve">explicit health claim on the brand's homepage (opened 2026-10-24): 'dates help regulate digestion, slow the absorption of naturally occurring sugars, and improve gut health'; 'Gut Friendly'; footer carries the FDA structure/function disclaimer</t>
  </si>
  <si>
    <t xml:space="preserve">Whole Foods; wine and cheese shops, boutiques, natural grocers (brand stockist page); Faire wholesale</t>
  </si>
  <si>
    <t xml:space="preserve">https://www.wholefoodsmarket.com/api/search?text=spring%20mulberry&amp;store=10162&amp;limit=60&amp;offset=0; https://www.wholefoodsmarket.com/api/search?text=spring%20mulberry&amp;store=10773&amp;limit=60&amp;offset=0; https://www.wholefoodsmarket.com/api/search?text=spring%20mulberry&amp;store=10131&amp;limit=60&amp;offset=0</t>
  </si>
  <si>
    <t xml:space="preserve">Stage 3 (entered the top 60 after re-scoring). The brand's Founders page (opened 2026-10-24) quotes two founders by first name, KATHRYN and SARAH; the FAQ (opened) says the name is the New York intersection where Kathryn met her husband. Surname not public on the brand's pages.</t>
  </si>
  <si>
    <t xml:space="preserve">Founders page (opened 2026-10-24) quotes SARAH as the second founder. First name only.</t>
  </si>
  <si>
    <t xml:space="preserve">https://www.instagram.com/spring.mulberry/</t>
  </si>
  <si>
    <t xml:space="preserve">BR2:17</t>
  </si>
  <si>
    <t xml:space="preserve">HQ and founder name not found on brand pages; WebSearch budget was exhausted before a lookup. Why-now date from Shopify publish dates.</t>
  </si>
  <si>
    <t xml:space="preserve">shelf_stable &lt;- https://springandmulberry.com/pages/faq (2026-10-24, opened); shelf_stable_basis &lt;- https://springandmulberry.com/pages/faq (2026-10-24, opened); hq_city &lt;- https://springandmulberry.com/pages/faq (2026-10-24, opened); hq_state &lt;- https://springandmulberry.com/pages/faq (2026-10-24, opened); founder_name &lt;- https://springandmulberry.com/pages/faq (2026-10-24, opened); excluded &lt;- https://springandmulberry.com (2026-10-24, stage 3 correction); exclusion_reason &lt;- https://springandmulberry.com (2026-10-24, stage 3 correction); </t>
  </si>
  <si>
    <t xml:space="preserve">AB-245</t>
  </si>
  <si>
    <t xml:space="preserve">Bear's Fruit</t>
  </si>
  <si>
    <t xml:space="preserve">Gated out: health-claim: Health-claim positioning: site title 'Gut Health Drinks'; Our Story: 'make improving gut health something to be enjoyed'.</t>
  </si>
  <si>
    <t xml:space="preserve">https://www.bearsfruit.com/pages/our-story</t>
  </si>
  <si>
    <t xml:space="preserve">Blackberry Sage Sparkling Probiotic Water, 12 fl oz can</t>
  </si>
  <si>
    <t xml:space="preserve">unknown (began 'in the back of a cookie shop in Brooklyn' per Our Story; current base not stated)</t>
  </si>
  <si>
    <t xml:space="preserve">https://www.bearsfruit.com</t>
  </si>
  <si>
    <t xml:space="preserve">Probiotic drink; may also need refrigeration; claim is on website, check pack; 60-day shelf life not stated</t>
  </si>
  <si>
    <t xml:space="preserve">health-claim: Health-claim positioning: site title 'Gut Health Drinks'; Our Story: 'make improving gut health something to be enjoyed'</t>
  </si>
  <si>
    <t xml:space="preserve">NY (origin)</t>
  </si>
  <si>
    <t xml:space="preserve">Probiotic/fermented drink; storage not stated</t>
  </si>
  <si>
    <t xml:space="preserve">Health-claim positioning: site title 'Gut Health Drinks'; Our Story: 'make improving gut health something to be enjoyed'</t>
  </si>
  <si>
    <t xml:space="preserve">https://www.wholefoodsmarket.com/api/search?text=bear%27s%20fruit&amp;store=10773&amp;limit=60&amp;offset=0; https://www.wholefoodsmarket.com/api/search?text=bear%27s%20fruit&amp;store=10162&amp;limit=60&amp;offset=0; https://www.wholefoodsmarket.com/api/search?text=bear%27s%20fruit&amp;store=10131&amp;limit=60&amp;offset=0; https://www.wholefoodsmarket.com/api/search?text=bear%27s%20fruit&amp;store=10713&amp;limit=60&amp;offset=0</t>
  </si>
  <si>
    <t xml:space="preserve">first names only on Our Story; surnames founder to confirm</t>
  </si>
  <si>
    <t xml:space="preserve">BR4:40</t>
  </si>
  <si>
    <t xml:space="preserve">Recorded so the gate is visible. WFM lists Blackberry Sage and Mango Habanero Sparkling Probiotic Water at Union Square and NoMad (sweep 2026-10-23, query 'sparkling').</t>
  </si>
  <si>
    <t xml:space="preserve">AB-209</t>
  </si>
  <si>
    <t xml:space="preserve">Brami</t>
  </si>
  <si>
    <t xml:space="preserve">Gatti</t>
  </si>
  <si>
    <t xml:space="preserve">Gated out: health-claim: Explicit structure/function wording on brand FAQ: lupini 'support digestion', 'appetite-suppressing', 'without spiking your blood sugar'.</t>
  </si>
  <si>
    <t xml:space="preserve">Raised $33M Series B led by VMG Partners (PRNewswire, datelined New York; seen in search results, unverified)</t>
  </si>
  <si>
    <t xml:space="preserve">https://enjoybrami.com/pages/faqs</t>
  </si>
  <si>
    <t xml:space="preserve">https://enjoybrami.com/pages/brand-story</t>
  </si>
  <si>
    <t xml:space="preserve">Chili Lime Lupini Beans snack 5.3 oz (brand is now mainly lupini protein pasta)</t>
  </si>
  <si>
    <t xml:space="preserve">New York (Series B release datelined New York per search result; Dealroom lists Carlsbad CA; unverified, founder to confirm)</t>
  </si>
  <si>
    <t xml:space="preserve">https://enjoybrami.com/pages/shop-all</t>
  </si>
  <si>
    <t xml:space="preserve">Claim is on the website FAQ, not confirmed on pack; $33M Series B (May 2026) suggests above target size; snacks are now a minor line next to pasta; scale signal in the why-now ('Series B'): likely above the $10M band; ask at intake</t>
  </si>
  <si>
    <t xml:space="preserve">health-claim: Explicit structure/function wording on brand FAQ: lupini 'support digestion', 'appetite-suppressing', 'without spiking your blood sugar'</t>
  </si>
  <si>
    <t xml:space="preserve">https://enjoybrami.com</t>
  </si>
  <si>
    <t xml:space="preserve">NY (unverified)</t>
  </si>
  <si>
    <t xml:space="preserve">Series B ($33M led by VMG Partners, May 2026, PRNewswire seen in search results; unverified, founder to confirm)</t>
  </si>
  <si>
    <t xml:space="preserve">Sold as ambient ready-to-eat snack pouches in WFM grocery catalog; no shelf-life figure found, founder to confirm</t>
  </si>
  <si>
    <t xml:space="preserve">Explicit structure/function wording on brand FAQ: lupini 'support digestion', 'appetite-suppressing', 'without spiking your blood sugar'</t>
  </si>
  <si>
    <t xml:space="preserve">https://www.wholefoodsmarket.com/api/search?text=brami&amp;store=10773&amp;limit=60&amp;offset=0; https://www.wholefoodsmarket.com/api/search?text=brami&amp;store=10162&amp;limit=60&amp;offset=0</t>
  </si>
  <si>
    <t xml:space="preserve">https://www.bakeryandsnacks.com/Article/2020/11/19/Startup-CPG-Pitch-II-15-emerging-brands-to-watch-from-spicy-jackfruit-bites-to-keto-mug-cakes?page=4</t>
  </si>
  <si>
    <t xml:space="preserve">Aaron Gatti</t>
  </si>
  <si>
    <t xml:space="preserve">BR4:4</t>
  </si>
  <si>
    <t xml:space="preserve">Startup CPG evidence is a 2020 Startup CPG Pitch II feature (participation, dated; page opened 2026-10-23). Series B and HQ come from search-result snippets only (PRNewswire 2026-05-19; Dealroom), not opened. Founded as a New York lupini snack start-up (FoodNavigator-USA 2016 headline). WFM catalog at cluster stores lists lupini snacks and pasta, 2026-10-23.</t>
  </si>
  <si>
    <t xml:space="preserve">AB-078</t>
  </si>
  <si>
    <t xml:space="preserve">Greyston Bakery</t>
  </si>
  <si>
    <t xml:space="preserve">Bernie</t>
  </si>
  <si>
    <t xml:space="preserve">Glassman</t>
  </si>
  <si>
    <t xml:space="preserve">Gated out: not-shelf-stable: Shelf life 2 weeks at room temperature per brand FAQ (below 60 days).</t>
  </si>
  <si>
    <t xml:space="preserve">https://shop.greyston.org/pages/faq</t>
  </si>
  <si>
    <t xml:space="preserve">https://shop.greyston.org/pages/about-greyston</t>
  </si>
  <si>
    <t xml:space="preserve">Fudge Brownie 2.5 oz; Birthday Cake Blondie 2.5 oz</t>
  </si>
  <si>
    <t xml:space="preserve">Yonkers</t>
  </si>
  <si>
    <t xml:space="preserve">https://shop.greyston.org</t>
  </si>
  <si>
    <t xml:space="preserve">Retail 2.5 oz wrapped SKUs at Whole Foods may carry different dating than gift items; confirm before final exclusion</t>
  </si>
  <si>
    <t xml:space="preserve">not-shelf-stable</t>
  </si>
  <si>
    <t xml:space="preserve">not-shelf-stable: Shelf life 2 weeks at room temperature per brand FAQ (below 60 days)</t>
  </si>
  <si>
    <t xml:space="preserve">unknown (social enterprise, Open Hiring since 1982)</t>
  </si>
  <si>
    <t xml:space="preserve">Brand FAQ: brownies and blondies 'stay fresh at room temperature for 2 weeks after receiving them' (gift shop items)</t>
  </si>
  <si>
    <t xml:space="preserve">Shelf life 2 weeks at room temperature per brand FAQ (below 60 days)</t>
  </si>
  <si>
    <t xml:space="preserve">https://www.wholefoodsmarket.com/api/search?text=greyston&amp;store=10162&amp;limit=60&amp;offset=0; https://www.wholefoodsmarket.com/api/search?text=greyston&amp;store=10773&amp;limit=60&amp;offset=0; https://www.wholefoodsmarket.com/api/search?text=greyston&amp;store=10131&amp;limit=60&amp;offset=0</t>
  </si>
  <si>
    <t xml:space="preserve">Bernie Glassman</t>
  </si>
  <si>
    <t xml:space="preserve">https://www.instagram.com/greystonbakery/</t>
  </si>
  <si>
    <t xml:space="preserve">BR2:15</t>
  </si>
  <si>
    <t xml:space="preserve">Strong NY story (Yonkers, Open Hiring). Current leadership not identified.</t>
  </si>
  <si>
    <t xml:space="preserve">AB-120</t>
  </si>
  <si>
    <t xml:space="preserve">Joolies</t>
  </si>
  <si>
    <t xml:space="preserve">Kohl</t>
  </si>
  <si>
    <t xml:space="preserve">Gated out: health-claim: explicit health claim on the brand's homepage (opened 2026-10-24): 'Dates are naturally rich in fiber to support digestion and keep things moving'.</t>
  </si>
  <si>
    <t xml:space="preserve">https://joolies.com/pages/story-timeline</t>
  </si>
  <si>
    <t xml:space="preserve">Organic Lemon Bar Date Pops 3.5 oz; Almond Date Rolls</t>
  </si>
  <si>
    <t xml:space="preserve">https://joolies.com</t>
  </si>
  <si>
    <t xml:space="preserve">12,000+ stores may put it above the $10M ceiling; 'superfruit' positioning; 60-day shelf life not stated</t>
  </si>
  <si>
    <t xml:space="preserve">health-claim: explicit health claim on the brand's homepage (opened 2026-10-24): 'Dates are naturally rich in fiber to support digestion and keep things moving'</t>
  </si>
  <si>
    <t xml:space="preserve">Dates and date snacks sold ambient at Whole Foods; shelf-life figure not found</t>
  </si>
  <si>
    <t xml:space="preserve">explicit health claim on the brand's homepage (opened 2026-10-24): 'Dates are naturally rich in fiber to support digestion and keep things moving'</t>
  </si>
  <si>
    <t xml:space="preserve">12,000+ stores nationwide (brand home page); Whole Foods</t>
  </si>
  <si>
    <t xml:space="preserve">https://www.wholefoodsmarket.com/api/search?text=joolies&amp;store=10162&amp;limit=60&amp;offset=0; https://www.wholefoodsmarket.com/api/search?text=joolies&amp;store=10773&amp;limit=60&amp;offset=0; https://www.wholefoodsmarket.com/api/search?text=joolies&amp;store=10131&amp;limit=60&amp;offset=0</t>
  </si>
  <si>
    <t xml:space="preserve">David Kohl</t>
  </si>
  <si>
    <t xml:space="preserve">Greg Willsey</t>
  </si>
  <si>
    <t xml:space="preserve">Greg</t>
  </si>
  <si>
    <t xml:space="preserve">Willsey</t>
  </si>
  <si>
    <t xml:space="preserve">https://www.instagram.com/jooliesdates/</t>
  </si>
  <si>
    <t xml:space="preserve">BR2:58</t>
  </si>
  <si>
    <t xml:space="preserve">Company name on site: JOOLIES SUPERFRUIT LLC. All products show a 2026-09-29 publish date (likely a store rebuild), so not used as a why-now signal.</t>
  </si>
  <si>
    <t xml:space="preserve">hq_city &lt;- https://joolies.com/policies/refund-policy (2026-10-24, opened); excluded &lt;- https://joolies.com (2026-10-24, stage 3 correction); exclusion_reason &lt;- https://joolies.com (2026-10-24, stage 3 correction); </t>
  </si>
  <si>
    <t xml:space="preserve">AB-238</t>
  </si>
  <si>
    <t xml:space="preserve">QNSY Sparkling Cocktails</t>
  </si>
  <si>
    <t xml:space="preserve">Gated out: excluded-category: Alcohol (homepage: 'All with 5% alcohol').</t>
  </si>
  <si>
    <t xml:space="preserve">https://www.drinkqnsy.com/</t>
  </si>
  <si>
    <t xml:space="preserve">Cosmo Spiked Sparkling Water 12 fl oz can (5% alcohol)</t>
  </si>
  <si>
    <t xml:space="preserve">Queens, New York</t>
  </si>
  <si>
    <t xml:space="preserve">excluded-category</t>
  </si>
  <si>
    <t xml:space="preserve">excluded-category: Alcohol (homepage: 'All with 5% alcohol')</t>
  </si>
  <si>
    <t xml:space="preserve">https://www.drinkqnsy.com</t>
  </si>
  <si>
    <t xml:space="preserve">Canned</t>
  </si>
  <si>
    <t xml:space="preserve">Alcohol (homepage: 'All with 5% alcohol')</t>
  </si>
  <si>
    <t xml:space="preserve">Whole Foods Market (WFM catalog)</t>
  </si>
  <si>
    <t xml:space="preserve">https://www.wholefoodsmarket.com/api/search?text=qnsy&amp;store=10773&amp;limit=60&amp;offset=0; https://www.wholefoodsmarket.com/api/search?text=qnsy&amp;store=10162&amp;limit=60&amp;offset=0</t>
  </si>
  <si>
    <t xml:space="preserve">BR4:33</t>
  </si>
  <si>
    <t xml:space="preserve">Recorded so the gate is visible. Launched summer 2021 per press quote on homepage.</t>
  </si>
  <si>
    <t xml:space="preserve">AB-190</t>
  </si>
  <si>
    <t xml:space="preserve">WAVA Water</t>
  </si>
  <si>
    <t xml:space="preserve">Gated out: health-claim: Structure or function wording on every product: '100 mg l-theanine for increased focus'.</t>
  </si>
  <si>
    <t xml:space="preserve">Fairway Chelsea, 766 6th Ave</t>
  </si>
  <si>
    <t xml:space="preserve">New Lemon Ice + Natural pack listed (after Orange Vanilla, Natural, Lemon Ice in 2026-02)</t>
  </si>
  <si>
    <t xml:space="preserve">https://wavawater.com/products.json</t>
  </si>
  <si>
    <t xml:space="preserve">https://wavawater.com/pages/about</t>
  </si>
  <si>
    <t xml:space="preserve">WAVA lightly caffeinated sparkling water (45 mg caffeine, 100 mg L-theanine), can</t>
  </si>
  <si>
    <t xml:space="preserve">https://wavawater.com</t>
  </si>
  <si>
    <t xml:space="preserve">Strong Brooklyn founder story and one of the densest near-cluster footprints in this slice; the exclusion rests on one line of copy. Founder may decide to reinstate if the card and landing page avoid the focus claim; 60-day shelf life not stated</t>
  </si>
  <si>
    <t xml:space="preserve">health-claim: Structure or function wording on every product: '100 mg l-theanine for increased focus'</t>
  </si>
  <si>
    <t xml:space="preserve">Structure or function wording on every product: '100 mg l-theanine for increased focus'</t>
  </si>
  <si>
    <t xml:space="preserve">Fairway Chelsea, 766 6th Ave (brand_claim, inside);Olympia Finest Deli, 716 6th Ave (brand_claim, inside);Spice &amp; Sweets Corner, 133 Lexington Ave (brand_claim, 1.4 blocks out);Westside Market, 180 3rd Ave (brand_claim, 2.0 blocks out);Westside Market, 77 7th Ave (brand_claim, 2.0 blocks out);Eden Gourmet Marketplace, 275 3rd Ave (brand_claim, 3.0 blocks out);Elm Wellness, 56 7th Ave (brand_claim, 3.0 blocks out);Fairway Kips Bay, 550 2nd Ave (brand_claim, 7.0 blocks out)</t>
  </si>
  <si>
    <t xml:space="preserve">Fairway; Westside Market; Eden Gourmet; Elm Wellness; delis and cafes (brand Stockist locator: 76 points, 19 near the cluster); Pop Up Grocer (past brand)</t>
  </si>
  <si>
    <t xml:space="preserve">https://wavawater.com/pages/find-us; https://stockist.co/api/v1/u23135/locations/search?latitude=40.7400&amp;longitude=-73.9900&amp;distance=3</t>
  </si>
  <si>
    <t xml:space="preserve">BR3:64</t>
  </si>
  <si>
    <t xml:space="preserve">About: founder worked in NYC hospitality in 2020, then quit day jobs in Brooklyn with his wife (marketing background) to launch WAVA. Stockist queried 2026-10-23.</t>
  </si>
  <si>
    <t xml:space="preserve">AB-195</t>
  </si>
  <si>
    <t xml:space="preserve">Pari</t>
  </si>
  <si>
    <t xml:space="preserve">Alessia</t>
  </si>
  <si>
    <t xml:space="preserve">Gated out: health-claim: FAQ says agave 'is also great for brain function and metabolism' (structure or function wording).</t>
  </si>
  <si>
    <t xml:space="preserve">Fairway Market of Chelsea, 766 6th Ave</t>
  </si>
  <si>
    <t xml:space="preserve">New Citrus Sour flavor listed on store</t>
  </si>
  <si>
    <t xml:space="preserve">https://drinkpari.com/products.json</t>
  </si>
  <si>
    <t xml:space="preserve">2026-01-30</t>
  </si>
  <si>
    <t xml:space="preserve">https://drinkpari.com/pages/about</t>
  </si>
  <si>
    <t xml:space="preserve">Pari zero-proof agave-sweetened canned drink (Modern Mule, Citrus Sour)</t>
  </si>
  <si>
    <t xml:space="preserve">https://drinkpari.com</t>
  </si>
  <si>
    <t xml:space="preserve">Claim sits in one FAQ answer about an ingredient, not on the product; otherwise a clean zero-proof drink with a dense near-cluster footprint. Founder may reinstate if the card and landing page avoid that line</t>
  </si>
  <si>
    <t xml:space="preserve">health-claim: FAQ says agave 'is also great for brain function and metabolism' (structure or function wording)</t>
  </si>
  <si>
    <t xml:space="preserve">FAQ: store unopened cans 'in a cool, dark, and dry place'; consume 'within 24 months of production' (drinkpari.com/pages/faq, opened 2026-10-23)</t>
  </si>
  <si>
    <t xml:space="preserve">FAQ says agave 'is also great for brain function and metabolism' (structure or function wording)</t>
  </si>
  <si>
    <t xml:space="preserve">Fairway Market of Chelsea, 766 6th Ave (brand_claim, inside);Westside Market, 84 3rd Ave (brand_claim, 1.0 blocks out);Lincoln Market, 501 6th Ave (brand_claim, 1.2 blocks out);Westside Market, 170 W 23rd St (brand_claim, 2.0 blocks out);Westside Market, 77 7th Ave (brand_claim, 2.0 blocks out);Elm Wellness, 56 7th Ave (brand_claim, 3.0 blocks out);Fairway Market Kips Bay, 550 2nd Ave (brand_claim, 7.0 blocks out)</t>
  </si>
  <si>
    <t xml:space="preserve">Fairway; Westside Market; Lincoln Market; Citarella; Elm Wellness; Brooklyn Fare; Pop Up Grocer (brand Stockist locator: 59 points, 15 near the cluster)</t>
  </si>
  <si>
    <t xml:space="preserve">https://drinkpari.com/pages/store-locator; https://stockist.co/api/v1/u20632/locations/search?latitude=40.7400&amp;longitude=-73.9900&amp;distance=3</t>
  </si>
  <si>
    <t xml:space="preserve">https://instagram.com/drinkpari</t>
  </si>
  <si>
    <t xml:space="preserve">BR3:69</t>
  </si>
  <si>
    <t xml:space="preserve">Name from Italian 'pari' (equal). Stockist queried 2026-10-23; NYC-heavy footprint suggests a NYC brand, HQ unconfirmed. Date is Shopify publish date.</t>
  </si>
  <si>
    <t xml:space="preserve">AB-197</t>
  </si>
  <si>
    <t xml:space="preserve">Corpse Reviver</t>
  </si>
  <si>
    <t xml:space="preserve">Anna</t>
  </si>
  <si>
    <t xml:space="preserve">Zesbaugh</t>
  </si>
  <si>
    <t xml:space="preserve">Gated out: health-claim: Structure or function claims: 'Zinc to support immunity', 'Magnesium to support energy and muscle comfort', 'L-theanine for calm, focused vibes'.</t>
  </si>
  <si>
    <t xml:space="preserve">Bourke Street Bakery, 15 E 28th St</t>
  </si>
  <si>
    <t xml:space="preserve">https://drinkcorpsereviver.com/pages/about-us</t>
  </si>
  <si>
    <t xml:space="preserve">Corpse Reviver tea-based sparkling hydration drink, can</t>
  </si>
  <si>
    <t xml:space="preserve">https://drinkcorpsereviver.com</t>
  </si>
  <si>
    <t xml:space="preserve">health-claim: Structure or function claims: 'Zinc to support immunity', 'Magnesium to support energy and muscle comfort', 'L-theanine for calm, focused vibes'</t>
  </si>
  <si>
    <t xml:space="preserve">Structure or function claims: 'Zinc to support immunity', 'Magnesium to support energy and muscle comfort', 'L-theanine for calm, focused vibes'</t>
  </si>
  <si>
    <t xml:space="preserve">Bourke Street Bakery, 15 E 28th St (brand_claim, inside);Fairway Market Chelsea, 55 W 25th St (brand_claim, inside);Fraiche, 36 Lexington Ave (brand_claim, 0.9 blocks out);Lincoln Market, 501 6th Ave (brand_claim, 1.2 blocks out);West Side Market, 170 W 23rd St (brand_claim, 2.0 blocks out)</t>
  </si>
  <si>
    <t xml:space="preserve">Fairway; West Side Market; Lincoln Market; Fraiche; Bourke Street Bakery (brand Storepoint locator: 75 points, 35 near the cluster)</t>
  </si>
  <si>
    <t xml:space="preserve">https://drinkcorpsereviver.com/pages/find-us; https://api.storepoint.co/v1/165e8ec022755b/locations?lat=40.7400&amp;long=-73.9900&amp;radius=3</t>
  </si>
  <si>
    <t xml:space="preserve">Anna Zesbaugh</t>
  </si>
  <si>
    <t xml:space="preserve">BR3:71</t>
  </si>
  <si>
    <t xml:space="preserve">Founder came from hospitality (furloughed in 2020). Very dense near-cluster footprint, so worth noting if claims change.</t>
  </si>
  <si>
    <t xml:space="preserve">AB-185</t>
  </si>
  <si>
    <t xml:space="preserve">CHUH Matcha</t>
  </si>
  <si>
    <t xml:space="preserve">Schundler</t>
  </si>
  <si>
    <t xml:space="preserve">Gated out: health-claim: explicit health claim on the brand's homepage (opened 2026-10-24): 'These antioxidants fight free radicals and support your immune system daily'.</t>
  </si>
  <si>
    <t xml:space="preserve">Launched two new flavors as the brand reached 200 retail doors (Startup CPG Newswire, 2026-06-24); first month after launch: 2,000 cans sold and 19 retail accounts (2025-08-27)</t>
  </si>
  <si>
    <t xml:space="preserve">https://startupcpg.com/startup-cpg-newswire-chuh-matcha-launches-two-new-flavors-as-brand-reaches-200-retail-doors/</t>
  </si>
  <si>
    <t xml:space="preserve">https://www.chuhmatcha.com/pages/about</t>
  </si>
  <si>
    <t xml:space="preserve">https://startupcpg.com/startup-cpg-newswire-chuh-celebrates-successful-first-month-launch-with-2000-cans-sold-and-19-retail-accounts/</t>
  </si>
  <si>
    <t xml:space="preserve">CHUH ceremonial-grade organic canned matcha latte (Lavender, Creme Brulee)</t>
  </si>
  <si>
    <t xml:space="preserve">Georgetown (press dateline and PO box); contact page lists an office unit in Bath, ME</t>
  </si>
  <si>
    <t xml:space="preserve">https://www.chuhmatcha.com</t>
  </si>
  <si>
    <t xml:space="preserve">Caffeinated matcha latte with dairy (allergen line); 'crash-free, slow-release caffeine' wording borders on function claims; no current NYC retailer confirmed; 60-day shelf life not stated</t>
  </si>
  <si>
    <t xml:space="preserve">health-claim: explicit health claim on the brand's homepage (opened 2026-10-24): 'These antioxidants fight free radicals and support your immune system daily'</t>
  </si>
  <si>
    <t xml:space="preserve">No storage statement read in FAQ</t>
  </si>
  <si>
    <t xml:space="preserve">explicit health claim on the brand's homepage (opened 2026-10-24): 'These antioxidants fight free radicals and support your immune system daily'</t>
  </si>
  <si>
    <t xml:space="preserve">Pop Up Grocer (past brand, directory); store-location page lists retailers but text not readable</t>
  </si>
  <si>
    <t xml:space="preserve">https://popupgrocer.com/products/chuh-matcha</t>
  </si>
  <si>
    <t xml:space="preserve">Andrew Schundler</t>
  </si>
  <si>
    <t xml:space="preserve">https://instagram.com/chuhmatcha</t>
  </si>
  <si>
    <t xml:space="preserve">BR3:59</t>
  </si>
  <si>
    <t xml:space="preserve">About page title: 'Organic Canned Matcha Latte from Georgetown, ME'. Northeast brand. Dates are Shopify publish dates.</t>
  </si>
  <si>
    <t xml:space="preserve">hq_city &lt;- https://startupcpg.com/startup-cpg-newswire-chuh-matcha-launches-two-new-flavors-as-brand-reaches-200-retail-doors/ (2026-10-24, opened); founder_name &lt;- https://startupcpg.com/startup-cpg-newswire-chuh-celebrates-successful-first-month-launch-with-2000-cans-sold-and-19-retail-accounts/ (2026-10-24, opened); founder_title &lt;- https://startupcpg.com/startup-cpg-newswire-chuh-celebrates-successful-first-month-launch-with-2000-cans-sold-and-19-retail-accounts/ (2026-10-24, opened); why_now &lt;- https://startupcpg.com/startup-cpg-newswire-chuh-matcha-launches-two-new-flavors-as-brand-reaches-200-retail-doors/ (2026-10-24, opened); why_now_url &lt;- https://startupcpg.com/startup-cpg-newswire-chuh-matcha-launches-two-new-flavors-as-brand-reaches-200-retail-doors/ (2026-10-24, opened); why_now_date &lt;- https://startupcpg.com/startup-cpg-newswire-chuh-matcha-launches-two-new-flavors-as-brand-reaches-200-retail-doors/ (2026-10-24, opened); startup_cpg_member &lt;- https://startupcpg.com/startup-cpg-newswire-chuh-matcha-launches-two-new-flavors-as-brand-reaches-200-retail-doors/ (2026-10-24, opened); startup_cpg_evidence_url &lt;- https://startupcpg.com/startup-cpg-newswire-chuh-matcha-launches-two-new-flavors-as-brand-reaches-200-retail-doors/ (2026-10-24, opened); excluded &lt;- https://www.chuhmatcha.com (2026-10-24, stage 3 correction); exclusion_reason &lt;- https://www.chuhmatcha.com (2026-10-24, stage 3 correction); </t>
  </si>
  <si>
    <t xml:space="preserve">AB-257</t>
  </si>
  <si>
    <t xml:space="preserve">Chenzi</t>
  </si>
  <si>
    <t xml:space="preserve">Christina</t>
  </si>
  <si>
    <t xml:space="preserve">Gated out: excluded-category: Frozen; needs preparation.</t>
  </si>
  <si>
    <t xml:space="preserve">Introduced Chinese potato balls; exhibited in Startup CPG section at Summer Fancy Food 2026</t>
  </si>
  <si>
    <t xml:space="preserve">https://startupcpg.com/startup-cpg-newswire-chenzi-introduces-chinese-potato-ball-bringing-a-regional-chinese-dish-to-the-u-s-specialty-food-market/</t>
  </si>
  <si>
    <t xml:space="preserve">Chinese potato balls (frozen)</t>
  </si>
  <si>
    <t xml:space="preserve">New York (release datelined New York, NY)</t>
  </si>
  <si>
    <t xml:space="preserve">excluded-category;not-shelf-stable;no-buy-path</t>
  </si>
  <si>
    <t xml:space="preserve">excluded-category: Frozen; needs preparation | not-shelf-stable: Frozen; needs preparation | no-buy-path: no graded store within ten blocks and no online store shown (online store unknown)</t>
  </si>
  <si>
    <t xml:space="preserve">https://chenzi.co</t>
  </si>
  <si>
    <t xml:space="preserve">Release: brings the dish 'to the commercial frozen aisle'</t>
  </si>
  <si>
    <t xml:space="preserve">Frozen; needs preparation</t>
  </si>
  <si>
    <t xml:space="preserve">Christina Chen</t>
  </si>
  <si>
    <t xml:space="preserve">BR4:52</t>
  </si>
  <si>
    <t xml:space="preserve">Recorded so the gate is visible.</t>
  </si>
  <si>
    <t xml:space="preserve">AB-303</t>
  </si>
  <si>
    <t xml:space="preserve">Chikka Chikka</t>
  </si>
  <si>
    <t xml:space="preserve">Gated out: health-claim: Explicit health claims on the website: 'reduces bloating', 'improve digestion', 'natural antacid', maple syrup 'can help support brain health'.</t>
  </si>
  <si>
    <t xml:space="preserve">Fennel Seed Mouth Freshener named a 2027 sofi Award finalist (Nuts, Seeds, Trail Mix &amp; Dried Fruit)</t>
  </si>
  <si>
    <t xml:space="preserve">Chikka Chikka Mint Fennel Seed Digestive, pocket tin</t>
  </si>
  <si>
    <t xml:space="preserve">https://chikkachikka.com</t>
  </si>
  <si>
    <t xml:space="preserve">health-claim: Explicit health claims on the website: 'reduces bloating', 'improve digestion', 'natural antacid', maple syrup 'can help support brain health'</t>
  </si>
  <si>
    <t xml:space="preserve">Roasted fennel seeds in pocket-sized tins sold ambient</t>
  </si>
  <si>
    <t xml:space="preserve">Explicit health claims on the website: 'reduces bloating', 'improve digestion', 'natural antacid', maple syrup 'can help support brain health'</t>
  </si>
  <si>
    <t xml:space="preserve">https://startupcpg.com/startup-cpg-shelfie-finalists-2025/</t>
  </si>
  <si>
    <t xml:space="preserve">https://www.instagram.com/eat_chikka_chikka/</t>
  </si>
  <si>
    <t xml:space="preserve">BR5:39</t>
  </si>
  <si>
    <t xml:space="preserve">Meta: 'Roasted Fennel Seed Snack Sweetened with Maple Syrup Made in Small Batches in the Hudson Valley NY and packaged in pocket-sized tins'. Recorded so the health-claim gate is visible.</t>
  </si>
  <si>
    <t xml:space="preserve">AB-304</t>
  </si>
  <si>
    <t xml:space="preserve">Cho's Bakeshop</t>
  </si>
  <si>
    <t xml:space="preserve">Gated out: excluded-category: Needs preparation (baking mixes).</t>
  </si>
  <si>
    <t xml:space="preserve">Chocolate Chip Cookie Mix named a 2027 sofi Award finalist (Baking Ingredients)</t>
  </si>
  <si>
    <t xml:space="preserve">https://events.specialtyfood.com/event/2026-summer-fancy-food-show/exhibitor/RXhoaWJpdG9yXzI0MzI4MDE=</t>
  </si>
  <si>
    <t xml:space="preserve">Cho's Bakeshop Chocolate Chip Cookie Mix</t>
  </si>
  <si>
    <t xml:space="preserve">https://chosbakeshop.com</t>
  </si>
  <si>
    <t xml:space="preserve">excluded-category: Needs preparation (baking mixes)</t>
  </si>
  <si>
    <t xml:space="preserve">Dry baking mix</t>
  </si>
  <si>
    <t xml:space="preserve">Needs preparation (baking mixes)</t>
  </si>
  <si>
    <t xml:space="preserve">https://instagram.com/chosbakeshop</t>
  </si>
  <si>
    <t xml:space="preserve">BR5:40</t>
  </si>
  <si>
    <t xml:space="preserve">SFFS 2026: 'NYC-based CPG brand offering premium, chef-crafted baking mixes. Developed by a Michelin-trained pastry chef'. Recorded so the preparation gate is visible.</t>
  </si>
  <si>
    <t xml:space="preserve">AB-054</t>
  </si>
  <si>
    <t xml:space="preserve">Coditos</t>
  </si>
  <si>
    <t xml:space="preserve">Rodolfo</t>
  </si>
  <si>
    <t xml:space="preserve">Saccoman</t>
  </si>
  <si>
    <t xml:space="preserve">Gated out: no-buy-path: no graded store within ten blocks and no online store shown (online store unknown).</t>
  </si>
  <si>
    <t xml:space="preserve">Launched Avocado Oil Crunchy Macaronis</t>
  </si>
  <si>
    <t xml:space="preserve">https://www.snackandbakery.com/articles/116329-coditos-expands-crunchy-macaronis-snack-line</t>
  </si>
  <si>
    <t xml:space="preserve">Coditos Crunchy Macaronis, Avocado Oil, 2.82 oz</t>
  </si>
  <si>
    <t xml:space="preserve">no-buy-path</t>
  </si>
  <si>
    <t xml:space="preserve">no-buy-path: no graded store within ten blocks and no online store shown (online store unknown)</t>
  </si>
  <si>
    <t xml:space="preserve">https://www.coditos.com</t>
  </si>
  <si>
    <t xml:space="preserve">Trade press calls it a crispy, shelf-stable snack</t>
  </si>
  <si>
    <t xml:space="preserve">250+ retail locations (trade press)</t>
  </si>
  <si>
    <t xml:space="preserve">https://www.wholefoodsmarket.com/search?text=coditos (no results in cluster stores, 2026-10-23)</t>
  </si>
  <si>
    <t xml:space="preserve">Rodolfo Saccoman</t>
  </si>
  <si>
    <t xml:space="preserve">Yezmin León</t>
  </si>
  <si>
    <t xml:space="preserve">Yezmin</t>
  </si>
  <si>
    <t xml:space="preserve">León</t>
  </si>
  <si>
    <t xml:space="preserve">BR1:55</t>
  </si>
  <si>
    <t xml:space="preserve">Miami-born (Hialeah) family recipe. Site rendered no text without JavaScript; online store unconfirmed.</t>
  </si>
  <si>
    <t xml:space="preserve">AB-302</t>
  </si>
  <si>
    <t xml:space="preserve">Freedom Fluid</t>
  </si>
  <si>
    <t xml:space="preserve">Gated out: health-claim: Website calls the tea 'immune boosting' (structure-function claim).</t>
  </si>
  <si>
    <t xml:space="preserve">Exhibited at the 2026 Summer Fancy Food Show</t>
  </si>
  <si>
    <t xml:space="preserve">https://events.specialtyfood.com/event/2026-summer-fancy-food-show/exhibitor/RXhoaWJpdG9yXzI0NjY4ODc=</t>
  </si>
  <si>
    <t xml:space="preserve">Freedom Fluid organic yaupon iced tea, Tangerine Mint</t>
  </si>
  <si>
    <t xml:space="preserve">https://www.drinkfreedomfluid.com</t>
  </si>
  <si>
    <t xml:space="preserve">Wording seen on the website only; if the can has no such claim, the founder may reconsider; 60-day shelf life not stated</t>
  </si>
  <si>
    <t xml:space="preserve">health-claim: Website calls the tea 'immune boosting' (structure-function claim)</t>
  </si>
  <si>
    <t xml:space="preserve">Bottled or canned iced tea sold online in cases; storage not stated</t>
  </si>
  <si>
    <t xml:space="preserve">Website calls the tea 'immune boosting' (structure-function claim)</t>
  </si>
  <si>
    <t xml:space="preserve">https://www.instagram.com/drinkfreedomfluid/</t>
  </si>
  <si>
    <t xml:space="preserve">BR5:38</t>
  </si>
  <si>
    <t xml:space="preserve">SFFS 2026 (State: Massachusetts): 'mission-driven beverage company founded in Boston in 2024 to revive yaupon... Regenerative Organic Certified, antioxidant-rich iced teas'.</t>
  </si>
  <si>
    <t xml:space="preserve">AB-253</t>
  </si>
  <si>
    <t xml:space="preserve">Goldholly</t>
  </si>
  <si>
    <t xml:space="preserve">Gated out: excluded-category: Needs preparation (loose tea to brew, not ready-to-drink).</t>
  </si>
  <si>
    <t xml:space="preserve">Brand refresh and new packaging as 'Clean American Caffeine'</t>
  </si>
  <si>
    <t xml:space="preserve">https://startupcpg.com/startup-cpg-newswire-goldholly-reintroduces-its-flagship-product-as-clean-american-caffeine-with-a-brand-refresh-and-new-packaging/</t>
  </si>
  <si>
    <t xml:space="preserve">Yaupon tea (caffeinated), resealable stand-up pouch</t>
  </si>
  <si>
    <t xml:space="preserve">excluded-category;no-buy-path</t>
  </si>
  <si>
    <t xml:space="preserve">excluded-category: Needs preparation (loose tea to brew, not ready-to-drink) | no-buy-path: no graded store within ten blocks and no online store shown (online store unknown)</t>
  </si>
  <si>
    <t xml:space="preserve">https://goldholly.com</t>
  </si>
  <si>
    <t xml:space="preserve">Dry tea</t>
  </si>
  <si>
    <t xml:space="preserve">Needs preparation (loose tea to brew, not ready-to-drink)</t>
  </si>
  <si>
    <t xml:space="preserve">BR4:48</t>
  </si>
  <si>
    <t xml:space="preserve">AB-308</t>
  </si>
  <si>
    <t xml:space="preserve">Hello Honey Iced Tea (Shoop Beverages)</t>
  </si>
  <si>
    <t xml:space="preserve">Gated out: no-buy-path: no graded store within ten blocks and no online store shown.</t>
  </si>
  <si>
    <t xml:space="preserve">Showed Hello Honey Iced Tea as a new product in the 'Fancy Bodega' at the 2026 Summer Fancy Food Show</t>
  </si>
  <si>
    <t xml:space="preserve">https://events.specialtyfood.com/event/2026-summer-fancy-food-show/exhibitor/RXhoaWJpdG9yXzI0NzA2MDU=</t>
  </si>
  <si>
    <t xml:space="preserve">Hello Honey all-natural iced tea (organic tea, organic lemon, honey)</t>
  </si>
  <si>
    <t xml:space="preserve">Website has expired, so pack, shelf stability and buy path are all unconfirmed; may be inactive; 60-day shelf life not stated</t>
  </si>
  <si>
    <t xml:space="preserve">no-buy-path: no graded store within ten blocks and no online store shown</t>
  </si>
  <si>
    <t xml:space="preserve">dormant</t>
  </si>
  <si>
    <t xml:space="preserve">https://shoopbeverages.com</t>
  </si>
  <si>
    <t xml:space="preserve">Not confirmed; brand website shows 'Squarespace - Website Expired' (2026-10-24)</t>
  </si>
  <si>
    <t xml:space="preserve">BR5:44</t>
  </si>
  <si>
    <t xml:space="preserve">SFFS 2026 (Shoop Beverages LLC; State: New York): 'New York-based beverage company focused on creating clean-label drinks... Our flagship product, Hello Honey, is an all-natural iced tea made with organic tea, organic lemon, sweetened with real organic honey and with no artificial sweeteners, or preservatives'.</t>
  </si>
  <si>
    <t xml:space="preserve">AB-300</t>
  </si>
  <si>
    <t xml:space="preserve">Junebar</t>
  </si>
  <si>
    <t xml:space="preserve">Gated out: not-shelf-stable: Refrigerated product (site says the bars need to be refrigerated).</t>
  </si>
  <si>
    <t xml:space="preserve">https://events.specialtyfood.com/event/2026-summer-fancy-food-show/exhibitor/RXhoaWJpdG9yXzI0Mjc5MjM=</t>
  </si>
  <si>
    <t xml:space="preserve">Junebar Peanut Butter Chocolate Chip whole-food snack bar</t>
  </si>
  <si>
    <t xml:space="preserve">Rochester</t>
  </si>
  <si>
    <t xml:space="preserve">https://junebars.com</t>
  </si>
  <si>
    <t xml:space="preserve">not-shelf-stable: Refrigerated product (site says the bars need to be refrigerated)</t>
  </si>
  <si>
    <t xml:space="preserve">Site: 'So real, they need to be refrigerated.'</t>
  </si>
  <si>
    <t xml:space="preserve">Refrigerated product (site says the bars need to be refrigerated)</t>
  </si>
  <si>
    <t xml:space="preserve">Rochester, Ithaca, Buffalo and Syracuse stores; Taste NY (site)</t>
  </si>
  <si>
    <t xml:space="preserve">https://www.instagram.com/junebar_snacks</t>
  </si>
  <si>
    <t xml:space="preserve">BR5:36</t>
  </si>
  <si>
    <t xml:space="preserve">SFFS 2026 as Juniper Granola, LLC (State: New York): 'We make the best better-for-you bars on the market locally here in Rochester, NY.'</t>
  </si>
  <si>
    <t xml:space="preserve">AB-273</t>
  </si>
  <si>
    <t xml:space="preserve">Munch King Snacks</t>
  </si>
  <si>
    <t xml:space="preserve">Exhibited at the 2026 Summer Fancy Food Show with new products flagged</t>
  </si>
  <si>
    <t xml:space="preserve">https://events.specialtyfood.com/event/2026-summer-fancy-food-show/exhibitor/RXhoaWJpdG9yXzI0MjExNzU=</t>
  </si>
  <si>
    <t xml:space="preserve">Munch King Cheese Balls; Kettle Corn Crunch; Salted Plantain Chips</t>
  </si>
  <si>
    <t xml:space="preserve">New York (PO Box 53, NY 10040, Washington Heights)</t>
  </si>
  <si>
    <t xml:space="preserve">Value-tier bodega line from a distributor-turned-brand, relaunched in 2018; may not fit the emerging-brand profile. No online store found (phone ordering), so the buy path near the cluster is unproven</t>
  </si>
  <si>
    <t xml:space="preserve">https://munchkingsnacks.com</t>
  </si>
  <si>
    <t xml:space="preserve">Bagged puffs, popcorn and plantain chips; shelf life not stated</t>
  </si>
  <si>
    <t xml:space="preserve">Ships to over 25 countries (about page); no store list</t>
  </si>
  <si>
    <t xml:space="preserve">BR5:9</t>
  </si>
  <si>
    <t xml:space="preserve">SFFS description: 'Born on the streets of New York'. Brands listed: Munch King, Blair's (Blair's Death Sauce is a hot sauce, not eligible). SFFS 2026 dates (June 28 to 30) from the Startup CPG pavilion post.</t>
  </si>
  <si>
    <t xml:space="preserve">AB-254</t>
  </si>
  <si>
    <t xml:space="preserve">NOON WORLD</t>
  </si>
  <si>
    <t xml:space="preserve">Jane</t>
  </si>
  <si>
    <t xml:space="preserve">Kate Wong</t>
  </si>
  <si>
    <t xml:space="preserve">Gated out: excluded-category: Dietary supplement with cognitive-wellness claims (sold in Target's supplement assortment).</t>
  </si>
  <si>
    <t xml:space="preserve">Launched into 878 Target doors</t>
  </si>
  <si>
    <t xml:space="preserve">https://startupcpg.com/startup-cpg-newswire-noon-world-launches-into-878-target-doors/</t>
  </si>
  <si>
    <t xml:space="preserve">SLEEP, FOCUS and CHILL cognitive-wellness supplements</t>
  </si>
  <si>
    <t xml:space="preserve">excluded-category;health-claim;no-buy-path</t>
  </si>
  <si>
    <t xml:space="preserve">excluded-category: Dietary supplement with cognitive-wellness claims (sold in Target's supplement assortment) | health-claim: Dietary supplement with cognitive-wellness claims (sold in Target's supplement assortment) | no-buy-path: no graded store within ten blocks and no online store shown (online store unknown)</t>
  </si>
  <si>
    <t xml:space="preserve">https://noon.world</t>
  </si>
  <si>
    <t xml:space="preserve">Dietary supplement with cognitive-wellness claims (sold in Target's supplement assortment)</t>
  </si>
  <si>
    <t xml:space="preserve">Jane Kate Wong</t>
  </si>
  <si>
    <t xml:space="preserve">BR4:49</t>
  </si>
  <si>
    <t xml:space="preserve">AB-053</t>
  </si>
  <si>
    <t xml:space="preserve">Nick's Sticks (Wenzel's Farm)</t>
  </si>
  <si>
    <t xml:space="preserve">Nick</t>
  </si>
  <si>
    <t xml:space="preserve">Wallace</t>
  </si>
  <si>
    <t xml:space="preserve">Launched 0.9 oz grab-and-go sticks in a 24-count retail caddy (beef, chicken, turkey)</t>
  </si>
  <si>
    <t xml:space="preserve">https://www.snackandbakery.com/articles/116494-nicks-sticks-offers-retail-ready-caddy-display</t>
  </si>
  <si>
    <t xml:space="preserve">https://www.cspdailynews.com/snacks-candy/wenzels-farm-buys-nicks-sticks</t>
  </si>
  <si>
    <t xml:space="preserve">Nick's Sticks grass-fed Beef Stick, 0.9 oz (24-count caddy)</t>
  </si>
  <si>
    <t xml:space="preserve">Marshfield</t>
  </si>
  <si>
    <t xml:space="preserve">Part of Wenzel's Farm (established meat producer); protein and calorie comparisons in release</t>
  </si>
  <si>
    <t xml:space="preserve">https://nickssticks.com</t>
  </si>
  <si>
    <t xml:space="preserve">Shelf-stable meat sticks in a grab-and-go 0.9 oz format (trade press)</t>
  </si>
  <si>
    <t xml:space="preserve">https://www.wholefoodsmarket.com/search?text=nick%27s%20sticks (no results in cluster stores, 2026-10-23)</t>
  </si>
  <si>
    <t xml:space="preserve">Nick Wallace</t>
  </si>
  <si>
    <t xml:space="preserve">brand founder, Keystone, Iowa as of 2017</t>
  </si>
  <si>
    <t xml:space="preserve">BR1:54</t>
  </si>
  <si>
    <t xml:space="preserve">Brand site responded but rendered no text without JavaScript. 0.9 oz singles fit the office format well.</t>
  </si>
  <si>
    <t xml:space="preserve">hq_city &lt;- https://www.cspdailynews.com/snacks-candy/wenzels-farm-buys-nicks-sticks (2026-10-24, opened); hq_state &lt;- https://www.cspdailynews.com/snacks-candy/wenzels-farm-buys-nicks-sticks (2026-10-24, opened); founder_name &lt;- https://www.cspdailynews.com/snacks-candy/wenzels-farm-buys-nicks-sticks (2026-10-24, opened); founder_title &lt;- https://www.cspdailynews.com/snacks-candy/wenzels-farm-buys-nicks-sticks (2026-10-24, opened); </t>
  </si>
  <si>
    <t xml:space="preserve">AB-275</t>
  </si>
  <si>
    <t xml:space="preserve">Pini (Nine Pin Ciderworks)</t>
  </si>
  <si>
    <t xml:space="preserve">Introduced Pini, a new non-alcoholic sparkling cider, at the 2026 Summer Fancy Food Show</t>
  </si>
  <si>
    <t xml:space="preserve">https://events.specialtyfood.com/event/2026-summer-fancy-food-show/exhibitor/RXhoaWJpdG9yXzI0NDk5ODI=</t>
  </si>
  <si>
    <t xml:space="preserve">Pini non-alcoholic sparkling cider from fresh-pressed New York apples</t>
  </si>
  <si>
    <t xml:space="preserve">Albany</t>
  </si>
  <si>
    <t xml:space="preserve">Made by a hard-cider producer (alcohol brand family; Pini itself is non-alcoholic). Shelf stability and pack format unconfirmed. No online store found; 60-day shelf life not stated</t>
  </si>
  <si>
    <t xml:space="preserve">https://www.pinicider.com</t>
  </si>
  <si>
    <t xml:space="preserve">Unfiltered fresh-pressed juice, 'just colder with added sparkles'; site does not say whether it is pasteurized or needs refrigeration</t>
  </si>
  <si>
    <t xml:space="preserve">unknown ('Carry Pini' wholesale page only)</t>
  </si>
  <si>
    <t xml:space="preserve">https://www.instagram.com/pinicider</t>
  </si>
  <si>
    <t xml:space="preserve">BR5:11</t>
  </si>
  <si>
    <t xml:space="preserve">SFFS listing (Nine Pin Ciderworks LLC): 'Nine Pin Ciderworks is introducing Pini, our new non-alcoholic sparkling apple cider. We are New York's First Farm Cidery.' Address on pinicider.com: 929 Broadway, Albany, NY 12207.</t>
  </si>
  <si>
    <t xml:space="preserve">AB-221</t>
  </si>
  <si>
    <t xml:space="preserve">Quincy</t>
  </si>
  <si>
    <t xml:space="preserve">Halli</t>
  </si>
  <si>
    <t xml:space="preserve">Sigel</t>
  </si>
  <si>
    <t xml:space="preserve">Gated out: excluded-category: Cocktail mixer and garnish in a multi-serve jar: needs preparation, not individually packaged, and tied to alcohol use.</t>
  </si>
  <si>
    <t xml:space="preserve">Launched in 178 The Fresh Market doors</t>
  </si>
  <si>
    <t xml:space="preserve">https://startupcpg.com/startup-cpg-newswire-quincy-launches-in-178-doors-with-the-fresh-market/</t>
  </si>
  <si>
    <t xml:space="preserve">Dirty martini brine and olive mix, jar (about 14 martinis per jar)</t>
  </si>
  <si>
    <t xml:space="preserve">excluded-category: Cocktail mixer and garnish in a multi-serve jar: needs preparation, not individually packaged, and tied to alcohol use | no-buy-path: no graded store within ten blocks and no online store shown (online store unknown)</t>
  </si>
  <si>
    <t xml:space="preserve">https://drinkquincy.com</t>
  </si>
  <si>
    <t xml:space="preserve">Jarred mixer; storage not checked</t>
  </si>
  <si>
    <t xml:space="preserve">Cocktail mixer and garnish in a multi-serve jar: needs preparation, not individually packaged, and tied to alcohol use</t>
  </si>
  <si>
    <t xml:space="preserve">The Fresh Market (178 doors, July 2026); 250+ specialty doors</t>
  </si>
  <si>
    <t xml:space="preserve">Halli Sigel</t>
  </si>
  <si>
    <t xml:space="preserve">BR4:16</t>
  </si>
  <si>
    <t xml:space="preserve">Recorded only so the gate is visible. The mix itself contains no alcohol (release), but the product is a martini mixer.</t>
  </si>
  <si>
    <t xml:space="preserve">AB-255</t>
  </si>
  <si>
    <t xml:space="preserve">Scott's Protein Balls</t>
  </si>
  <si>
    <t xml:space="preserve">Lori</t>
  </si>
  <si>
    <t xml:space="preserve">Gated out: not-shelf-stable: Refrigerated.</t>
  </si>
  <si>
    <t xml:space="preserve">Expanded from 86 to 350 Target stores in four months; exhibited at Summer Fancy Food Show 2026 (Javits)</t>
  </si>
  <si>
    <t xml:space="preserve">https://startupcpg.com/startup-cpg-newswire-scotts-protein-balls-expands-from-86-to-350-target-stores-nationwide-in-four-months/</t>
  </si>
  <si>
    <t xml:space="preserve">Plant-protein balls (oats, flax, chia)</t>
  </si>
  <si>
    <t xml:space="preserve">Plainview (Long Island)</t>
  </si>
  <si>
    <t xml:space="preserve">not-shelf-stable;no-buy-path</t>
  </si>
  <si>
    <t xml:space="preserve">not-shelf-stable: Refrigerated | no-buy-path: no graded store within ten blocks and no online store shown (online store unknown)</t>
  </si>
  <si>
    <t xml:space="preserve">http://www.scottsproteinballs.com</t>
  </si>
  <si>
    <t xml:space="preserve">Release: 'fresh, refrigerated snacks'</t>
  </si>
  <si>
    <t xml:space="preserve">Refrigerated</t>
  </si>
  <si>
    <t xml:space="preserve">Target (350 stores nationwide, July 2026)</t>
  </si>
  <si>
    <t xml:space="preserve">Lori Levine</t>
  </si>
  <si>
    <t xml:space="preserve">BR4:50</t>
  </si>
  <si>
    <t xml:space="preserve">AB-256</t>
  </si>
  <si>
    <t xml:space="preserve">Small Town Cultures</t>
  </si>
  <si>
    <t xml:space="preserve">Cori</t>
  </si>
  <si>
    <t xml:space="preserve">Deans</t>
  </si>
  <si>
    <t xml:space="preserve">Gated out: health-claim: Fresh fermented product (refrigerated) and gut-health positioning ('support gut health').</t>
  </si>
  <si>
    <t xml:space="preserve">Debuted Grab &amp; Go kimchi pouches at Summer Fancy Food Show 2026 (NYC)</t>
  </si>
  <si>
    <t xml:space="preserve">https://startupcpg.com/startup-cpg-newswire-west-indies-peppa-sauce-wips-celebrates-caribbean-heritage-month-at-the-summer-fancy-food-show-and-essence-festival-of-culture/</t>
  </si>
  <si>
    <t xml:space="preserve">Grab &amp; Go kimchi pouches (fresh, living fermented vegetables)</t>
  </si>
  <si>
    <t xml:space="preserve">Plattsburgh</t>
  </si>
  <si>
    <t xml:space="preserve">health-claim;not-shelf-stable;no-buy-path</t>
  </si>
  <si>
    <t xml:space="preserve">health-claim: Fresh fermented product (refrigerated) and gut-health positioning ('support gut health') | not-shelf-stable: Fresh fermented product (refrigerated) and gut-health positioning ('support gut health') | no-buy-path: no graded store within ten blocks and no online store shown (online store unknown)</t>
  </si>
  <si>
    <t xml:space="preserve">https://www.instagram.com/smalltowncultures/</t>
  </si>
  <si>
    <t xml:space="preserve">Release: 'fresh, living fermented vegetables'</t>
  </si>
  <si>
    <t xml:space="preserve">Fresh fermented product (refrigerated) and gut-health positioning ('support gut health')</t>
  </si>
  <si>
    <t xml:space="preserve">Cori Deans</t>
  </si>
  <si>
    <t xml:space="preserve">BR4:51</t>
  </si>
  <si>
    <t xml:space="preserve">Recorded so the gate is visible. Startup CPG post slug is mislabelled (WIPS) but the post is the Small Town Cultures release.</t>
  </si>
  <si>
    <t xml:space="preserve">AB-305</t>
  </si>
  <si>
    <t xml:space="preserve">Sourmilk</t>
  </si>
  <si>
    <t xml:space="preserve">Elan</t>
  </si>
  <si>
    <t xml:space="preserve">Gated out: not-shelf-stable: Refrigerated dairy; site also claims it 'Supports digestion &amp; immune health'.</t>
  </si>
  <si>
    <t xml:space="preserve">Finalist in Naturally New York's 2026 Naturally Rising pitch competition (May 28, 2026)</t>
  </si>
  <si>
    <t xml:space="preserve">https://www.sourmilk.com</t>
  </si>
  <si>
    <t xml:space="preserve">Sourmilk L. reuteri Greek yogurt, single serve</t>
  </si>
  <si>
    <t xml:space="preserve">not-shelf-stable: Refrigerated dairy; site also claims it 'Supports digestion &amp; immune health'</t>
  </si>
  <si>
    <t xml:space="preserve">Refrigerated Greek yogurt</t>
  </si>
  <si>
    <t xml:space="preserve">Refrigerated dairy; site also claims it 'Supports digestion &amp; immune health'</t>
  </si>
  <si>
    <t xml:space="preserve">Kiki</t>
  </si>
  <si>
    <t xml:space="preserve">https://www.instagram.com/getsourmilk/</t>
  </si>
  <si>
    <t xml:space="preserve">BR5:41</t>
  </si>
  <si>
    <t xml:space="preserve">Recorded so the refrigeration gate is visible. Homepage: 'Sourmilk is a NYC based greek yogurt designed specifically for your gut.'</t>
  </si>
  <si>
    <t xml:space="preserve">AB-258</t>
  </si>
  <si>
    <t xml:space="preserve">Wild Mannered</t>
  </si>
  <si>
    <t xml:space="preserve">Gu</t>
  </si>
  <si>
    <t xml:space="preserve">Gated out: excluded-category: Alcohol (13% ABV).</t>
  </si>
  <si>
    <t xml:space="preserve">First expansion outside New York (Total Wine &amp; More NJ)</t>
  </si>
  <si>
    <t xml:space="preserve">https://startupcpg.com/startup-cpg-newswire-wild-mannered-expands-its-ready-to-serve-cocktail-portfolio-into-new-jersey-retail-chains/</t>
  </si>
  <si>
    <t xml:space="preserve">Bottled ready-to-serve cocktails, 375 mL, 13% ABV</t>
  </si>
  <si>
    <t xml:space="preserve">excluded-category: Alcohol (13% ABV) | no-buy-path: no graded store within ten blocks and no online store shown (online store unknown)</t>
  </si>
  <si>
    <t xml:space="preserve">https://www.drinkwildmannered.com</t>
  </si>
  <si>
    <t xml:space="preserve">Alcohol (13% ABV)</t>
  </si>
  <si>
    <t xml:space="preserve">Michael Gu</t>
  </si>
  <si>
    <t xml:space="preserve">BR4:53</t>
  </si>
  <si>
    <t xml:space="preserve">AB-228</t>
  </si>
  <si>
    <t xml:space="preserve">BARIS</t>
  </si>
  <si>
    <t xml:space="preserve">Marcos</t>
  </si>
  <si>
    <t xml:space="preserve">Della Pia</t>
  </si>
  <si>
    <t xml:space="preserve">Gated out: not-shelf-stable: Frozen product (refrigerated or perishable).</t>
  </si>
  <si>
    <t xml:space="preserve">National launch in 470 Sprouts stores with an exclusive Matcha flavor</t>
  </si>
  <si>
    <t xml:space="preserve">https://startupcpg.com/startup-cpg-newswire-baris-sprouts-national-launch-with-exclusive-matcha-flavor/</t>
  </si>
  <si>
    <t xml:space="preserve">2026-03-02</t>
  </si>
  <si>
    <t xml:space="preserve">Chocolate-covered frozen Patagonian raspberries</t>
  </si>
  <si>
    <t xml:space="preserve">not-shelf-stable: Frozen product (refrigerated or perishable) | no-buy-path: no graded store within ten blocks and no online store shown (online store unknown)</t>
  </si>
  <si>
    <t xml:space="preserve">https://everybaris.com</t>
  </si>
  <si>
    <t xml:space="preserve">Release: berries are 'frozen at peak ripeness'; frozen treat</t>
  </si>
  <si>
    <t xml:space="preserve">Frozen product (refrigerated or perishable)</t>
  </si>
  <si>
    <t xml:space="preserve">Sprouts Farmers Market (470 stores, national launch Feb 2026)</t>
  </si>
  <si>
    <t xml:space="preserve">Marcos Della Pia</t>
  </si>
  <si>
    <t xml:space="preserve">BR4:23</t>
  </si>
  <si>
    <t xml:space="preserve">AB-014</t>
  </si>
  <si>
    <t xml:space="preserve">Cob</t>
  </si>
  <si>
    <t xml:space="preserve">Novak</t>
  </si>
  <si>
    <t xml:space="preserve">Djokovic</t>
  </si>
  <si>
    <t xml:space="preserve">Gated out: health-claim: Site title positions the snack 'for Energy, Digestion &amp; Performance' (structure/function wording); founder may clear if this is not on pack.</t>
  </si>
  <si>
    <t xml:space="preserve">New 'Game. Set. Snack.' tin and game bundles published on brand store</t>
  </si>
  <si>
    <t xml:space="preserve">https://cobfoods.com/products/game-set-snack-tin</t>
  </si>
  <si>
    <t xml:space="preserve">2026-08-28</t>
  </si>
  <si>
    <t xml:space="preserve">https://cobfoods.com/pages/our-story</t>
  </si>
  <si>
    <t xml:space="preserve">Cob popped sorghum snacks (Flavor Sampler; Game. Set. Snack. tin)</t>
  </si>
  <si>
    <t xml:space="preserve">New York (privacy policy mail address 1430 Broadway; contact page lists Sag Harbor NY)</t>
  </si>
  <si>
    <t xml:space="preserve">https://cobfoods.com</t>
  </si>
  <si>
    <t xml:space="preserve">Health-claim gate hinges on site copy vs pack copy; celebrity co-founder (Novak Djokovic) may mean a larger marketing budget and slower approvals</t>
  </si>
  <si>
    <t xml:space="preserve">health-claim: Site title positions the snack 'for Energy, Digestion &amp; Performance' (structure/function wording); founder may clear if this is not on pack</t>
  </si>
  <si>
    <t xml:space="preserve">Popped sorghum snacks sold ambient online and at PopUp Grocer 'Puffs + Crunch'</t>
  </si>
  <si>
    <t xml:space="preserve">Site title positions the snack 'for Energy, Digestion &amp; Performance' (structure/function wording); founder may clear if this is not on pack</t>
  </si>
  <si>
    <t xml:space="preserve">https://popupgrocer.com/pages/directory (availability 'NYC Flagship', 2026-10-23); https://popupgrocer.com/products/cob</t>
  </si>
  <si>
    <t xml:space="preserve">Novak Djokovic</t>
  </si>
  <si>
    <t xml:space="preserve">Jess</t>
  </si>
  <si>
    <t xml:space="preserve">https://instagram.com/cobfoods</t>
  </si>
  <si>
    <t xml:space="preserve">BR1:15</t>
  </si>
  <si>
    <t xml:space="preserve">Two business addresses on Shopify policy pages: Cob Inc., Sag Harbor NY (contact-information) and 1430 Broadway, New York NY 10018 (privacy policy mail address, Garment District). Homepage claims 20,000+ customers.</t>
  </si>
  <si>
    <t xml:space="preserve">AB-301</t>
  </si>
  <si>
    <t xml:space="preserve">DrinkFolks</t>
  </si>
  <si>
    <t xml:space="preserve">Tiffany</t>
  </si>
  <si>
    <t xml:space="preserve">Gated out: health-claim: Explicit structure-function claims: 'Supports Digestion &amp; Immune Health', 'Strengthens Immunity', 'Gut Reset calms bloat'.</t>
  </si>
  <si>
    <t xml:space="preserve">Added new Gut Reset and Immunity 6-pack and 2-pack listings at lower prices than the March 2026 listings</t>
  </si>
  <si>
    <t xml:space="preserve">https://www.drinkfolks.com/products.json</t>
  </si>
  <si>
    <t xml:space="preserve">DrinkFolks Gut Reset jamu root tonic, 6-pack</t>
  </si>
  <si>
    <t xml:space="preserve">New York City (Hot Bread Kitchen incubator alumna)</t>
  </si>
  <si>
    <t xml:space="preserve">https://www.drinkfolks.com</t>
  </si>
  <si>
    <t xml:space="preserve">health-claim: Explicit structure-function claims: 'Supports Digestion &amp; Immune Health', 'Strengthens Immunity', 'Gut Reset calms bloat'</t>
  </si>
  <si>
    <t xml:space="preserve">Bottled root tonics sold online in 6-packs; storage not checked</t>
  </si>
  <si>
    <t xml:space="preserve">Explicit structure-function claims: 'Supports Digestion &amp; Immune Health', 'Strengthens Immunity', 'Gut Reset calms bloat'</t>
  </si>
  <si>
    <t xml:space="preserve">https://startupcpg.com/13-female-founded-beverage-brands-you-might-not-know-but-should/</t>
  </si>
  <si>
    <t xml:space="preserve">https://instagram.com/drinkfolks</t>
  </si>
  <si>
    <t xml:space="preserve">BR5:37</t>
  </si>
  <si>
    <t xml:space="preserve">Hot Bread Kitchen Breadwinners Marketplace lists DrinkFolks. HBKi quotes 'Tiffany, DrinkFolks' (Seed program). Recorded so the health-claim gate is visible.</t>
  </si>
  <si>
    <t xml:space="preserve">AB-199</t>
  </si>
  <si>
    <t xml:space="preserve">Ghia</t>
  </si>
  <si>
    <t xml:space="preserve">Melanie</t>
  </si>
  <si>
    <t xml:space="preserve">Gated out: health-claim: FAQ: 'Ghia keeps you calm, enhances your appetite, and soothe[s]...' (structure or function wording).</t>
  </si>
  <si>
    <t xml:space="preserve">Launched Le Fizz</t>
  </si>
  <si>
    <t xml:space="preserve">https://drinkghia.com/products.json</t>
  </si>
  <si>
    <t xml:space="preserve">2026-09-03</t>
  </si>
  <si>
    <t xml:space="preserve">https://drinkghia.com/pages/faq</t>
  </si>
  <si>
    <t xml:space="preserve">https://drinkghia.com/pages/our-story</t>
  </si>
  <si>
    <t xml:space="preserve">Ghia Le Spritz non-alcoholic aperitif, can</t>
  </si>
  <si>
    <t xml:space="preserve">https://drinkghia.com</t>
  </si>
  <si>
    <t xml:space="preserve">health-claim: FAQ: 'Ghia keeps you calm, enhances your appetite, and soothe[s]...' (structure or function wording)</t>
  </si>
  <si>
    <t xml:space="preserve">No unopened storage statement read</t>
  </si>
  <si>
    <t xml:space="preserve">FAQ: 'Ghia keeps you calm, enhances your appetite, and soothe[s]...' (structure or function wording)</t>
  </si>
  <si>
    <t xml:space="preserve">https://www.instagram.com/drinkghia</t>
  </si>
  <si>
    <t xml:space="preserve">BR3:73</t>
  </si>
  <si>
    <t xml:space="preserve">Recorded so it is not re-researched.</t>
  </si>
  <si>
    <t xml:space="preserve">AB-203</t>
  </si>
  <si>
    <t xml:space="preserve">GoodMood Kombucha</t>
  </si>
  <si>
    <t xml:space="preserve">Li</t>
  </si>
  <si>
    <t xml:space="preserve">Gated out: not-shelf-stable: Refrigerated: brand says to refrigerate on arrival (living kombucha).</t>
  </si>
  <si>
    <t xml:space="preserve">Exhibited at the 2026 Summer Fancy Food Show (booth 4309A); added to Pop Up Grocer NYC Flagship (2026-09-29)</t>
  </si>
  <si>
    <t xml:space="preserve">https://popupgrocer.com/products/goodmood-kombucha-llc</t>
  </si>
  <si>
    <t xml:space="preserve">https://goodmoodkombucha.com/pages/about-us</t>
  </si>
  <si>
    <t xml:space="preserve">GoodMood Kombucha Berry Pomegranate, can</t>
  </si>
  <si>
    <t xml:space="preserve">https://goodmoodkombucha.com</t>
  </si>
  <si>
    <t xml:space="preserve">not-shelf-stable: Refrigerated: brand says to refrigerate on arrival (living kombucha)</t>
  </si>
  <si>
    <t xml:space="preserve">FAQ: 'As soon as it arrives, refrigerate it. Kombucha is a living product...' (goodmoodkombucha.com/pages/faq, opened 2026-10-23)</t>
  </si>
  <si>
    <t xml:space="preserve">Refrigerated: brand says to refrigerate on arrival (living kombucha)</t>
  </si>
  <si>
    <t xml:space="preserve">Pop Up Grocer NYC Flagship (directory); Summer Fancy Food Show 2026 exhibitor</t>
  </si>
  <si>
    <t xml:space="preserve">Chris Li</t>
  </si>
  <si>
    <t xml:space="preserve">BR3:77</t>
  </si>
  <si>
    <t xml:space="preserve">About: founded in New York City in 2023; FAQ: brewed and canned in Brooklyn. Fancy Food exhibitor list read via WebFetch (events.specialtyfood.com). Recorded because it is an NYC brand, but fails the refrigeration gate.</t>
  </si>
  <si>
    <t xml:space="preserve">AB-142</t>
  </si>
  <si>
    <t xml:space="preserve">Grady's Cold Brew</t>
  </si>
  <si>
    <t xml:space="preserve">Grady</t>
  </si>
  <si>
    <t xml:space="preserve">Gated out: excluded-category: Refrigerated concentrate that needs preparation (dilution); not individually packaged.</t>
  </si>
  <si>
    <t xml:space="preserve">New 32 oz Cocoa Mocha concentrate listed on store</t>
  </si>
  <si>
    <t xml:space="preserve">https://www.gradyscoldbrew.com/products.json</t>
  </si>
  <si>
    <t xml:space="preserve">https://www.gradyscoldbrew.com/pages/about-grady-s</t>
  </si>
  <si>
    <t xml:space="preserve">Grady's 32 oz Cold Brew Concentrate</t>
  </si>
  <si>
    <t xml:space="preserve">https://www.gradyscoldbrew.com</t>
  </si>
  <si>
    <t xml:space="preserve">excluded-category;not-shelf-stable</t>
  </si>
  <si>
    <t xml:space="preserve">excluded-category: Refrigerated concentrate that needs preparation (dilution); not individually packaged | not-shelf-stable: Refrigerated concentrate that needs preparation (dilution); not individually packaged</t>
  </si>
  <si>
    <t xml:space="preserve">Product copy: 'Must be refrigerated before and after opening' (gradyscoldbrew.com/products.json, read 2026-10-23)</t>
  </si>
  <si>
    <t xml:space="preserve">Refrigerated concentrate that needs preparation (dilution); not individually packaged</t>
  </si>
  <si>
    <t xml:space="preserve">unknown (Storemapper locator not queried)</t>
  </si>
  <si>
    <t xml:space="preserve">https://www.instagram.com/gradyscoldbrew</t>
  </si>
  <si>
    <t xml:space="preserve">BR3:16</t>
  </si>
  <si>
    <t xml:space="preserve">About page: started in a Brooklyn kitchen; product copy 'Made in New York City'. Recorded so it is not re-researched.</t>
  </si>
  <si>
    <t xml:space="preserve">AB-227</t>
  </si>
  <si>
    <t xml:space="preserve">Hazy Fudge</t>
  </si>
  <si>
    <t xml:space="preserve">Fitzgerald</t>
  </si>
  <si>
    <t xml:space="preserve">Gated out: excluded-category: Alcohol: homepage describes the fudge as 'Alcohol Infused' (bourbon and Cabernet Sauvignon).</t>
  </si>
  <si>
    <t xml:space="preserve">Named 2026 sofi Gold Award finalist in Chocolate &amp; Confections</t>
  </si>
  <si>
    <t xml:space="preserve">https://startupcpg.com/startup-cpg-newswire-hazy-fudge-named-2026-sofi-gold-finalist-in-chocolate-confections/</t>
  </si>
  <si>
    <t xml:space="preserve">2025-12-19</t>
  </si>
  <si>
    <t xml:space="preserve">https://hazyfudge.com/</t>
  </si>
  <si>
    <t xml:space="preserve">Cabernet Infused spoonable fudge (2-packs online)</t>
  </si>
  <si>
    <t xml:space="preserve">Dundee</t>
  </si>
  <si>
    <t xml:space="preserve">https://hazyfudge.com</t>
  </si>
  <si>
    <t xml:space="preserve">excluded-category: Alcohol: homepage describes the fudge as 'Alcohol Infused' (bourbon and Cabernet Sauvignon)</t>
  </si>
  <si>
    <t xml:space="preserve">unknown (2024 Amber Grant winner per homepage)</t>
  </si>
  <si>
    <t xml:space="preserve">Made with New York dairy; storage not stated on homepage</t>
  </si>
  <si>
    <t xml:space="preserve">No sales figure published. Commercial sales since June 2024, 25+ NY retail locations (store count not used for band)</t>
  </si>
  <si>
    <t xml:space="preserve">Alcohol: homepage describes the fudge as 'Alcohol Infused' (bourbon and Cabernet Sauvignon)</t>
  </si>
  <si>
    <t xml:space="preserve">25+ New York retail locations incl. Official Taste NY stores</t>
  </si>
  <si>
    <t xml:space="preserve">Carol Fitzgerald</t>
  </si>
  <si>
    <t xml:space="preserve">BR4:22</t>
  </si>
  <si>
    <t xml:space="preserve">Recorded so the gate is visible. Finger Lakes (NY State) brand; Cornell Dairy Runway alumna per release.</t>
  </si>
  <si>
    <t xml:space="preserve">AB-103</t>
  </si>
  <si>
    <t xml:space="preserve">IQBAR</t>
  </si>
  <si>
    <t xml:space="preserve">Gated out: health-claim: Function claims: FAQ says bars 'fuel the brain and body' with '5 functional nutrients'; brand also sells hydration drink sticks.</t>
  </si>
  <si>
    <t xml:space="preserve">Launched IQBAR Bites (10-count) in three flavors, Oct 2026</t>
  </si>
  <si>
    <t xml:space="preserve">https://www.eatiqbar.com/</t>
  </si>
  <si>
    <t xml:space="preserve">https://www.eatiqbar.com/pages/faq</t>
  </si>
  <si>
    <t xml:space="preserve">Salted Caramel Chip plant protein bar; IQBAR Bites</t>
  </si>
  <si>
    <t xml:space="preserve">https://www.eatiqbar.com</t>
  </si>
  <si>
    <t xml:space="preserve">Confirm whether claims are on pack (structure/function) before final exclusion; 60-day shelf life not stated</t>
  </si>
  <si>
    <t xml:space="preserve">health-claim: Function claims: FAQ says bars 'fuel the brain and body' with '5 functional nutrients'; brand also sells hydration drink sticks</t>
  </si>
  <si>
    <t xml:space="preserve">Wrapped bars shipped nationally; shelf-life figure not found</t>
  </si>
  <si>
    <t xml:space="preserve">Function claims: FAQ says bars 'fuel the brain and body' with '5 functional nutrients'; brand also sells hydration drink sticks</t>
  </si>
  <si>
    <t xml:space="preserve">Local stores and online retailers (brand store locator)</t>
  </si>
  <si>
    <t xml:space="preserve">https://www.wholefoodsmarket.com/api/search?text=iqbar&amp;store=10162&amp;limit=60&amp;offset=0</t>
  </si>
  <si>
    <t xml:space="preserve">https://www.instagram.com/iqbar/</t>
  </si>
  <si>
    <t xml:space="preserve">BR2:41</t>
  </si>
  <si>
    <t xml:space="preserve">Not in WFM cluster catalogs. Why-now date from Shopify publish date.</t>
  </si>
  <si>
    <t xml:space="preserve">AB-230</t>
  </si>
  <si>
    <t xml:space="preserve">KEANU</t>
  </si>
  <si>
    <t xml:space="preserve">Founder, KEANU / Nothing Special</t>
  </si>
  <si>
    <t xml:space="preserve">Gated out: excluded-category: Needs preparation (powder to whisk with water); kava is a functional/relaxant product with supplement-like positioning.</t>
  </si>
  <si>
    <t xml:space="preserve">Launched inaugural product (Founder's Kits)</t>
  </si>
  <si>
    <t xml:space="preserve">https://startupcpg.com/startup-cpg-newswire-keanu-launches-their-inaugural-product-after-5-years-of-work-on-kava/</t>
  </si>
  <si>
    <t xml:space="preserve">Instant noble kava, 10 g stick packs (Founder's Kit)</t>
  </si>
  <si>
    <t xml:space="preserve">https://drinkkeanu.com</t>
  </si>
  <si>
    <t xml:space="preserve">excluded-category;health-claim</t>
  </si>
  <si>
    <t xml:space="preserve">excluded-category: Needs preparation (powder to whisk with water); kava is a functional/relaxant product with supplement-like positioning | health-claim: Needs preparation (powder to whisk with water); kava is a functional/relaxant product with supplement-like positioning</t>
  </si>
  <si>
    <t xml:space="preserve">Instant powder stick packs</t>
  </si>
  <si>
    <t xml:space="preserve">under-500k</t>
  </si>
  <si>
    <t xml:space="preserve">Startup CPG 2025-11-14: launched DTC with only 100 Founder's Kits at $79.99 (sales-volume quote)</t>
  </si>
  <si>
    <t xml:space="preserve">Needs preparation (powder to whisk with water); kava is a functional/relaxant product with supplement-like positioning</t>
  </si>
  <si>
    <t xml:space="preserve">DTC only (release)</t>
  </si>
  <si>
    <t xml:space="preserve">Alex Russell</t>
  </si>
  <si>
    <t xml:space="preserve">BR4:25</t>
  </si>
  <si>
    <t xml:space="preserve">AB-206</t>
  </si>
  <si>
    <t xml:space="preserve">Lantern Beverages</t>
  </si>
  <si>
    <t xml:space="preserve">https://popupgrocer.com/products/lantern</t>
  </si>
  <si>
    <t xml:space="preserve">Lantern matcha soda (packaged matcha drinks in multiple flavors)</t>
  </si>
  <si>
    <t xml:space="preserve">Almost nothing readable on the brand site (founder, HQ, format, online store unknown); Pop Up Grocer tags it 'Functional', so check the label for claims; contains caffeine (matcha); 60-day shelf life not stated</t>
  </si>
  <si>
    <t xml:space="preserve">https://www.lanternbeverages.com</t>
  </si>
  <si>
    <t xml:space="preserve">Brand site is script-rendered; no statement readable</t>
  </si>
  <si>
    <t xml:space="preserve">BR3:80</t>
  </si>
  <si>
    <t xml:space="preserve">Brand site title: 'Lantern Beverages | Matcha Soda Brand' (WebFetch 2026-10-23). Thin record; founder to complete.</t>
  </si>
  <si>
    <t xml:space="preserve">AB-017</t>
  </si>
  <si>
    <t xml:space="preserve">MASA Chips</t>
  </si>
  <si>
    <t xml:space="preserve">Gated out: health-claim: Brand About page says tallow fats 'have functions for nervous system health, anti-inflammation and anti-bacterial immune function' (structure/func.</t>
  </si>
  <si>
    <t xml:space="preserve">Launched Vandy Crisps potato chip line (four flavors) on brand store; Vandy Crisps also in WFM NYC stores</t>
  </si>
  <si>
    <t xml:space="preserve">https://www.masachips.com/products/vandy-crisps-original</t>
  </si>
  <si>
    <t xml:space="preserve">2026-07-31</t>
  </si>
  <si>
    <t xml:space="preserve">https://www.masachips.com/pages/about</t>
  </si>
  <si>
    <t xml:space="preserve">MASA Yellow Corn Tortilla Chips cooked in beef tallow, 5 oz; Vandy Crisps potato chips 5 oz</t>
  </si>
  <si>
    <t xml:space="preserve">https://www.masachips.com</t>
  </si>
  <si>
    <t xml:space="preserve">Health wording is on the About page, not confirmed on pack; founder may clear after checking the bag</t>
  </si>
  <si>
    <t xml:space="preserve">health-claim: Brand About page says tallow fats 'have functions for nervous system health, anti-inflammation and anti-bacterial immune function' (structure/function health wording)</t>
  </si>
  <si>
    <t xml:space="preserve">Bagged chips sold ambient</t>
  </si>
  <si>
    <t xml:space="preserve">Brand About page says tallow fats 'have functions for nervous system health, anti-inflammation and anti-bacterial immune function' (structure/function health wording)</t>
  </si>
  <si>
    <t xml:space="preserve">https://www.wholefoodsmarket.com/search?text=masa%20chips (store context Union Square, NoMad, Chelsea; MASA and Vandy Crisps IN_STOCK 2026-10-23)</t>
  </si>
  <si>
    <t xml:space="preserve">https://instagram.com/masa_chips</t>
  </si>
  <si>
    <t xml:space="preserve">BR1:18</t>
  </si>
  <si>
    <t xml:space="preserve">WFM lists brand as 'Ancient Crunch'. Strong NYC shelf presence; excluded only on the site health wording.</t>
  </si>
  <si>
    <t xml:space="preserve">AB-229</t>
  </si>
  <si>
    <t xml:space="preserve">Pitara Co.</t>
  </si>
  <si>
    <t xml:space="preserve">Aditi</t>
  </si>
  <si>
    <t xml:space="preserve">Luthra</t>
  </si>
  <si>
    <t xml:space="preserve">Gated out: excluded-category: Needs preparation (coffee blends to brew, not ready-to-drink).</t>
  </si>
  <si>
    <t xml:space="preserve">Launched with four signature coffee blends</t>
  </si>
  <si>
    <t xml:space="preserve">https://startupcpg.com/startup-cpg-newswire-pitara-co-launches/</t>
  </si>
  <si>
    <t xml:space="preserve">2025-11-06</t>
  </si>
  <si>
    <t xml:space="preserve">South Indian filter-style coffee blend (ground or whole coffee)</t>
  </si>
  <si>
    <t xml:space="preserve">https://pitaraco.com</t>
  </si>
  <si>
    <t xml:space="preserve">excluded-category: Needs preparation (coffee blends to brew, not ready-to-drink)</t>
  </si>
  <si>
    <t xml:space="preserve">Packaged coffee</t>
  </si>
  <si>
    <t xml:space="preserve">No sales figure published. Launched online Nov 2025 (Startup CPG 2025-11-06)</t>
  </si>
  <si>
    <t xml:space="preserve">Needs preparation (coffee blends to brew, not ready-to-drink)</t>
  </si>
  <si>
    <t xml:space="preserve">pitaraco.com (DTC)</t>
  </si>
  <si>
    <t xml:space="preserve">Aditi Luthra</t>
  </si>
  <si>
    <t xml:space="preserve">BR4:24</t>
  </si>
  <si>
    <t xml:space="preserve">Recorded so the gate is visible; a future RTD line would change the call.</t>
  </si>
  <si>
    <t xml:space="preserve">AB-259</t>
  </si>
  <si>
    <t xml:space="preserve">SAYSO</t>
  </si>
  <si>
    <t xml:space="preserve">Alison</t>
  </si>
  <si>
    <t xml:space="preserve">Evans</t>
  </si>
  <si>
    <t xml:space="preserve">Gated out: excluded-category: Needs preparation (drink-mix stick packs); cocktail-mixer positioning.</t>
  </si>
  <si>
    <t xml:space="preserve">Launched stick pack line after viral sell-out</t>
  </si>
  <si>
    <t xml:space="preserve">https://startupcpg.com/startup-cpg-newswire-sayso-expands-with-launch-of-new-stick-pack-line-after-viral-sell-out/</t>
  </si>
  <si>
    <t xml:space="preserve">Cocktail/mocktail mix stick packs and tea-bag format</t>
  </si>
  <si>
    <t xml:space="preserve">Brooklyn (release datelined Brooklyn, NY)</t>
  </si>
  <si>
    <t xml:space="preserve">excluded-category: Needs preparation (drink-mix stick packs); cocktail-mixer positioning | no-buy-path: no graded store within ten blocks and no online store shown (online store unknown)</t>
  </si>
  <si>
    <t xml:space="preserve">https://drinksayso.com</t>
  </si>
  <si>
    <t xml:space="preserve">Needs preparation (drink-mix stick packs); cocktail-mixer positioning</t>
  </si>
  <si>
    <t xml:space="preserve">Alison Evans</t>
  </si>
  <si>
    <t xml:space="preserve">BR4:54</t>
  </si>
  <si>
    <t xml:space="preserve">AB-262</t>
  </si>
  <si>
    <t xml:space="preserve">Unrefined Foods</t>
  </si>
  <si>
    <t xml:space="preserve">Bermudez</t>
  </si>
  <si>
    <t xml:space="preserve">Gated out: not-shelf-stable: Frozen product.</t>
  </si>
  <si>
    <t xml:space="preserve">Reached 15,000-muffin production milestone; raising an angel round</t>
  </si>
  <si>
    <t xml:space="preserve">https://startupcpg.com/startup-cpg-newswire-unrefined-foods-reaches-production-milestone-announces-fundraising-round/</t>
  </si>
  <si>
    <t xml:space="preserve">Whole-wheat fruit and vegetable muffins (frozen)</t>
  </si>
  <si>
    <t xml:space="preserve">Amesbury</t>
  </si>
  <si>
    <t xml:space="preserve">not-shelf-stable: Frozen product | no-buy-path: no graded store within ten blocks and no online store shown (online store unknown)</t>
  </si>
  <si>
    <t xml:space="preserve">http://www.unrefinedfoods.com</t>
  </si>
  <si>
    <t xml:space="preserve">Release: 'farm-to-freezer system... the frozen aisle'</t>
  </si>
  <si>
    <t xml:space="preserve">Startup CPG 2025-11-14: six retail locations, 'moving 50 cases monthly' (sales-volume quote)</t>
  </si>
  <si>
    <t xml:space="preserve">Frozen product</t>
  </si>
  <si>
    <t xml:space="preserve">Melissa Bermudez</t>
  </si>
  <si>
    <t xml:space="preserve">BR4:57</t>
  </si>
  <si>
    <t xml:space="preserve">AB-299</t>
  </si>
  <si>
    <t xml:space="preserve">MALAPOP (Taste Department)</t>
  </si>
  <si>
    <t xml:space="preserve">Gated out: health-claim: Explicit health claims in the website's ingredient panel: 'lowers blood pressure', 'boosts metabolism, fires up digestion', 'anti-inflammatory, be.</t>
  </si>
  <si>
    <t xml:space="preserve">Launched MALAPOP 3, 5 and 10 packs online and showed it as a new product at SFFS 2026</t>
  </si>
  <si>
    <t xml:space="preserve">https://malapop.food/products.json</t>
  </si>
  <si>
    <t xml:space="preserve">https://events.specialtyfood.com/event/2026-summer-fancy-food-show/exhibitor/RXhoaWJpdG9yXzI0Njk4NjE=</t>
  </si>
  <si>
    <t xml:space="preserve">MALAPOP Sichuan flavored popcorn, 3-pack</t>
  </si>
  <si>
    <t xml:space="preserve">https://tastedepartment.food</t>
  </si>
  <si>
    <t xml:space="preserve">Claims were seen on the website, not the pack; if the bag carries none, the founder may reconsider</t>
  </si>
  <si>
    <t xml:space="preserve">health-claim: Explicit health claims in the website's ingredient panel: 'lowers blood pressure', 'boosts metabolism, fires up digestion', 'anti-inflammatory, benefits digestion'</t>
  </si>
  <si>
    <t xml:space="preserve">https://malapop.food</t>
  </si>
  <si>
    <t xml:space="preserve">Bagged popcorn sold ambient online</t>
  </si>
  <si>
    <t xml:space="preserve">Explicit health claims in the website's ingredient panel: 'lowers blood pressure', 'boosts metabolism, fires up digestion', 'anti-inflammatory, benefits digestion'</t>
  </si>
  <si>
    <t xml:space="preserve">Stockists page is empty</t>
  </si>
  <si>
    <t xml:space="preserve">https://www.instagram.com/tastedeptsnacks</t>
  </si>
  <si>
    <t xml:space="preserve">BR5:35</t>
  </si>
  <si>
    <t xml:space="preserve">SFFS 2026 (Taste Department, LLC; State: New York): 'the company behind MALAPOP - Sichuan Flavored Popcorn. Produced in Brooklyn'. malapop.food redirects to tastedepartment.food.</t>
  </si>
  <si>
    <t xml:space="preserve">AB-138</t>
  </si>
  <si>
    <t xml:space="preserve">Asarasi</t>
  </si>
  <si>
    <t xml:space="preserve">Gated out: health-claim: Explicit health claims: probiotics 'promote digestive wellness, enhance immune support, and foster a healthy gut microbiome'; homepage 'Gut Health.</t>
  </si>
  <si>
    <t xml:space="preserve">https://asarasi.com/products.json</t>
  </si>
  <si>
    <t xml:space="preserve">Asarasi Probiotic Seltzer (sparkling tree water), can</t>
  </si>
  <si>
    <t xml:space="preserve">https://asarasi.com</t>
  </si>
  <si>
    <t xml:space="preserve">health-claim: Explicit health claims: probiotics 'promote digestive wellness, enhance immune support, and foster a healthy gut microbiome'; homepage 'Gut Healthy'</t>
  </si>
  <si>
    <t xml:space="preserve">No statement found</t>
  </si>
  <si>
    <t xml:space="preserve">Explicit health claims: probiotics 'promote digestive wellness, enhance immune support, and foster a healthy gut microbiome'; homepage 'Gut Healthy'</t>
  </si>
  <si>
    <t xml:space="preserve">https://www.instagram.com/asarasi</t>
  </si>
  <si>
    <t xml:space="preserve">BR3:12</t>
  </si>
  <si>
    <t xml:space="preserve">NY state (Adirondack maple tree water) origin is from memory only, so hq_city left unknown. Plain 'Shop Bottles' line may lack probiotics; brand-level claims still exclude it.</t>
  </si>
  <si>
    <t xml:space="preserve">AB-065</t>
  </si>
  <si>
    <t xml:space="preserve">Belgian Boys</t>
  </si>
  <si>
    <t xml:space="preserve">Gated out: not-shelf-stable: Refrigerated products (brand where-to-buy page: refrigerated aisle).</t>
  </si>
  <si>
    <t xml:space="preserve">Debuted Bite-Sized Waffles at Expo West, Costco launch April 2026 (NOSH press release seen in search results; page blocked, unverified, founder to confirm)</t>
  </si>
  <si>
    <t xml:space="preserve">https://www.nosh.com/pr/2026/02/25/belgian-boys-to-debut-new-bitesized-waffles-at-expo-west</t>
  </si>
  <si>
    <t xml:space="preserve">https://www.belgianboys.com/pages/where-to-buy</t>
  </si>
  <si>
    <t xml:space="preserve">https://www.belgianboys.com/pages/our-story</t>
  </si>
  <si>
    <t xml:space="preserve">Bite-Sized Waffles (also pancakes, crepes)</t>
  </si>
  <si>
    <t xml:space="preserve">New York (founders live in NYC per brand Our Story; HQ address not stated)</t>
  </si>
  <si>
    <t xml:space="preserve">https://www.belgianboys.com</t>
  </si>
  <si>
    <t xml:space="preserve">scale signal in the why-now ('Costco'): likely above the $10M band; ask at intake</t>
  </si>
  <si>
    <t xml:space="preserve">not-shelf-stable: Refrigerated products (brand where-to-buy page: refrigerated aisle)</t>
  </si>
  <si>
    <t xml:space="preserve">Brand where-to-buy page says to find products 'in the nearest refrigerated aisle'</t>
  </si>
  <si>
    <t xml:space="preserve">Brand Our Story says 'found in over 12,000 stores' (store count, not used for band)</t>
  </si>
  <si>
    <t xml:space="preserve">Refrigerated products (brand where-to-buy page: refrigerated aisle)</t>
  </si>
  <si>
    <t xml:space="preserve">Costco; Target; Publix; Kroger; Walmart</t>
  </si>
  <si>
    <t xml:space="preserve">Anouck</t>
  </si>
  <si>
    <t xml:space="preserve">surname Gotlib per DeliMarket News search result, unverified, founder to confirm</t>
  </si>
  <si>
    <t xml:space="preserve">https://www.instagram.com/belgianboys/</t>
  </si>
  <si>
    <t xml:space="preserve">BR2:2</t>
  </si>
  <si>
    <t xml:space="preserve">Breakfast items, not a sweet-snack fit; recorded only so the gate is visible. Pages opened 2026-10-23.</t>
  </si>
  <si>
    <t xml:space="preserve">AB-132</t>
  </si>
  <si>
    <t xml:space="preserve">Brooklyn Crafted</t>
  </si>
  <si>
    <t xml:space="preserve">Terry</t>
  </si>
  <si>
    <t xml:space="preserve">Tang</t>
  </si>
  <si>
    <t xml:space="preserve">https://www.drinkbrooklyncrafted.com</t>
  </si>
  <si>
    <t xml:space="preserve">https://ediblebrooklyn.com/?p=78713</t>
  </si>
  <si>
    <t xml:space="preserve">Brooklyn Crafted Ginger Beer (Traditional, Extra Spicy, Sugar Free), glass bottle</t>
  </si>
  <si>
    <t xml:space="preserve">No online store and no named retailer near the cluster found (may fail buy-path gate); same parent as Moshi and Bruce Cost: contact once, Moshi is the stronger lead; 60-day shelf life not stated</t>
  </si>
  <si>
    <t xml:space="preserve">supermarkets and delis (Edible Brooklyn 2019, no names)</t>
  </si>
  <si>
    <t xml:space="preserve">http://instagram.com/bklynfnb</t>
  </si>
  <si>
    <t xml:space="preserve">BR3:6</t>
  </si>
  <si>
    <t xml:space="preserve">Site: 'Bottled and brewed in Brooklyn, NY', non-alcoholic, OU kosher. Edible Brooklyn (2019-08-14) describes in-house Brooklyn bottling line and owner Terry Tang. Owner title is from 2019; current role unverified.</t>
  </si>
  <si>
    <t xml:space="preserve">person 'horin yip' shared with AB-130, AB-131; person 'terry tang' shared with AB-131</t>
  </si>
  <si>
    <t xml:space="preserve">AB-149</t>
  </si>
  <si>
    <t xml:space="preserve">Curious Elixirs</t>
  </si>
  <si>
    <t xml:space="preserve">Gated out: health-claim: Adaptogen drinks with structure or function claims ('support your immune system', 'boost mood, promote relaxation'; elderberry 'for immunity').</t>
  </si>
  <si>
    <t xml:space="preserve">https://curiouselixirs.com/pages/faq-1</t>
  </si>
  <si>
    <t xml:space="preserve">Curious Elixir No. 1 booze-free cocktail, bottle</t>
  </si>
  <si>
    <t xml:space="preserve">https://curiouselixirs.com</t>
  </si>
  <si>
    <t xml:space="preserve">health-claim: Adaptogen drinks with structure or function claims ('support your immune system', 'boost mood, promote relaxation'; elderberry 'for immunity')</t>
  </si>
  <si>
    <t xml:space="preserve">No statement read</t>
  </si>
  <si>
    <t xml:space="preserve">Adaptogen drinks with structure or function claims ('support your immune system', 'boost mood, promote relaxation'; elderberry 'for immunity')</t>
  </si>
  <si>
    <t xml:space="preserve">https://www.instagram.com/curiouselixirs</t>
  </si>
  <si>
    <t xml:space="preserve">BR3:23</t>
  </si>
  <si>
    <t xml:space="preserve">Checked as a possible NY brand; HQ not confirmed on pages read.</t>
  </si>
  <si>
    <t xml:space="preserve">AB-263</t>
  </si>
  <si>
    <t xml:space="preserve">Ginjan Bros</t>
  </si>
  <si>
    <t xml:space="preserve">Gated out: not-shelf-stable: Refrigerated cold-pressed juice; 'health juices/elixirs' positioning.</t>
  </si>
  <si>
    <t xml:space="preserve">https://ginjanbros.com/</t>
  </si>
  <si>
    <t xml:space="preserve">Ginger cold-pressed juice (Half &amp; Half 12-pack)</t>
  </si>
  <si>
    <t xml:space="preserve">New York (homepage: 'Made in New York'; cafes in Harlem and Brooklyn)</t>
  </si>
  <si>
    <t xml:space="preserve">https://ginjanbros.com</t>
  </si>
  <si>
    <t xml:space="preserve">not-shelf-stable: Refrigerated cold-pressed juice; 'health juices/elixirs' positioning</t>
  </si>
  <si>
    <t xml:space="preserve">Homepage: 'African-inspired cold-pressed and organic health juices' (cold-pressed juice is refrigerated)</t>
  </si>
  <si>
    <t xml:space="preserve">Refrigerated cold-pressed juice; 'health juices/elixirs' positioning</t>
  </si>
  <si>
    <t xml:space="preserve">Ginjan Cafe (Harlem, Brooklyn); where-to-buy page</t>
  </si>
  <si>
    <t xml:space="preserve">BR4:58</t>
  </si>
  <si>
    <t xml:space="preserve">Recorded so the gate is visible. Homepage quotes Howard Schultz saying his foundation is an investor.</t>
  </si>
  <si>
    <t xml:space="preserve">AB-122</t>
  </si>
  <si>
    <t xml:space="preserve">Hail Merry</t>
  </si>
  <si>
    <t xml:space="preserve">Susan</t>
  </si>
  <si>
    <t xml:space="preserve">O'Brien</t>
  </si>
  <si>
    <t xml:space="preserve">Gated out: not-shelf-stable: Refrigerated product (brand FAQ).</t>
  </si>
  <si>
    <t xml:space="preserve">https://hailmerry.com/pages/faqs</t>
  </si>
  <si>
    <t xml:space="preserve">https://hailmerry.com/pages/our-story</t>
  </si>
  <si>
    <t xml:space="preserve">Cookies N Creme Cups 1.5 oz</t>
  </si>
  <si>
    <t xml:space="preserve">https://hailmerry.com</t>
  </si>
  <si>
    <t xml:space="preserve">not-shelf-stable: Refrigerated product (brand FAQ)</t>
  </si>
  <si>
    <t xml:space="preserve">Brand FAQ: 'all of our products must be kept refrigerated until ready to eat'</t>
  </si>
  <si>
    <t xml:space="preserve">Refrigerated product (brand FAQ)</t>
  </si>
  <si>
    <t xml:space="preserve">Store locator ('Find Us in a Refrigerator Near You')</t>
  </si>
  <si>
    <t xml:space="preserve">https://www.wholefoodsmarket.com/api/search?text=hail%20merry&amp;store=10162&amp;limit=60&amp;offset=0</t>
  </si>
  <si>
    <t xml:space="preserve">Susan O'Brien</t>
  </si>
  <si>
    <t xml:space="preserve">https://www.instagram.com/hailmerrysnacks/</t>
  </si>
  <si>
    <t xml:space="preserve">BR2:60</t>
  </si>
  <si>
    <t xml:space="preserve">Recorded so the refrigeration gate is visible.</t>
  </si>
  <si>
    <t xml:space="preserve">AB-121</t>
  </si>
  <si>
    <t xml:space="preserve">Honey Mama's</t>
  </si>
  <si>
    <t xml:space="preserve">Christy</t>
  </si>
  <si>
    <t xml:space="preserve">Goldsby</t>
  </si>
  <si>
    <t xml:space="preserve">https://honeymamas.com/pages/faqs</t>
  </si>
  <si>
    <t xml:space="preserve">https://honeymamas.com/</t>
  </si>
  <si>
    <t xml:space="preserve">Peanut Butter Brownie Crunch Bar 1.25 oz</t>
  </si>
  <si>
    <t xml:space="preserve">Portland</t>
  </si>
  <si>
    <t xml:space="preserve">https://honeymamas.com</t>
  </si>
  <si>
    <t xml:space="preserve">OR</t>
  </si>
  <si>
    <t xml:space="preserve">Brand FAQ: 'maker of delicious refrigerated raw honey-sweetened truffle bars'; find-us page: 'in the fridge'</t>
  </si>
  <si>
    <t xml:space="preserve">All Whole Foods Market locations (brand home page)</t>
  </si>
  <si>
    <t xml:space="preserve">https://www.wholefoodsmarket.com/api/search?text=honey%20mamas&amp;store=10162&amp;limit=60&amp;offset=0</t>
  </si>
  <si>
    <t xml:space="preserve">Christy Goldsby</t>
  </si>
  <si>
    <t xml:space="preserve">https://www.instagram.com/honeymamas/</t>
  </si>
  <si>
    <t xml:space="preserve">BR2:59</t>
  </si>
  <si>
    <t xml:space="preserve">Recorded so the refrigeration gate is visible; WFM cluster catalogs list it but it is refrigerated.</t>
  </si>
  <si>
    <t xml:space="preserve">AB-201</t>
  </si>
  <si>
    <t xml:space="preserve">JAS</t>
  </si>
  <si>
    <t xml:space="preserve">Gated out: excluded-category: Functional ingredients: 225 mg KSM-66 ashwagandha (Paloma Libre) and lion's mane (Carajillo Tejas); adaptogens are treated as supplement-styl.</t>
  </si>
  <si>
    <t xml:space="preserve">https://drinkjas.com/pages/mission</t>
  </si>
  <si>
    <t xml:space="preserve">JAS non-alcoholic canned cocktail (Paloma Libre, Mojito Fresco)</t>
  </si>
  <si>
    <t xml:space="preserve">https://drinkjas.com</t>
  </si>
  <si>
    <t xml:space="preserve">Exclusion is ingredient-based, not a claim seen; a non-functional SKU might pass. Texas brand</t>
  </si>
  <si>
    <t xml:space="preserve">excluded-category: Functional ingredients: 225 mg KSM-66 ashwagandha (Paloma Libre) and lion's mane (Carajillo Tejas); adaptogens are treated as supplement-style functional drinks | health-claim: Functional ingredients: 225 mg KSM-66 ashwagandha (Paloma Libre) and lion's mane (Carajillo Tejas); adaptogens are treated as supplement-style functional drinks</t>
  </si>
  <si>
    <t xml:space="preserve">FAQ: 'Our cans are shelf-stable for 24 months' (drinkjas.com/pages/faq, opened 2026-10-23)</t>
  </si>
  <si>
    <t xml:space="preserve">Functional ingredients: 225 mg KSM-66 ashwagandha (Paloma Libre) and lion's mane (Carajillo Tejas); adaptogens are treated as supplement-style functional drinks</t>
  </si>
  <si>
    <t xml:space="preserve">https://instagram.com/drinkjas</t>
  </si>
  <si>
    <t xml:space="preserve">BR3:75</t>
  </si>
  <si>
    <t xml:space="preserve">Mission page: 'Latina-founded. Boldly made in Texas.' (basis for hq_state TX).</t>
  </si>
  <si>
    <t xml:space="preserve">AB-232</t>
  </si>
  <si>
    <t xml:space="preserve">Journée</t>
  </si>
  <si>
    <t xml:space="preserve">Khoury</t>
  </si>
  <si>
    <t xml:space="preserve">Gated out: health-claim: Explicit health/function positioning: 'Cognitive Wellness', 'caring for your brain' (release); functional mushroom energy drink.</t>
  </si>
  <si>
    <t xml:space="preserve">https://startupcpg.com/startup-cpg-newswire-journee-launches-mushroom-based-drink-for-juicy-energy-cognitive-wellness/</t>
  </si>
  <si>
    <t xml:space="preserve">Mushroom-based functional energy drink, 12 oz slim can (Soleil Citrus)</t>
  </si>
  <si>
    <t xml:space="preserve">http://drinkjournee.com</t>
  </si>
  <si>
    <t xml:space="preserve">health-claim: Explicit health/function positioning: 'Cognitive Wellness', 'caring for your brain' (release); functional mushroom energy drink</t>
  </si>
  <si>
    <t xml:space="preserve">Canned; storage not stated</t>
  </si>
  <si>
    <t xml:space="preserve">No sales figure published. Launched July 2025, DTC only (Startup CPG 2025-08-01)</t>
  </si>
  <si>
    <t xml:space="preserve">Explicit health/function positioning: 'Cognitive Wellness', 'caring for your brain' (release); functional mushroom energy drink</t>
  </si>
  <si>
    <t xml:space="preserve">DTC (release)</t>
  </si>
  <si>
    <t xml:space="preserve">Nicole Khoury</t>
  </si>
  <si>
    <t xml:space="preserve">BR4:27</t>
  </si>
  <si>
    <t xml:space="preserve">Launch release dated 2025-08-01 is outside the 12-month why-now window. Recorded so the gate is visible.</t>
  </si>
  <si>
    <t xml:space="preserve">AB-005</t>
  </si>
  <si>
    <t xml:space="preserve">Kings County Jerky Co.</t>
  </si>
  <si>
    <t xml:space="preserve">Woehrle</t>
  </si>
  <si>
    <t xml:space="preserve">Gated out: no-buy-path: No working online store (kingscountyjerky.com returned HTTP 521 on 2026-10-23) and no retailer found near cluster; may be inactive.</t>
  </si>
  <si>
    <t xml:space="preserve">https://www.kingscountyjerky.com</t>
  </si>
  <si>
    <t xml:space="preserve">unknown (site unreachable)</t>
  </si>
  <si>
    <t xml:space="preserve">no-buy-path: No working online store (kingscountyjerky.com returned HTTP 521 on 2026-10-23) and no retailer found near cluster; may be inactive</t>
  </si>
  <si>
    <t xml:space="preserve">No working online store (kingscountyjerky.com returned HTTP 521 on 2026-10-23) and no retailer found near cluster; may be inactive</t>
  </si>
  <si>
    <t xml:space="preserve">https://www.wholefoodsmarket.com/search?text=kings%20county%20jerky (no results for Union Square context, 2026-10-23)</t>
  </si>
  <si>
    <t xml:space="preserve">Chris Woehrle</t>
  </si>
  <si>
    <t xml:space="preserve">Robert Stout</t>
  </si>
  <si>
    <t xml:space="preserve">Stout</t>
  </si>
  <si>
    <t xml:space="preserve">BR1:6</t>
  </si>
  <si>
    <t xml:space="preserve">Brooklyn craft jerky brand from 2011-era press. Checked and parked; recheck only if founder knows it is active.</t>
  </si>
  <si>
    <t xml:space="preserve">AB-198</t>
  </si>
  <si>
    <t xml:space="preserve">Lemon Perfect</t>
  </si>
  <si>
    <t xml:space="preserve">Gated out: health-claim: Explicit health claim in FAQ: '100% Daily Value vitamin C for immune support'.</t>
  </si>
  <si>
    <t xml:space="preserve">https://lemonperfect.com/pages/sr-faq</t>
  </si>
  <si>
    <t xml:space="preserve">Lemon Perfect lemon water, bottle (Original, Dragon Fruit, Peach)</t>
  </si>
  <si>
    <t xml:space="preserve">https://lemonperfect.com</t>
  </si>
  <si>
    <t xml:space="preserve">health-claim: Explicit health claim in FAQ: '100% Daily Value vitamin C for immune support'</t>
  </si>
  <si>
    <t xml:space="preserve">No public sales figure opened</t>
  </si>
  <si>
    <t xml:space="preserve">Explicit health claim in FAQ: '100% Daily Value vitamin C for immune support'</t>
  </si>
  <si>
    <t xml:space="preserve">https://www.instagram.com/lemonperfect</t>
  </si>
  <si>
    <t xml:space="preserve">BR3:72</t>
  </si>
  <si>
    <t xml:space="preserve">Search snippets (not opened) place HQ in Atlanta and describe a large investor-backed brand; recorded so it is not re-researched.</t>
  </si>
  <si>
    <t xml:space="preserve">AB-030</t>
  </si>
  <si>
    <t xml:space="preserve">Maine Crisp Co.</t>
  </si>
  <si>
    <t xml:space="preserve">Getz</t>
  </si>
  <si>
    <t xml:space="preserve">Gated out: health-claim: explicit health claim on the brand's homepage (opened 2026-10-24): buckwheat is 'gluten-free, grain-free, low glycemic, anti-inflammatory, rich in.</t>
  </si>
  <si>
    <t xml:space="preserve">https://www.mainecrisp.com/pages/pg-about-2</t>
  </si>
  <si>
    <t xml:space="preserve">https://www.mainecrisp.com/pages/about-us</t>
  </si>
  <si>
    <t xml:space="preserve">Maine Crisps Olive &amp; Za'atar buckwheat crisps, 4 oz</t>
  </si>
  <si>
    <t xml:space="preserve">Waterville</t>
  </si>
  <si>
    <t xml:space="preserve">https://www.mainecrisp.com</t>
  </si>
  <si>
    <t xml:space="preserve">health-claim: explicit health claim on the brand's homepage (opened 2026-10-24): buckwheat is 'gluten-free, grain-free, low glycemic, anti-inflammatory, rich in fiber'</t>
  </si>
  <si>
    <t xml:space="preserve">Brand wholesale FAQ: 'Our crisps and crackers are shelf stable for 6-12 months.'</t>
  </si>
  <si>
    <t xml:space="preserve">explicit health claim on the brand's homepage (opened 2026-10-24): buckwheat is 'gluten-free, grain-free, low glycemic, anti-inflammatory, rich in fiber'</t>
  </si>
  <si>
    <t xml:space="preserve">Whole Foods Market Union Square, 4 Union Sq S (unverified, inside)</t>
  </si>
  <si>
    <t xml:space="preserve">https://www.wholefoodsmarket.com/search?text=maine%20crisp (Union Square context: Cranberry Almond and Olive &amp; Za'atar Crisps 4 oz IN_STOCK, from category search 2026-10-23)</t>
  </si>
  <si>
    <t xml:space="preserve">Karen Getz</t>
  </si>
  <si>
    <t xml:space="preserve">BR1:31</t>
  </si>
  <si>
    <t xml:space="preserve">Handmade in Maine. Union Square evidence from the 'cracker crisps' category search run in store context; not re-run per store.</t>
  </si>
  <si>
    <t xml:space="preserve">shelf_stable_basis &lt;- https://www.mainecrisp.com/pages/wholesale (2026-10-24, opened); hq_city &lt;- https://www.mainecrisp.com/pages/about-us (2026-10-24, opened); founder_name &lt;- https://www.mainecrisp.com/pages/about-us (2026-10-24, opened); excluded &lt;- https://www.mainecrisp.com (2026-10-24, stage 3 correction); exclusion_reason &lt;- https://www.mainecrisp.com (2026-10-24, stage 3 correction); </t>
  </si>
  <si>
    <t xml:space="preserve">AB-153</t>
  </si>
  <si>
    <t xml:space="preserve">Maine Root</t>
  </si>
  <si>
    <t xml:space="preserve">https://www.maineroot.com/our-roots</t>
  </si>
  <si>
    <t xml:space="preserve">Maine Root Root Beer (fair trade cane sugar), 12 oz bottle</t>
  </si>
  <si>
    <t xml:space="preserve">Site footer says (c) 2017 and 'Buy Online' link 404s; activity and buy path unclear; 60-day shelf life not stated</t>
  </si>
  <si>
    <t xml:space="preserve">https://www.maineroot.com</t>
  </si>
  <si>
    <t xml:space="preserve">unknown (store locator is a contact form)</t>
  </si>
  <si>
    <t xml:space="preserve">https://www.instagram.com/maineroot</t>
  </si>
  <si>
    <t xml:space="preserve">BR3:27</t>
  </si>
  <si>
    <t xml:space="preserve">Fair trade certified sodas, lemonade and ginger brew (our-roots page). HQ not stated on pages read; the name suggests Maine but that is not a source (founder to confirm). | Stage 1 online-store check 2026-10-24: Brand 'Buy Online' path /collections/maine-root returns 404 (re-checked) (https://www.maineroot.com/collections/maine-root)</t>
  </si>
  <si>
    <t xml:space="preserve">online_store &lt;- https://www.maineroot.com/collections/maine-root (2026-10-24, opened, stage 1); </t>
  </si>
  <si>
    <t xml:space="preserve">AB-139</t>
  </si>
  <si>
    <t xml:space="preserve">Moment</t>
  </si>
  <si>
    <t xml:space="preserve">Aisha</t>
  </si>
  <si>
    <t xml:space="preserve">Gated out: health-claim: Adaptogen drinks with structure or function claims ('supports your mood and focus', 'Balance meets immunity', sleep blends).</t>
  </si>
  <si>
    <t xml:space="preserve">https://drinkmoment.com/products.json</t>
  </si>
  <si>
    <t xml:space="preserve">https://drinkmoment.com/pages/about</t>
  </si>
  <si>
    <t xml:space="preserve">Moment sparkling botanical drink with ashwagandha and L-theanine</t>
  </si>
  <si>
    <t xml:space="preserve">https://drinkmoment.com</t>
  </si>
  <si>
    <t xml:space="preserve">health-claim: Adaptogen drinks with structure or function claims ('supports your mood and focus', 'Balance meets immunity', sleep blends)</t>
  </si>
  <si>
    <t xml:space="preserve">Adaptogen drinks with structure or function claims ('supports your mood and focus', 'Balance meets immunity', sleep blends)</t>
  </si>
  <si>
    <t xml:space="preserve">https://www.instagram.com/drinkmoment</t>
  </si>
  <si>
    <t xml:space="preserve">BR3:13</t>
  </si>
  <si>
    <t xml:space="preserve">Checked as a possible NYC brand; HQ not confirmed. Excluded on claims.</t>
  </si>
  <si>
    <t xml:space="preserve">AB-100</t>
  </si>
  <si>
    <t xml:space="preserve">Munk Pack</t>
  </si>
  <si>
    <t xml:space="preserve">Gated out: health-claim: Explicit health claims: brand FAQ says probiotics have 'benefits for digestive health' and 'aid in the body's immune response'; 'virtually no impa.</t>
  </si>
  <si>
    <t xml:space="preserve">https://munkpack.com/pages/faq</t>
  </si>
  <si>
    <t xml:space="preserve">https://munkpack.com/pages/about-us</t>
  </si>
  <si>
    <t xml:space="preserve">Cookie Dough Probiotic Protein Bar; Peanut Butter Dark Chocolate Nut &amp; Seed Bar</t>
  </si>
  <si>
    <t xml:space="preserve">https://munkpack.com</t>
  </si>
  <si>
    <t xml:space="preserve">health-claim: Explicit health claims: brand FAQ says probiotics have 'benefits for digestive health' and 'aid in the body's immune response'; 'virtually no impact on blood sugar'</t>
  </si>
  <si>
    <t xml:space="preserve">Explicit health claims: brand FAQ says probiotics have 'benefits for digestive health' and 'aid in the body's immune response'; 'virtually no impact on blood sugar'</t>
  </si>
  <si>
    <t xml:space="preserve">Store locator on brand site (not machine-read)</t>
  </si>
  <si>
    <t xml:space="preserve">https://www.wholefoodsmarket.com/api/search?text=munk%20pack&amp;store=10162&amp;limit=60&amp;offset=0</t>
  </si>
  <si>
    <t xml:space="preserve">first names on brand about page</t>
  </si>
  <si>
    <t xml:space="preserve">Toby</t>
  </si>
  <si>
    <t xml:space="preserve">https://www.instagram.com/munkpack/</t>
  </si>
  <si>
    <t xml:space="preserve">BR2:38</t>
  </si>
  <si>
    <t xml:space="preserve">1g sugar positioning. Not in WFM cluster catalogs.</t>
  </si>
  <si>
    <t xml:space="preserve">AB-204</t>
  </si>
  <si>
    <t xml:space="preserve">Mía</t>
  </si>
  <si>
    <t xml:space="preserve">Gated out: not-shelf-stable: Refrigerated before and after opening (cold-pressed juice).</t>
  </si>
  <si>
    <t xml:space="preserve">https://drinkmia.com</t>
  </si>
  <si>
    <t xml:space="preserve">Mía cold-pressed sugarcane juice (Lime, Yuzu, Passion fruit), bottle</t>
  </si>
  <si>
    <t xml:space="preserve">not-shelf-stable: Refrigerated before and after opening (cold-pressed juice) | no-buy-path: no graded store within ten blocks and no online store shown</t>
  </si>
  <si>
    <t xml:space="preserve">Site FAQ: 'keep it refrigerated before and after opening' (drinkmia.com, opened 2026-10-23)</t>
  </si>
  <si>
    <t xml:space="preserve">Refrigerated before and after opening (cold-pressed juice)</t>
  </si>
  <si>
    <t xml:space="preserve">Pop Up Grocer NYC Flagship (directory)</t>
  </si>
  <si>
    <t xml:space="preserve">https://popupgrocer.com/products/m-a</t>
  </si>
  <si>
    <t xml:space="preserve">BR3:78</t>
  </si>
  <si>
    <t xml:space="preserve">Products listed at $0.00 (no online sales). Recorded so it is not re-researched.</t>
  </si>
  <si>
    <t xml:space="preserve">AB-113</t>
  </si>
  <si>
    <t xml:space="preserve">Nelly's Organics</t>
  </si>
  <si>
    <t xml:space="preserve">https://nellysorganics.com/pages/faq</t>
  </si>
  <si>
    <t xml:space="preserve">Organic Dark Chocolate Caramel Nougat Bar 1.6 oz; Coconut Bar</t>
  </si>
  <si>
    <t xml:space="preserve">https://nellysorganics.com</t>
  </si>
  <si>
    <t xml:space="preserve">Brand FAQ: 'our bars are refrigerated. They are safe outside the fridge for up to 5 days'</t>
  </si>
  <si>
    <t xml:space="preserve">Refrigerated section of grocery (brand FAQ); Whole Foods</t>
  </si>
  <si>
    <t xml:space="preserve">https://www.instagram.com/nellysorganicsbars/</t>
  </si>
  <si>
    <t xml:space="preserve">BR2:51</t>
  </si>
  <si>
    <t xml:space="preserve">Listed at WFM Union Square in a catalog sweep (Dark Chocolate Caramel Nougat Bar). Excluded on refrigeration.</t>
  </si>
  <si>
    <t xml:space="preserve">AB-166</t>
  </si>
  <si>
    <t xml:space="preserve">Phocus</t>
  </si>
  <si>
    <t xml:space="preserve">Gated out: health-claim: Structure or function wording: L-theanine 'can lead to improved alertness', 'Phocus helps you stay focused, energized' (FAQ).</t>
  </si>
  <si>
    <t xml:space="preserve">https://www.phocus.com/pages/faq</t>
  </si>
  <si>
    <t xml:space="preserve">Phocus caffeinated sparkling water (75 mg tea caffeine plus L-theanine), 12 oz can</t>
  </si>
  <si>
    <t xml:space="preserve">https://www.phocus.com</t>
  </si>
  <si>
    <t xml:space="preserve">health-claim: Structure or function wording: L-theanine 'can lead to improved alertness', 'Phocus helps you stay focused, energized' (FAQ)</t>
  </si>
  <si>
    <t xml:space="preserve">Structure or function wording: L-theanine 'can lead to improved alertness', 'Phocus helps you stay focused, energized' (FAQ)</t>
  </si>
  <si>
    <t xml:space="preserve">https://www.instagram.com/phocus</t>
  </si>
  <si>
    <t xml:space="preserve">BR3:40</t>
  </si>
  <si>
    <t xml:space="preserve">Founded 2017 (our-story page). Gate is borderline: caffeine plus focus wording; founder could reinstate if a non-claim SKU and copy are used.</t>
  </si>
  <si>
    <t xml:space="preserve">AB-167</t>
  </si>
  <si>
    <t xml:space="preserve">Proper Wild</t>
  </si>
  <si>
    <t xml:space="preserve">Gated out: excluded-category: Supplement-style energy shots and gummies with asterisked structure or function claims ('boost energy, focus and productivity'); now also sel.</t>
  </si>
  <si>
    <t xml:space="preserve">https://properwild.com/pages/mission</t>
  </si>
  <si>
    <t xml:space="preserve">Proper Wild Clean Energy Shot (100 mg caffeine plus L-theanine), 2.5 oz bottle</t>
  </si>
  <si>
    <t xml:space="preserve">https://properwild.com</t>
  </si>
  <si>
    <t xml:space="preserve">excluded-category: Supplement-style energy shots and gummies with asterisked structure or function claims ('boost energy, focus and productivity'); now also sells a women's daily multivitamin | health-claim: Supplement-style energy shots and gummies with asterisked structure or function claims ('boost energy, focus and productivity'); now also sells a women's daily multivitamin</t>
  </si>
  <si>
    <t xml:space="preserve">FAQ: 'room temperature shelf-life of 18 months at the time of production' (properwild.com/pages/faq, opened 2026-10-23)</t>
  </si>
  <si>
    <t xml:space="preserve">Supplement-style energy shots and gummies with asterisked structure or function claims ('boost energy, focus and productivity'); now also sells a women's daily multivitamin</t>
  </si>
  <si>
    <t xml:space="preserve">unknown (Storemapper/GoToAisle locator not read)</t>
  </si>
  <si>
    <t xml:space="preserve">https://www.instagram.com/properwild</t>
  </si>
  <si>
    <t xml:space="preserve">BR3:41</t>
  </si>
  <si>
    <t xml:space="preserve">Mission page: team 'based in New York City'. Recorded so it is not re-researched.</t>
  </si>
  <si>
    <t xml:space="preserve">AB-137</t>
  </si>
  <si>
    <t xml:space="preserve">Recess</t>
  </si>
  <si>
    <t xml:space="preserve">Gated out: excluded-category: Hemp-extract line (cannabis category) and adaptogen/magnesium drinks marketed to 'help you unwind' and feel calm (structure or function claim.</t>
  </si>
  <si>
    <t xml:space="preserve">https://takearecess.com/faq</t>
  </si>
  <si>
    <t xml:space="preserve">Recess Mood sparkling water with magnesium and adaptogens</t>
  </si>
  <si>
    <t xml:space="preserve">https://takearecess.com</t>
  </si>
  <si>
    <t xml:space="preserve">excluded-category: Hemp-extract line (cannabis category) and adaptogen/magnesium drinks marketed to 'help you unwind' and feel calm (structure or function claims) | health-claim: Hemp-extract line (cannabis category) and adaptogen/magnesium drinks marketed to 'help you unwind' and feel calm (structure or function claims)</t>
  </si>
  <si>
    <t xml:space="preserve">Brand FAQ: 'all of our products are shelf stable' (takearecess.com/faq, opened 2026-10-23)</t>
  </si>
  <si>
    <t xml:space="preserve">Hemp-extract line (cannabis category) and adaptogen/magnesium drinks marketed to 'help you unwind' and feel calm (structure or function claims)</t>
  </si>
  <si>
    <t xml:space="preserve">https://www.instagram.com/takearecess</t>
  </si>
  <si>
    <t xml:space="preserve">BR3:11</t>
  </si>
  <si>
    <t xml:space="preserve">FAQ: 'NY is our forever home'. Zero Proof mocktail line alone might pass, but the brand is built on calm claims; recorded so it is not re-researched.</t>
  </si>
  <si>
    <t xml:space="preserve">AB-145</t>
  </si>
  <si>
    <t xml:space="preserve">Red Jacket Orchards</t>
  </si>
  <si>
    <t xml:space="preserve">Gated out: not-shelf-stable: Refrigerated: brand FAQ says all products must be refrigerated before and after opening.</t>
  </si>
  <si>
    <t xml:space="preserve">Joe's NY Style Lemonade was a 2026 sofi Gold finalist, Non-Alcoholic Beverages (listed under Berryfield Bottling); search summaries report it won Gold on 2026-01-13 (Gold page not opened; unverified, founder to confirm)</t>
  </si>
  <si>
    <t xml:space="preserve">https://foodindustryexecutive.com/2025/10/specialty-food-association-announces-75-sofi-gold-award-finalists-ahead-of-winter-fancyfaire-2026/</t>
  </si>
  <si>
    <t xml:space="preserve">2025-10</t>
  </si>
  <si>
    <t xml:space="preserve">https://redjacketorchards.com/products/ny-lemonade</t>
  </si>
  <si>
    <t xml:space="preserve">Joe's NY Style Lemonade, 12 oz bottle (cold-pressed apple and lemon)</t>
  </si>
  <si>
    <t xml:space="preserve">https://redjacketorchards.com</t>
  </si>
  <si>
    <t xml:space="preserve">Probably fails the shelf-stable gate (cold-pressed juice); keep only if a shelf-stable SKU exists. Strong NY story and a 2026 sofi Gold</t>
  </si>
  <si>
    <t xml:space="preserve">not-shelf-stable: Refrigerated: brand FAQ says all products must be refrigerated before and after opening</t>
  </si>
  <si>
    <t xml:space="preserve">Brand FAQ: All products must be refrigerated before and after they are opened (redjacketorchards.com/pages/faqs, opened 2026-10-24)</t>
  </si>
  <si>
    <t xml:space="preserve">Refrigerated: brand FAQ says all products must be refrigerated before and after opening</t>
  </si>
  <si>
    <t xml:space="preserve">stale (over 12 months)</t>
  </si>
  <si>
    <t xml:space="preserve">https://www.instagram.com/redjacketorchards</t>
  </si>
  <si>
    <t xml:space="preserve">BR3:19</t>
  </si>
  <si>
    <t xml:space="preserve">Finalist list opened 2026-10-23 (foodindustryexecutive.com): 'Berryfield Bottling - Joe's NY Style Lemonade'. Gold win per NOSH/Prepared Foods search summaries only. Instagram handle redjacketny also appears. HQ not stated on pages read (Finger Lakes NY farm per brand lore; founder to confirm).</t>
  </si>
  <si>
    <t xml:space="preserve">shelf_stable &lt;- https://redjacketorchards.com/pages/faqs (2026-10-24, opened); shelf_stable_basis &lt;- https://redjacketorchards.com/pages/faqs (2026-10-24, opened); excluded &lt;- https://redjacketorchards.com/pages/faqs (2026-10-24, opened); exclusion_reason &lt;- https://redjacketorchards.com/pages/faqs (2026-10-24, opened); </t>
  </si>
  <si>
    <t xml:space="preserve">AB-148</t>
  </si>
  <si>
    <t xml:space="preserve">Sap!</t>
  </si>
  <si>
    <t xml:space="preserve">Chas</t>
  </si>
  <si>
    <t xml:space="preserve">Gated out: health-claim: Explicit health claim on product pages: 'Prebiotics (Good for Gut Health)'.</t>
  </si>
  <si>
    <t xml:space="preserve">https://sapvt.com/pages/faqs</t>
  </si>
  <si>
    <t xml:space="preserve">https://sapvt.com/pages/our-story</t>
  </si>
  <si>
    <t xml:space="preserve">Sap! Maple Soda / Maple Seltzer, can</t>
  </si>
  <si>
    <t xml:space="preserve">https://sapvt.com</t>
  </si>
  <si>
    <t xml:space="preserve">health-claim: Explicit health claim on product pages: 'Prebiotics (Good for Gut Health)'</t>
  </si>
  <si>
    <t xml:space="preserve">Brand FAQ: 'Sap! does not require refrigeration' (sapvt.com/pages/faqs, opened 2026-10-23)</t>
  </si>
  <si>
    <t xml:space="preserve">Explicit health claim on product pages: 'Prebiotics (Good for Gut Health)'</t>
  </si>
  <si>
    <t xml:space="preserve">first names on story page</t>
  </si>
  <si>
    <t xml:space="preserve">Nikita</t>
  </si>
  <si>
    <t xml:space="preserve">https://www.instagram.com/drinksap</t>
  </si>
  <si>
    <t xml:space="preserve">BR3:22</t>
  </si>
  <si>
    <t xml:space="preserve">Vermont maple and birch sap drinks. Could pass if the gut-health line were removed from copy; founder may revisit.</t>
  </si>
  <si>
    <t xml:space="preserve">AB-076</t>
  </si>
  <si>
    <t xml:space="preserve">Sour Strips</t>
  </si>
  <si>
    <t xml:space="preserve">https://www.hersheyland.com/brands/sourstrips/about-us.html</t>
  </si>
  <si>
    <t xml:space="preserve">SOUR STRIPS sour candy strips</t>
  </si>
  <si>
    <t xml:space="preserve">Big-brand ownership: now part of The Hershey Company (2025); unlikely to buy a $600 founder-approved campaign; 60-day shelf life not stated</t>
  </si>
  <si>
    <t xml:space="preserve">https://www.hersheyland.com/brands/sourstrips.html</t>
  </si>
  <si>
    <t xml:space="preserve">partnered with The Hershey Company in 2025 (brand about page)</t>
  </si>
  <si>
    <t xml:space="preserve">Packaged sour candy; no shelf-life figure on brand page</t>
  </si>
  <si>
    <t xml:space="preserve">The Hershey Store; wherever Hershey's products are sold</t>
  </si>
  <si>
    <t xml:space="preserve">BR2:13</t>
  </si>
  <si>
    <t xml:space="preserve">sourstrips.com now redirects to hersheyland.com. Recorded so it is not re-researched.</t>
  </si>
  <si>
    <t xml:space="preserve">AB-141</t>
  </si>
  <si>
    <t xml:space="preserve">Superfrau</t>
  </si>
  <si>
    <t xml:space="preserve">Gated out: health-claim: Explicit health claims on every product: 'Good for gut health', 'Lactic acid for your gut', 'Natural energy'.</t>
  </si>
  <si>
    <t xml:space="preserve">https://www.drinksuperfrau.com/pages/faq</t>
  </si>
  <si>
    <t xml:space="preserve">Superfrau sparkling upcycled fresh whey, 12 oz can</t>
  </si>
  <si>
    <t xml:space="preserve">https://www.drinksuperfrau.com</t>
  </si>
  <si>
    <t xml:space="preserve">health-claim: Explicit health claims on every product: 'Good for gut health', 'Lactic acid for your gut', 'Natural energy'</t>
  </si>
  <si>
    <t xml:space="preserve">Brand FAQ: 'Does Superfrau need to be refrigerated? Nope... until after it's opened' (opened 2026-10-23)</t>
  </si>
  <si>
    <t xml:space="preserve">Explicit health claims on every product: 'Good for gut health', 'Lactic acid for your gut', 'Natural energy'</t>
  </si>
  <si>
    <t xml:space="preserve">unknown (Stockist locator tag u11136 not queried)</t>
  </si>
  <si>
    <t xml:space="preserve">https://www.instagram.com/drinksuperfrau</t>
  </si>
  <si>
    <t xml:space="preserve">BR3:15</t>
  </si>
  <si>
    <t xml:space="preserve">Sources whey from yogurt makers in New York and Pennsylvania (FAQ). Newest product listing 2022-12, may be low activity.</t>
  </si>
  <si>
    <t xml:space="preserve">AB-194</t>
  </si>
  <si>
    <t xml:space="preserve">Twrl Milk Tea</t>
  </si>
  <si>
    <t xml:space="preserve">Pauline</t>
  </si>
  <si>
    <t xml:space="preserve">Gated out: health-claim: Structure or function claims on site: antioxidants 'protects cells and supports health'; 'mild caffeine for improved focus with L-theanine'.</t>
  </si>
  <si>
    <t xml:space="preserve">https://twrl.com/pages/about-milk-tea</t>
  </si>
  <si>
    <t xml:space="preserve">https://twrl.com/pages/our-story</t>
  </si>
  <si>
    <t xml:space="preserve">Twrl Milk Tea (pea-protein milk, whole-leaf tea), 7.5 oz can</t>
  </si>
  <si>
    <t xml:space="preserve">https://twrl.com</t>
  </si>
  <si>
    <t xml:space="preserve">health-claim: Structure or function claims on site: antioxidants 'protects cells and supports health'; 'mild caffeine for improved focus with L-theanine'</t>
  </si>
  <si>
    <t xml:space="preserve">Structure or function claims on site: antioxidants 'protects cells and supports health'; 'mild caffeine for improved focus with L-theanine'</t>
  </si>
  <si>
    <t xml:space="preserve">https://popupgrocer.com/products/twrl-milk-tea</t>
  </si>
  <si>
    <t xml:space="preserve">https://instagram.com/twrlmilktea</t>
  </si>
  <si>
    <t xml:space="preserve">BR3:68</t>
  </si>
  <si>
    <t xml:space="preserve">twrlmilktea.com redirects to twrl.com. Press page: two mothers, Taiwanese heritage. Product itself (canned milk tea) would otherwise fit.</t>
  </si>
  <si>
    <t xml:space="preserve">AB-037</t>
  </si>
  <si>
    <t xml:space="preserve">Unbothered Foods</t>
  </si>
  <si>
    <t xml:space="preserve">Morgan</t>
  </si>
  <si>
    <t xml:space="preserve">Murdock</t>
  </si>
  <si>
    <t xml:space="preserve">Founder, Registered Dietitian</t>
  </si>
  <si>
    <t xml:space="preserve">Gated out: health-claim: Positioned as 'Gut-Friendly Sourdough Crackers' with 'gut benefit' copy (structure/function wording).</t>
  </si>
  <si>
    <t xml:space="preserve">https://www.unbotheredfoods.com/</t>
  </si>
  <si>
    <t xml:space="preserve">Unbothered Foods sourdough crackers</t>
  </si>
  <si>
    <t xml:space="preserve">https://www.unbotheredfoods.com</t>
  </si>
  <si>
    <t xml:space="preserve">health-claim: Positioned as 'Gut-Friendly Sourdough Crackers' with 'gut benefit' copy (structure/function wording)</t>
  </si>
  <si>
    <t xml:space="preserve">Baked sourdough crackers sold ambient (PopUp Grocer 'Puffs + Crunch')</t>
  </si>
  <si>
    <t xml:space="preserve">Positioned as 'Gut-Friendly Sourdough Crackers' with 'gut benefit' copy (structure/function wording)</t>
  </si>
  <si>
    <t xml:space="preserve">https://popupgrocer.com/pages/directory (availability 'NYC Flagship', 2026-10-23); https://popupgrocer.com/products/unbothered-foods</t>
  </si>
  <si>
    <t xml:space="preserve">Morgan Murdock</t>
  </si>
  <si>
    <t xml:space="preserve">https://instagram.com/unbotheredfoods</t>
  </si>
  <si>
    <t xml:space="preserve">BR1:38</t>
  </si>
  <si>
    <t xml:space="preserve">Recorded for the gate log; excluded on gut-health positioning.</t>
  </si>
  <si>
    <t xml:space="preserve">AB-155</t>
  </si>
  <si>
    <t xml:space="preserve">Zest Tea</t>
  </si>
  <si>
    <t xml:space="preserve">Fayal</t>
  </si>
  <si>
    <t xml:space="preserve">Gated out: excluded-category: Functional/supplement positioning: creatine powders, 'sleep, gut health, and immunity blends', energy and focus claims.</t>
  </si>
  <si>
    <t xml:space="preserve">https://livezesty.com/pages/about-zest</t>
  </si>
  <si>
    <t xml:space="preserve">Zest high-caffeine sparkling energy tea, can</t>
  </si>
  <si>
    <t xml:space="preserve">https://livezesty.com</t>
  </si>
  <si>
    <t xml:space="preserve">excluded-category: Functional/supplement positioning: creatine powders, 'sleep, gut health, and immunity blends', energy and focus claims | health-claim: Functional/supplement positioning: creatine powders, 'sleep, gut health, and immunity blends', energy and focus claims</t>
  </si>
  <si>
    <t xml:space="preserve">Functional/supplement positioning: creatine powders, 'sleep, gut health, and immunity blends', energy and focus claims</t>
  </si>
  <si>
    <t xml:space="preserve">James Fayal</t>
  </si>
  <si>
    <t xml:space="preserve">https://www.instagram.com/zesthq</t>
  </si>
  <si>
    <t xml:space="preserve">BR3:29</t>
  </si>
  <si>
    <t xml:space="preserve">Domain zesttea.com redirects to livezesty.com. Recorded so it is not re-researched.</t>
  </si>
  <si>
    <t xml:space="preserve">column</t>
  </si>
  <si>
    <t xml:space="preserve">tables</t>
  </si>
  <si>
    <t xml:space="preserve">group</t>
  </si>
  <si>
    <t xml:space="preserve">edited_by</t>
  </si>
  <si>
    <t xml:space="preserve">values</t>
  </si>
  <si>
    <t xml:space="preserve">meaning</t>
  </si>
  <si>
    <t xml:space="preserve">both</t>
  </si>
  <si>
    <t xml:space="preserve">stable (CONTRACTS 6.2)</t>
  </si>
  <si>
    <t xml:space="preserve">build</t>
  </si>
  <si>
    <t xml:space="preserve">AO-C-### (B's company), AO-W-### (B's coworking site), AB-### (brand)</t>
  </si>
  <si>
    <t xml:space="preserve">Stable row key. Never reused. Use it as org_id in E's pipeline log.</t>
  </si>
  <si>
    <t xml:space="preserve">text</t>
  </si>
  <si>
    <t xml:space="preserve">Company name (offices) or brand name (brands), as the source gives it.</t>
  </si>
  <si>
    <t xml:space="preserve">text or blank</t>
  </si>
  <si>
    <t xml:space="preserve">Primary contact's first name. Filled only when a page that was opened shows the name; a name seen only in a search snippet stays in contact_name_as_found and this stays blank.</t>
  </si>
  <si>
    <t xml:space="preserve">text, 'unknown' or blank</t>
  </si>
  <si>
    <t xml:space="preserve">Primary contact's surname as the page spells it; 'unknown' when only a first name is public.</t>
  </si>
  <si>
    <t xml:space="preserve">Primary contact's job title as the opened page gives it.</t>
  </si>
  <si>
    <t xml:space="preserve">URL or blank</t>
  </si>
  <si>
    <t xml:space="preserve">Primary contact's LinkedIn profile. Agents never open LinkedIn, so it is blank unless a page we opened linked it. The founder pastes it during the daily routine, or Clay's person enrichment fills it.</t>
  </si>
  <si>
    <t xml:space="preserve">business address or blank</t>
  </si>
  <si>
    <t xml:space="preserve">Primary contact's work email from the Clay waterfall. Blank on every row today: no waterfall has run. Never guessed from a name pattern.</t>
  </si>
  <si>
    <t xml:space="preserve">verified, unverified, none</t>
  </si>
  <si>
    <t xml:space="preserve">verified: the waterfall's validator returned deliverable. unverified: found but catch-all or unknown. none: no email. E emails only verified rows.</t>
  </si>
  <si>
    <t xml:space="preserve">email, linkedin, warm-intro, walk-in, or blank</t>
  </si>
  <si>
    <t xml:space="preserve">How the first touch goes. linkedin for a named contact until a verified email exists (then email); walk-in for a top-50 office with nobody named; warm-intro when known_to_founder = Y; blank for a brand with nobody named (E skips it).</t>
  </si>
  <si>
    <t xml:space="preserve">formula</t>
  </si>
  <si>
    <t xml:space="preserve">0 to 100</t>
  </si>
  <si>
    <t xml:space="preserve">Fit score; 0 for a row that failed a hard gate. The sum of the score_ parts (see the Scoring tab). In the workbook it recomputes when known_to_founder or title_match changes.</t>
  </si>
  <si>
    <t xml:space="preserve">one sentence</t>
  </si>
  <si>
    <t xml:space="preserve">The score in one plain sentence, built from its parts.</t>
  </si>
  <si>
    <t xml:space="preserve">40-75, 76-150, 151-250, 251-500, under-40, over-500, unknown (offices); blank (brands)</t>
  </si>
  <si>
    <t xml:space="preserve">Offices: the CONTRACTS band holding the central Tuesday onsite estimate. An estimate until intake replaces it. Never printed in copy.</t>
  </si>
  <si>
    <t xml:space="preserve">'Store, street' or 'none found within ten blocks' (brands); blank (offices)</t>
  </si>
  <si>
    <t xml:space="preserve">Brands: the best graded store within ten blocks of the cluster: store_selector before brand_claim, then fewest blocks out; else the nearest unverified store.</t>
  </si>
  <si>
    <t xml:space="preserve">seen_on_shelf, store_selector, brand_claim, unverified</t>
  </si>
  <si>
    <t xml:space="preserve">Evidence grade of nearest_stocked_retailer (CONTRACTS section 4). seen_on_shelf is the founder's only; no agent sets it.</t>
  </si>
  <si>
    <t xml:space="preserve">A dated reason to write now: brands, news or a new listing in the last 12 months; offices, a lease reported since 2025-11 in an article about the company.</t>
  </si>
  <si>
    <t xml:space="preserve">Source of why_now. E writes a hook only after opening it.</t>
  </si>
  <si>
    <t xml:space="preserve">YYYY-MM-DD or YYYY-MM</t>
  </si>
  <si>
    <t xml:space="preserve">Date of the why_now source.</t>
  </si>
  <si>
    <t xml:space="preserve">Y, N</t>
  </si>
  <si>
    <t xml:space="preserve">Y when the founder knows this person. Adds 15 points (offices) or 10 (brands) and makes the channel warm-intro. N everywhere until the founder marks rows.</t>
  </si>
  <si>
    <t xml:space="preserve">Y, N, unknown</t>
  </si>
  <si>
    <t xml:space="preserve">Brands: Y where a public Startup CPG page shows the brand (participation, not proven membership). Never a hook and no points. Offices: unknown.</t>
  </si>
  <si>
    <t xml:space="preserve">E / founder</t>
  </si>
  <si>
    <t xml:space="preserve">Y the same day anyone opts out, in any words, on any channel. Never reversed. A Y row, and every row in its company_group, never enters a daily view.</t>
  </si>
  <si>
    <t xml:space="preserve">new, queued, contacted, replied, call_booked, call_done, yes_in_principle, materials_sent, signed (office) or paid (brand); side states not_now, no, wrong_person, do_not_contact</t>
  </si>
  <si>
    <t xml:space="preserve">Outreach status. Lives in these tables and nowhere else. queued means it is in today's daily view and picked for sending.</t>
  </si>
  <si>
    <t xml:space="preserve">URL</t>
  </si>
  <si>
    <t xml:space="preserve">Main source for the row: the address source (offices) or the brand's research source (brands).</t>
  </si>
  <si>
    <t xml:space="preserve">YYYY-MM-DD</t>
  </si>
  <si>
    <t xml:space="preserve">Date the row was first found.</t>
  </si>
  <si>
    <t xml:space="preserve">daily view</t>
  </si>
  <si>
    <t xml:space="preserve">office, brand</t>
  </si>
  <si>
    <t xml:space="preserve">Which table the row is from (E asked for it in merged views).</t>
  </si>
  <si>
    <t xml:space="preserve">1, 2, ... or blank</t>
  </si>
  <si>
    <t xml:space="preserve">Position among rows that can go out today: eligible, best in its company_group, by score (ties by row order). Ranks 1 to 10 form the daily view.</t>
  </si>
  <si>
    <t xml:space="preserve">1 to n, blank when gated out</t>
  </si>
  <si>
    <t xml:space="preserve">Rank by score among rows that passed the gates, as built today.</t>
  </si>
  <si>
    <t xml:space="preserve">offices</t>
  </si>
  <si>
    <t xml:space="preserve">Y for the 50 best-scored offices that passed the gates: the rows whose contacts were researched and that get the email waterfall.</t>
  </si>
  <si>
    <t xml:space="preserve">brands</t>
  </si>
  <si>
    <t xml:space="preserve">Y for the 60 best-scored brands that passed the gates: the rows whose contacts were researched and that get the email waterfall.</t>
  </si>
  <si>
    <t xml:space="preserve">The one-minute checks left for the morning routine: paste the LinkedIn URL, confirm an old record, re-open a store page, read a founder-review note.</t>
  </si>
  <si>
    <t xml:space="preserve">Why this person: pantry or office lead (offices); founder, CEO or owner (not shown as a founder), marketing lead, or co-founder or executive (brands).</t>
  </si>
  <si>
    <t xml:space="preserve">verified-page, first-name-only, unverified, none</t>
  </si>
  <si>
    <t xml:space="preserve">verified-page: an opened page shows the full name. first-name-only: an opened page shows the first name. unverified: seen only in a search snippet (name not in first_name). none: nobody found.</t>
  </si>
  <si>
    <t xml:space="preserve">employer's own site, The Org (crowd-edited org chart), press, event or podcast page, LinkedIn (not opened), search snippet only (not opened)</t>
  </si>
  <si>
    <t xml:space="preserve">What kind of page supports the name, so the founder can weigh it.</t>
  </si>
  <si>
    <t xml:space="preserve">The opened page that supports the primary contact's name and title.</t>
  </si>
  <si>
    <t xml:space="preserve">Date that page was opened (or the row's found date for brands whose contact dates from stage 1).</t>
  </si>
  <si>
    <t xml:space="preserve">exact, adjacent, none</t>
  </si>
  <si>
    <t xml:space="preserve">exact: one of the five target titles or its direct form (office manager or coordinator, office services, workplace, facilities, people operations, EA to the CEO), on an opened page, placed in New York: 10 points. adjacent: any other named person, or a target title with no New York base shown, or a snippet-only name: 5. none: 0. Re-set it when you swap the contact; the score follows.</t>
  </si>
  <si>
    <t xml:space="preserve">Business street address as the source gives it.</t>
  </si>
  <si>
    <t xml:space="preserve">text or unknown</t>
  </si>
  <si>
    <t xml:space="preserve">Floor or suite as sourced; 'unknown' when no source names it (never blank).</t>
  </si>
  <si>
    <t xml:space="preserve">occupied, occupancy-unconfirmed, signed-not-occupied, moving-out (companies); open, open-unverified, unverified, possibly-closed (coworking sites)</t>
  </si>
  <si>
    <t xml:space="preserve">occupied (a dated source under 24 months or the company's own live page shows the company in the space; review round 3); occupancy-unconfirmed (lease press only, or only an undated profile or older sources place it here); signed-not-occupied (a source says the move is ahead, or the company's own site still shows its old address); moving-out (a newer source says it signed elsewhere). Coworking rows carry the site's status.</t>
  </si>
  <si>
    <t xml:space="preserve">number or unknown</t>
  </si>
  <si>
    <t xml:space="preserve">Low end of the Tuesday onsite estimate (see onsite_basis). An estimate until intake replaces it.</t>
  </si>
  <si>
    <t xml:space="preserve">High end of the Tuesday onsite estimate.</t>
  </si>
  <si>
    <t xml:space="preserve">medium, low, none</t>
  </si>
  <si>
    <t xml:space="preserve">medium: the count is for the New York office. low: a company-wide count with an assumed New York share. none: no count.</t>
  </si>
  <si>
    <t xml:space="preserve">in-office-5, hybrid-4, hybrid-3, hybrid-unspecified, hybrid-2-or-less, remote, unknown</t>
  </si>
  <si>
    <t xml:space="preserve">Attendance read from the employer's own words (Built In policy text, B's notes). The policy sentence beats the 'typical time on-site' box; a range uses its lower figure.</t>
  </si>
  <si>
    <t xml:space="preserve">the row_id, or grp-...</t>
  </si>
  <si>
    <t xml:space="preserve">Rows that share a named parent, an operator, a company name or a named person form one group. The daily view takes one row per group and skips a group with anyone in flight or opted out.</t>
  </si>
  <si>
    <t xml:space="preserve">Y keeps the row out of outreach (B: lease signed but move not confirmed, an address conflict, a tenant still in coworking, a site possibly closed). The founder sets N after the lobby check. Brands: always N today.</t>
  </si>
  <si>
    <t xml:space="preserve">Why the row is held, and what clears it.</t>
  </si>
  <si>
    <t xml:space="preserve">YYYY-MM-DD or blank</t>
  </si>
  <si>
    <t xml:space="preserve">E's column (CONTRACTS 6.2): the day someone opted out. Filled means never contacted again, whatever do_not_contact says.</t>
  </si>
  <si>
    <t xml:space="preserve">A shelf-stable SKU the research found (E's {product} source).</t>
  </si>
  <si>
    <t xml:space="preserve">a CONTRACTS section 4 category key</t>
  </si>
  <si>
    <t xml:space="preserve">Brand category.</t>
  </si>
  <si>
    <t xml:space="preserve">Brands: HQ city as researched, with any evidence note. Offices: B's HQ city.</t>
  </si>
  <si>
    <t xml:space="preserve">The brand's own online store (buy path for a discount code).</t>
  </si>
  <si>
    <t xml:space="preserve">brand research</t>
  </si>
  <si>
    <t xml:space="preserve">What the online store check found when it is not a plain store (for example 'Shop buttons route to Amazon').</t>
  </si>
  <si>
    <t xml:space="preserve">Y for a borderline case the founder should read before outreach (founder_review_reason). Not a gate.</t>
  </si>
  <si>
    <t xml:space="preserve">The researcher's reason plus build notes (shelf life not stated; no online store).</t>
  </si>
  <si>
    <t xml:space="preserve">control</t>
  </si>
  <si>
    <t xml:space="preserve">Y when the row passed the gates, is not on hold, has a contact named on an opened page and (offices) its Tuesday band is 40 to 250 or the founder said yes. Only Y rows can enter a daily view.</t>
  </si>
  <si>
    <t xml:space="preserve">Why a row is not ready, in words.</t>
  </si>
  <si>
    <t xml:space="preserve">Y or blank</t>
  </si>
  <si>
    <t xml:space="preserve">Offices: Y lets a row whose Tuesday band is under-40, 251-500 or over-500 into the daily view (the prompt makes 30 to 39 the founder's call). Brands: unused today.</t>
  </si>
  <si>
    <t xml:space="preserve">Y when the central Tuesday estimate is outside 40 to 250: the row needs founder_ok_to_queue = Y.</t>
  </si>
  <si>
    <t xml:space="preserve">gate and score</t>
  </si>
  <si>
    <t xml:space="preserve">pass, fail</t>
  </si>
  <si>
    <t xml:space="preserve">Whether the row passed every hard gate (applied before any enrichment spend).</t>
  </si>
  <si>
    <t xml:space="preserve">Every gate the row failed, or 'passes all hard gates'.</t>
  </si>
  <si>
    <t xml:space="preserve">excluded-category, health-claim, not-shelf-stable, no-buy-path</t>
  </si>
  <si>
    <t xml:space="preserve">Machine-readable list of failed brand gates.</t>
  </si>
  <si>
    <t xml:space="preserve">number</t>
  </si>
  <si>
    <t xml:space="preserve">What the row would score if it had passed (gated rows keep it for review).</t>
  </si>
  <si>
    <t xml:space="preserve">0 to 30</t>
  </si>
  <si>
    <t xml:space="preserve">25 x the share of the Tuesday range inside 40 to 250 (ratio scale), plus 5 when the count is for the New York office; 7 when headcount is unknown.</t>
  </si>
  <si>
    <t xml:space="preserve">-4 to 15</t>
  </si>
  <si>
    <t xml:space="preserve">Company size: 500 or fewer 15; 501-1,000 6; 1,001-4,999 2; 5,000+ 0; unknown 8; minus 4 when a controlling parent is named.</t>
  </si>
  <si>
    <t xml:space="preserve">-5 to 15</t>
  </si>
  <si>
    <t xml:space="preserve">On-site 5 days 15; hybrid 4 days 12; 3 days 10; days not stated 7; 2 or fewer 5; no signal 6; remote -5; plus 3 when the policy names Tuesday (cap 15).</t>
  </si>
  <si>
    <t xml:space="preserve">0 to 15</t>
  </si>
  <si>
    <t xml:space="preserve">Occupied 10, occupancy-unconfirmed 5, signed-not-occupied 2 (coworking site: open 10, open-unverified 5, unverified 2); 0 with an address conflict; plus confidence high 5, medium 3, low 0.</t>
  </si>
  <si>
    <t xml:space="preserve">0, 5, 10</t>
  </si>
  <si>
    <t xml:space="preserve">From title_match: exact 10, adjacent 5, none 0.</t>
  </si>
  <si>
    <t xml:space="preserve">0, 15 (offices) or 0, 10 (brands)</t>
  </si>
  <si>
    <t xml:space="preserve">From known_to_founder.</t>
  </si>
  <si>
    <t xml:space="preserve">0 to 25</t>
  </si>
  <si>
    <t xml:space="preserve">Best graded store within ten blocks: store page inside the cluster 25, store page within ten blocks 20, brand locator inside 17, brand locator within ten 13; online store only 6; none 0.</t>
  </si>
  <si>
    <t xml:space="preserve">0 to 20</t>
  </si>
  <si>
    <t xml:space="preserve">HQ New York City 20, rest of New York State 13, Northeast 8, elsewhere 3, unknown 4; minus 3 when a New York HQ is unverified.</t>
  </si>
  <si>
    <t xml:space="preserve">Press in the last 180 days 15, 181 to 365 days 8; own listing in 180 days 8, 181 to 365 days 4; none or unverified 0.</t>
  </si>
  <si>
    <t xml:space="preserve">0 to 10</t>
  </si>
  <si>
    <t xml:space="preserve">Revenue $500k to $10M 10; unknown 5; under $500k 2; over $10M 0.</t>
  </si>
  <si>
    <t xml:space="preserve">Shelf-stable Y 4, likely 2, unknown 1; individually packaged Y 3, unknown 1; online store Y 3, unknown 1.</t>
  </si>
  <si>
    <t xml:space="preserve">Founder named on an opened page 6 (first name only or snippet 3); marketing lead named on an opened page 4 (snippet 2).</t>
  </si>
  <si>
    <t xml:space="preserve">-35 to 0</t>
  </si>
  <si>
    <t xml:space="preserve">The most severe founder-review type: sourced revenue over $10M -35; large-company owner -25; scale signals -12; dormant -12; heritage -10; perishable risk -8; under $500k -5; alcohol-adjacent -5; borderline claim -4; pack format -4; other -2.</t>
  </si>
  <si>
    <t xml:space="preserve">owner, scale-reported, scale, dormant, not-emerging, perishable-risk, under-floor, alcohol-adjacent, format, claim-borderline, other</t>
  </si>
  <si>
    <t xml:space="preserve">The founder-review reason sorted into types; the most severe sets score_review.</t>
  </si>
  <si>
    <t xml:space="preserve">le500, 501-1000, 1001-4999, 5000+, unknown</t>
  </si>
  <si>
    <t xml:space="preserve">Company-wide size class used by score_size.</t>
  </si>
  <si>
    <t xml:space="preserve">Middle of the Tuesday range on a ratio scale (square root of low x high).</t>
  </si>
  <si>
    <t xml:space="preserve">may be under 30, may exceed 250, 30 to 39 is the founder's call, central estimate under 30; under-30 and over-250 mean the row failed the gate.</t>
  </si>
  <si>
    <t xml:space="preserve">The Tuesday estimate's arithmetic in words: count x New York share x in-office rate.</t>
  </si>
  <si>
    <t xml:space="preserve">Always 'estimate until intake replaces it'.</t>
  </si>
  <si>
    <t xml:space="preserve">0 to 1 or unknown</t>
  </si>
  <si>
    <t xml:space="preserve">Share of the Tuesday range inside 40 to 250 (ratio scale); the first tie-break.</t>
  </si>
  <si>
    <t xml:space="preserve">contact</t>
  </si>
  <si>
    <t xml:space="preserve">The primary contact's name as found, even when it is not verified enough for first_name.</t>
  </si>
  <si>
    <t xml:space="preserve">YYYY-MM-DD, YYYY or blank</t>
  </si>
  <si>
    <t xml:space="preserve">The source's own date for the contact (The Org 'updated' date, article date). Older than 12 months adds a check to check_before_send.</t>
  </si>
  <si>
    <t xml:space="preserve">What the page said, where it was found and any doubt.</t>
  </si>
  <si>
    <t xml:space="preserve">confirmed, likely, unconfirmed</t>
  </si>
  <si>
    <t xml:space="preserve">Whether the contact works from the New York office: confirmed (the employer's page or The Org's office record), likely (New York area or a New York firm's page with no city), unconfirmed.</t>
  </si>
  <si>
    <t xml:space="preserve">Where a LinkedIn URL came from. LinkedIn itself was never opened.</t>
  </si>
  <si>
    <t xml:space="preserve">Y, N (offices); stage 2, stage 3, stage 1 only (brands)</t>
  </si>
  <si>
    <t xml:space="preserve">Whether stage 2 or 3 researched this row's contacts (the top 50 offices and top 60 brands).</t>
  </si>
  <si>
    <t xml:space="preserve">Backup contact's first name (opened page only).</t>
  </si>
  <si>
    <t xml:space="preserve">text, unknown or blank</t>
  </si>
  <si>
    <t xml:space="preserve">Backup contact's surname.</t>
  </si>
  <si>
    <t xml:space="preserve">Backup contact's title.</t>
  </si>
  <si>
    <t xml:space="preserve">Backup contact's LinkedIn profile, if linked from an opened page.</t>
  </si>
  <si>
    <t xml:space="preserve">Backup's work email (waterfall); blank today.</t>
  </si>
  <si>
    <t xml:space="preserve">As email_status, for the backup.</t>
  </si>
  <si>
    <t xml:space="preserve">Why the backup: pantry or office lead (offices); marketing lead or co-founder or executive (brands).</t>
  </si>
  <si>
    <t xml:space="preserve">Backup's name as found.</t>
  </si>
  <si>
    <t xml:space="preserve">As contact_status, for the backup.</t>
  </si>
  <si>
    <t xml:space="preserve">as contact_evidence</t>
  </si>
  <si>
    <t xml:space="preserve">What kind of page supports the backup.</t>
  </si>
  <si>
    <t xml:space="preserve">The page that supports the backup.</t>
  </si>
  <si>
    <t xml:space="preserve">date or blank</t>
  </si>
  <si>
    <t xml:space="preserve">The backup source's own date.</t>
  </si>
  <si>
    <t xml:space="preserve">Notes on the backup.</t>
  </si>
  <si>
    <t xml:space="preserve">Where the backup's LinkedIn URL came from (stage-1 rows).</t>
  </si>
  <si>
    <t xml:space="preserve">What the group's rows share (parent, operator, name or person).</t>
  </si>
  <si>
    <t xml:space="preserve">office research</t>
  </si>
  <si>
    <t xml:space="preserve">company, coworking-operator</t>
  </si>
  <si>
    <t xml:space="preserve">A company office, or a coworking site that may join as one office if the operator controls the pantry.</t>
  </si>
  <si>
    <t xml:space="preserve">B-C-### or B-W-###</t>
  </si>
  <si>
    <t xml:space="preserve">The row's ID in B's files.</t>
  </si>
  <si>
    <t xml:space="preserve">URL or unknown</t>
  </si>
  <si>
    <t xml:space="preserve">Company or brand website (the domain the email waterfall uses).</t>
  </si>
  <si>
    <t xml:space="preserve">Short industry label from the research slice.</t>
  </si>
  <si>
    <t xml:space="preserve">number as sourced or unknown</t>
  </si>
  <si>
    <t xml:space="preserve">The sourced headcount the estimate starts from (B's headcount_count, else the company-wide count cited).</t>
  </si>
  <si>
    <t xml:space="preserve">number or blank</t>
  </si>
  <si>
    <t xml:space="preserve">B's second, independent count.</t>
  </si>
  <si>
    <t xml:space="preserve">CONTRACTS band</t>
  </si>
  <si>
    <t xml:space="preserve">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</si>
  <si>
    <t xml:space="preserve">whole-company, nyc-office, unknown</t>
  </si>
  <si>
    <t xml:space="preserve">whole-company (the count covers the whole firm), nyc-office (the source counts the New York office), or unknown.</t>
  </si>
  <si>
    <t xml:space="preserve">agree, disagree, single-source, scope-differs, no-count, over-500-second-source</t>
  </si>
  <si>
    <t xml:space="preserve">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</si>
  <si>
    <t xml:space="preserve">Where the count came from.</t>
  </si>
  <si>
    <t xml:space="preserve">Source of headcount_second_count: a Revelio Labs public page (reveliolabs.com/companies/&lt;slug&gt;/employees, matched on legal name and description), the company's own page, or for swapped rows the original Built In page.</t>
  </si>
  <si>
    <t xml:space="preserve">Y if hq_city is New York, N if elsewhere, unknown. A whole-company band for an N row can be far larger than the New York office.</t>
  </si>
  <si>
    <t xml:space="preserve">Owner of the company where a source names one (for example a P&amp;G or LVMH brand; review round 3 added owners named on Wikipedia), else 'unknown'. A parent far over 500 matters to 'firms under 500 preferred'. Stage 3 added Axon (Carbyne, Prepared 911) and DraftKings (Simplebet) with sources in a_corrections.</t>
  </si>
  <si>
    <t xml:space="preserve">Company LinkedIn page: unknown on every row (LinkedIn not opened).</t>
  </si>
  <si>
    <t xml:space="preserve">5 digits</t>
  </si>
  <si>
    <t xml:space="preserve">ZIP code from a source for the building, else from NYC PLUTO (2026 v2) for the tax lot.</t>
  </si>
  <si>
    <t xml:space="preserve">decimal degrees</t>
  </si>
  <si>
    <t xml:space="preserve">Latitude, WGS84 decimal degrees. From the project geocoder (_shared/geocode.py: NYC Planning GeoSearch, the city's own address database). A pin that landed on the far side of its tax lot was moved to the addressed block face; that row's notes say so.</t>
  </si>
  <si>
    <t xml:space="preserve">Longitude, WGS84 decimal degrees. Same source as lat.</t>
  </si>
  <si>
    <t xml:space="preserve">Y if the pin is inside boundary.geojson, else N (computed, not judged).</t>
  </si>
  <si>
    <t xml:space="preserve">Walking distance from the boundary on the street grid, in street blocks (79.4 m each); 0 inside. Crosstown metres count at their length, so the Sixth-to-Fifth block counts as about 3.9.</t>
  </si>
  <si>
    <t xml:space="preserve">B-B-### or blank</t>
  </si>
  <si>
    <t xml:space="preserve">B-B-### of the building row in the Buildings tab; blank if the building is not in that tab (near-miss rows outside the line).</t>
  </si>
  <si>
    <t xml:space="preserve">Building name from research (landlord or common name).</t>
  </si>
  <si>
    <t xml:space="preserve">Source that places the company at the address.</t>
  </si>
  <si>
    <t xml:space="preserve">date</t>
  </si>
  <si>
    <t xml:space="preserve">Date of that source (publication date, or the date a live page was opened).</t>
  </si>
  <si>
    <t xml:space="preserve">company-site, leasing-press, builtin, building-site, press-release, wikipedia, other, operator-site</t>
  </si>
  <si>
    <t xml:space="preserve">company-site, leasing-press, builtin, building-site, press-release, wikipedia or other.</t>
  </si>
  <si>
    <t xml:space="preserve">Independent confirmation, if any: press, a landlord or broker release, a filing or an encyclopedia. On a high row it is never an employer-editable profile when the first source is the company's own page (review round 3).</t>
  </si>
  <si>
    <t xml:space="preserve">Date of the second source.</t>
  </si>
  <si>
    <t xml:space="preserve">Set when a source is a sec.gov filing agents do not open (the founder may open it in a browser).</t>
  </si>
  <si>
    <t xml:space="preserve">high, medium, low</t>
  </si>
  <si>
    <t xml:space="preserve">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</si>
  <si>
    <t xml:space="preserve">YYYY-MM, unknown or blank</t>
  </si>
  <si>
    <t xml:space="preserve">For signed-not-occupied and moving-out rows: YYYY-MM if a source states the month, else 'unknown' (a planned season is written in notes). Blank when the row is occupied or occupancy-unconfirmed.</t>
  </si>
  <si>
    <t xml:space="preserve">Y if the company is inside a coworking or serviced-office space (listed as a resident, or on a floor the operator holds), else N. Y rows are excluded as offices.</t>
  </si>
  <si>
    <t xml:space="preserve">B-W-### or blank</t>
  </si>
  <si>
    <t xml:space="preserve">B-W-### of the coworking site the company is inside (only when in_coworking = Y). For a company that merely shares a building with a coworking site, see coworking_check and the building's coworking_ids.</t>
  </si>
  <si>
    <t xml:space="preserve">operator, tenant, unknown (coworking rows)</t>
  </si>
  <si>
    <t xml:space="preserve">operator (the operator's own page or listing says it supplies coffee, drinks or snacks), tenant, or unknown.</t>
  </si>
  <si>
    <t xml:space="preserve">walk-up, security desk, loading dock, unknown</t>
  </si>
  <si>
    <t xml:space="preserve">walk-up, security desk, loading dock or unknown. Set only from an opened source (broker page, building site, press); undated broker pages are a starting point for the walk, not a verification.</t>
  </si>
  <si>
    <t xml:space="preserve">Source for lobby_type.</t>
  </si>
  <si>
    <t xml:space="preserve">yes, no, unknown</t>
  </si>
  <si>
    <t xml:space="preserve">yes, no or unknown: whether the building requires a certificate of insurance for deliveries. No opened source states a delivery rule, so every row is unknown.</t>
  </si>
  <si>
    <t xml:space="preserve">Y when the employer's own policy text names Tuesday as an office day.</t>
  </si>
  <si>
    <t xml:space="preserve">The words the attendance signal rests on.</t>
  </si>
  <si>
    <t xml:space="preserve">Page the attendance signal comes from (Built In offices page, opened 2026-10-24, or B's source).</t>
  </si>
  <si>
    <t xml:space="preserve">Date that page was opened.</t>
  </si>
  <si>
    <t xml:space="preserve">candidate, excluded-coworking, excluded-not-office, near-miss, coworking-operator</t>
  </si>
  <si>
    <t xml:space="preserve">candidate (in the boundary, 40-500 or unknown band, not in coworking); excluded-coworking; excluded-not-office (for example a mailbox suite); near-miss-over-500; near-miss-outside.</t>
  </si>
  <si>
    <t xml:space="preserve">Near-miss tab only: just-over-500 (501 to 1,000, the brief's 'just over 500'), over-1,000 (1,001 to 4,999), not-near (5,000 or more), over-500-count-not-cited, or outside-line (past the boundary).</t>
  </si>
  <si>
    <t xml:space="preserve">Near-miss tab only: Y where a source suggests the New York office alone could fit the 40-250 band (a small NYC lease against an HQ elsewhere, or the source says so). A flag for a founder look, not a size estimate.</t>
  </si>
  <si>
    <t xml:space="preserve">numbers</t>
  </si>
  <si>
    <t xml:space="preserve">Office sizes (square feet) that appear in the sourced notes. A fact from the source, not a headcount.</t>
  </si>
  <si>
    <t xml:space="preserve">B's research notes for the row, with sources.</t>
  </si>
  <si>
    <t xml:space="preserve">Facts this workstream changed after B, each with its source and date (_work/stage3_corrections.csv).</t>
  </si>
  <si>
    <t xml:space="preserve">two-letter state, country or unknown</t>
  </si>
  <si>
    <t xml:space="preserve">Brand HQ state.</t>
  </si>
  <si>
    <t xml:space="preserve">nyc, nys, northeast, elsewhere, unknown, with '(unverified)'</t>
  </si>
  <si>
    <t xml:space="preserve">HQ class used by score_ny (New York brands come first).</t>
  </si>
  <si>
    <t xml:space="preserve">Funding stage as researched.</t>
  </si>
  <si>
    <t xml:space="preserve">Source of funding_stage.</t>
  </si>
  <si>
    <t xml:space="preserve">Y, likely, unknown, N</t>
  </si>
  <si>
    <t xml:space="preserve">Sealed and shelf-stable; N fails the gate; likely or unknown pass with founder_review (the 60-day shelf life is asked at intake, q1).</t>
  </si>
  <si>
    <t xml:space="preserve">The page and words shelf_stable rests on.</t>
  </si>
  <si>
    <t xml:space="preserve">Y, unknown, N</t>
  </si>
  <si>
    <t xml:space="preserve">Single-serve, individually packaged SKU.</t>
  </si>
  <si>
    <t xml:space="preserve">The brand sells online (its own store, or Amazon linked from its site).</t>
  </si>
  <si>
    <t xml:space="preserve">under-500k, 500k-10m, over-10m, unknown</t>
  </si>
  <si>
    <t xml:space="preserve">Revenue band with basis, or unknown. Over $10M sets the -35 review penalty.</t>
  </si>
  <si>
    <t xml:space="preserve">reported, company projection, press quote, and its age.</t>
  </si>
  <si>
    <t xml:space="preserve">The figure and its source, or unknown.</t>
  </si>
  <si>
    <t xml:space="preserve">Researcher's note on claims (nutrient-content claims are allowed with founder_review; structure or function claims fail the gate).</t>
  </si>
  <si>
    <t xml:space="preserve">The researcher's own exclusion call.</t>
  </si>
  <si>
    <t xml:space="preserve">Why the researcher excluded it.</t>
  </si>
  <si>
    <t xml:space="preserve">Street blocks from the boundary to nearest_stocked_retailer (B's grid measure); 0 is inside.</t>
  </si>
  <si>
    <t xml:space="preserve">The nearest graded store is inside the line.</t>
  </si>
  <si>
    <t xml:space="preserve">Stores within ten blocks graded store_selector or brand_claim.</t>
  </si>
  <si>
    <t xml:space="preserve">list</t>
  </si>
  <si>
    <t xml:space="preserve">Every store within ten blocks with grade and distance.</t>
  </si>
  <si>
    <t xml:space="preserve">Stores further out or with no address.</t>
  </si>
  <si>
    <t xml:space="preserve">Retailers the researcher found (any distance).</t>
  </si>
  <si>
    <t xml:space="preserve">URLs</t>
  </si>
  <si>
    <t xml:space="preserve">Pages behind the store links (store catalog, locator).</t>
  </si>
  <si>
    <t xml:space="preserve">press, listing, unverified, none, stale (over 12 months)</t>
  </si>
  <si>
    <t xml:space="preserve">press: a third party; listing: the brand's own site or store feed; unverified earns nothing.</t>
  </si>
  <si>
    <t xml:space="preserve">Days from why_now_date to 2026-10-24.</t>
  </si>
  <si>
    <t xml:space="preserve">The public Startup CPG page behind startup_cpg_member = Y.</t>
  </si>
  <si>
    <t xml:space="preserve">Brand Instagram (not opened).</t>
  </si>
  <si>
    <t xml:space="preserve">BR1 to BR5</t>
  </si>
  <si>
    <t xml:space="preserve">Which research slice found the brand.</t>
  </si>
  <si>
    <t xml:space="preserve">BRn:line</t>
  </si>
  <si>
    <t xml:space="preserve">The line in that slice file.</t>
  </si>
  <si>
    <t xml:space="preserve">Research notes with sources, then build notes after ' | '.</t>
  </si>
  <si>
    <t xml:space="preserve">Every field update applied to the row, with source, date and confidence.</t>
  </si>
  <si>
    <t xml:space="preserve">outreach tracking (E)</t>
  </si>
  <si>
    <t xml:space="preserve">&lt;side&gt;-&lt;stage&gt;-&lt;variant&gt;, e.g. office-discovery-A</t>
  </si>
  <si>
    <t xml:space="preserve">E: the sequence started (desk-drop-outreach/tracking/csv/clay_tracking_columns.csv).</t>
  </si>
  <si>
    <t xml:space="preserve">E: day the first message with the ask was sent.</t>
  </si>
  <si>
    <t xml:space="preserve">E: day touch 2 was sent.</t>
  </si>
  <si>
    <t xml:space="preserve">E: day touch 3 was sent (last touch).</t>
  </si>
  <si>
    <t xml:space="preserve">E: the latest reply.</t>
  </si>
  <si>
    <t xml:space="preserve">E's list</t>
  </si>
  <si>
    <t xml:space="preserve">E: the latest meaningful reply type.</t>
  </si>
  <si>
    <t xml:space="preserve">E: the latest conversation.</t>
  </si>
  <si>
    <t xml:space="preserve">one line</t>
  </si>
  <si>
    <t xml:space="preserve">E: one line plus 'see tracker &lt;call_date&gt;'.</t>
  </si>
  <si>
    <t xml:space="preserve">E: Y if any conversation said yes in principle.</t>
  </si>
  <si>
    <t xml:space="preserve">E: the next step (drives the follow-up view).</t>
  </si>
  <si>
    <t xml:space="preserve">E: when the next step is due.</t>
  </si>
  <si>
    <t xml:space="preserve">E: the row that referred this person (a new row E adds).</t>
  </si>
  <si>
    <t xml:space="preserve">E: the street name with no number, for {area}.</t>
  </si>
  <si>
    <t xml:space="preserve">E: the hook written after opening why_now_url.</t>
  </si>
  <si>
    <t xml:space="preserve">two to four words</t>
  </si>
  <si>
    <t xml:space="preserve">E: the product's own name for {product}.</t>
  </si>
  <si>
    <t xml:space="preserve">twelve words or fewer</t>
  </si>
  <si>
    <t xml:space="preserve">E: what they said on the call.</t>
  </si>
  <si>
    <t xml:space="preserve">fifteen words or fewer</t>
  </si>
  <si>
    <t xml:space="preserve">E: how the founder knows them (warm templates).</t>
  </si>
  <si>
    <t xml:space="preserve">E: the referrer agreed to be named.</t>
  </si>
  <si>
    <t xml:space="preserve">E: every office on the brand's route said yes (gates the agreement and invoice).</t>
  </si>
  <si>
    <t xml:space="preserve">view helper</t>
  </si>
  <si>
    <t xml:space="preserve">Y when status is queued, contacted, replied, call_booked, call_done, yes_in_principle or materials_sent.</t>
  </si>
  <si>
    <t xml:space="preserve">Y when any row in the company_group is in flight or do_not_contact.</t>
  </si>
  <si>
    <t xml:space="preserve">Y when status = new, do_not_contact = N, ready_for_outreach = Y, opt_out_date blank and the group is not blocked.</t>
  </si>
  <si>
    <t xml:space="preserve">Y for the best-scored eligible row of its group (one contact per company).</t>
  </si>
  <si>
    <t xml:space="preserve">Y for daily_view_rank 1 to 10.</t>
  </si>
  <si>
    <t xml:space="preserve">The row's position (the workbook uses ROW()); the last tie-break.</t>
  </si>
  <si>
    <t xml:space="preserve">table</t>
  </si>
  <si>
    <t xml:space="preserve">part</t>
  </si>
  <si>
    <t xml:space="preserve">points</t>
  </si>
  <si>
    <t xml:space="preserve">rule in plain words</t>
  </si>
  <si>
    <t xml:space="preserve">Offices</t>
  </si>
  <si>
    <t xml:space="preserve">HARD GATES</t>
  </si>
  <si>
    <t xml:space="preserve">Applied before any enrichment spend. A row fails if any one holds; a failed row scores 0.</t>
  </si>
  <si>
    <t xml:space="preserve">gate</t>
  </si>
  <si>
    <t xml:space="preserve">Outside the cluster: B's in_boundary = N against cluster-1-flatiron/boundary.geojson.</t>
  </si>
  <si>
    <t xml:space="preserve">Inside a coworking space (B's in_coworking = Y), or no staffed office at the address.</t>
  </si>
  <si>
    <t xml:space="preserve">Tuesday estimate wholly under 30 or wholly over 250. A range that crosses 30 or 250 passes with a flag.</t>
  </si>
  <si>
    <t xml:space="preserve">Coworking site whose operator is not shown to control the pantry, or a site possibly closed.</t>
  </si>
  <si>
    <t xml:space="preserve">SCORE</t>
  </si>
  <si>
    <t xml:space="preserve">How likely this office fits the drop and can say yes, from what is known today.</t>
  </si>
  <si>
    <t xml:space="preserve">25 x the share of the Tuesday range inside 40 to 250 (ratio scale), plus 5 when the count is for the New York office; unknown headcount 7.</t>
  </si>
  <si>
    <t xml:space="preserve">500 or fewer staff 15; 501 to 1,000 6; 1,001 to 4,999 2; 5,000+ 0; unknown 8; minus 4 when a controlling parent is named.</t>
  </si>
  <si>
    <t xml:space="preserve">Occupied 10, occupancy-unconfirmed 5, signed-not-occupied 2; 0 with an address conflict; plus source confidence high 5, medium 3, low 0.</t>
  </si>
  <si>
    <t xml:space="preserve">Primary contact in the five target titles (or their direct forms), on an opened page, in New York: 10. Any other named person: 5. Nobody: 0.</t>
  </si>
  <si>
    <t xml:space="preserve">0 or 15</t>
  </si>
  <si>
    <t xml:space="preserve">known_to_founder = Y.</t>
  </si>
  <si>
    <t xml:space="preserve">ties</t>
  </si>
  <si>
    <t xml:space="preserve">Share of the range inside 40 to 250, then source confidence, then name.</t>
  </si>
  <si>
    <t xml:space="preserve">Tuesday estimate</t>
  </si>
  <si>
    <t xml:space="preserve">Sourced count x New York share (100% for a New York office count; 50% to 100% for a company-wide count with a New York HQ; 5% to 100% otherwise) x the in-office rate (67% for firms of 500 or fewer, 57% for 501 to 4,999, 46% for 5,000+; Partnership for New York City, March 2025, via plan.md). Low to high, central = square root of low x high. An estimate until intake replaces it.</t>
  </si>
  <si>
    <t xml:space="preserve">Brands</t>
  </si>
  <si>
    <t xml:space="preserve">A row fails if any one holds; a failed row scores 0.</t>
  </si>
  <si>
    <t xml:space="preserve">Excluded category: alcohol, cannabis or hemp, supplements, anything needing preparation.</t>
  </si>
  <si>
    <t xml:space="preserve">An explicit health claim (structure or function wording such as 'supports gut health'). Nutrient-content claims such as '10g protein' pass with founder_review = Y.</t>
  </si>
  <si>
    <t xml:space="preserve">Not shelf-stable: refrigerated, frozen, under 60 days, or shelf_stable = N.</t>
  </si>
  <si>
    <t xml:space="preserve">No buy path: no graded store (store_selector or brand_claim) within ten blocks of the cluster and no online store.</t>
  </si>
  <si>
    <t xml:space="preserve">How likely this brand fits a founding campaign now: buyable near the offices, New York first, with a reason to sample now and a reachable owner.</t>
  </si>
  <si>
    <t xml:space="preserve">Store page inside the cluster 25; store page within ten blocks 20; brand locator inside 17; brand locator within ten 13; online store only 6; none 0.</t>
  </si>
  <si>
    <t xml:space="preserve">HQ New York City 20; rest of New York State 13; Northeast 8; elsewhere 3; unknown 4; minus 3 when a New York HQ is unverified.</t>
  </si>
  <si>
    <t xml:space="preserve">Press in the last 180 days 15, 181 to 365 days 8; own new listing in 180 days 8, 181 to 365 days 4; none or unverified 0.</t>
  </si>
  <si>
    <t xml:space="preserve">$500k to $10M 10; unknown 5; under $500k 2; over $10M 0.</t>
  </si>
  <si>
    <t xml:space="preserve">Founder named on an opened page 6 (first name only or snippet 3); marketing lead on an opened page 4 (snippet 2).</t>
  </si>
  <si>
    <t xml:space="preserve">0 or 10</t>
  </si>
  <si>
    <t xml:space="preserve">The most severe founder-review type: revenue over $10M sourced -35; owned by a large company -25; scale signals -12; dormant -12; heritage -10; perishable risk -8; under $500k -5; alcohol-adjacent -5; borderline claim -4; pack format -4; other -2.</t>
  </si>
  <si>
    <t xml:space="preserve">Store grade, then why-now points, then name.</t>
  </si>
  <si>
    <t xml:space="preserve">Both</t>
  </si>
  <si>
    <t xml:space="preserve">DAILY VIEW</t>
  </si>
  <si>
    <t xml:space="preserve">The ten best-scored rows with status = new, do_not_contact = N, ready_for_outreach = Y and no opt_out_date, taking one row per company_group and skipping any group with a row in flight (queued to materials_sent) or a do-not-contact row.</t>
  </si>
  <si>
    <t xml:space="preserve">Y/N</t>
  </si>
  <si>
    <t xml:space="preserve">Passed the gates, not on hold, a contact named on an opened page, and (offices) a Tuesday band of 40 to 250 or founder_ok_to_queue = Y.</t>
  </si>
  <si>
    <t xml:space="preserve">company_name</t>
  </si>
  <si>
    <t xml:space="preserve">Desk Drop</t>
  </si>
  <si>
    <t xml:space="preserve">The working name lives in this one cell.</t>
  </si>
  <si>
    <t xml:space="preserve">TAGLINE</t>
  </si>
  <si>
    <t xml:space="preserve">Emerging brands. Delivered to your workday.</t>
  </si>
  <si>
    <t xml:space="preserve">minute</t>
  </si>
  <si>
    <t xml:space="preserve">step</t>
  </si>
  <si>
    <t xml:space="preserve">where</t>
  </si>
  <si>
    <t xml:space="preserve">what to do</t>
  </si>
  <si>
    <t xml:space="preserve">0:00-2:00</t>
  </si>
  <si>
    <t xml:space="preserve">1. Log yesterday</t>
  </si>
  <si>
    <t xml:space="preserve">Offices and Brands tabs (or Clay)</t>
  </si>
  <si>
    <t xml:space="preserve">For every reply, bounce and opt-out since yesterday set status (CONTRACTS section 4 words) and E's columns. Any opt-out in any words: do_not_contact = Y, status = do_not_contact, opt_out_date = today. Never reverse it. A wrong_person reply: copy the backup_ contact into the primary columns, reset title_match, set status = new.</t>
  </si>
  <si>
    <t xml:space="preserve">2:00-3:00</t>
  </si>
  <si>
    <t xml:space="preserve">2. Clear holds you checked</t>
  </si>
  <si>
    <t xml:space="preserve">Offices tab</t>
  </si>
  <si>
    <t xml:space="preserve">If a walk-by showed a held company on the lobby directory, set hold_before_outreach = N (it may then enter the view). If you want an under-40 or over-250 estimate in anyway, set founder_ok_to_queue = Y.</t>
  </si>
  <si>
    <t xml:space="preserve">3:00-4:00</t>
  </si>
  <si>
    <t xml:space="preserve">3. Open both daily views</t>
  </si>
  <si>
    <t xml:space="preserve">Daily view - Offices, Daily view - Brands</t>
  </si>
  <si>
    <t xml:space="preserve">They have already updated. Take the top five of each (ten a day, the plan's pace). Rows 6 to 10 are spares for any row that fails step 4.</t>
  </si>
  <si>
    <t xml:space="preserve">4:00-13:00</t>
  </si>
  <si>
    <t xml:space="preserve">4. One minute per row, ten rows</t>
  </si>
  <si>
    <t xml:space="preserve">check_before_send column</t>
  </si>
  <si>
    <t xml:space="preserve">Read score_reason and check_before_send. Do what it says and nothing more: find the person on LinkedIn and paste contact_linkedin_url (this confirms the name and role); confirm an old record; for a brand, re-open the store page before using the retailer line; read a founder-review note. If the person has left or the row is wrong, set status = wrong_person (offices: try the backup) or no, and take the next spare.</t>
  </si>
  <si>
    <t xml:space="preserve">13:00-14:00</t>
  </si>
  <si>
    <t xml:space="preserve">5. Export</t>
  </si>
  <si>
    <t xml:space="preserve">File &gt; Download &gt; CSV (each daily view tab)</t>
  </si>
  <si>
    <t xml:space="preserve">Save the two tabs as daily-view-offices.csv and daily-view-brands.csv for E's draft maker (desk-drop-outreach/messages/_render/fill.py drafts --daily; it accepts status new or queued for a first touch). Export before step 6: a queued row leaves the live view at once. Sending is E's routine, not this one.</t>
  </si>
  <si>
    <t xml:space="preserve">14:00-15:00</t>
  </si>
  <si>
    <t xml:space="preserve">6. Queue</t>
  </si>
  <si>
    <t xml:space="preserve">status column</t>
  </si>
  <si>
    <t xml:space="preserve">Set status = queued on the rows you will send today (about five per side). They leave the daily view and their company_group is blocked, so no second person from the same company is in flight. Rows you skipped stay new for tomorrow.</t>
  </si>
  <si>
    <t xml:space="preserve">WEEKLY</t>
  </si>
  <si>
    <t xml:space="preserve">Friday, 10 min</t>
  </si>
  <si>
    <t xml:space="preserve">Refresh</t>
  </si>
  <si>
    <t xml:space="preserve">Offices and Brands tabs</t>
  </si>
  <si>
    <t xml:space="preserve">Copy B's walk notes into hold_before_outreach (N once the lobby directory shows the company); mark known_to_founder for anyone you know; add a row for each referral (status = new, referral_from = the referrer's row_id). Before anyone rebuilds the files, save these two tabs as CSV in clay-icp-tables/live/ so status carries over (clay-build-sheet.md, section 4).</t>
  </si>
  <si>
    <t xml:space="preserve">COLOR KEY</t>
  </si>
  <si>
    <t xml:space="preserve">yellow header</t>
  </si>
  <si>
    <t xml:space="preserve">you edit</t>
  </si>
  <si>
    <t xml:space="preserve">status-side columns the founder sets (known_to_founder, hold_before_outreach, founder_ok_to_queue, title_match, contact_linkedin_url, work_email)</t>
  </si>
  <si>
    <t xml:space="preserve">blue header</t>
  </si>
  <si>
    <t xml:space="preserve">outreach edits</t>
  </si>
  <si>
    <t xml:space="preserve">status, do_not_contact and E's tracking columns, written the same day</t>
  </si>
  <si>
    <t xml:space="preserve">grey header</t>
  </si>
  <si>
    <t xml:space="preserve">never type here: score, readiness and the view helpers</t>
  </si>
  <si>
    <t xml:space="preserve">white header</t>
  </si>
  <si>
    <t xml:space="preserve">researched facts; change them by fixing the source in _build/ and rebuilding</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</si>
</sst>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0"/>
      <name val="Arial"/>
      <family val="2"/>
    </font>
  </fonts>
  <fills count="6">
    <fill>
      <patternFill patternType="none"/>
    </fill>
    <fill>
      <patternFill patternType="gray125"/>
    </fill>
    <fill>
      <patternFill patternType="solid">
        <fgColor rgb="FFFFFFFF"/>
        <bgColor rgb="FFFFF2CC"/>
      </patternFill>
    </fill>
    <fill>
      <patternFill patternType="solid">
        <fgColor rgb="FFFFF2CC"/>
        <bgColor rgb="FFFFFFFF"/>
      </patternFill>
    </fill>
    <fill>
      <patternFill patternType="solid">
        <fgColor rgb="FFD9D9D9"/>
        <bgColor rgb="FFDDEBF7"/>
      </patternFill>
    </fill>
    <fill>
      <patternFill patternType="solid">
        <fgColor rgb="FFDDEBF7"/>
        <bgColor rgb="FFD9D9D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F2CC"/>
          <bgColor rgb="FF000000"/>
        </patternFill>
      </fill>
    </dxf>
    <dxf>
      <fill>
        <patternFill patternType="solid">
          <fgColor rgb="FFD9D9D9"/>
          <bgColor rgb="FF000000"/>
        </patternFill>
      </fill>
    </dxf>
    <dxf>
      <fill>
        <patternFill patternType="solid">
          <fgColor rgb="FFDD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W30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4" min="3" style="0" width="14"/>
    <col collapsed="false" customWidth="true" hidden="false" outlineLevel="0" max="5" min="5" style="0" width="40"/>
    <col collapsed="false" customWidth="true" hidden="false" outlineLevel="0" max="10" min="6" style="0" width="14"/>
    <col collapsed="false" customWidth="true" hidden="false" outlineLevel="0" max="11" min="11" style="0" width="40"/>
    <col collapsed="false" customWidth="true" hidden="false" outlineLevel="0" max="14" min="12" style="0" width="14"/>
    <col collapsed="false" customWidth="true" hidden="false" outlineLevel="0" max="15" min="15" style="0" width="40"/>
    <col collapsed="false" customWidth="true" hidden="false" outlineLevel="0" max="27" min="16" style="0" width="14"/>
    <col collapsed="false" customWidth="true" hidden="false" outlineLevel="0" max="28" min="28" style="0" width="40"/>
    <col collapsed="false" customWidth="true" hidden="false" outlineLevel="0" max="43" min="29" style="0" width="14"/>
    <col collapsed="false" customWidth="true" hidden="false" outlineLevel="0" max="44" min="44" style="0" width="40"/>
    <col collapsed="false" customWidth="true" hidden="false" outlineLevel="0" max="46" min="45" style="0" width="14"/>
    <col collapsed="false" customWidth="true" hidden="false" outlineLevel="0" max="47" min="47" style="0" width="40"/>
    <col collapsed="false" customWidth="true" hidden="false" outlineLevel="0" max="50" min="48" style="0" width="14"/>
    <col collapsed="false" customWidth="true" hidden="false" outlineLevel="0" max="51" min="51" style="0" width="40"/>
    <col collapsed="false" customWidth="true" hidden="false" outlineLevel="0" max="94" min="52" style="0" width="14"/>
    <col collapsed="false" customWidth="true" hidden="false" outlineLevel="0" max="95" min="95" style="0" width="40"/>
    <col collapsed="false" customWidth="true" hidden="false" outlineLevel="0" max="114" min="96" style="0" width="14"/>
    <col collapsed="false" customWidth="true" hidden="false" outlineLevel="0" max="115" min="115" style="0" width="40"/>
    <col collapsed="false" customWidth="true" hidden="false" outlineLevel="0" max="118" min="116" style="0" width="14"/>
    <col collapsed="false" customWidth="true" hidden="false" outlineLevel="0" max="119" min="119" style="0" width="40"/>
    <col collapsed="false" customWidth="true" hidden="false" outlineLevel="0" max="153" min="120" style="0" width="14"/>
  </cols>
  <sheetData>
    <row r="1" customFormat="false" ht="15" hidden="false" customHeight="false" outlineLevel="0" collapsed="false">
      <c r="A1" s="1" t="s">
        <v>0</v>
      </c>
      <c r="B1" s="1" t="s">
        <v>1</v>
      </c>
      <c r="C1" s="1" t="s">
        <v>2</v>
      </c>
      <c r="D1" s="1" t="s">
        <v>3</v>
      </c>
      <c r="E1" s="1" t="s">
        <v>4</v>
      </c>
      <c r="F1" s="2" t="s">
        <v>5</v>
      </c>
      <c r="G1" s="2" t="s">
        <v>6</v>
      </c>
      <c r="H1" s="2" t="s">
        <v>7</v>
      </c>
      <c r="I1" s="1" t="s">
        <v>8</v>
      </c>
      <c r="J1" s="3" t="s">
        <v>9</v>
      </c>
      <c r="K1" s="1" t="s">
        <v>10</v>
      </c>
      <c r="L1" s="1" t="s">
        <v>11</v>
      </c>
      <c r="M1" s="1" t="s">
        <v>12</v>
      </c>
      <c r="N1" s="1" t="s">
        <v>13</v>
      </c>
      <c r="O1" s="1" t="s">
        <v>14</v>
      </c>
      <c r="P1" s="1" t="s">
        <v>15</v>
      </c>
      <c r="Q1" s="1" t="s">
        <v>16</v>
      </c>
      <c r="R1" s="2" t="s">
        <v>17</v>
      </c>
      <c r="S1" s="1" t="s">
        <v>18</v>
      </c>
      <c r="T1" s="4" t="s">
        <v>19</v>
      </c>
      <c r="U1" s="4" t="s">
        <v>20</v>
      </c>
      <c r="V1" s="1" t="s">
        <v>21</v>
      </c>
      <c r="W1" s="1" t="s">
        <v>22</v>
      </c>
      <c r="X1" s="1" t="s">
        <v>23</v>
      </c>
      <c r="Y1" s="3" t="s">
        <v>24</v>
      </c>
      <c r="Z1" s="1" t="s">
        <v>25</v>
      </c>
      <c r="AA1" s="1" t="s">
        <v>26</v>
      </c>
      <c r="AB1" s="1" t="s">
        <v>27</v>
      </c>
      <c r="AC1" s="1" t="s">
        <v>28</v>
      </c>
      <c r="AD1" s="1" t="s">
        <v>29</v>
      </c>
      <c r="AE1" s="1" t="s">
        <v>30</v>
      </c>
      <c r="AF1" s="1" t="s">
        <v>31</v>
      </c>
      <c r="AG1" s="1" t="s">
        <v>32</v>
      </c>
      <c r="AH1" s="2" t="s">
        <v>33</v>
      </c>
      <c r="AI1" s="1" t="s">
        <v>34</v>
      </c>
      <c r="AJ1" s="1" t="s">
        <v>35</v>
      </c>
      <c r="AK1" s="1" t="s">
        <v>36</v>
      </c>
      <c r="AL1" s="1" t="s">
        <v>37</v>
      </c>
      <c r="AM1" s="1" t="s">
        <v>38</v>
      </c>
      <c r="AN1" s="1" t="s">
        <v>39</v>
      </c>
      <c r="AO1" s="1" t="s">
        <v>40</v>
      </c>
      <c r="AP1" s="1" t="s">
        <v>41</v>
      </c>
      <c r="AQ1" s="2" t="s">
        <v>42</v>
      </c>
      <c r="AR1" s="1" t="s">
        <v>43</v>
      </c>
      <c r="AS1" s="4" t="s">
        <v>44</v>
      </c>
      <c r="AT1" s="3" t="s">
        <v>45</v>
      </c>
      <c r="AU1" s="3" t="s">
        <v>46</v>
      </c>
      <c r="AV1" s="2"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3" t="s">
        <v>102</v>
      </c>
      <c r="CZ1" s="3" t="s">
        <v>103</v>
      </c>
      <c r="DA1" s="1" t="s">
        <v>104</v>
      </c>
      <c r="DB1" s="1" t="s">
        <v>105</v>
      </c>
      <c r="DC1" s="1" t="s">
        <v>106</v>
      </c>
      <c r="DD1" s="2" t="s">
        <v>107</v>
      </c>
      <c r="DE1" s="2" t="s">
        <v>108</v>
      </c>
      <c r="DF1" s="2"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4" t="s">
        <v>130</v>
      </c>
      <c r="EB1" s="4" t="s">
        <v>131</v>
      </c>
      <c r="EC1" s="4" t="s">
        <v>132</v>
      </c>
      <c r="ED1" s="4" t="s">
        <v>133</v>
      </c>
      <c r="EE1" s="4" t="s">
        <v>134</v>
      </c>
      <c r="EF1" s="4" t="s">
        <v>135</v>
      </c>
      <c r="EG1" s="4" t="s">
        <v>136</v>
      </c>
      <c r="EH1" s="4" t="s">
        <v>137</v>
      </c>
      <c r="EI1" s="4" t="s">
        <v>138</v>
      </c>
      <c r="EJ1" s="4" t="s">
        <v>139</v>
      </c>
      <c r="EK1" s="4" t="s">
        <v>140</v>
      </c>
      <c r="EL1" s="4" t="s">
        <v>141</v>
      </c>
      <c r="EM1" s="4" t="s">
        <v>142</v>
      </c>
      <c r="EN1" s="4" t="s">
        <v>143</v>
      </c>
      <c r="EO1" s="4" t="s">
        <v>144</v>
      </c>
      <c r="EP1" s="4" t="s">
        <v>145</v>
      </c>
      <c r="EQ1" s="4" t="s">
        <v>146</v>
      </c>
      <c r="ER1" s="3" t="s">
        <v>147</v>
      </c>
      <c r="ES1" s="3" t="s">
        <v>148</v>
      </c>
      <c r="ET1" s="3" t="s">
        <v>149</v>
      </c>
      <c r="EU1" s="3" t="s">
        <v>150</v>
      </c>
      <c r="EV1" s="3" t="s">
        <v>151</v>
      </c>
      <c r="EW1" s="3" t="s">
        <v>152</v>
      </c>
    </row>
    <row r="2" customFormat="false" ht="15" hidden="false" customHeight="false" outlineLevel="0" collapsed="false">
      <c r="A2" s="0" t="s">
        <v>153</v>
      </c>
      <c r="B2" s="0" t="s">
        <v>154</v>
      </c>
      <c r="C2" s="0" t="s">
        <v>155</v>
      </c>
      <c r="D2" s="0" t="s">
        <v>156</v>
      </c>
      <c r="E2" s="0" t="s">
        <v>157</v>
      </c>
      <c r="H2" s="5" t="s">
        <v>158</v>
      </c>
      <c r="I2" s="5" t="s">
        <v>159</v>
      </c>
      <c r="J2" s="6" t="n">
        <f aca="false">IF(AX2="pass",ROUND(CU2+CV2+CW2+CX2+CY2+CZ2,1),0)</f>
        <v>80</v>
      </c>
      <c r="K2" s="6" t="s">
        <v>160</v>
      </c>
      <c r="L2" s="6" t="s">
        <v>161</v>
      </c>
      <c r="R2" s="5" t="s">
        <v>162</v>
      </c>
      <c r="S2" s="6" t="s">
        <v>163</v>
      </c>
      <c r="T2" s="5" t="s">
        <v>162</v>
      </c>
      <c r="U2" s="5" t="s">
        <v>164</v>
      </c>
      <c r="V2" s="6" t="s">
        <v>165</v>
      </c>
      <c r="W2" s="6" t="s">
        <v>166</v>
      </c>
      <c r="X2" s="6" t="s">
        <v>167</v>
      </c>
      <c r="Y2" s="0" t="str">
        <f aca="false">IF(EU2&lt;&gt;"Y","",COUNTIFS($EU$2:$EU$1000,"Y",$J$2:$J$1000,"&gt;"&amp;J2)+COUNTIFS($EU$2:$EU$1000,"Y",$J$2:$J$1000,J2,$EW$2:$EW$1000,"&lt;"&amp;EW2)+1)</f>
        <v/>
      </c>
      <c r="Z2" s="0" t="n">
        <v>1</v>
      </c>
      <c r="AA2" s="6" t="s">
        <v>168</v>
      </c>
      <c r="AB2" s="6" t="s">
        <v>169</v>
      </c>
      <c r="AC2" s="6" t="s">
        <v>170</v>
      </c>
      <c r="AD2" s="6" t="s">
        <v>171</v>
      </c>
      <c r="AE2" s="6" t="s">
        <v>172</v>
      </c>
      <c r="AF2" s="6" t="s">
        <v>173</v>
      </c>
      <c r="AG2" s="6" t="s">
        <v>174</v>
      </c>
      <c r="AH2" s="5" t="s">
        <v>175</v>
      </c>
      <c r="AI2" s="6" t="s">
        <v>176</v>
      </c>
      <c r="AJ2" s="6" t="s">
        <v>177</v>
      </c>
      <c r="AK2" s="6" t="s">
        <v>178</v>
      </c>
      <c r="AL2" s="0" t="n">
        <v>63</v>
      </c>
      <c r="AM2" s="0" t="n">
        <v>125</v>
      </c>
      <c r="AN2" s="6" t="s">
        <v>179</v>
      </c>
      <c r="AO2" s="6" t="s">
        <v>180</v>
      </c>
      <c r="AP2" s="6" t="s">
        <v>153</v>
      </c>
      <c r="AQ2" s="5" t="s">
        <v>162</v>
      </c>
      <c r="AT2" s="0" t="str">
        <f aca="false">IF(AND(AX2="pass",AQ2&lt;&gt;"Y",C2&lt;&gt;"",OR(AW2&lt;&gt;"Y",AV2="Y")),"Y","N")</f>
        <v>Y</v>
      </c>
      <c r="AU2" s="0" t="str">
        <f aca="false">_xlfn.TEXTJOIN("; ",TRUE(),IF(AX2&lt;&gt;"pass","gated out",""),IF(AQ2="Y","on hold: "&amp;AR2,""),IF(C2="","no contact named on an opened page",""),IF(AND(AW2="Y",AV2&lt;&gt;"Y"),"Tuesday estimate band "&amp;L2&amp;": founder's call",""))</f>
        <v/>
      </c>
      <c r="AW2" s="6" t="s">
        <v>162</v>
      </c>
      <c r="AX2" s="6" t="s">
        <v>181</v>
      </c>
      <c r="AY2" s="6" t="s">
        <v>182</v>
      </c>
      <c r="AZ2" s="6" t="s">
        <v>1</v>
      </c>
      <c r="BA2" s="6" t="s">
        <v>183</v>
      </c>
      <c r="BB2" s="6" t="s">
        <v>184</v>
      </c>
      <c r="BC2" s="6" t="s">
        <v>185</v>
      </c>
      <c r="BD2" s="6" t="s">
        <v>186</v>
      </c>
      <c r="BF2" s="6" t="s">
        <v>187</v>
      </c>
      <c r="BG2" s="6" t="s">
        <v>188</v>
      </c>
      <c r="BH2" s="6" t="s">
        <v>189</v>
      </c>
      <c r="BI2" s="6" t="s">
        <v>190</v>
      </c>
      <c r="BK2" s="6" t="s">
        <v>191</v>
      </c>
      <c r="BL2" s="6" t="s">
        <v>192</v>
      </c>
      <c r="BM2" s="6" t="s">
        <v>168</v>
      </c>
      <c r="BN2" s="6" t="s">
        <v>163</v>
      </c>
      <c r="BO2" s="6" t="s">
        <v>163</v>
      </c>
      <c r="BP2" s="6" t="s">
        <v>193</v>
      </c>
      <c r="BQ2" s="0" t="n">
        <v>40.73686</v>
      </c>
      <c r="BR2" s="0" t="n">
        <v>-73.988546</v>
      </c>
      <c r="BS2" s="6" t="s">
        <v>168</v>
      </c>
      <c r="BT2" s="0" t="n">
        <v>0</v>
      </c>
      <c r="BU2" s="6" t="s">
        <v>194</v>
      </c>
      <c r="BV2" s="6" t="s">
        <v>195</v>
      </c>
      <c r="BW2" s="6" t="s">
        <v>165</v>
      </c>
      <c r="BX2" s="6" t="s">
        <v>166</v>
      </c>
      <c r="BY2" s="6" t="s">
        <v>196</v>
      </c>
      <c r="BZ2" s="6" t="s">
        <v>197</v>
      </c>
      <c r="CA2" s="6" t="s">
        <v>198</v>
      </c>
      <c r="CB2" s="6" t="s">
        <v>199</v>
      </c>
      <c r="CC2" s="6" t="s">
        <v>200</v>
      </c>
      <c r="CE2" s="6" t="s">
        <v>162</v>
      </c>
      <c r="CH2" s="6" t="s">
        <v>201</v>
      </c>
      <c r="CI2" s="6" t="s">
        <v>202</v>
      </c>
      <c r="CJ2" s="6" t="s">
        <v>163</v>
      </c>
      <c r="CK2" s="6" t="s">
        <v>162</v>
      </c>
      <c r="CL2" s="6" t="s">
        <v>203</v>
      </c>
      <c r="CM2" s="6" t="s">
        <v>204</v>
      </c>
      <c r="CN2" s="6" t="s">
        <v>174</v>
      </c>
      <c r="CO2" s="0" t="n">
        <v>89</v>
      </c>
      <c r="CQ2" s="6" t="s">
        <v>205</v>
      </c>
      <c r="CR2" s="6" t="s">
        <v>206</v>
      </c>
      <c r="CS2" s="0" t="n">
        <v>1</v>
      </c>
      <c r="CT2" s="0" t="n">
        <v>80</v>
      </c>
      <c r="CU2" s="0" t="n">
        <v>25</v>
      </c>
      <c r="CV2" s="0" t="n">
        <v>15</v>
      </c>
      <c r="CW2" s="0" t="n">
        <v>15</v>
      </c>
      <c r="CX2" s="0" t="n">
        <v>15</v>
      </c>
      <c r="CY2" s="6" t="n">
        <f aca="false">IF(AH2="exact",10,IF(AH2="adjacent",5,0))</f>
        <v>10</v>
      </c>
      <c r="CZ2" s="6" t="n">
        <f aca="false">IF(R2="Y",15,0)</f>
        <v>0</v>
      </c>
      <c r="DA2" s="6" t="s">
        <v>207</v>
      </c>
      <c r="DB2" s="6" t="s">
        <v>208</v>
      </c>
      <c r="DC2" s="6" t="s">
        <v>209</v>
      </c>
      <c r="DD2" s="6" t="s">
        <v>210</v>
      </c>
      <c r="DF2" s="6" t="s">
        <v>158</v>
      </c>
      <c r="DG2" s="6" t="s">
        <v>211</v>
      </c>
      <c r="DJ2" s="6" t="s">
        <v>212</v>
      </c>
      <c r="DK2" s="6" t="s">
        <v>213</v>
      </c>
      <c r="DM2" s="6" t="s">
        <v>214</v>
      </c>
      <c r="DO2" s="6" t="s">
        <v>215</v>
      </c>
      <c r="DQ2" s="6" t="s">
        <v>216</v>
      </c>
      <c r="DR2" s="6" t="s">
        <v>217</v>
      </c>
      <c r="DS2" s="6" t="s">
        <v>171</v>
      </c>
      <c r="DT2" s="6" t="s">
        <v>172</v>
      </c>
      <c r="DU2" s="6" t="s">
        <v>218</v>
      </c>
      <c r="DV2" s="6" t="s">
        <v>219</v>
      </c>
      <c r="DW2" s="6" t="s">
        <v>220</v>
      </c>
      <c r="DX2" s="6" t="s">
        <v>168</v>
      </c>
      <c r="DY2" s="6" t="s">
        <v>221</v>
      </c>
      <c r="ER2" s="0" t="str">
        <f aca="false">IF(ISNUMBER(MATCH(U2,{"queued","contacted","replied","call_booked","call_done","yes_in_principle","materials_sent"},0)),"Y","N")</f>
        <v>Y</v>
      </c>
      <c r="ES2" s="0" t="str">
        <f aca="false">IF(COUNTIFS($AP$2:$AP$1000,AP2,$ER$2:$ER$1000,"Y")+COUNTIFS($AP$2:$AP$1000,AP2,$T$2:$T$1000,"Y")&gt;0,"Y","N")</f>
        <v>Y</v>
      </c>
      <c r="ET2" s="0" t="str">
        <f aca="false">IF(AND(U2="new",T2="N",AT2="Y",AS2="",ES2="N"),"Y","N")</f>
        <v>N</v>
      </c>
      <c r="EU2" s="0" t="str">
        <f aca="false">IF(ET2&lt;&gt;"Y","N",IF(COUNTIFS($AP$2:$AP$1000,AP2,$ET$2:$ET$1000,"Y",$J$2:$J$1000,"&gt;"&amp;J2)+COUNTIFS($AP$2:$AP$1000,AP2,$ET$2:$ET$1000,"Y",$J$2:$J$1000,J2,$EW$2:$EW$1000,"&lt;"&amp;EW2)=0,"Y","N"))</f>
        <v>N</v>
      </c>
      <c r="EV2" s="0" t="str">
        <f aca="false">IF(Y2="","N",IF(Y2&lt;=10,"Y","N"))</f>
        <v>N</v>
      </c>
      <c r="EW2" s="6" t="n">
        <f aca="false">ROW()-1</f>
        <v>1</v>
      </c>
    </row>
    <row r="3" customFormat="false" ht="15" hidden="false" customHeight="false" outlineLevel="0" collapsed="false">
      <c r="A3" s="0" t="s">
        <v>222</v>
      </c>
      <c r="B3" s="0" t="s">
        <v>223</v>
      </c>
      <c r="C3" s="0" t="s">
        <v>224</v>
      </c>
      <c r="D3" s="0" t="s">
        <v>225</v>
      </c>
      <c r="E3" s="0" t="s">
        <v>226</v>
      </c>
      <c r="H3" s="5" t="s">
        <v>158</v>
      </c>
      <c r="I3" s="5" t="s">
        <v>159</v>
      </c>
      <c r="J3" s="6" t="n">
        <f aca="false">IF(AX3="pass",ROUND(CU3+CV3+CW3+CX3+CY3+CZ3,1),0)</f>
        <v>76.5</v>
      </c>
      <c r="K3" s="6" t="s">
        <v>227</v>
      </c>
      <c r="L3" s="6" t="s">
        <v>187</v>
      </c>
      <c r="R3" s="5" t="s">
        <v>162</v>
      </c>
      <c r="S3" s="6" t="s">
        <v>163</v>
      </c>
      <c r="T3" s="5" t="s">
        <v>168</v>
      </c>
      <c r="U3" s="5" t="s">
        <v>228</v>
      </c>
      <c r="V3" s="6" t="s">
        <v>229</v>
      </c>
      <c r="W3" s="6" t="s">
        <v>166</v>
      </c>
      <c r="X3" s="6" t="s">
        <v>167</v>
      </c>
      <c r="Y3" s="0" t="str">
        <f aca="false">IF(EU3&lt;&gt;"Y","",COUNTIFS($EU$2:$EU$1000,"Y",$J$2:$J$1000,"&gt;"&amp;J3)+COUNTIFS($EU$2:$EU$1000,"Y",$J$2:$J$1000,J3,$EW$2:$EW$1000,"&lt;"&amp;EW3)+1)</f>
        <v/>
      </c>
      <c r="Z3" s="0" t="n">
        <v>2</v>
      </c>
      <c r="AA3" s="6" t="s">
        <v>168</v>
      </c>
      <c r="AB3" s="6" t="s">
        <v>230</v>
      </c>
      <c r="AC3" s="6" t="s">
        <v>170</v>
      </c>
      <c r="AD3" s="6" t="s">
        <v>171</v>
      </c>
      <c r="AE3" s="6" t="s">
        <v>231</v>
      </c>
      <c r="AF3" s="6" t="s">
        <v>232</v>
      </c>
      <c r="AG3" s="6" t="s">
        <v>174</v>
      </c>
      <c r="AH3" s="5" t="s">
        <v>175</v>
      </c>
      <c r="AI3" s="6" t="s">
        <v>233</v>
      </c>
      <c r="AJ3" s="6" t="s">
        <v>234</v>
      </c>
      <c r="AK3" s="6" t="s">
        <v>178</v>
      </c>
      <c r="AL3" s="0" t="n">
        <v>122</v>
      </c>
      <c r="AM3" s="0" t="n">
        <v>281</v>
      </c>
      <c r="AN3" s="6" t="s">
        <v>179</v>
      </c>
      <c r="AO3" s="6" t="s">
        <v>180</v>
      </c>
      <c r="AP3" s="6" t="s">
        <v>222</v>
      </c>
      <c r="AQ3" s="5" t="s">
        <v>162</v>
      </c>
      <c r="AT3" s="0" t="str">
        <f aca="false">IF(AND(AX3="pass",AQ3&lt;&gt;"Y",C3&lt;&gt;"",OR(AW3&lt;&gt;"Y",AV3="Y")),"Y","N")</f>
        <v>Y</v>
      </c>
      <c r="AU3" s="0" t="str">
        <f aca="false">_xlfn.TEXTJOIN("; ",TRUE(),IF(AX3&lt;&gt;"pass","gated out",""),IF(AQ3="Y","on hold: "&amp;AR3,""),IF(C3="","no contact named on an opened page",""),IF(AND(AW3="Y",AV3&lt;&gt;"Y"),"Tuesday estimate band "&amp;L3&amp;": founder's call",""))</f>
        <v/>
      </c>
      <c r="AW3" s="6" t="s">
        <v>162</v>
      </c>
      <c r="AX3" s="6" t="s">
        <v>181</v>
      </c>
      <c r="AY3" s="6" t="s">
        <v>182</v>
      </c>
      <c r="AZ3" s="6" t="s">
        <v>1</v>
      </c>
      <c r="BA3" s="6" t="s">
        <v>235</v>
      </c>
      <c r="BB3" s="6" t="s">
        <v>236</v>
      </c>
      <c r="BC3" s="6" t="s">
        <v>237</v>
      </c>
      <c r="BD3" s="6" t="s">
        <v>238</v>
      </c>
      <c r="BE3" s="6" t="s">
        <v>239</v>
      </c>
      <c r="BF3" s="6" t="s">
        <v>240</v>
      </c>
      <c r="BG3" s="6" t="s">
        <v>188</v>
      </c>
      <c r="BH3" s="6" t="s">
        <v>241</v>
      </c>
      <c r="BI3" s="6" t="s">
        <v>242</v>
      </c>
      <c r="BJ3" s="6" t="s">
        <v>243</v>
      </c>
      <c r="BK3" s="6" t="s">
        <v>191</v>
      </c>
      <c r="BL3" s="6" t="s">
        <v>192</v>
      </c>
      <c r="BM3" s="6" t="s">
        <v>168</v>
      </c>
      <c r="BN3" s="6" t="s">
        <v>163</v>
      </c>
      <c r="BO3" s="6" t="s">
        <v>163</v>
      </c>
      <c r="BP3" s="6" t="s">
        <v>244</v>
      </c>
      <c r="BQ3" s="0" t="n">
        <v>40.742833</v>
      </c>
      <c r="BR3" s="0" t="n">
        <v>-73.984174</v>
      </c>
      <c r="BS3" s="6" t="s">
        <v>168</v>
      </c>
      <c r="BT3" s="0" t="n">
        <v>0</v>
      </c>
      <c r="BU3" s="6" t="s">
        <v>245</v>
      </c>
      <c r="BV3" s="6" t="s">
        <v>246</v>
      </c>
      <c r="BW3" s="6" t="s">
        <v>229</v>
      </c>
      <c r="BX3" s="6" t="s">
        <v>247</v>
      </c>
      <c r="BY3" s="6" t="s">
        <v>248</v>
      </c>
      <c r="BZ3" s="6" t="s">
        <v>249</v>
      </c>
      <c r="CA3" s="6" t="s">
        <v>174</v>
      </c>
      <c r="CC3" s="6" t="s">
        <v>200</v>
      </c>
      <c r="CE3" s="6" t="s">
        <v>162</v>
      </c>
      <c r="CH3" s="6" t="s">
        <v>163</v>
      </c>
      <c r="CJ3" s="6" t="s">
        <v>163</v>
      </c>
      <c r="CK3" s="6" t="s">
        <v>162</v>
      </c>
      <c r="CL3" s="6" t="s">
        <v>250</v>
      </c>
      <c r="CM3" s="6" t="s">
        <v>242</v>
      </c>
      <c r="CN3" s="6" t="s">
        <v>166</v>
      </c>
      <c r="CO3" s="0" t="n">
        <v>185</v>
      </c>
      <c r="CP3" s="6" t="s">
        <v>251</v>
      </c>
      <c r="CQ3" s="6" t="s">
        <v>252</v>
      </c>
      <c r="CR3" s="6" t="s">
        <v>206</v>
      </c>
      <c r="CS3" s="0" t="n">
        <v>0.86</v>
      </c>
      <c r="CT3" s="0" t="n">
        <v>76.5</v>
      </c>
      <c r="CU3" s="0" t="n">
        <v>21.5</v>
      </c>
      <c r="CV3" s="0" t="n">
        <v>15</v>
      </c>
      <c r="CW3" s="0" t="n">
        <v>15</v>
      </c>
      <c r="CX3" s="0" t="n">
        <v>15</v>
      </c>
      <c r="CY3" s="6" t="n">
        <f aca="false">IF(AH3="exact",10,IF(AH3="adjacent",5,0))</f>
        <v>10</v>
      </c>
      <c r="CZ3" s="6" t="n">
        <f aca="false">IF(R3="Y",15,0)</f>
        <v>0</v>
      </c>
      <c r="DA3" s="6" t="s">
        <v>253</v>
      </c>
      <c r="DB3" s="6" t="s">
        <v>254</v>
      </c>
      <c r="DC3" s="6" t="s">
        <v>255</v>
      </c>
      <c r="DF3" s="6" t="s">
        <v>158</v>
      </c>
      <c r="DG3" s="6" t="s">
        <v>211</v>
      </c>
      <c r="DK3" s="6" t="s">
        <v>256</v>
      </c>
      <c r="DM3" s="6" t="s">
        <v>257</v>
      </c>
      <c r="DN3" s="6" t="s">
        <v>258</v>
      </c>
      <c r="DO3" s="6" t="s">
        <v>259</v>
      </c>
      <c r="DQ3" s="6" t="s">
        <v>216</v>
      </c>
      <c r="DR3" s="6" t="s">
        <v>260</v>
      </c>
      <c r="DS3" s="6" t="s">
        <v>171</v>
      </c>
      <c r="DT3" s="6" t="s">
        <v>231</v>
      </c>
      <c r="DU3" s="6" t="s">
        <v>261</v>
      </c>
      <c r="DV3" s="6" t="s">
        <v>262</v>
      </c>
      <c r="DW3" s="6" t="s">
        <v>263</v>
      </c>
      <c r="DX3" s="6" t="s">
        <v>168</v>
      </c>
      <c r="DY3" s="6" t="s">
        <v>264</v>
      </c>
      <c r="ER3" s="0" t="str">
        <f aca="false">IF(ISNUMBER(MATCH(U3,{"queued","contacted","replied","call_booked","call_done","yes_in_principle","materials_sent"},0)),"Y","N")</f>
        <v>N</v>
      </c>
      <c r="ES3" s="0" t="str">
        <f aca="false">IF(COUNTIFS($AP$2:$AP$1000,AP3,$ER$2:$ER$1000,"Y")+COUNTIFS($AP$2:$AP$1000,AP3,$T$2:$T$1000,"Y")&gt;0,"Y","N")</f>
        <v>Y</v>
      </c>
      <c r="ET3" s="0" t="str">
        <f aca="false">IF(AND(U3="new",T3="N",AT3="Y",AS3="",ES3="N"),"Y","N")</f>
        <v>N</v>
      </c>
      <c r="EU3" s="0" t="str">
        <f aca="false">IF(ET3&lt;&gt;"Y","N",IF(COUNTIFS($AP$2:$AP$1000,AP3,$ET$2:$ET$1000,"Y",$J$2:$J$1000,"&gt;"&amp;J3)+COUNTIFS($AP$2:$AP$1000,AP3,$ET$2:$ET$1000,"Y",$J$2:$J$1000,J3,$EW$2:$EW$1000,"&lt;"&amp;EW3)=0,"Y","N"))</f>
        <v>N</v>
      </c>
      <c r="EV3" s="0" t="str">
        <f aca="false">IF(Y3="","N",IF(Y3&lt;=10,"Y","N"))</f>
        <v>N</v>
      </c>
      <c r="EW3" s="6" t="n">
        <f aca="false">ROW()-1</f>
        <v>2</v>
      </c>
    </row>
    <row r="4" customFormat="false" ht="15" hidden="false" customHeight="false" outlineLevel="0" collapsed="false">
      <c r="A4" s="0" t="s">
        <v>265</v>
      </c>
      <c r="B4" s="0" t="s">
        <v>266</v>
      </c>
      <c r="C4" s="0" t="s">
        <v>267</v>
      </c>
      <c r="D4" s="0" t="s">
        <v>268</v>
      </c>
      <c r="E4" s="0" t="s">
        <v>269</v>
      </c>
      <c r="H4" s="5" t="s">
        <v>158</v>
      </c>
      <c r="I4" s="5" t="s">
        <v>159</v>
      </c>
      <c r="J4" s="6" t="n">
        <f aca="false">IF(AX4="pass",ROUND(CU4+CV4+CW4+CX4+CY4+CZ4,1),0)</f>
        <v>75</v>
      </c>
      <c r="K4" s="6" t="s">
        <v>270</v>
      </c>
      <c r="L4" s="6" t="s">
        <v>161</v>
      </c>
      <c r="R4" s="5" t="s">
        <v>162</v>
      </c>
      <c r="S4" s="6" t="s">
        <v>163</v>
      </c>
      <c r="T4" s="5" t="s">
        <v>162</v>
      </c>
      <c r="U4" s="5" t="s">
        <v>228</v>
      </c>
      <c r="V4" s="6" t="s">
        <v>197</v>
      </c>
      <c r="W4" s="6" t="s">
        <v>166</v>
      </c>
      <c r="X4" s="6" t="s">
        <v>167</v>
      </c>
      <c r="Y4" s="6" t="n">
        <f aca="false">IF(EU4&lt;&gt;"Y","",COUNTIFS($EU$2:$EU$1000,"Y",$J$2:$J$1000,"&gt;"&amp;J4)+COUNTIFS($EU$2:$EU$1000,"Y",$J$2:$J$1000,J4,$EW$2:$EW$1000,"&lt;"&amp;EW4)+1)</f>
        <v>2</v>
      </c>
      <c r="Z4" s="0" t="n">
        <v>3</v>
      </c>
      <c r="AA4" s="6" t="s">
        <v>168</v>
      </c>
      <c r="AB4" s="6" t="s">
        <v>271</v>
      </c>
      <c r="AC4" s="6" t="s">
        <v>170</v>
      </c>
      <c r="AD4" s="6" t="s">
        <v>171</v>
      </c>
      <c r="AE4" s="6" t="s">
        <v>231</v>
      </c>
      <c r="AF4" s="6" t="s">
        <v>272</v>
      </c>
      <c r="AG4" s="6" t="s">
        <v>174</v>
      </c>
      <c r="AH4" s="5" t="s">
        <v>175</v>
      </c>
      <c r="AI4" s="6" t="s">
        <v>176</v>
      </c>
      <c r="AJ4" s="6" t="s">
        <v>273</v>
      </c>
      <c r="AK4" s="6" t="s">
        <v>178</v>
      </c>
      <c r="AL4" s="0" t="n">
        <v>50</v>
      </c>
      <c r="AM4" s="0" t="n">
        <v>134</v>
      </c>
      <c r="AN4" s="6" t="s">
        <v>179</v>
      </c>
      <c r="AO4" s="6" t="s">
        <v>274</v>
      </c>
      <c r="AP4" s="6" t="s">
        <v>265</v>
      </c>
      <c r="AQ4" s="5" t="s">
        <v>162</v>
      </c>
      <c r="AT4" s="0" t="str">
        <f aca="false">IF(AND(AX4="pass",AQ4&lt;&gt;"Y",C4&lt;&gt;"",OR(AW4&lt;&gt;"Y",AV4="Y")),"Y","N")</f>
        <v>Y</v>
      </c>
      <c r="AU4" s="0" t="str">
        <f aca="false">_xlfn.TEXTJOIN("; ",TRUE(),IF(AX4&lt;&gt;"pass","gated out",""),IF(AQ4="Y","on hold: "&amp;AR4,""),IF(C4="","no contact named on an opened page",""),IF(AND(AW4="Y",AV4&lt;&gt;"Y"),"Tuesday estimate band "&amp;L4&amp;": founder's call",""))</f>
        <v/>
      </c>
      <c r="AW4" s="6" t="s">
        <v>162</v>
      </c>
      <c r="AX4" s="6" t="s">
        <v>181</v>
      </c>
      <c r="AY4" s="6" t="s">
        <v>182</v>
      </c>
      <c r="AZ4" s="6" t="s">
        <v>1</v>
      </c>
      <c r="BA4" s="6" t="s">
        <v>275</v>
      </c>
      <c r="BB4" s="6" t="s">
        <v>276</v>
      </c>
      <c r="BC4" s="6" t="s">
        <v>277</v>
      </c>
      <c r="BD4" s="6" t="s">
        <v>278</v>
      </c>
      <c r="BE4" s="6" t="s">
        <v>279</v>
      </c>
      <c r="BF4" s="6" t="s">
        <v>163</v>
      </c>
      <c r="BG4" s="6" t="s">
        <v>163</v>
      </c>
      <c r="BH4" s="6" t="s">
        <v>280</v>
      </c>
      <c r="BI4" s="6" t="s">
        <v>281</v>
      </c>
      <c r="BJ4" s="6" t="s">
        <v>282</v>
      </c>
      <c r="BK4" s="6" t="s">
        <v>191</v>
      </c>
      <c r="BL4" s="6" t="s">
        <v>192</v>
      </c>
      <c r="BM4" s="6" t="s">
        <v>168</v>
      </c>
      <c r="BN4" s="6" t="s">
        <v>163</v>
      </c>
      <c r="BO4" s="6" t="s">
        <v>163</v>
      </c>
      <c r="BP4" s="6" t="s">
        <v>193</v>
      </c>
      <c r="BQ4" s="0" t="n">
        <v>40.73686</v>
      </c>
      <c r="BR4" s="0" t="n">
        <v>-73.988546</v>
      </c>
      <c r="BS4" s="6" t="s">
        <v>168</v>
      </c>
      <c r="BT4" s="0" t="n">
        <v>0</v>
      </c>
      <c r="BU4" s="6" t="s">
        <v>194</v>
      </c>
      <c r="BV4" s="6" t="s">
        <v>195</v>
      </c>
      <c r="BW4" s="6" t="s">
        <v>197</v>
      </c>
      <c r="BX4" s="6" t="s">
        <v>198</v>
      </c>
      <c r="BY4" s="6" t="s">
        <v>283</v>
      </c>
      <c r="BZ4" s="6" t="s">
        <v>284</v>
      </c>
      <c r="CA4" s="6" t="s">
        <v>285</v>
      </c>
      <c r="CB4" s="6" t="s">
        <v>199</v>
      </c>
      <c r="CC4" s="6" t="s">
        <v>200</v>
      </c>
      <c r="CE4" s="6" t="s">
        <v>162</v>
      </c>
      <c r="CH4" s="6" t="s">
        <v>201</v>
      </c>
      <c r="CI4" s="6" t="s">
        <v>202</v>
      </c>
      <c r="CJ4" s="6" t="s">
        <v>163</v>
      </c>
      <c r="CK4" s="6" t="s">
        <v>162</v>
      </c>
      <c r="CL4" s="6" t="s">
        <v>286</v>
      </c>
      <c r="CM4" s="6" t="s">
        <v>287</v>
      </c>
      <c r="CN4" s="6" t="s">
        <v>174</v>
      </c>
      <c r="CO4" s="0" t="n">
        <v>82</v>
      </c>
      <c r="CQ4" s="6" t="s">
        <v>288</v>
      </c>
      <c r="CR4" s="6" t="s">
        <v>206</v>
      </c>
      <c r="CS4" s="0" t="n">
        <v>1</v>
      </c>
      <c r="CT4" s="0" t="n">
        <v>75</v>
      </c>
      <c r="CU4" s="0" t="n">
        <v>25</v>
      </c>
      <c r="CV4" s="0" t="n">
        <v>15</v>
      </c>
      <c r="CW4" s="0" t="n">
        <v>10</v>
      </c>
      <c r="CX4" s="0" t="n">
        <v>15</v>
      </c>
      <c r="CY4" s="6" t="n">
        <f aca="false">IF(AH4="exact",10,IF(AH4="adjacent",5,0))</f>
        <v>10</v>
      </c>
      <c r="CZ4" s="6" t="n">
        <f aca="false">IF(R4="Y",15,0)</f>
        <v>0</v>
      </c>
      <c r="DA4" s="6" t="s">
        <v>289</v>
      </c>
      <c r="DB4" s="6" t="s">
        <v>290</v>
      </c>
      <c r="DC4" s="6" t="s">
        <v>291</v>
      </c>
      <c r="DF4" s="6" t="s">
        <v>158</v>
      </c>
      <c r="DG4" s="6" t="s">
        <v>211</v>
      </c>
      <c r="DJ4" s="6" t="s">
        <v>292</v>
      </c>
      <c r="DK4" s="6" t="s">
        <v>293</v>
      </c>
      <c r="DM4" s="6" t="s">
        <v>294</v>
      </c>
      <c r="DN4" s="6" t="s">
        <v>295</v>
      </c>
      <c r="DO4" s="6" t="s">
        <v>296</v>
      </c>
      <c r="DQ4" s="6" t="s">
        <v>216</v>
      </c>
      <c r="DR4" s="6" t="s">
        <v>297</v>
      </c>
      <c r="DS4" s="6" t="s">
        <v>171</v>
      </c>
      <c r="DT4" s="6" t="s">
        <v>231</v>
      </c>
      <c r="DU4" s="6" t="s">
        <v>298</v>
      </c>
      <c r="DV4" s="6" t="s">
        <v>299</v>
      </c>
      <c r="DW4" s="6" t="s">
        <v>300</v>
      </c>
      <c r="DX4" s="6" t="s">
        <v>168</v>
      </c>
      <c r="DY4" s="6" t="s">
        <v>264</v>
      </c>
      <c r="ER4" s="0" t="str">
        <f aca="false">IF(ISNUMBER(MATCH(U4,{"queued","contacted","replied","call_booked","call_done","yes_in_principle","materials_sent"},0)),"Y","N")</f>
        <v>N</v>
      </c>
      <c r="ES4" s="0" t="str">
        <f aca="false">IF(COUNTIFS($AP$2:$AP$1000,AP4,$ER$2:$ER$1000,"Y")+COUNTIFS($AP$2:$AP$1000,AP4,$T$2:$T$1000,"Y")&gt;0,"Y","N")</f>
        <v>N</v>
      </c>
      <c r="ET4" s="0" t="str">
        <f aca="false">IF(AND(U4="new",T4="N",AT4="Y",AS4="",ES4="N"),"Y","N")</f>
        <v>Y</v>
      </c>
      <c r="EU4" s="0" t="str">
        <f aca="false">IF(ET4&lt;&gt;"Y","N",IF(COUNTIFS($AP$2:$AP$1000,AP4,$ET$2:$ET$1000,"Y",$J$2:$J$1000,"&gt;"&amp;J4)+COUNTIFS($AP$2:$AP$1000,AP4,$ET$2:$ET$1000,"Y",$J$2:$J$1000,J4,$EW$2:$EW$1000,"&lt;"&amp;EW4)=0,"Y","N"))</f>
        <v>Y</v>
      </c>
      <c r="EV4" s="0" t="str">
        <f aca="false">IF(Y4="","N",IF(Y4&lt;=10,"Y","N"))</f>
        <v>Y</v>
      </c>
      <c r="EW4" s="6" t="n">
        <f aca="false">ROW()-1</f>
        <v>3</v>
      </c>
    </row>
    <row r="5" customFormat="false" ht="15" hidden="false" customHeight="false" outlineLevel="0" collapsed="false">
      <c r="A5" s="0" t="s">
        <v>301</v>
      </c>
      <c r="B5" s="0" t="s">
        <v>302</v>
      </c>
      <c r="C5" s="0" t="s">
        <v>303</v>
      </c>
      <c r="D5" s="0" t="s">
        <v>304</v>
      </c>
      <c r="E5" s="0" t="s">
        <v>305</v>
      </c>
      <c r="H5" s="5" t="s">
        <v>158</v>
      </c>
      <c r="I5" s="5" t="s">
        <v>159</v>
      </c>
      <c r="J5" s="6" t="n">
        <f aca="false">IF(AX5="pass",ROUND(CU5+CV5+CW5+CX5+CY5+CZ5,1),0)</f>
        <v>73</v>
      </c>
      <c r="K5" s="6" t="s">
        <v>306</v>
      </c>
      <c r="L5" s="6" t="s">
        <v>161</v>
      </c>
      <c r="R5" s="5" t="s">
        <v>162</v>
      </c>
      <c r="S5" s="6" t="s">
        <v>163</v>
      </c>
      <c r="T5" s="5" t="s">
        <v>162</v>
      </c>
      <c r="U5" s="5" t="s">
        <v>228</v>
      </c>
      <c r="V5" s="6" t="s">
        <v>307</v>
      </c>
      <c r="W5" s="6" t="s">
        <v>166</v>
      </c>
      <c r="X5" s="6" t="s">
        <v>167</v>
      </c>
      <c r="Y5" s="6" t="n">
        <f aca="false">IF(EU5&lt;&gt;"Y","",COUNTIFS($EU$2:$EU$1000,"Y",$J$2:$J$1000,"&gt;"&amp;J5)+COUNTIFS($EU$2:$EU$1000,"Y",$J$2:$J$1000,J5,$EW$2:$EW$1000,"&lt;"&amp;EW5)+1)</f>
        <v>3</v>
      </c>
      <c r="Z5" s="0" t="n">
        <v>4</v>
      </c>
      <c r="AA5" s="6" t="s">
        <v>168</v>
      </c>
      <c r="AB5" s="6" t="s">
        <v>308</v>
      </c>
      <c r="AC5" s="6" t="s">
        <v>170</v>
      </c>
      <c r="AD5" s="6" t="s">
        <v>171</v>
      </c>
      <c r="AE5" s="6" t="s">
        <v>172</v>
      </c>
      <c r="AF5" s="6" t="s">
        <v>309</v>
      </c>
      <c r="AG5" s="6" t="s">
        <v>174</v>
      </c>
      <c r="AH5" s="5" t="s">
        <v>310</v>
      </c>
      <c r="AI5" s="6" t="s">
        <v>176</v>
      </c>
      <c r="AJ5" s="6" t="s">
        <v>311</v>
      </c>
      <c r="AK5" s="6" t="s">
        <v>178</v>
      </c>
      <c r="AL5" s="0" t="n">
        <v>56</v>
      </c>
      <c r="AM5" s="0" t="n">
        <v>114</v>
      </c>
      <c r="AN5" s="6" t="s">
        <v>179</v>
      </c>
      <c r="AO5" s="6" t="s">
        <v>274</v>
      </c>
      <c r="AP5" s="6" t="s">
        <v>301</v>
      </c>
      <c r="AQ5" s="5" t="s">
        <v>162</v>
      </c>
      <c r="AT5" s="0" t="str">
        <f aca="false">IF(AND(AX5="pass",AQ5&lt;&gt;"Y",C5&lt;&gt;"",OR(AW5&lt;&gt;"Y",AV5="Y")),"Y","N")</f>
        <v>Y</v>
      </c>
      <c r="AU5" s="0" t="str">
        <f aca="false">_xlfn.TEXTJOIN("; ",TRUE(),IF(AX5&lt;&gt;"pass","gated out",""),IF(AQ5="Y","on hold: "&amp;AR5,""),IF(C5="","no contact named on an opened page",""),IF(AND(AW5="Y",AV5&lt;&gt;"Y"),"Tuesday estimate band "&amp;L5&amp;": founder's call",""))</f>
        <v/>
      </c>
      <c r="AW5" s="6" t="s">
        <v>162</v>
      </c>
      <c r="AX5" s="6" t="s">
        <v>181</v>
      </c>
      <c r="AY5" s="6" t="s">
        <v>182</v>
      </c>
      <c r="AZ5" s="6" t="s">
        <v>1</v>
      </c>
      <c r="BA5" s="6" t="s">
        <v>312</v>
      </c>
      <c r="BB5" s="6" t="s">
        <v>313</v>
      </c>
      <c r="BC5" s="6" t="s">
        <v>314</v>
      </c>
      <c r="BD5" s="6" t="s">
        <v>315</v>
      </c>
      <c r="BE5" s="6" t="s">
        <v>316</v>
      </c>
      <c r="BF5" s="6" t="s">
        <v>187</v>
      </c>
      <c r="BG5" s="6" t="s">
        <v>188</v>
      </c>
      <c r="BH5" s="6" t="s">
        <v>241</v>
      </c>
      <c r="BI5" s="6" t="s">
        <v>317</v>
      </c>
      <c r="BJ5" s="6" t="s">
        <v>318</v>
      </c>
      <c r="BK5" s="6" t="s">
        <v>191</v>
      </c>
      <c r="BL5" s="6" t="s">
        <v>192</v>
      </c>
      <c r="BM5" s="6" t="s">
        <v>168</v>
      </c>
      <c r="BN5" s="6" t="s">
        <v>163</v>
      </c>
      <c r="BO5" s="6" t="s">
        <v>163</v>
      </c>
      <c r="BP5" s="6" t="s">
        <v>193</v>
      </c>
      <c r="BQ5" s="0" t="n">
        <v>40.73686</v>
      </c>
      <c r="BR5" s="0" t="n">
        <v>-73.988546</v>
      </c>
      <c r="BS5" s="6" t="s">
        <v>168</v>
      </c>
      <c r="BT5" s="0" t="n">
        <v>0</v>
      </c>
      <c r="BU5" s="6" t="s">
        <v>194</v>
      </c>
      <c r="BV5" s="6" t="s">
        <v>195</v>
      </c>
      <c r="BW5" s="6" t="s">
        <v>307</v>
      </c>
      <c r="BX5" s="6" t="s">
        <v>166</v>
      </c>
      <c r="BY5" s="6" t="s">
        <v>196</v>
      </c>
      <c r="BZ5" s="6" t="s">
        <v>197</v>
      </c>
      <c r="CA5" s="6" t="s">
        <v>198</v>
      </c>
      <c r="CB5" s="6" t="s">
        <v>199</v>
      </c>
      <c r="CC5" s="6" t="s">
        <v>200</v>
      </c>
      <c r="CE5" s="6" t="s">
        <v>162</v>
      </c>
      <c r="CH5" s="6" t="s">
        <v>201</v>
      </c>
      <c r="CI5" s="6" t="s">
        <v>202</v>
      </c>
      <c r="CJ5" s="6" t="s">
        <v>163</v>
      </c>
      <c r="CK5" s="6" t="s">
        <v>168</v>
      </c>
      <c r="CL5" s="6" t="s">
        <v>286</v>
      </c>
      <c r="CM5" s="6" t="s">
        <v>319</v>
      </c>
      <c r="CN5" s="6" t="s">
        <v>174</v>
      </c>
      <c r="CO5" s="0" t="n">
        <v>80</v>
      </c>
      <c r="CQ5" s="6" t="s">
        <v>320</v>
      </c>
      <c r="CR5" s="6" t="s">
        <v>206</v>
      </c>
      <c r="CS5" s="0" t="n">
        <v>1</v>
      </c>
      <c r="CT5" s="0" t="n">
        <v>73</v>
      </c>
      <c r="CU5" s="0" t="n">
        <v>25</v>
      </c>
      <c r="CV5" s="0" t="n">
        <v>15</v>
      </c>
      <c r="CW5" s="0" t="n">
        <v>13</v>
      </c>
      <c r="CX5" s="0" t="n">
        <v>15</v>
      </c>
      <c r="CY5" s="6" t="n">
        <f aca="false">IF(AH5="exact",10,IF(AH5="adjacent",5,0))</f>
        <v>5</v>
      </c>
      <c r="CZ5" s="6" t="n">
        <f aca="false">IF(R5="Y",15,0)</f>
        <v>0</v>
      </c>
      <c r="DA5" s="6" t="s">
        <v>321</v>
      </c>
      <c r="DB5" s="6" t="s">
        <v>322</v>
      </c>
      <c r="DC5" s="6" t="s">
        <v>323</v>
      </c>
      <c r="DF5" s="6" t="s">
        <v>158</v>
      </c>
      <c r="DG5" s="6" t="s">
        <v>211</v>
      </c>
      <c r="DJ5" s="6" t="s">
        <v>324</v>
      </c>
      <c r="DK5" s="6" t="s">
        <v>325</v>
      </c>
      <c r="DM5" s="6" t="s">
        <v>326</v>
      </c>
      <c r="DN5" s="6" t="s">
        <v>327</v>
      </c>
      <c r="DO5" s="6" t="s">
        <v>328</v>
      </c>
      <c r="DQ5" s="6" t="s">
        <v>216</v>
      </c>
      <c r="DR5" s="6" t="s">
        <v>329</v>
      </c>
      <c r="DS5" s="6" t="s">
        <v>171</v>
      </c>
      <c r="DT5" s="6" t="s">
        <v>231</v>
      </c>
      <c r="DU5" s="6" t="s">
        <v>330</v>
      </c>
      <c r="DV5" s="6" t="s">
        <v>262</v>
      </c>
      <c r="DW5" s="6" t="s">
        <v>331</v>
      </c>
      <c r="DX5" s="6" t="s">
        <v>168</v>
      </c>
      <c r="DY5" s="6" t="s">
        <v>221</v>
      </c>
      <c r="ER5" s="0" t="str">
        <f aca="false">IF(ISNUMBER(MATCH(U5,{"queued","contacted","replied","call_booked","call_done","yes_in_principle","materials_sent"},0)),"Y","N")</f>
        <v>N</v>
      </c>
      <c r="ES5" s="0" t="str">
        <f aca="false">IF(COUNTIFS($AP$2:$AP$1000,AP5,$ER$2:$ER$1000,"Y")+COUNTIFS($AP$2:$AP$1000,AP5,$T$2:$T$1000,"Y")&gt;0,"Y","N")</f>
        <v>N</v>
      </c>
      <c r="ET5" s="0" t="str">
        <f aca="false">IF(AND(U5="new",T5="N",AT5="Y",AS5="",ES5="N"),"Y","N")</f>
        <v>Y</v>
      </c>
      <c r="EU5" s="0" t="str">
        <f aca="false">IF(ET5&lt;&gt;"Y","N",IF(COUNTIFS($AP$2:$AP$1000,AP5,$ET$2:$ET$1000,"Y",$J$2:$J$1000,"&gt;"&amp;J5)+COUNTIFS($AP$2:$AP$1000,AP5,$ET$2:$ET$1000,"Y",$J$2:$J$1000,J5,$EW$2:$EW$1000,"&lt;"&amp;EW5)=0,"Y","N"))</f>
        <v>Y</v>
      </c>
      <c r="EV5" s="0" t="str">
        <f aca="false">IF(Y5="","N",IF(Y5&lt;=10,"Y","N"))</f>
        <v>Y</v>
      </c>
      <c r="EW5" s="6" t="n">
        <f aca="false">ROW()-1</f>
        <v>4</v>
      </c>
    </row>
    <row r="6" customFormat="false" ht="15" hidden="false" customHeight="false" outlineLevel="0" collapsed="false">
      <c r="A6" s="0" t="s">
        <v>332</v>
      </c>
      <c r="B6" s="0" t="s">
        <v>333</v>
      </c>
      <c r="C6" s="0" t="s">
        <v>334</v>
      </c>
      <c r="D6" s="0" t="s">
        <v>335</v>
      </c>
      <c r="E6" s="0" t="s">
        <v>336</v>
      </c>
      <c r="H6" s="5" t="s">
        <v>158</v>
      </c>
      <c r="I6" s="5" t="s">
        <v>159</v>
      </c>
      <c r="J6" s="6" t="n">
        <f aca="false">IF(AX6="pass",ROUND(CU6+CV6+CW6+CX6+CY6+CZ6,1),0)</f>
        <v>73</v>
      </c>
      <c r="K6" s="6" t="s">
        <v>337</v>
      </c>
      <c r="L6" s="6" t="s">
        <v>161</v>
      </c>
      <c r="R6" s="5" t="s">
        <v>162</v>
      </c>
      <c r="S6" s="6" t="s">
        <v>163</v>
      </c>
      <c r="T6" s="5" t="s">
        <v>162</v>
      </c>
      <c r="U6" s="5" t="s">
        <v>228</v>
      </c>
      <c r="V6" s="6" t="s">
        <v>338</v>
      </c>
      <c r="W6" s="6" t="s">
        <v>166</v>
      </c>
      <c r="X6" s="6" t="s">
        <v>167</v>
      </c>
      <c r="Y6" s="6" t="n">
        <f aca="false">IF(EU6&lt;&gt;"Y","",COUNTIFS($EU$2:$EU$1000,"Y",$J$2:$J$1000,"&gt;"&amp;J6)+COUNTIFS($EU$2:$EU$1000,"Y",$J$2:$J$1000,J6,$EW$2:$EW$1000,"&lt;"&amp;EW6)+1)</f>
        <v>4</v>
      </c>
      <c r="Z6" s="0" t="n">
        <v>5</v>
      </c>
      <c r="AA6" s="6" t="s">
        <v>168</v>
      </c>
      <c r="AB6" s="6" t="s">
        <v>339</v>
      </c>
      <c r="AC6" s="6" t="s">
        <v>170</v>
      </c>
      <c r="AD6" s="6" t="s">
        <v>171</v>
      </c>
      <c r="AE6" s="6" t="s">
        <v>231</v>
      </c>
      <c r="AF6" s="6" t="s">
        <v>340</v>
      </c>
      <c r="AG6" s="6" t="s">
        <v>174</v>
      </c>
      <c r="AH6" s="5" t="s">
        <v>310</v>
      </c>
      <c r="AI6" s="6" t="s">
        <v>341</v>
      </c>
      <c r="AJ6" s="6" t="s">
        <v>342</v>
      </c>
      <c r="AK6" s="6" t="s">
        <v>178</v>
      </c>
      <c r="AL6" s="0" t="n">
        <v>67</v>
      </c>
      <c r="AM6" s="0" t="n">
        <v>134</v>
      </c>
      <c r="AN6" s="6" t="s">
        <v>179</v>
      </c>
      <c r="AO6" s="6" t="s">
        <v>274</v>
      </c>
      <c r="AP6" s="6" t="s">
        <v>332</v>
      </c>
      <c r="AQ6" s="5" t="s">
        <v>162</v>
      </c>
      <c r="AT6" s="0" t="str">
        <f aca="false">IF(AND(AX6="pass",AQ6&lt;&gt;"Y",C6&lt;&gt;"",OR(AW6&lt;&gt;"Y",AV6="Y")),"Y","N")</f>
        <v>Y</v>
      </c>
      <c r="AU6" s="0" t="str">
        <f aca="false">_xlfn.TEXTJOIN("; ",TRUE(),IF(AX6&lt;&gt;"pass","gated out",""),IF(AQ6="Y","on hold: "&amp;AR6,""),IF(C6="","no contact named on an opened page",""),IF(AND(AW6="Y",AV6&lt;&gt;"Y"),"Tuesday estimate band "&amp;L6&amp;": founder's call",""))</f>
        <v/>
      </c>
      <c r="AW6" s="6" t="s">
        <v>162</v>
      </c>
      <c r="AX6" s="6" t="s">
        <v>181</v>
      </c>
      <c r="AY6" s="6" t="s">
        <v>182</v>
      </c>
      <c r="AZ6" s="6" t="s">
        <v>1</v>
      </c>
      <c r="BA6" s="6" t="s">
        <v>343</v>
      </c>
      <c r="BB6" s="6" t="s">
        <v>344</v>
      </c>
      <c r="BC6" s="6" t="s">
        <v>345</v>
      </c>
      <c r="BD6" s="6" t="s">
        <v>279</v>
      </c>
      <c r="BF6" s="6" t="s">
        <v>187</v>
      </c>
      <c r="BG6" s="6" t="s">
        <v>188</v>
      </c>
      <c r="BH6" s="6" t="s">
        <v>189</v>
      </c>
      <c r="BI6" s="6" t="s">
        <v>346</v>
      </c>
      <c r="BK6" s="6" t="s">
        <v>191</v>
      </c>
      <c r="BL6" s="6" t="s">
        <v>192</v>
      </c>
      <c r="BM6" s="6" t="s">
        <v>168</v>
      </c>
      <c r="BN6" s="6" t="s">
        <v>163</v>
      </c>
      <c r="BO6" s="6" t="s">
        <v>163</v>
      </c>
      <c r="BP6" s="6" t="s">
        <v>347</v>
      </c>
      <c r="BQ6" s="0" t="n">
        <v>40.741838</v>
      </c>
      <c r="BR6" s="0" t="n">
        <v>-73.992892</v>
      </c>
      <c r="BS6" s="6" t="s">
        <v>168</v>
      </c>
      <c r="BT6" s="0" t="n">
        <v>0</v>
      </c>
      <c r="BU6" s="6" t="s">
        <v>348</v>
      </c>
      <c r="BV6" s="6" t="s">
        <v>349</v>
      </c>
      <c r="BW6" s="6" t="s">
        <v>338</v>
      </c>
      <c r="BX6" s="6" t="s">
        <v>174</v>
      </c>
      <c r="BY6" s="6" t="s">
        <v>196</v>
      </c>
      <c r="BZ6" s="6" t="s">
        <v>350</v>
      </c>
      <c r="CA6" s="6" t="s">
        <v>351</v>
      </c>
      <c r="CC6" s="6" t="s">
        <v>200</v>
      </c>
      <c r="CE6" s="6" t="s">
        <v>162</v>
      </c>
      <c r="CH6" s="6" t="s">
        <v>163</v>
      </c>
      <c r="CJ6" s="6" t="s">
        <v>163</v>
      </c>
      <c r="CK6" s="6" t="s">
        <v>168</v>
      </c>
      <c r="CL6" s="6" t="s">
        <v>352</v>
      </c>
      <c r="CM6" s="6" t="s">
        <v>353</v>
      </c>
      <c r="CN6" s="6" t="s">
        <v>174</v>
      </c>
      <c r="CO6" s="0" t="n">
        <v>95</v>
      </c>
      <c r="CQ6" s="6" t="s">
        <v>354</v>
      </c>
      <c r="CR6" s="6" t="s">
        <v>206</v>
      </c>
      <c r="CS6" s="0" t="n">
        <v>1</v>
      </c>
      <c r="CT6" s="0" t="n">
        <v>73</v>
      </c>
      <c r="CU6" s="0" t="n">
        <v>25</v>
      </c>
      <c r="CV6" s="0" t="n">
        <v>15</v>
      </c>
      <c r="CW6" s="0" t="n">
        <v>13</v>
      </c>
      <c r="CX6" s="0" t="n">
        <v>15</v>
      </c>
      <c r="CY6" s="6" t="n">
        <f aca="false">IF(AH6="exact",10,IF(AH6="adjacent",5,0))</f>
        <v>5</v>
      </c>
      <c r="CZ6" s="6" t="n">
        <f aca="false">IF(R6="Y",15,0)</f>
        <v>0</v>
      </c>
      <c r="DF6" s="6" t="s">
        <v>158</v>
      </c>
      <c r="DG6" s="6" t="s">
        <v>211</v>
      </c>
      <c r="DJ6" s="6" t="s">
        <v>355</v>
      </c>
      <c r="DK6" s="6" t="s">
        <v>356</v>
      </c>
      <c r="DM6" s="6" t="s">
        <v>357</v>
      </c>
      <c r="DN6" s="6" t="s">
        <v>358</v>
      </c>
      <c r="DO6" s="6" t="s">
        <v>359</v>
      </c>
      <c r="DS6" s="6" t="s">
        <v>158</v>
      </c>
      <c r="DX6" s="6" t="s">
        <v>168</v>
      </c>
      <c r="DY6" s="6" t="s">
        <v>221</v>
      </c>
      <c r="ER6" s="0" t="str">
        <f aca="false">IF(ISNUMBER(MATCH(U6,{"queued","contacted","replied","call_booked","call_done","yes_in_principle","materials_sent"},0)),"Y","N")</f>
        <v>N</v>
      </c>
      <c r="ES6" s="0" t="str">
        <f aca="false">IF(COUNTIFS($AP$2:$AP$1000,AP6,$ER$2:$ER$1000,"Y")+COUNTIFS($AP$2:$AP$1000,AP6,$T$2:$T$1000,"Y")&gt;0,"Y","N")</f>
        <v>N</v>
      </c>
      <c r="ET6" s="0" t="str">
        <f aca="false">IF(AND(U6="new",T6="N",AT6="Y",AS6="",ES6="N"),"Y","N")</f>
        <v>Y</v>
      </c>
      <c r="EU6" s="0" t="str">
        <f aca="false">IF(ET6&lt;&gt;"Y","N",IF(COUNTIFS($AP$2:$AP$1000,AP6,$ET$2:$ET$1000,"Y",$J$2:$J$1000,"&gt;"&amp;J6)+COUNTIFS($AP$2:$AP$1000,AP6,$ET$2:$ET$1000,"Y",$J$2:$J$1000,J6,$EW$2:$EW$1000,"&lt;"&amp;EW6)=0,"Y","N"))</f>
        <v>Y</v>
      </c>
      <c r="EV6" s="0" t="str">
        <f aca="false">IF(Y6="","N",IF(Y6&lt;=10,"Y","N"))</f>
        <v>Y</v>
      </c>
      <c r="EW6" s="6" t="n">
        <f aca="false">ROW()-1</f>
        <v>5</v>
      </c>
    </row>
    <row r="7" customFormat="false" ht="15" hidden="false" customHeight="false" outlineLevel="0" collapsed="false">
      <c r="A7" s="0" t="s">
        <v>360</v>
      </c>
      <c r="B7" s="0" t="s">
        <v>361</v>
      </c>
      <c r="C7" s="0" t="s">
        <v>362</v>
      </c>
      <c r="D7" s="0" t="s">
        <v>363</v>
      </c>
      <c r="E7" s="0" t="s">
        <v>364</v>
      </c>
      <c r="H7" s="5" t="s">
        <v>158</v>
      </c>
      <c r="I7" s="5" t="s">
        <v>159</v>
      </c>
      <c r="J7" s="6" t="n">
        <f aca="false">IF(AX7="pass",ROUND(CU7+CV7+CW7+CX7+CY7+CZ7,1),0)</f>
        <v>72</v>
      </c>
      <c r="K7" s="6" t="s">
        <v>365</v>
      </c>
      <c r="L7" s="6" t="s">
        <v>161</v>
      </c>
      <c r="R7" s="5" t="s">
        <v>162</v>
      </c>
      <c r="S7" s="6" t="s">
        <v>163</v>
      </c>
      <c r="T7" s="5" t="s">
        <v>162</v>
      </c>
      <c r="U7" s="5" t="s">
        <v>228</v>
      </c>
      <c r="V7" s="6" t="s">
        <v>366</v>
      </c>
      <c r="W7" s="6" t="s">
        <v>166</v>
      </c>
      <c r="X7" s="6" t="s">
        <v>167</v>
      </c>
      <c r="Y7" s="6" t="n">
        <f aca="false">IF(EU7&lt;&gt;"Y","",COUNTIFS($EU$2:$EU$1000,"Y",$J$2:$J$1000,"&gt;"&amp;J7)+COUNTIFS($EU$2:$EU$1000,"Y",$J$2:$J$1000,J7,$EW$2:$EW$1000,"&lt;"&amp;EW7)+1)</f>
        <v>5</v>
      </c>
      <c r="Z7" s="0" t="n">
        <v>6</v>
      </c>
      <c r="AA7" s="6" t="s">
        <v>168</v>
      </c>
      <c r="AB7" s="6" t="s">
        <v>367</v>
      </c>
      <c r="AC7" s="6" t="s">
        <v>170</v>
      </c>
      <c r="AD7" s="6" t="s">
        <v>171</v>
      </c>
      <c r="AE7" s="6" t="s">
        <v>231</v>
      </c>
      <c r="AF7" s="6" t="s">
        <v>368</v>
      </c>
      <c r="AG7" s="6" t="s">
        <v>174</v>
      </c>
      <c r="AH7" s="5" t="s">
        <v>175</v>
      </c>
      <c r="AI7" s="6" t="s">
        <v>369</v>
      </c>
      <c r="AJ7" s="6" t="s">
        <v>273</v>
      </c>
      <c r="AK7" s="6" t="s">
        <v>178</v>
      </c>
      <c r="AL7" s="0" t="n">
        <v>95</v>
      </c>
      <c r="AM7" s="0" t="n">
        <v>214</v>
      </c>
      <c r="AN7" s="6" t="s">
        <v>179</v>
      </c>
      <c r="AO7" s="6" t="s">
        <v>370</v>
      </c>
      <c r="AP7" s="6" t="s">
        <v>360</v>
      </c>
      <c r="AQ7" s="5" t="s">
        <v>162</v>
      </c>
      <c r="AT7" s="0" t="str">
        <f aca="false">IF(AND(AX7="pass",AQ7&lt;&gt;"Y",C7&lt;&gt;"",OR(AW7&lt;&gt;"Y",AV7="Y")),"Y","N")</f>
        <v>Y</v>
      </c>
      <c r="AU7" s="0" t="str">
        <f aca="false">_xlfn.TEXTJOIN("; ",TRUE(),IF(AX7&lt;&gt;"pass","gated out",""),IF(AQ7="Y","on hold: "&amp;AR7,""),IF(C7="","no contact named on an opened page",""),IF(AND(AW7="Y",AV7&lt;&gt;"Y"),"Tuesday estimate band "&amp;L7&amp;": founder's call",""))</f>
        <v/>
      </c>
      <c r="AW7" s="6" t="s">
        <v>162</v>
      </c>
      <c r="AX7" s="6" t="s">
        <v>181</v>
      </c>
      <c r="AY7" s="6" t="s">
        <v>182</v>
      </c>
      <c r="AZ7" s="6" t="s">
        <v>1</v>
      </c>
      <c r="BA7" s="6" t="s">
        <v>371</v>
      </c>
      <c r="BB7" s="6" t="s">
        <v>372</v>
      </c>
      <c r="BC7" s="6" t="s">
        <v>373</v>
      </c>
      <c r="BD7" s="6" t="s">
        <v>374</v>
      </c>
      <c r="BE7" s="6" t="s">
        <v>375</v>
      </c>
      <c r="BF7" s="6" t="s">
        <v>240</v>
      </c>
      <c r="BG7" s="6" t="s">
        <v>188</v>
      </c>
      <c r="BH7" s="6" t="s">
        <v>241</v>
      </c>
      <c r="BI7" s="6" t="s">
        <v>376</v>
      </c>
      <c r="BJ7" s="6" t="s">
        <v>377</v>
      </c>
      <c r="BK7" s="6" t="s">
        <v>191</v>
      </c>
      <c r="BL7" s="6" t="s">
        <v>192</v>
      </c>
      <c r="BM7" s="6" t="s">
        <v>168</v>
      </c>
      <c r="BN7" s="6" t="s">
        <v>163</v>
      </c>
      <c r="BO7" s="6" t="s">
        <v>163</v>
      </c>
      <c r="BP7" s="6" t="s">
        <v>378</v>
      </c>
      <c r="BQ7" s="0" t="n">
        <v>40.739342</v>
      </c>
      <c r="BR7" s="0" t="n">
        <v>-73.994287</v>
      </c>
      <c r="BS7" s="6" t="s">
        <v>168</v>
      </c>
      <c r="BT7" s="0" t="n">
        <v>0</v>
      </c>
      <c r="BU7" s="6" t="s">
        <v>379</v>
      </c>
      <c r="BV7" s="6" t="s">
        <v>369</v>
      </c>
      <c r="BW7" s="6" t="s">
        <v>366</v>
      </c>
      <c r="BX7" s="6" t="s">
        <v>166</v>
      </c>
      <c r="BY7" s="6" t="s">
        <v>196</v>
      </c>
      <c r="BZ7" s="6" t="s">
        <v>380</v>
      </c>
      <c r="CA7" s="6" t="s">
        <v>381</v>
      </c>
      <c r="CC7" s="6" t="s">
        <v>200</v>
      </c>
      <c r="CE7" s="6" t="s">
        <v>162</v>
      </c>
      <c r="CH7" s="6" t="s">
        <v>163</v>
      </c>
      <c r="CJ7" s="6" t="s">
        <v>163</v>
      </c>
      <c r="CK7" s="6" t="s">
        <v>162</v>
      </c>
      <c r="CL7" s="6" t="s">
        <v>382</v>
      </c>
      <c r="CM7" s="6" t="s">
        <v>383</v>
      </c>
      <c r="CN7" s="6" t="s">
        <v>174</v>
      </c>
      <c r="CO7" s="0" t="n">
        <v>143</v>
      </c>
      <c r="CQ7" s="6" t="s">
        <v>384</v>
      </c>
      <c r="CR7" s="6" t="s">
        <v>206</v>
      </c>
      <c r="CS7" s="0" t="n">
        <v>1</v>
      </c>
      <c r="CT7" s="0" t="n">
        <v>72</v>
      </c>
      <c r="CU7" s="0" t="n">
        <v>25</v>
      </c>
      <c r="CV7" s="0" t="n">
        <v>15</v>
      </c>
      <c r="CW7" s="0" t="n">
        <v>7</v>
      </c>
      <c r="CX7" s="0" t="n">
        <v>15</v>
      </c>
      <c r="CY7" s="6" t="n">
        <f aca="false">IF(AH7="exact",10,IF(AH7="adjacent",5,0))</f>
        <v>10</v>
      </c>
      <c r="CZ7" s="6" t="n">
        <f aca="false">IF(R7="Y",15,0)</f>
        <v>0</v>
      </c>
      <c r="DF7" s="6" t="s">
        <v>158</v>
      </c>
      <c r="DG7" s="6" t="s">
        <v>211</v>
      </c>
      <c r="DK7" s="6" t="s">
        <v>385</v>
      </c>
      <c r="DM7" s="6" t="s">
        <v>386</v>
      </c>
      <c r="DN7" s="6" t="s">
        <v>387</v>
      </c>
      <c r="DO7" s="6" t="s">
        <v>388</v>
      </c>
      <c r="DS7" s="6" t="s">
        <v>158</v>
      </c>
      <c r="DX7" s="6" t="s">
        <v>168</v>
      </c>
      <c r="DY7" s="6" t="s">
        <v>264</v>
      </c>
      <c r="ER7" s="0" t="str">
        <f aca="false">IF(ISNUMBER(MATCH(U7,{"queued","contacted","replied","call_booked","call_done","yes_in_principle","materials_sent"},0)),"Y","N")</f>
        <v>N</v>
      </c>
      <c r="ES7" s="0" t="str">
        <f aca="false">IF(COUNTIFS($AP$2:$AP$1000,AP7,$ER$2:$ER$1000,"Y")+COUNTIFS($AP$2:$AP$1000,AP7,$T$2:$T$1000,"Y")&gt;0,"Y","N")</f>
        <v>N</v>
      </c>
      <c r="ET7" s="0" t="str">
        <f aca="false">IF(AND(U7="new",T7="N",AT7="Y",AS7="",ES7="N"),"Y","N")</f>
        <v>Y</v>
      </c>
      <c r="EU7" s="0" t="str">
        <f aca="false">IF(ET7&lt;&gt;"Y","N",IF(COUNTIFS($AP$2:$AP$1000,AP7,$ET$2:$ET$1000,"Y",$J$2:$J$1000,"&gt;"&amp;J7)+COUNTIFS($AP$2:$AP$1000,AP7,$ET$2:$ET$1000,"Y",$J$2:$J$1000,J7,$EW$2:$EW$1000,"&lt;"&amp;EW7)=0,"Y","N"))</f>
        <v>Y</v>
      </c>
      <c r="EV7" s="0" t="str">
        <f aca="false">IF(Y7="","N",IF(Y7&lt;=10,"Y","N"))</f>
        <v>Y</v>
      </c>
      <c r="EW7" s="6" t="n">
        <f aca="false">ROW()-1</f>
        <v>6</v>
      </c>
    </row>
    <row r="8" customFormat="false" ht="15" hidden="false" customHeight="false" outlineLevel="0" collapsed="false">
      <c r="A8" s="0" t="s">
        <v>389</v>
      </c>
      <c r="B8" s="0" t="s">
        <v>390</v>
      </c>
      <c r="C8" s="0" t="s">
        <v>391</v>
      </c>
      <c r="D8" s="0" t="s">
        <v>392</v>
      </c>
      <c r="E8" s="0" t="s">
        <v>393</v>
      </c>
      <c r="H8" s="5" t="s">
        <v>158</v>
      </c>
      <c r="I8" s="5" t="s">
        <v>159</v>
      </c>
      <c r="J8" s="6" t="n">
        <f aca="false">IF(AX8="pass",ROUND(CU8+CV8+CW8+CX8+CY8+CZ8,1),0)</f>
        <v>70</v>
      </c>
      <c r="K8" s="6" t="s">
        <v>394</v>
      </c>
      <c r="L8" s="6" t="s">
        <v>395</v>
      </c>
      <c r="R8" s="5" t="s">
        <v>162</v>
      </c>
      <c r="S8" s="6" t="s">
        <v>163</v>
      </c>
      <c r="T8" s="5" t="s">
        <v>162</v>
      </c>
      <c r="U8" s="5" t="s">
        <v>228</v>
      </c>
      <c r="V8" s="6" t="s">
        <v>396</v>
      </c>
      <c r="W8" s="6" t="s">
        <v>166</v>
      </c>
      <c r="X8" s="6" t="s">
        <v>167</v>
      </c>
      <c r="Y8" s="6" t="n">
        <f aca="false">IF(EU8&lt;&gt;"Y","",COUNTIFS($EU$2:$EU$1000,"Y",$J$2:$J$1000,"&gt;"&amp;J8)+COUNTIFS($EU$2:$EU$1000,"Y",$J$2:$J$1000,J8,$EW$2:$EW$1000,"&lt;"&amp;EW8)+1)</f>
        <v>6</v>
      </c>
      <c r="Z8" s="0" t="n">
        <v>7</v>
      </c>
      <c r="AA8" s="6" t="s">
        <v>168</v>
      </c>
      <c r="AB8" s="6" t="s">
        <v>397</v>
      </c>
      <c r="AC8" s="6" t="s">
        <v>170</v>
      </c>
      <c r="AD8" s="6" t="s">
        <v>171</v>
      </c>
      <c r="AE8" s="6" t="s">
        <v>231</v>
      </c>
      <c r="AF8" s="6" t="s">
        <v>398</v>
      </c>
      <c r="AG8" s="6" t="s">
        <v>174</v>
      </c>
      <c r="AH8" s="5" t="s">
        <v>310</v>
      </c>
      <c r="AI8" s="6" t="s">
        <v>399</v>
      </c>
      <c r="AJ8" s="6" t="s">
        <v>273</v>
      </c>
      <c r="AK8" s="6" t="s">
        <v>178</v>
      </c>
      <c r="AL8" s="0" t="n">
        <v>50</v>
      </c>
      <c r="AM8" s="0" t="n">
        <v>105</v>
      </c>
      <c r="AN8" s="6" t="s">
        <v>179</v>
      </c>
      <c r="AO8" s="6" t="s">
        <v>274</v>
      </c>
      <c r="AP8" s="6" t="s">
        <v>389</v>
      </c>
      <c r="AQ8" s="5" t="s">
        <v>162</v>
      </c>
      <c r="AT8" s="0" t="str">
        <f aca="false">IF(AND(AX8="pass",AQ8&lt;&gt;"Y",C8&lt;&gt;"",OR(AW8&lt;&gt;"Y",AV8="Y")),"Y","N")</f>
        <v>Y</v>
      </c>
      <c r="AU8" s="0" t="str">
        <f aca="false">_xlfn.TEXTJOIN("; ",TRUE(),IF(AX8&lt;&gt;"pass","gated out",""),IF(AQ8="Y","on hold: "&amp;AR8,""),IF(C8="","no contact named on an opened page",""),IF(AND(AW8="Y",AV8&lt;&gt;"Y"),"Tuesday estimate band "&amp;L8&amp;": founder's call",""))</f>
        <v/>
      </c>
      <c r="AW8" s="6" t="s">
        <v>162</v>
      </c>
      <c r="AX8" s="6" t="s">
        <v>181</v>
      </c>
      <c r="AY8" s="6" t="s">
        <v>182</v>
      </c>
      <c r="AZ8" s="6" t="s">
        <v>1</v>
      </c>
      <c r="BA8" s="6" t="s">
        <v>400</v>
      </c>
      <c r="BB8" s="6" t="s">
        <v>401</v>
      </c>
      <c r="BC8" s="6" t="s">
        <v>402</v>
      </c>
      <c r="BD8" s="6" t="s">
        <v>278</v>
      </c>
      <c r="BE8" s="6" t="s">
        <v>403</v>
      </c>
      <c r="BF8" s="6" t="s">
        <v>163</v>
      </c>
      <c r="BG8" s="6" t="s">
        <v>163</v>
      </c>
      <c r="BH8" s="6" t="s">
        <v>280</v>
      </c>
      <c r="BI8" s="6" t="s">
        <v>404</v>
      </c>
      <c r="BJ8" s="6" t="s">
        <v>405</v>
      </c>
      <c r="BK8" s="6" t="s">
        <v>191</v>
      </c>
      <c r="BL8" s="6" t="s">
        <v>192</v>
      </c>
      <c r="BM8" s="6" t="s">
        <v>168</v>
      </c>
      <c r="BN8" s="6" t="s">
        <v>163</v>
      </c>
      <c r="BO8" s="6" t="s">
        <v>163</v>
      </c>
      <c r="BP8" s="6" t="s">
        <v>347</v>
      </c>
      <c r="BQ8" s="0" t="n">
        <v>40.742014</v>
      </c>
      <c r="BR8" s="0" t="n">
        <v>-73.993705</v>
      </c>
      <c r="BS8" s="6" t="s">
        <v>168</v>
      </c>
      <c r="BT8" s="0" t="n">
        <v>0</v>
      </c>
      <c r="BU8" s="6" t="s">
        <v>406</v>
      </c>
      <c r="BV8" s="6" t="s">
        <v>407</v>
      </c>
      <c r="BW8" s="6" t="s">
        <v>396</v>
      </c>
      <c r="BX8" s="6" t="s">
        <v>174</v>
      </c>
      <c r="BY8" s="6" t="s">
        <v>196</v>
      </c>
      <c r="BZ8" s="6" t="s">
        <v>408</v>
      </c>
      <c r="CA8" s="6" t="s">
        <v>409</v>
      </c>
      <c r="CC8" s="6" t="s">
        <v>200</v>
      </c>
      <c r="CE8" s="6" t="s">
        <v>162</v>
      </c>
      <c r="CH8" s="6" t="s">
        <v>163</v>
      </c>
      <c r="CJ8" s="6" t="s">
        <v>163</v>
      </c>
      <c r="CK8" s="6" t="s">
        <v>162</v>
      </c>
      <c r="CL8" s="6" t="s">
        <v>286</v>
      </c>
      <c r="CM8" s="6" t="s">
        <v>410</v>
      </c>
      <c r="CN8" s="6" t="s">
        <v>174</v>
      </c>
      <c r="CO8" s="0" t="n">
        <v>72</v>
      </c>
      <c r="CQ8" s="6" t="s">
        <v>411</v>
      </c>
      <c r="CR8" s="6" t="s">
        <v>206</v>
      </c>
      <c r="CS8" s="0" t="n">
        <v>1</v>
      </c>
      <c r="CT8" s="0" t="n">
        <v>70</v>
      </c>
      <c r="CU8" s="0" t="n">
        <v>25</v>
      </c>
      <c r="CV8" s="0" t="n">
        <v>15</v>
      </c>
      <c r="CW8" s="0" t="n">
        <v>10</v>
      </c>
      <c r="CX8" s="0" t="n">
        <v>15</v>
      </c>
      <c r="CY8" s="6" t="n">
        <f aca="false">IF(AH8="exact",10,IF(AH8="adjacent",5,0))</f>
        <v>5</v>
      </c>
      <c r="CZ8" s="6" t="n">
        <f aca="false">IF(R8="Y",15,0)</f>
        <v>0</v>
      </c>
      <c r="DA8" s="6" t="s">
        <v>412</v>
      </c>
      <c r="DB8" s="6" t="s">
        <v>413</v>
      </c>
      <c r="DC8" s="6" t="s">
        <v>414</v>
      </c>
      <c r="DF8" s="6" t="s">
        <v>158</v>
      </c>
      <c r="DG8" s="6" t="s">
        <v>211</v>
      </c>
      <c r="DJ8" s="6" t="s">
        <v>415</v>
      </c>
      <c r="DK8" s="6" t="s">
        <v>416</v>
      </c>
      <c r="DM8" s="6" t="s">
        <v>417</v>
      </c>
      <c r="DN8" s="6" t="s">
        <v>418</v>
      </c>
      <c r="DO8" s="6" t="s">
        <v>419</v>
      </c>
      <c r="DQ8" s="6" t="s">
        <v>216</v>
      </c>
      <c r="DR8" s="6" t="s">
        <v>420</v>
      </c>
      <c r="DS8" s="6" t="s">
        <v>171</v>
      </c>
      <c r="DT8" s="6" t="s">
        <v>231</v>
      </c>
      <c r="DU8" s="6" t="s">
        <v>421</v>
      </c>
      <c r="DV8" s="6" t="s">
        <v>422</v>
      </c>
      <c r="DW8" s="6" t="s">
        <v>423</v>
      </c>
      <c r="DX8" s="6" t="s">
        <v>168</v>
      </c>
      <c r="DY8" s="6" t="s">
        <v>221</v>
      </c>
      <c r="ER8" s="0" t="str">
        <f aca="false">IF(ISNUMBER(MATCH(U8,{"queued","contacted","replied","call_booked","call_done","yes_in_principle","materials_sent"},0)),"Y","N")</f>
        <v>N</v>
      </c>
      <c r="ES8" s="0" t="str">
        <f aca="false">IF(COUNTIFS($AP$2:$AP$1000,AP8,$ER$2:$ER$1000,"Y")+COUNTIFS($AP$2:$AP$1000,AP8,$T$2:$T$1000,"Y")&gt;0,"Y","N")</f>
        <v>N</v>
      </c>
      <c r="ET8" s="0" t="str">
        <f aca="false">IF(AND(U8="new",T8="N",AT8="Y",AS8="",ES8="N"),"Y","N")</f>
        <v>Y</v>
      </c>
      <c r="EU8" s="0" t="str">
        <f aca="false">IF(ET8&lt;&gt;"Y","N",IF(COUNTIFS($AP$2:$AP$1000,AP8,$ET$2:$ET$1000,"Y",$J$2:$J$1000,"&gt;"&amp;J8)+COUNTIFS($AP$2:$AP$1000,AP8,$ET$2:$ET$1000,"Y",$J$2:$J$1000,J8,$EW$2:$EW$1000,"&lt;"&amp;EW8)=0,"Y","N"))</f>
        <v>Y</v>
      </c>
      <c r="EV8" s="0" t="str">
        <f aca="false">IF(Y8="","N",IF(Y8&lt;=10,"Y","N"))</f>
        <v>Y</v>
      </c>
      <c r="EW8" s="6" t="n">
        <f aca="false">ROW()-1</f>
        <v>7</v>
      </c>
    </row>
    <row r="9" customFormat="false" ht="15" hidden="false" customHeight="false" outlineLevel="0" collapsed="false">
      <c r="A9" s="0" t="s">
        <v>424</v>
      </c>
      <c r="B9" s="0" t="s">
        <v>425</v>
      </c>
      <c r="C9" s="0" t="s">
        <v>426</v>
      </c>
      <c r="D9" s="0" t="s">
        <v>427</v>
      </c>
      <c r="E9" s="0" t="s">
        <v>428</v>
      </c>
      <c r="H9" s="5" t="s">
        <v>158</v>
      </c>
      <c r="I9" s="5" t="s">
        <v>159</v>
      </c>
      <c r="J9" s="6" t="n">
        <f aca="false">IF(AX9="pass",ROUND(CU9+CV9+CW9+CX9+CY9+CZ9,1),0)</f>
        <v>70</v>
      </c>
      <c r="K9" s="6" t="s">
        <v>429</v>
      </c>
      <c r="L9" s="6" t="s">
        <v>161</v>
      </c>
      <c r="R9" s="5" t="s">
        <v>162</v>
      </c>
      <c r="S9" s="6" t="s">
        <v>163</v>
      </c>
      <c r="T9" s="5" t="s">
        <v>162</v>
      </c>
      <c r="U9" s="5" t="s">
        <v>228</v>
      </c>
      <c r="V9" s="6" t="s">
        <v>430</v>
      </c>
      <c r="W9" s="6" t="s">
        <v>166</v>
      </c>
      <c r="X9" s="6" t="s">
        <v>167</v>
      </c>
      <c r="Y9" s="6" t="n">
        <f aca="false">IF(EU9&lt;&gt;"Y","",COUNTIFS($EU$2:$EU$1000,"Y",$J$2:$J$1000,"&gt;"&amp;J9)+COUNTIFS($EU$2:$EU$1000,"Y",$J$2:$J$1000,J9,$EW$2:$EW$1000,"&lt;"&amp;EW9)+1)</f>
        <v>7</v>
      </c>
      <c r="Z9" s="0" t="n">
        <v>8</v>
      </c>
      <c r="AA9" s="6" t="s">
        <v>168</v>
      </c>
      <c r="AB9" s="6" t="s">
        <v>431</v>
      </c>
      <c r="AC9" s="6" t="s">
        <v>170</v>
      </c>
      <c r="AD9" s="6" t="s">
        <v>171</v>
      </c>
      <c r="AE9" s="6" t="s">
        <v>231</v>
      </c>
      <c r="AF9" s="6" t="s">
        <v>432</v>
      </c>
      <c r="AG9" s="6" t="s">
        <v>174</v>
      </c>
      <c r="AH9" s="5" t="s">
        <v>175</v>
      </c>
      <c r="AI9" s="6" t="s">
        <v>433</v>
      </c>
      <c r="AJ9" s="6" t="s">
        <v>434</v>
      </c>
      <c r="AK9" s="6" t="s">
        <v>435</v>
      </c>
      <c r="AL9" s="0" t="n">
        <v>75</v>
      </c>
      <c r="AM9" s="0" t="n">
        <v>203</v>
      </c>
      <c r="AN9" s="6" t="s">
        <v>179</v>
      </c>
      <c r="AO9" s="6" t="s">
        <v>180</v>
      </c>
      <c r="AP9" s="6" t="s">
        <v>424</v>
      </c>
      <c r="AQ9" s="5" t="s">
        <v>162</v>
      </c>
      <c r="AT9" s="0" t="str">
        <f aca="false">IF(AND(AX9="pass",AQ9&lt;&gt;"Y",C9&lt;&gt;"",OR(AW9&lt;&gt;"Y",AV9="Y")),"Y","N")</f>
        <v>Y</v>
      </c>
      <c r="AU9" s="0" t="str">
        <f aca="false">_xlfn.TEXTJOIN("; ",TRUE(),IF(AX9&lt;&gt;"pass","gated out",""),IF(AQ9="Y","on hold: "&amp;AR9,""),IF(C9="","no contact named on an opened page",""),IF(AND(AW9="Y",AV9&lt;&gt;"Y"),"Tuesday estimate band "&amp;L9&amp;": founder's call",""))</f>
        <v/>
      </c>
      <c r="AW9" s="6" t="s">
        <v>162</v>
      </c>
      <c r="AX9" s="6" t="s">
        <v>181</v>
      </c>
      <c r="AY9" s="6" t="s">
        <v>182</v>
      </c>
      <c r="AZ9" s="6" t="s">
        <v>1</v>
      </c>
      <c r="BA9" s="6" t="s">
        <v>436</v>
      </c>
      <c r="BB9" s="6" t="s">
        <v>437</v>
      </c>
      <c r="BC9" s="6" t="s">
        <v>438</v>
      </c>
      <c r="BD9" s="6" t="s">
        <v>439</v>
      </c>
      <c r="BE9" s="6" t="s">
        <v>440</v>
      </c>
      <c r="BF9" s="6" t="s">
        <v>163</v>
      </c>
      <c r="BG9" s="6" t="s">
        <v>163</v>
      </c>
      <c r="BH9" s="6" t="s">
        <v>280</v>
      </c>
      <c r="BI9" s="6" t="s">
        <v>441</v>
      </c>
      <c r="BJ9" s="6" t="s">
        <v>442</v>
      </c>
      <c r="BK9" s="6" t="s">
        <v>191</v>
      </c>
      <c r="BL9" s="6" t="s">
        <v>192</v>
      </c>
      <c r="BM9" s="6" t="s">
        <v>168</v>
      </c>
      <c r="BN9" s="6" t="s">
        <v>163</v>
      </c>
      <c r="BO9" s="6" t="s">
        <v>163</v>
      </c>
      <c r="BP9" s="6" t="s">
        <v>193</v>
      </c>
      <c r="BQ9" s="0" t="n">
        <v>40.738311</v>
      </c>
      <c r="BR9" s="0" t="n">
        <v>-73.990185</v>
      </c>
      <c r="BS9" s="6" t="s">
        <v>168</v>
      </c>
      <c r="BT9" s="0" t="n">
        <v>0</v>
      </c>
      <c r="BU9" s="6" t="s">
        <v>443</v>
      </c>
      <c r="BV9" s="6" t="s">
        <v>444</v>
      </c>
      <c r="BW9" s="6" t="s">
        <v>430</v>
      </c>
      <c r="BX9" s="6" t="s">
        <v>166</v>
      </c>
      <c r="BY9" s="6" t="s">
        <v>445</v>
      </c>
      <c r="BZ9" s="6" t="s">
        <v>446</v>
      </c>
      <c r="CA9" s="6" t="s">
        <v>447</v>
      </c>
      <c r="CC9" s="6" t="s">
        <v>179</v>
      </c>
      <c r="CE9" s="6" t="s">
        <v>162</v>
      </c>
      <c r="CH9" s="6" t="s">
        <v>201</v>
      </c>
      <c r="CI9" s="6" t="s">
        <v>448</v>
      </c>
      <c r="CJ9" s="6" t="s">
        <v>163</v>
      </c>
      <c r="CK9" s="6" t="s">
        <v>162</v>
      </c>
      <c r="CL9" s="6" t="s">
        <v>449</v>
      </c>
      <c r="CM9" s="6" t="s">
        <v>430</v>
      </c>
      <c r="CN9" s="6" t="s">
        <v>174</v>
      </c>
      <c r="CO9" s="0" t="n">
        <v>123</v>
      </c>
      <c r="CQ9" s="6" t="s">
        <v>450</v>
      </c>
      <c r="CR9" s="6" t="s">
        <v>206</v>
      </c>
      <c r="CS9" s="0" t="n">
        <v>1</v>
      </c>
      <c r="CT9" s="0" t="n">
        <v>70</v>
      </c>
      <c r="CU9" s="0" t="n">
        <v>25</v>
      </c>
      <c r="CV9" s="0" t="n">
        <v>15</v>
      </c>
      <c r="CW9" s="0" t="n">
        <v>15</v>
      </c>
      <c r="CX9" s="0" t="n">
        <v>5</v>
      </c>
      <c r="CY9" s="6" t="n">
        <f aca="false">IF(AH9="exact",10,IF(AH9="adjacent",5,0))</f>
        <v>10</v>
      </c>
      <c r="CZ9" s="6" t="n">
        <f aca="false">IF(R9="Y",15,0)</f>
        <v>0</v>
      </c>
      <c r="DA9" s="6" t="s">
        <v>451</v>
      </c>
      <c r="DB9" s="6" t="s">
        <v>452</v>
      </c>
      <c r="DC9" s="6" t="s">
        <v>291</v>
      </c>
      <c r="DF9" s="6" t="s">
        <v>158</v>
      </c>
      <c r="DG9" s="6" t="s">
        <v>211</v>
      </c>
      <c r="DJ9" s="6" t="s">
        <v>453</v>
      </c>
      <c r="DK9" s="6" t="s">
        <v>454</v>
      </c>
      <c r="DM9" s="6" t="s">
        <v>455</v>
      </c>
      <c r="DN9" s="6" t="s">
        <v>456</v>
      </c>
      <c r="DO9" s="6" t="s">
        <v>457</v>
      </c>
      <c r="DQ9" s="6" t="s">
        <v>216</v>
      </c>
      <c r="DR9" s="6" t="s">
        <v>458</v>
      </c>
      <c r="DS9" s="6" t="s">
        <v>171</v>
      </c>
      <c r="DT9" s="6" t="s">
        <v>231</v>
      </c>
      <c r="DU9" s="6" t="s">
        <v>459</v>
      </c>
      <c r="DV9" s="6" t="s">
        <v>460</v>
      </c>
      <c r="DW9" s="6" t="s">
        <v>461</v>
      </c>
      <c r="DX9" s="6" t="s">
        <v>168</v>
      </c>
      <c r="DY9" s="6" t="s">
        <v>264</v>
      </c>
      <c r="ER9" s="0" t="str">
        <f aca="false">IF(ISNUMBER(MATCH(U9,{"queued","contacted","replied","call_booked","call_done","yes_in_principle","materials_sent"},0)),"Y","N")</f>
        <v>N</v>
      </c>
      <c r="ES9" s="0" t="str">
        <f aca="false">IF(COUNTIFS($AP$2:$AP$1000,AP9,$ER$2:$ER$1000,"Y")+COUNTIFS($AP$2:$AP$1000,AP9,$T$2:$T$1000,"Y")&gt;0,"Y","N")</f>
        <v>N</v>
      </c>
      <c r="ET9" s="0" t="str">
        <f aca="false">IF(AND(U9="new",T9="N",AT9="Y",AS9="",ES9="N"),"Y","N")</f>
        <v>Y</v>
      </c>
      <c r="EU9" s="0" t="str">
        <f aca="false">IF(ET9&lt;&gt;"Y","N",IF(COUNTIFS($AP$2:$AP$1000,AP9,$ET$2:$ET$1000,"Y",$J$2:$J$1000,"&gt;"&amp;J9)+COUNTIFS($AP$2:$AP$1000,AP9,$ET$2:$ET$1000,"Y",$J$2:$J$1000,J9,$EW$2:$EW$1000,"&lt;"&amp;EW9)=0,"Y","N"))</f>
        <v>Y</v>
      </c>
      <c r="EV9" s="0" t="str">
        <f aca="false">IF(Y9="","N",IF(Y9&lt;=10,"Y","N"))</f>
        <v>Y</v>
      </c>
      <c r="EW9" s="6" t="n">
        <f aca="false">ROW()-1</f>
        <v>8</v>
      </c>
    </row>
    <row r="10" customFormat="false" ht="15" hidden="false" customHeight="false" outlineLevel="0" collapsed="false">
      <c r="A10" s="0" t="s">
        <v>462</v>
      </c>
      <c r="B10" s="0" t="s">
        <v>463</v>
      </c>
      <c r="C10" s="0" t="s">
        <v>464</v>
      </c>
      <c r="D10" s="0" t="s">
        <v>465</v>
      </c>
      <c r="E10" s="0" t="s">
        <v>466</v>
      </c>
      <c r="H10" s="5" t="s">
        <v>158</v>
      </c>
      <c r="I10" s="5" t="s">
        <v>159</v>
      </c>
      <c r="J10" s="6" t="n">
        <f aca="false">IF(AX10="pass",ROUND(CU10+CV10+CW10+CX10+CY10+CZ10,1),0)</f>
        <v>67.8</v>
      </c>
      <c r="K10" s="6" t="s">
        <v>467</v>
      </c>
      <c r="L10" s="6" t="s">
        <v>187</v>
      </c>
      <c r="R10" s="5" t="s">
        <v>162</v>
      </c>
      <c r="S10" s="6" t="s">
        <v>163</v>
      </c>
      <c r="T10" s="5" t="s">
        <v>162</v>
      </c>
      <c r="U10" s="5" t="s">
        <v>228</v>
      </c>
      <c r="V10" s="6" t="s">
        <v>468</v>
      </c>
      <c r="W10" s="6" t="s">
        <v>166</v>
      </c>
      <c r="X10" s="6" t="s">
        <v>167</v>
      </c>
      <c r="Y10" s="6" t="n">
        <f aca="false">IF(EU10&lt;&gt;"Y","",COUNTIFS($EU$2:$EU$1000,"Y",$J$2:$J$1000,"&gt;"&amp;J10)+COUNTIFS($EU$2:$EU$1000,"Y",$J$2:$J$1000,J10,$EW$2:$EW$1000,"&lt;"&amp;EW10)+1)</f>
        <v>8</v>
      </c>
      <c r="Z10" s="0" t="n">
        <v>9</v>
      </c>
      <c r="AA10" s="6" t="s">
        <v>168</v>
      </c>
      <c r="AB10" s="6" t="s">
        <v>469</v>
      </c>
      <c r="AC10" s="6" t="s">
        <v>170</v>
      </c>
      <c r="AD10" s="6" t="s">
        <v>171</v>
      </c>
      <c r="AE10" s="6" t="s">
        <v>231</v>
      </c>
      <c r="AF10" s="6" t="s">
        <v>470</v>
      </c>
      <c r="AG10" s="6" t="s">
        <v>174</v>
      </c>
      <c r="AH10" s="5" t="s">
        <v>175</v>
      </c>
      <c r="AI10" s="6" t="s">
        <v>471</v>
      </c>
      <c r="AJ10" s="6" t="s">
        <v>472</v>
      </c>
      <c r="AK10" s="6" t="s">
        <v>178</v>
      </c>
      <c r="AL10" s="0" t="n">
        <v>94</v>
      </c>
      <c r="AM10" s="0" t="n">
        <v>305</v>
      </c>
      <c r="AN10" s="6" t="s">
        <v>179</v>
      </c>
      <c r="AO10" s="6" t="s">
        <v>370</v>
      </c>
      <c r="AP10" s="6" t="s">
        <v>462</v>
      </c>
      <c r="AQ10" s="5" t="s">
        <v>162</v>
      </c>
      <c r="AT10" s="0" t="str">
        <f aca="false">IF(AND(AX10="pass",AQ10&lt;&gt;"Y",C10&lt;&gt;"",OR(AW10&lt;&gt;"Y",AV10="Y")),"Y","N")</f>
        <v>Y</v>
      </c>
      <c r="AU10" s="0" t="str">
        <f aca="false">_xlfn.TEXTJOIN("; ",TRUE(),IF(AX10&lt;&gt;"pass","gated out",""),IF(AQ10="Y","on hold: "&amp;AR10,""),IF(C10="","no contact named on an opened page",""),IF(AND(AW10="Y",AV10&lt;&gt;"Y"),"Tuesday estimate band "&amp;L10&amp;": founder's call",""))</f>
        <v/>
      </c>
      <c r="AW10" s="6" t="s">
        <v>162</v>
      </c>
      <c r="AX10" s="6" t="s">
        <v>181</v>
      </c>
      <c r="AY10" s="6" t="s">
        <v>182</v>
      </c>
      <c r="AZ10" s="6" t="s">
        <v>1</v>
      </c>
      <c r="BA10" s="6" t="s">
        <v>473</v>
      </c>
      <c r="BB10" s="6" t="s">
        <v>474</v>
      </c>
      <c r="BC10" s="6" t="s">
        <v>475</v>
      </c>
      <c r="BD10" s="6" t="s">
        <v>476</v>
      </c>
      <c r="BE10" s="6" t="s">
        <v>477</v>
      </c>
      <c r="BF10" s="6" t="s">
        <v>240</v>
      </c>
      <c r="BG10" s="6" t="s">
        <v>188</v>
      </c>
      <c r="BH10" s="6" t="s">
        <v>241</v>
      </c>
      <c r="BI10" s="6" t="s">
        <v>478</v>
      </c>
      <c r="BJ10" s="6" t="s">
        <v>479</v>
      </c>
      <c r="BK10" s="6" t="s">
        <v>191</v>
      </c>
      <c r="BL10" s="6" t="s">
        <v>192</v>
      </c>
      <c r="BM10" s="6" t="s">
        <v>168</v>
      </c>
      <c r="BN10" s="6" t="s">
        <v>163</v>
      </c>
      <c r="BO10" s="6" t="s">
        <v>163</v>
      </c>
      <c r="BP10" s="6" t="s">
        <v>347</v>
      </c>
      <c r="BQ10" s="0" t="n">
        <v>40.739819</v>
      </c>
      <c r="BR10" s="0" t="n">
        <v>-73.986885</v>
      </c>
      <c r="BS10" s="6" t="s">
        <v>168</v>
      </c>
      <c r="BT10" s="0" t="n">
        <v>0</v>
      </c>
      <c r="BU10" s="6" t="s">
        <v>480</v>
      </c>
      <c r="BV10" s="6" t="s">
        <v>481</v>
      </c>
      <c r="BW10" s="6" t="s">
        <v>468</v>
      </c>
      <c r="BX10" s="6" t="s">
        <v>166</v>
      </c>
      <c r="BY10" s="6" t="s">
        <v>196</v>
      </c>
      <c r="BZ10" s="6" t="s">
        <v>482</v>
      </c>
      <c r="CA10" s="6" t="s">
        <v>483</v>
      </c>
      <c r="CC10" s="6" t="s">
        <v>200</v>
      </c>
      <c r="CE10" s="6" t="s">
        <v>162</v>
      </c>
      <c r="CH10" s="6" t="s">
        <v>201</v>
      </c>
      <c r="CI10" s="6" t="s">
        <v>484</v>
      </c>
      <c r="CJ10" s="6" t="s">
        <v>163</v>
      </c>
      <c r="CK10" s="6" t="s">
        <v>162</v>
      </c>
      <c r="CL10" s="6" t="s">
        <v>485</v>
      </c>
      <c r="CM10" s="6" t="s">
        <v>478</v>
      </c>
      <c r="CN10" s="6" t="s">
        <v>174</v>
      </c>
      <c r="CO10" s="0" t="n">
        <v>169</v>
      </c>
      <c r="CP10" s="6" t="s">
        <v>251</v>
      </c>
      <c r="CQ10" s="6" t="s">
        <v>486</v>
      </c>
      <c r="CR10" s="6" t="s">
        <v>206</v>
      </c>
      <c r="CS10" s="0" t="n">
        <v>0.83</v>
      </c>
      <c r="CT10" s="0" t="n">
        <v>67.8</v>
      </c>
      <c r="CU10" s="0" t="n">
        <v>20.8</v>
      </c>
      <c r="CV10" s="0" t="n">
        <v>15</v>
      </c>
      <c r="CW10" s="0" t="n">
        <v>7</v>
      </c>
      <c r="CX10" s="0" t="n">
        <v>15</v>
      </c>
      <c r="CY10" s="6" t="n">
        <f aca="false">IF(AH10="exact",10,IF(AH10="adjacent",5,0))</f>
        <v>10</v>
      </c>
      <c r="CZ10" s="6" t="n">
        <f aca="false">IF(R10="Y",15,0)</f>
        <v>0</v>
      </c>
      <c r="DA10" s="6" t="s">
        <v>487</v>
      </c>
      <c r="DB10" s="6" t="s">
        <v>488</v>
      </c>
      <c r="DC10" s="6" t="s">
        <v>489</v>
      </c>
      <c r="DF10" s="6" t="s">
        <v>158</v>
      </c>
      <c r="DG10" s="6" t="s">
        <v>211</v>
      </c>
      <c r="DJ10" s="6" t="s">
        <v>490</v>
      </c>
      <c r="DK10" s="6" t="s">
        <v>491</v>
      </c>
      <c r="DM10" s="6" t="s">
        <v>492</v>
      </c>
      <c r="DN10" s="6" t="s">
        <v>493</v>
      </c>
      <c r="DO10" s="6" t="s">
        <v>494</v>
      </c>
      <c r="DQ10" s="6" t="s">
        <v>216</v>
      </c>
      <c r="DR10" s="6" t="s">
        <v>495</v>
      </c>
      <c r="DS10" s="6" t="s">
        <v>171</v>
      </c>
      <c r="DT10" s="6" t="s">
        <v>231</v>
      </c>
      <c r="DU10" s="6" t="s">
        <v>496</v>
      </c>
      <c r="DV10" s="6" t="s">
        <v>497</v>
      </c>
      <c r="DW10" s="6" t="s">
        <v>498</v>
      </c>
      <c r="DX10" s="6" t="s">
        <v>168</v>
      </c>
      <c r="DY10" s="6" t="s">
        <v>221</v>
      </c>
      <c r="ER10" s="0" t="str">
        <f aca="false">IF(ISNUMBER(MATCH(U10,{"queued","contacted","replied","call_booked","call_done","yes_in_principle","materials_sent"},0)),"Y","N")</f>
        <v>N</v>
      </c>
      <c r="ES10" s="0" t="str">
        <f aca="false">IF(COUNTIFS($AP$2:$AP$1000,AP10,$ER$2:$ER$1000,"Y")+COUNTIFS($AP$2:$AP$1000,AP10,$T$2:$T$1000,"Y")&gt;0,"Y","N")</f>
        <v>N</v>
      </c>
      <c r="ET10" s="0" t="str">
        <f aca="false">IF(AND(U10="new",T10="N",AT10="Y",AS10="",ES10="N"),"Y","N")</f>
        <v>Y</v>
      </c>
      <c r="EU10" s="0" t="str">
        <f aca="false">IF(ET10&lt;&gt;"Y","N",IF(COUNTIFS($AP$2:$AP$1000,AP10,$ET$2:$ET$1000,"Y",$J$2:$J$1000,"&gt;"&amp;J10)+COUNTIFS($AP$2:$AP$1000,AP10,$ET$2:$ET$1000,"Y",$J$2:$J$1000,J10,$EW$2:$EW$1000,"&lt;"&amp;EW10)=0,"Y","N"))</f>
        <v>Y</v>
      </c>
      <c r="EV10" s="0" t="str">
        <f aca="false">IF(Y10="","N",IF(Y10&lt;=10,"Y","N"))</f>
        <v>Y</v>
      </c>
      <c r="EW10" s="6" t="n">
        <f aca="false">ROW()-1</f>
        <v>9</v>
      </c>
    </row>
    <row r="11" customFormat="false" ht="15" hidden="false" customHeight="false" outlineLevel="0" collapsed="false">
      <c r="A11" s="0" t="s">
        <v>499</v>
      </c>
      <c r="B11" s="0" t="s">
        <v>500</v>
      </c>
      <c r="C11" s="0" t="s">
        <v>501</v>
      </c>
      <c r="D11" s="0" t="s">
        <v>502</v>
      </c>
      <c r="E11" s="0" t="s">
        <v>503</v>
      </c>
      <c r="H11" s="5" t="s">
        <v>158</v>
      </c>
      <c r="I11" s="5" t="s">
        <v>159</v>
      </c>
      <c r="J11" s="6" t="n">
        <f aca="false">IF(AX11="pass",ROUND(CU11+CV11+CW11+CX11+CY11+CZ11,1),0)</f>
        <v>67</v>
      </c>
      <c r="K11" s="6" t="s">
        <v>504</v>
      </c>
      <c r="L11" s="6" t="s">
        <v>395</v>
      </c>
      <c r="O11" s="6" t="s">
        <v>505</v>
      </c>
      <c r="P11" s="6" t="s">
        <v>506</v>
      </c>
      <c r="Q11" s="6" t="s">
        <v>507</v>
      </c>
      <c r="R11" s="5" t="s">
        <v>162</v>
      </c>
      <c r="S11" s="6" t="s">
        <v>163</v>
      </c>
      <c r="T11" s="5" t="s">
        <v>162</v>
      </c>
      <c r="U11" s="5" t="s">
        <v>228</v>
      </c>
      <c r="V11" s="6" t="s">
        <v>506</v>
      </c>
      <c r="W11" s="6" t="s">
        <v>166</v>
      </c>
      <c r="X11" s="6" t="s">
        <v>167</v>
      </c>
      <c r="Y11" s="6" t="n">
        <f aca="false">IF(EU11&lt;&gt;"Y","",COUNTIFS($EU$2:$EU$1000,"Y",$J$2:$J$1000,"&gt;"&amp;J11)+COUNTIFS($EU$2:$EU$1000,"Y",$J$2:$J$1000,J11,$EW$2:$EW$1000,"&lt;"&amp;EW11)+1)</f>
        <v>9</v>
      </c>
      <c r="Z11" s="0" t="n">
        <v>10</v>
      </c>
      <c r="AA11" s="6" t="s">
        <v>168</v>
      </c>
      <c r="AB11" s="6" t="s">
        <v>508</v>
      </c>
      <c r="AC11" s="6" t="s">
        <v>170</v>
      </c>
      <c r="AD11" s="6" t="s">
        <v>171</v>
      </c>
      <c r="AE11" s="6" t="s">
        <v>231</v>
      </c>
      <c r="AF11" s="6" t="s">
        <v>509</v>
      </c>
      <c r="AG11" s="6" t="s">
        <v>174</v>
      </c>
      <c r="AH11" s="5" t="s">
        <v>310</v>
      </c>
      <c r="AI11" s="6" t="s">
        <v>510</v>
      </c>
      <c r="AJ11" s="6" t="s">
        <v>511</v>
      </c>
      <c r="AK11" s="6" t="s">
        <v>178</v>
      </c>
      <c r="AL11" s="0" t="n">
        <v>50</v>
      </c>
      <c r="AM11" s="0" t="n">
        <v>100</v>
      </c>
      <c r="AN11" s="6" t="s">
        <v>179</v>
      </c>
      <c r="AO11" s="6" t="s">
        <v>370</v>
      </c>
      <c r="AP11" s="6" t="s">
        <v>499</v>
      </c>
      <c r="AQ11" s="5" t="s">
        <v>162</v>
      </c>
      <c r="AT11" s="0" t="str">
        <f aca="false">IF(AND(AX11="pass",AQ11&lt;&gt;"Y",C11&lt;&gt;"",OR(AW11&lt;&gt;"Y",AV11="Y")),"Y","N")</f>
        <v>Y</v>
      </c>
      <c r="AU11" s="0" t="str">
        <f aca="false">_xlfn.TEXTJOIN("; ",TRUE(),IF(AX11&lt;&gt;"pass","gated out",""),IF(AQ11="Y","on hold: "&amp;AR11,""),IF(C11="","no contact named on an opened page",""),IF(AND(AW11="Y",AV11&lt;&gt;"Y"),"Tuesday estimate band "&amp;L11&amp;": founder's call",""))</f>
        <v/>
      </c>
      <c r="AW11" s="6" t="s">
        <v>162</v>
      </c>
      <c r="AX11" s="6" t="s">
        <v>181</v>
      </c>
      <c r="AY11" s="6" t="s">
        <v>182</v>
      </c>
      <c r="AZ11" s="6" t="s">
        <v>1</v>
      </c>
      <c r="BA11" s="6" t="s">
        <v>512</v>
      </c>
      <c r="BB11" s="6" t="s">
        <v>513</v>
      </c>
      <c r="BC11" s="6" t="s">
        <v>514</v>
      </c>
      <c r="BD11" s="6" t="s">
        <v>278</v>
      </c>
      <c r="BF11" s="6" t="s">
        <v>161</v>
      </c>
      <c r="BG11" s="6" t="s">
        <v>188</v>
      </c>
      <c r="BH11" s="6" t="s">
        <v>189</v>
      </c>
      <c r="BI11" s="6" t="s">
        <v>515</v>
      </c>
      <c r="BK11" s="6" t="s">
        <v>191</v>
      </c>
      <c r="BL11" s="6" t="s">
        <v>192</v>
      </c>
      <c r="BM11" s="6" t="s">
        <v>168</v>
      </c>
      <c r="BN11" s="6" t="s">
        <v>163</v>
      </c>
      <c r="BO11" s="6" t="s">
        <v>163</v>
      </c>
      <c r="BP11" s="6" t="s">
        <v>347</v>
      </c>
      <c r="BQ11" s="0" t="n">
        <v>40.742771</v>
      </c>
      <c r="BR11" s="0" t="n">
        <v>-73.991782</v>
      </c>
      <c r="BS11" s="6" t="s">
        <v>168</v>
      </c>
      <c r="BT11" s="0" t="n">
        <v>0</v>
      </c>
      <c r="BU11" s="6" t="s">
        <v>516</v>
      </c>
      <c r="BV11" s="6" t="s">
        <v>517</v>
      </c>
      <c r="BW11" s="6" t="s">
        <v>506</v>
      </c>
      <c r="BX11" s="6" t="s">
        <v>507</v>
      </c>
      <c r="BY11" s="6" t="s">
        <v>248</v>
      </c>
      <c r="BZ11" s="6" t="s">
        <v>515</v>
      </c>
      <c r="CA11" s="6" t="s">
        <v>166</v>
      </c>
      <c r="CC11" s="6" t="s">
        <v>200</v>
      </c>
      <c r="CE11" s="6" t="s">
        <v>162</v>
      </c>
      <c r="CH11" s="6" t="s">
        <v>163</v>
      </c>
      <c r="CJ11" s="6" t="s">
        <v>163</v>
      </c>
      <c r="CK11" s="6" t="s">
        <v>162</v>
      </c>
      <c r="CL11" s="6" t="s">
        <v>518</v>
      </c>
      <c r="CM11" s="6" t="s">
        <v>515</v>
      </c>
      <c r="CN11" s="6" t="s">
        <v>174</v>
      </c>
      <c r="CO11" s="0" t="n">
        <v>71</v>
      </c>
      <c r="CQ11" s="6" t="s">
        <v>519</v>
      </c>
      <c r="CR11" s="6" t="s">
        <v>206</v>
      </c>
      <c r="CS11" s="0" t="n">
        <v>1</v>
      </c>
      <c r="CT11" s="0" t="n">
        <v>67</v>
      </c>
      <c r="CU11" s="0" t="n">
        <v>25</v>
      </c>
      <c r="CV11" s="0" t="n">
        <v>15</v>
      </c>
      <c r="CW11" s="0" t="n">
        <v>7</v>
      </c>
      <c r="CX11" s="0" t="n">
        <v>15</v>
      </c>
      <c r="CY11" s="6" t="n">
        <f aca="false">IF(AH11="exact",10,IF(AH11="adjacent",5,0))</f>
        <v>5</v>
      </c>
      <c r="CZ11" s="6" t="n">
        <f aca="false">IF(R11="Y",15,0)</f>
        <v>0</v>
      </c>
      <c r="DF11" s="6" t="s">
        <v>158</v>
      </c>
      <c r="DG11" s="6" t="s">
        <v>211</v>
      </c>
      <c r="DJ11" s="6" t="s">
        <v>520</v>
      </c>
      <c r="DK11" s="6" t="s">
        <v>521</v>
      </c>
      <c r="DM11" s="6" t="s">
        <v>522</v>
      </c>
      <c r="DN11" s="6" t="s">
        <v>523</v>
      </c>
      <c r="DO11" s="6" t="s">
        <v>524</v>
      </c>
      <c r="DS11" s="6" t="s">
        <v>158</v>
      </c>
      <c r="DX11" s="6" t="s">
        <v>168</v>
      </c>
      <c r="DY11" s="6" t="s">
        <v>264</v>
      </c>
      <c r="ER11" s="0" t="str">
        <f aca="false">IF(ISNUMBER(MATCH(U11,{"queued","contacted","replied","call_booked","call_done","yes_in_principle","materials_sent"},0)),"Y","N")</f>
        <v>N</v>
      </c>
      <c r="ES11" s="0" t="str">
        <f aca="false">IF(COUNTIFS($AP$2:$AP$1000,AP11,$ER$2:$ER$1000,"Y")+COUNTIFS($AP$2:$AP$1000,AP11,$T$2:$T$1000,"Y")&gt;0,"Y","N")</f>
        <v>N</v>
      </c>
      <c r="ET11" s="0" t="str">
        <f aca="false">IF(AND(U11="new",T11="N",AT11="Y",AS11="",ES11="N"),"Y","N")</f>
        <v>Y</v>
      </c>
      <c r="EU11" s="0" t="str">
        <f aca="false">IF(ET11&lt;&gt;"Y","N",IF(COUNTIFS($AP$2:$AP$1000,AP11,$ET$2:$ET$1000,"Y",$J$2:$J$1000,"&gt;"&amp;J11)+COUNTIFS($AP$2:$AP$1000,AP11,$ET$2:$ET$1000,"Y",$J$2:$J$1000,J11,$EW$2:$EW$1000,"&lt;"&amp;EW11)=0,"Y","N"))</f>
        <v>Y</v>
      </c>
      <c r="EV11" s="0" t="str">
        <f aca="false">IF(Y11="","N",IF(Y11&lt;=10,"Y","N"))</f>
        <v>Y</v>
      </c>
      <c r="EW11" s="6" t="n">
        <f aca="false">ROW()-1</f>
        <v>10</v>
      </c>
    </row>
    <row r="12" customFormat="false" ht="15" hidden="false" customHeight="false" outlineLevel="0" collapsed="false">
      <c r="A12" s="0" t="s">
        <v>525</v>
      </c>
      <c r="B12" s="0" t="s">
        <v>526</v>
      </c>
      <c r="C12" s="0" t="s">
        <v>527</v>
      </c>
      <c r="D12" s="0" t="s">
        <v>528</v>
      </c>
      <c r="E12" s="0" t="s">
        <v>529</v>
      </c>
      <c r="H12" s="5" t="s">
        <v>158</v>
      </c>
      <c r="I12" s="5" t="s">
        <v>159</v>
      </c>
      <c r="J12" s="6" t="n">
        <f aca="false">IF(AX12="pass",ROUND(CU12+CV12+CW12+CX12+CY12+CZ12,1),0)</f>
        <v>67</v>
      </c>
      <c r="K12" s="6" t="s">
        <v>530</v>
      </c>
      <c r="L12" s="6" t="s">
        <v>161</v>
      </c>
      <c r="R12" s="5" t="s">
        <v>162</v>
      </c>
      <c r="S12" s="6" t="s">
        <v>163</v>
      </c>
      <c r="T12" s="5" t="s">
        <v>162</v>
      </c>
      <c r="U12" s="5" t="s">
        <v>228</v>
      </c>
      <c r="V12" s="6" t="s">
        <v>197</v>
      </c>
      <c r="W12" s="6" t="s">
        <v>166</v>
      </c>
      <c r="X12" s="6" t="s">
        <v>167</v>
      </c>
      <c r="Y12" s="6" t="n">
        <f aca="false">IF(EU12&lt;&gt;"Y","",COUNTIFS($EU$2:$EU$1000,"Y",$J$2:$J$1000,"&gt;"&amp;J12)+COUNTIFS($EU$2:$EU$1000,"Y",$J$2:$J$1000,J12,$EW$2:$EW$1000,"&lt;"&amp;EW12)+1)</f>
        <v>10</v>
      </c>
      <c r="Z12" s="0" t="n">
        <v>11</v>
      </c>
      <c r="AA12" s="6" t="s">
        <v>168</v>
      </c>
      <c r="AB12" s="6" t="s">
        <v>531</v>
      </c>
      <c r="AC12" s="6" t="s">
        <v>170</v>
      </c>
      <c r="AD12" s="6" t="s">
        <v>171</v>
      </c>
      <c r="AE12" s="6" t="s">
        <v>231</v>
      </c>
      <c r="AF12" s="6" t="s">
        <v>532</v>
      </c>
      <c r="AG12" s="6" t="s">
        <v>174</v>
      </c>
      <c r="AH12" s="5" t="s">
        <v>310</v>
      </c>
      <c r="AI12" s="6" t="s">
        <v>176</v>
      </c>
      <c r="AJ12" s="6" t="s">
        <v>163</v>
      </c>
      <c r="AK12" s="6" t="s">
        <v>178</v>
      </c>
      <c r="AL12" s="0" t="n">
        <v>55</v>
      </c>
      <c r="AM12" s="0" t="n">
        <v>126</v>
      </c>
      <c r="AN12" s="6" t="s">
        <v>179</v>
      </c>
      <c r="AO12" s="6" t="s">
        <v>370</v>
      </c>
      <c r="AP12" s="6" t="s">
        <v>525</v>
      </c>
      <c r="AQ12" s="5" t="s">
        <v>162</v>
      </c>
      <c r="AT12" s="0" t="str">
        <f aca="false">IF(AND(AX12="pass",AQ12&lt;&gt;"Y",C12&lt;&gt;"",OR(AW12&lt;&gt;"Y",AV12="Y")),"Y","N")</f>
        <v>Y</v>
      </c>
      <c r="AU12" s="0" t="str">
        <f aca="false">_xlfn.TEXTJOIN("; ",TRUE(),IF(AX12&lt;&gt;"pass","gated out",""),IF(AQ12="Y","on hold: "&amp;AR12,""),IF(C12="","no contact named on an opened page",""),IF(AND(AW12="Y",AV12&lt;&gt;"Y"),"Tuesday estimate band "&amp;L12&amp;": founder's call",""))</f>
        <v/>
      </c>
      <c r="AW12" s="6" t="s">
        <v>162</v>
      </c>
      <c r="AX12" s="6" t="s">
        <v>181</v>
      </c>
      <c r="AY12" s="6" t="s">
        <v>182</v>
      </c>
      <c r="AZ12" s="6" t="s">
        <v>1</v>
      </c>
      <c r="BA12" s="6" t="s">
        <v>533</v>
      </c>
      <c r="BB12" s="6" t="s">
        <v>534</v>
      </c>
      <c r="BC12" s="6" t="s">
        <v>535</v>
      </c>
      <c r="BD12" s="6" t="s">
        <v>536</v>
      </c>
      <c r="BE12" s="6" t="s">
        <v>537</v>
      </c>
      <c r="BF12" s="6" t="s">
        <v>187</v>
      </c>
      <c r="BG12" s="6" t="s">
        <v>188</v>
      </c>
      <c r="BH12" s="6" t="s">
        <v>241</v>
      </c>
      <c r="BI12" s="6" t="s">
        <v>538</v>
      </c>
      <c r="BJ12" s="6" t="s">
        <v>539</v>
      </c>
      <c r="BK12" s="6" t="s">
        <v>191</v>
      </c>
      <c r="BL12" s="6" t="s">
        <v>192</v>
      </c>
      <c r="BM12" s="6" t="s">
        <v>168</v>
      </c>
      <c r="BN12" s="6" t="s">
        <v>163</v>
      </c>
      <c r="BO12" s="6" t="s">
        <v>163</v>
      </c>
      <c r="BP12" s="6" t="s">
        <v>193</v>
      </c>
      <c r="BQ12" s="0" t="n">
        <v>40.73686</v>
      </c>
      <c r="BR12" s="0" t="n">
        <v>-73.988546</v>
      </c>
      <c r="BS12" s="6" t="s">
        <v>168</v>
      </c>
      <c r="BT12" s="0" t="n">
        <v>0</v>
      </c>
      <c r="BU12" s="6" t="s">
        <v>194</v>
      </c>
      <c r="BV12" s="6" t="s">
        <v>195</v>
      </c>
      <c r="BW12" s="6" t="s">
        <v>197</v>
      </c>
      <c r="BX12" s="6" t="s">
        <v>198</v>
      </c>
      <c r="BY12" s="6" t="s">
        <v>283</v>
      </c>
      <c r="BZ12" s="6" t="s">
        <v>284</v>
      </c>
      <c r="CA12" s="6" t="s">
        <v>285</v>
      </c>
      <c r="CB12" s="6" t="s">
        <v>199</v>
      </c>
      <c r="CC12" s="6" t="s">
        <v>200</v>
      </c>
      <c r="CE12" s="6" t="s">
        <v>162</v>
      </c>
      <c r="CH12" s="6" t="s">
        <v>201</v>
      </c>
      <c r="CI12" s="6" t="s">
        <v>202</v>
      </c>
      <c r="CJ12" s="6" t="s">
        <v>163</v>
      </c>
      <c r="CK12" s="6" t="s">
        <v>162</v>
      </c>
      <c r="CL12" s="6" t="s">
        <v>540</v>
      </c>
      <c r="CM12" s="6" t="s">
        <v>541</v>
      </c>
      <c r="CN12" s="6" t="s">
        <v>174</v>
      </c>
      <c r="CO12" s="0" t="n">
        <v>83</v>
      </c>
      <c r="CQ12" s="6" t="s">
        <v>542</v>
      </c>
      <c r="CR12" s="6" t="s">
        <v>206</v>
      </c>
      <c r="CS12" s="0" t="n">
        <v>1</v>
      </c>
      <c r="CT12" s="0" t="n">
        <v>67</v>
      </c>
      <c r="CU12" s="0" t="n">
        <v>25</v>
      </c>
      <c r="CV12" s="0" t="n">
        <v>15</v>
      </c>
      <c r="CW12" s="0" t="n">
        <v>7</v>
      </c>
      <c r="CX12" s="0" t="n">
        <v>15</v>
      </c>
      <c r="CY12" s="6" t="n">
        <f aca="false">IF(AH12="exact",10,IF(AH12="adjacent",5,0))</f>
        <v>5</v>
      </c>
      <c r="CZ12" s="6" t="n">
        <f aca="false">IF(R12="Y",15,0)</f>
        <v>0</v>
      </c>
      <c r="DA12" s="6" t="s">
        <v>543</v>
      </c>
      <c r="DB12" s="6" t="s">
        <v>544</v>
      </c>
      <c r="DC12" s="6" t="s">
        <v>545</v>
      </c>
      <c r="DF12" s="6" t="s">
        <v>158</v>
      </c>
      <c r="DG12" s="6" t="s">
        <v>211</v>
      </c>
      <c r="DJ12" s="6" t="s">
        <v>546</v>
      </c>
      <c r="DK12" s="6" t="s">
        <v>547</v>
      </c>
      <c r="DM12" s="6" t="s">
        <v>548</v>
      </c>
      <c r="DN12" s="6" t="s">
        <v>549</v>
      </c>
      <c r="DO12" s="6" t="s">
        <v>550</v>
      </c>
      <c r="DQ12" s="6" t="s">
        <v>216</v>
      </c>
      <c r="DR12" s="6" t="s">
        <v>551</v>
      </c>
      <c r="DS12" s="6" t="s">
        <v>171</v>
      </c>
      <c r="DT12" s="6" t="s">
        <v>231</v>
      </c>
      <c r="DU12" s="6" t="s">
        <v>552</v>
      </c>
      <c r="DV12" s="6" t="s">
        <v>553</v>
      </c>
      <c r="DW12" s="6" t="s">
        <v>554</v>
      </c>
      <c r="DX12" s="6" t="s">
        <v>168</v>
      </c>
      <c r="DY12" s="6" t="s">
        <v>221</v>
      </c>
      <c r="ER12" s="0" t="str">
        <f aca="false">IF(ISNUMBER(MATCH(U12,{"queued","contacted","replied","call_booked","call_done","yes_in_principle","materials_sent"},0)),"Y","N")</f>
        <v>N</v>
      </c>
      <c r="ES12" s="0" t="str">
        <f aca="false">IF(COUNTIFS($AP$2:$AP$1000,AP12,$ER$2:$ER$1000,"Y")+COUNTIFS($AP$2:$AP$1000,AP12,$T$2:$T$1000,"Y")&gt;0,"Y","N")</f>
        <v>N</v>
      </c>
      <c r="ET12" s="0" t="str">
        <f aca="false">IF(AND(U12="new",T12="N",AT12="Y",AS12="",ES12="N"),"Y","N")</f>
        <v>Y</v>
      </c>
      <c r="EU12" s="0" t="str">
        <f aca="false">IF(ET12&lt;&gt;"Y","N",IF(COUNTIFS($AP$2:$AP$1000,AP12,$ET$2:$ET$1000,"Y",$J$2:$J$1000,"&gt;"&amp;J12)+COUNTIFS($AP$2:$AP$1000,AP12,$ET$2:$ET$1000,"Y",$J$2:$J$1000,J12,$EW$2:$EW$1000,"&lt;"&amp;EW12)=0,"Y","N"))</f>
        <v>Y</v>
      </c>
      <c r="EV12" s="0" t="str">
        <f aca="false">IF(Y12="","N",IF(Y12&lt;=10,"Y","N"))</f>
        <v>Y</v>
      </c>
      <c r="EW12" s="6" t="n">
        <f aca="false">ROW()-1</f>
        <v>11</v>
      </c>
    </row>
    <row r="13" customFormat="false" ht="15" hidden="false" customHeight="false" outlineLevel="0" collapsed="false">
      <c r="A13" s="0" t="s">
        <v>555</v>
      </c>
      <c r="B13" s="0" t="s">
        <v>556</v>
      </c>
      <c r="C13" s="0" t="s">
        <v>557</v>
      </c>
      <c r="D13" s="0" t="s">
        <v>558</v>
      </c>
      <c r="E13" s="0" t="s">
        <v>559</v>
      </c>
      <c r="H13" s="5" t="s">
        <v>158</v>
      </c>
      <c r="I13" s="5" t="s">
        <v>159</v>
      </c>
      <c r="J13" s="6" t="n">
        <f aca="false">IF(AX13="pass",ROUND(CU13+CV13+CW13+CX13+CY13+CZ13,1),0)</f>
        <v>66.3</v>
      </c>
      <c r="K13" s="6" t="s">
        <v>560</v>
      </c>
      <c r="L13" s="6" t="s">
        <v>561</v>
      </c>
      <c r="R13" s="5" t="s">
        <v>162</v>
      </c>
      <c r="S13" s="6" t="s">
        <v>163</v>
      </c>
      <c r="T13" s="5" t="s">
        <v>162</v>
      </c>
      <c r="U13" s="5" t="s">
        <v>228</v>
      </c>
      <c r="V13" s="6" t="s">
        <v>562</v>
      </c>
      <c r="W13" s="6" t="s">
        <v>166</v>
      </c>
      <c r="X13" s="6" t="s">
        <v>167</v>
      </c>
      <c r="Y13" s="6" t="n">
        <f aca="false">IF(EU13&lt;&gt;"Y","",COUNTIFS($EU$2:$EU$1000,"Y",$J$2:$J$1000,"&gt;"&amp;J13)+COUNTIFS($EU$2:$EU$1000,"Y",$J$2:$J$1000,J13,$EW$2:$EW$1000,"&lt;"&amp;EW13)+1)</f>
        <v>11</v>
      </c>
      <c r="Z13" s="0" t="n">
        <v>12</v>
      </c>
      <c r="AA13" s="6" t="s">
        <v>168</v>
      </c>
      <c r="AB13" s="6" t="s">
        <v>563</v>
      </c>
      <c r="AC13" s="6" t="s">
        <v>170</v>
      </c>
      <c r="AD13" s="6" t="s">
        <v>171</v>
      </c>
      <c r="AE13" s="6" t="s">
        <v>231</v>
      </c>
      <c r="AF13" s="6" t="s">
        <v>564</v>
      </c>
      <c r="AG13" s="6" t="s">
        <v>174</v>
      </c>
      <c r="AH13" s="5" t="s">
        <v>175</v>
      </c>
      <c r="AI13" s="6" t="s">
        <v>565</v>
      </c>
      <c r="AJ13" s="6" t="s">
        <v>566</v>
      </c>
      <c r="AK13" s="6" t="s">
        <v>178</v>
      </c>
      <c r="AL13" s="0" t="n">
        <v>8</v>
      </c>
      <c r="AM13" s="0" t="n">
        <v>151</v>
      </c>
      <c r="AN13" s="6" t="s">
        <v>179</v>
      </c>
      <c r="AO13" s="6" t="s">
        <v>180</v>
      </c>
      <c r="AP13" s="6" t="s">
        <v>555</v>
      </c>
      <c r="AQ13" s="5" t="s">
        <v>162</v>
      </c>
      <c r="AT13" s="0" t="str">
        <f aca="false">IF(AND(AX13="pass",AQ13&lt;&gt;"Y",C13&lt;&gt;"",OR(AW13&lt;&gt;"Y",AV13="Y")),"Y","N")</f>
        <v>Y</v>
      </c>
      <c r="AU13" s="0" t="str">
        <f aca="false">_xlfn.TEXTJOIN("; ",TRUE(),IF(AX13&lt;&gt;"pass","gated out",""),IF(AQ13="Y","on hold: "&amp;AR13,""),IF(C13="","no contact named on an opened page",""),IF(AND(AW13="Y",AV13&lt;&gt;"Y"),"Tuesday estimate band "&amp;L13&amp;": founder's call",""))</f>
        <v/>
      </c>
      <c r="AV13" s="0" t="s">
        <v>168</v>
      </c>
      <c r="AW13" s="6" t="s">
        <v>168</v>
      </c>
      <c r="AX13" s="6" t="s">
        <v>181</v>
      </c>
      <c r="AY13" s="6" t="s">
        <v>182</v>
      </c>
      <c r="AZ13" s="6" t="s">
        <v>1</v>
      </c>
      <c r="BA13" s="6" t="s">
        <v>567</v>
      </c>
      <c r="BB13" s="6" t="s">
        <v>568</v>
      </c>
      <c r="BC13" s="6" t="s">
        <v>569</v>
      </c>
      <c r="BD13" s="6" t="s">
        <v>570</v>
      </c>
      <c r="BF13" s="6" t="s">
        <v>187</v>
      </c>
      <c r="BG13" s="6" t="s">
        <v>188</v>
      </c>
      <c r="BH13" s="6" t="s">
        <v>189</v>
      </c>
      <c r="BI13" s="6" t="s">
        <v>571</v>
      </c>
      <c r="BK13" s="6" t="s">
        <v>191</v>
      </c>
      <c r="BL13" s="6" t="s">
        <v>572</v>
      </c>
      <c r="BM13" s="6" t="s">
        <v>162</v>
      </c>
      <c r="BN13" s="6" t="s">
        <v>163</v>
      </c>
      <c r="BO13" s="6" t="s">
        <v>163</v>
      </c>
      <c r="BP13" s="6" t="s">
        <v>244</v>
      </c>
      <c r="BQ13" s="0" t="n">
        <v>40.744442</v>
      </c>
      <c r="BR13" s="0" t="n">
        <v>-73.983525</v>
      </c>
      <c r="BS13" s="6" t="s">
        <v>168</v>
      </c>
      <c r="BT13" s="0" t="n">
        <v>0</v>
      </c>
      <c r="BU13" s="6" t="s">
        <v>573</v>
      </c>
      <c r="BV13" s="6" t="s">
        <v>574</v>
      </c>
      <c r="BW13" s="6" t="s">
        <v>562</v>
      </c>
      <c r="BX13" s="6" t="s">
        <v>174</v>
      </c>
      <c r="BY13" s="6" t="s">
        <v>196</v>
      </c>
      <c r="BZ13" s="6" t="s">
        <v>575</v>
      </c>
      <c r="CA13" s="6" t="s">
        <v>576</v>
      </c>
      <c r="CC13" s="6" t="s">
        <v>200</v>
      </c>
      <c r="CE13" s="6" t="s">
        <v>162</v>
      </c>
      <c r="CH13" s="6" t="s">
        <v>163</v>
      </c>
      <c r="CJ13" s="6" t="s">
        <v>163</v>
      </c>
      <c r="CK13" s="6" t="s">
        <v>162</v>
      </c>
      <c r="CL13" s="6" t="s">
        <v>577</v>
      </c>
      <c r="CM13" s="6" t="s">
        <v>571</v>
      </c>
      <c r="CN13" s="6" t="s">
        <v>174</v>
      </c>
      <c r="CO13" s="0" t="n">
        <v>35</v>
      </c>
      <c r="CP13" s="6" t="s">
        <v>578</v>
      </c>
      <c r="CQ13" s="6" t="s">
        <v>579</v>
      </c>
      <c r="CR13" s="6" t="s">
        <v>206</v>
      </c>
      <c r="CS13" s="0" t="n">
        <v>0.45</v>
      </c>
      <c r="CT13" s="0" t="n">
        <v>66.3</v>
      </c>
      <c r="CU13" s="0" t="n">
        <v>11.3</v>
      </c>
      <c r="CV13" s="0" t="n">
        <v>15</v>
      </c>
      <c r="CW13" s="0" t="n">
        <v>15</v>
      </c>
      <c r="CX13" s="0" t="n">
        <v>15</v>
      </c>
      <c r="CY13" s="6" t="n">
        <f aca="false">IF(AH13="exact",10,IF(AH13="adjacent",5,0))</f>
        <v>10</v>
      </c>
      <c r="CZ13" s="6" t="n">
        <f aca="false">IF(R13="Y",15,0)</f>
        <v>0</v>
      </c>
      <c r="DA13" s="6" t="s">
        <v>580</v>
      </c>
      <c r="DB13" s="6" t="s">
        <v>581</v>
      </c>
      <c r="DC13" s="6" t="s">
        <v>582</v>
      </c>
      <c r="DF13" s="6" t="s">
        <v>158</v>
      </c>
      <c r="DG13" s="6" t="s">
        <v>211</v>
      </c>
      <c r="DJ13" s="6" t="s">
        <v>583</v>
      </c>
      <c r="DK13" s="6" t="s">
        <v>584</v>
      </c>
      <c r="DM13" s="6" t="s">
        <v>585</v>
      </c>
      <c r="DN13" s="6" t="s">
        <v>586</v>
      </c>
      <c r="DO13" s="6" t="s">
        <v>587</v>
      </c>
      <c r="DQ13" s="6" t="s">
        <v>216</v>
      </c>
      <c r="DR13" s="6" t="s">
        <v>588</v>
      </c>
      <c r="DS13" s="6" t="s">
        <v>171</v>
      </c>
      <c r="DT13" s="6" t="s">
        <v>231</v>
      </c>
      <c r="DU13" s="6" t="s">
        <v>589</v>
      </c>
      <c r="DV13" s="6" t="s">
        <v>590</v>
      </c>
      <c r="DW13" s="6" t="s">
        <v>591</v>
      </c>
      <c r="DX13" s="6" t="s">
        <v>168</v>
      </c>
      <c r="DY13" s="6" t="s">
        <v>221</v>
      </c>
      <c r="ER13" s="0" t="str">
        <f aca="false">IF(ISNUMBER(MATCH(U13,{"queued","contacted","replied","call_booked","call_done","yes_in_principle","materials_sent"},0)),"Y","N")</f>
        <v>N</v>
      </c>
      <c r="ES13" s="0" t="str">
        <f aca="false">IF(COUNTIFS($AP$2:$AP$1000,AP13,$ER$2:$ER$1000,"Y")+COUNTIFS($AP$2:$AP$1000,AP13,$T$2:$T$1000,"Y")&gt;0,"Y","N")</f>
        <v>N</v>
      </c>
      <c r="ET13" s="0" t="str">
        <f aca="false">IF(AND(U13="new",T13="N",AT13="Y",AS13="",ES13="N"),"Y","N")</f>
        <v>Y</v>
      </c>
      <c r="EU13" s="0" t="str">
        <f aca="false">IF(ET13&lt;&gt;"Y","N",IF(COUNTIFS($AP$2:$AP$1000,AP13,$ET$2:$ET$1000,"Y",$J$2:$J$1000,"&gt;"&amp;J13)+COUNTIFS($AP$2:$AP$1000,AP13,$ET$2:$ET$1000,"Y",$J$2:$J$1000,J13,$EW$2:$EW$1000,"&lt;"&amp;EW13)=0,"Y","N"))</f>
        <v>Y</v>
      </c>
      <c r="EV13" s="0" t="str">
        <f aca="false">IF(Y13="","N",IF(Y13&lt;=10,"Y","N"))</f>
        <v>N</v>
      </c>
      <c r="EW13" s="6" t="n">
        <f aca="false">ROW()-1</f>
        <v>12</v>
      </c>
    </row>
    <row r="14" customFormat="false" ht="15" hidden="false" customHeight="false" outlineLevel="0" collapsed="false">
      <c r="A14" s="0" t="s">
        <v>592</v>
      </c>
      <c r="B14" s="0" t="s">
        <v>593</v>
      </c>
      <c r="H14" s="5" t="s">
        <v>158</v>
      </c>
      <c r="I14" s="5" t="s">
        <v>594</v>
      </c>
      <c r="J14" s="6" t="n">
        <f aca="false">IF(AX14="pass",ROUND(CU14+CV14+CW14+CX14+CY14+CZ14,1),0)</f>
        <v>66</v>
      </c>
      <c r="K14" s="6" t="s">
        <v>595</v>
      </c>
      <c r="L14" s="6" t="s">
        <v>187</v>
      </c>
      <c r="R14" s="5" t="s">
        <v>162</v>
      </c>
      <c r="S14" s="6" t="s">
        <v>163</v>
      </c>
      <c r="T14" s="5" t="s">
        <v>162</v>
      </c>
      <c r="U14" s="5" t="s">
        <v>228</v>
      </c>
      <c r="V14" s="6" t="s">
        <v>596</v>
      </c>
      <c r="W14" s="6" t="s">
        <v>166</v>
      </c>
      <c r="X14" s="6" t="s">
        <v>167</v>
      </c>
      <c r="Y14" s="0" t="str">
        <f aca="false">IF(EU14&lt;&gt;"Y","",COUNTIFS($EU$2:$EU$1000,"Y",$J$2:$J$1000,"&gt;"&amp;J14)+COUNTIFS($EU$2:$EU$1000,"Y",$J$2:$J$1000,J14,$EW$2:$EW$1000,"&lt;"&amp;EW14)+1)</f>
        <v/>
      </c>
      <c r="Z14" s="0" t="n">
        <v>13</v>
      </c>
      <c r="AA14" s="6" t="s">
        <v>168</v>
      </c>
      <c r="AB14" s="6" t="s">
        <v>597</v>
      </c>
      <c r="AC14" s="6" t="s">
        <v>170</v>
      </c>
      <c r="AD14" s="6" t="s">
        <v>598</v>
      </c>
      <c r="AE14" s="6" t="s">
        <v>599</v>
      </c>
      <c r="AF14" s="6" t="s">
        <v>600</v>
      </c>
      <c r="AG14" s="6" t="s">
        <v>174</v>
      </c>
      <c r="AH14" s="5" t="s">
        <v>310</v>
      </c>
      <c r="AI14" s="6" t="s">
        <v>601</v>
      </c>
      <c r="AJ14" s="6" t="s">
        <v>434</v>
      </c>
      <c r="AK14" s="6" t="s">
        <v>178</v>
      </c>
      <c r="AL14" s="0" t="n">
        <v>113</v>
      </c>
      <c r="AM14" s="0" t="n">
        <v>247</v>
      </c>
      <c r="AN14" s="6" t="s">
        <v>179</v>
      </c>
      <c r="AO14" s="6" t="s">
        <v>163</v>
      </c>
      <c r="AP14" s="6" t="s">
        <v>592</v>
      </c>
      <c r="AQ14" s="5" t="s">
        <v>162</v>
      </c>
      <c r="AT14" s="0" t="str">
        <f aca="false">IF(AND(AX14="pass",AQ14&lt;&gt;"Y",C14&lt;&gt;"",OR(AW14&lt;&gt;"Y",AV14="Y")),"Y","N")</f>
        <v>N</v>
      </c>
      <c r="AU14" s="0" t="str">
        <f aca="false">_xlfn.TEXTJOIN("; ",TRUE(),IF(AX14&lt;&gt;"pass","gated out",""),IF(AQ14="Y","on hold: "&amp;AR14,""),IF(C14="","no contact named on an opened page",""),IF(AND(AW14="Y",AV14&lt;&gt;"Y"),"Tuesday estimate band "&amp;L14&amp;": founder's call",""))</f>
        <v>no contact named on an opened page</v>
      </c>
      <c r="AW14" s="6" t="s">
        <v>162</v>
      </c>
      <c r="AX14" s="6" t="s">
        <v>181</v>
      </c>
      <c r="AY14" s="6" t="s">
        <v>182</v>
      </c>
      <c r="AZ14" s="6" t="s">
        <v>1</v>
      </c>
      <c r="BA14" s="6" t="s">
        <v>602</v>
      </c>
      <c r="BB14" s="6" t="s">
        <v>603</v>
      </c>
      <c r="BC14" s="6" t="s">
        <v>604</v>
      </c>
      <c r="BD14" s="6" t="s">
        <v>605</v>
      </c>
      <c r="BE14" s="6" t="s">
        <v>606</v>
      </c>
      <c r="BF14" s="6" t="s">
        <v>240</v>
      </c>
      <c r="BG14" s="6" t="s">
        <v>188</v>
      </c>
      <c r="BH14" s="6" t="s">
        <v>241</v>
      </c>
      <c r="BI14" s="6" t="s">
        <v>596</v>
      </c>
      <c r="BJ14" s="6" t="s">
        <v>607</v>
      </c>
      <c r="BK14" s="6" t="s">
        <v>191</v>
      </c>
      <c r="BL14" s="6" t="s">
        <v>192</v>
      </c>
      <c r="BM14" s="6" t="s">
        <v>168</v>
      </c>
      <c r="BN14" s="6" t="s">
        <v>163</v>
      </c>
      <c r="BO14" s="6" t="s">
        <v>163</v>
      </c>
      <c r="BP14" s="6" t="s">
        <v>193</v>
      </c>
      <c r="BQ14" s="0" t="n">
        <v>40.73865</v>
      </c>
      <c r="BR14" s="0" t="n">
        <v>-73.991471</v>
      </c>
      <c r="BS14" s="6" t="s">
        <v>168</v>
      </c>
      <c r="BT14" s="0" t="n">
        <v>0</v>
      </c>
      <c r="BU14" s="6" t="s">
        <v>608</v>
      </c>
      <c r="BV14" s="6" t="s">
        <v>609</v>
      </c>
      <c r="BW14" s="6" t="s">
        <v>596</v>
      </c>
      <c r="BX14" s="6" t="s">
        <v>610</v>
      </c>
      <c r="BY14" s="6" t="s">
        <v>283</v>
      </c>
      <c r="BZ14" s="6" t="s">
        <v>611</v>
      </c>
      <c r="CA14" s="6" t="s">
        <v>612</v>
      </c>
      <c r="CB14" s="6" t="s">
        <v>199</v>
      </c>
      <c r="CC14" s="6" t="s">
        <v>200</v>
      </c>
      <c r="CE14" s="6" t="s">
        <v>162</v>
      </c>
      <c r="CH14" s="6" t="s">
        <v>163</v>
      </c>
      <c r="CJ14" s="6" t="s">
        <v>163</v>
      </c>
      <c r="CK14" s="6" t="s">
        <v>162</v>
      </c>
      <c r="CL14" s="6" t="s">
        <v>163</v>
      </c>
      <c r="CO14" s="0" t="n">
        <v>167</v>
      </c>
      <c r="CQ14" s="6" t="s">
        <v>613</v>
      </c>
      <c r="CR14" s="6" t="s">
        <v>206</v>
      </c>
      <c r="CS14" s="0" t="n">
        <v>1</v>
      </c>
      <c r="CT14" s="0" t="n">
        <v>66</v>
      </c>
      <c r="CU14" s="0" t="n">
        <v>25</v>
      </c>
      <c r="CV14" s="0" t="n">
        <v>15</v>
      </c>
      <c r="CW14" s="0" t="n">
        <v>6</v>
      </c>
      <c r="CX14" s="0" t="n">
        <v>15</v>
      </c>
      <c r="CY14" s="6" t="n">
        <f aca="false">IF(AH14="exact",10,IF(AH14="adjacent",5,0))</f>
        <v>5</v>
      </c>
      <c r="CZ14" s="6" t="n">
        <f aca="false">IF(R14="Y",15,0)</f>
        <v>0</v>
      </c>
      <c r="DF14" s="6" t="s">
        <v>158</v>
      </c>
      <c r="DG14" s="6" t="s">
        <v>211</v>
      </c>
      <c r="DJ14" s="6" t="s">
        <v>614</v>
      </c>
      <c r="DK14" s="6" t="s">
        <v>615</v>
      </c>
      <c r="DM14" s="6" t="s">
        <v>616</v>
      </c>
      <c r="DO14" s="6" t="s">
        <v>617</v>
      </c>
      <c r="DS14" s="6" t="s">
        <v>158</v>
      </c>
      <c r="DX14" s="6" t="s">
        <v>168</v>
      </c>
      <c r="DY14" s="6" t="s">
        <v>618</v>
      </c>
      <c r="ER14" s="0" t="str">
        <f aca="false">IF(ISNUMBER(MATCH(U14,{"queued","contacted","replied","call_booked","call_done","yes_in_principle","materials_sent"},0)),"Y","N")</f>
        <v>N</v>
      </c>
      <c r="ES14" s="0" t="str">
        <f aca="false">IF(COUNTIFS($AP$2:$AP$1000,AP14,$ER$2:$ER$1000,"Y")+COUNTIFS($AP$2:$AP$1000,AP14,$T$2:$T$1000,"Y")&gt;0,"Y","N")</f>
        <v>N</v>
      </c>
      <c r="ET14" s="0" t="str">
        <f aca="false">IF(AND(U14="new",T14="N",AT14="Y",AS14="",ES14="N"),"Y","N")</f>
        <v>N</v>
      </c>
      <c r="EU14" s="0" t="str">
        <f aca="false">IF(ET14&lt;&gt;"Y","N",IF(COUNTIFS($AP$2:$AP$1000,AP14,$ET$2:$ET$1000,"Y",$J$2:$J$1000,"&gt;"&amp;J14)+COUNTIFS($AP$2:$AP$1000,AP14,$ET$2:$ET$1000,"Y",$J$2:$J$1000,J14,$EW$2:$EW$1000,"&lt;"&amp;EW14)=0,"Y","N"))</f>
        <v>N</v>
      </c>
      <c r="EV14" s="0" t="str">
        <f aca="false">IF(Y14="","N",IF(Y14&lt;=10,"Y","N"))</f>
        <v>N</v>
      </c>
      <c r="EW14" s="6" t="n">
        <f aca="false">ROW()-1</f>
        <v>13</v>
      </c>
    </row>
    <row r="15" customFormat="false" ht="15" hidden="false" customHeight="false" outlineLevel="0" collapsed="false">
      <c r="A15" s="0" t="s">
        <v>619</v>
      </c>
      <c r="B15" s="0" t="s">
        <v>620</v>
      </c>
      <c r="H15" s="5" t="s">
        <v>158</v>
      </c>
      <c r="I15" s="5" t="s">
        <v>594</v>
      </c>
      <c r="J15" s="6" t="n">
        <f aca="false">IF(AX15="pass",ROUND(CU15+CV15+CW15+CX15+CY15+CZ15,1),0)</f>
        <v>65.9</v>
      </c>
      <c r="K15" s="6" t="s">
        <v>621</v>
      </c>
      <c r="L15" s="6" t="s">
        <v>187</v>
      </c>
      <c r="R15" s="5" t="s">
        <v>162</v>
      </c>
      <c r="S15" s="6" t="s">
        <v>163</v>
      </c>
      <c r="T15" s="5" t="s">
        <v>162</v>
      </c>
      <c r="U15" s="5" t="s">
        <v>228</v>
      </c>
      <c r="V15" s="6" t="s">
        <v>622</v>
      </c>
      <c r="W15" s="6" t="s">
        <v>166</v>
      </c>
      <c r="X15" s="6" t="s">
        <v>167</v>
      </c>
      <c r="Y15" s="0" t="str">
        <f aca="false">IF(EU15&lt;&gt;"Y","",COUNTIFS($EU$2:$EU$1000,"Y",$J$2:$J$1000,"&gt;"&amp;J15)+COUNTIFS($EU$2:$EU$1000,"Y",$J$2:$J$1000,J15,$EW$2:$EW$1000,"&lt;"&amp;EW15)+1)</f>
        <v/>
      </c>
      <c r="Z15" s="0" t="n">
        <v>14</v>
      </c>
      <c r="AA15" s="6" t="s">
        <v>168</v>
      </c>
      <c r="AB15" s="6" t="s">
        <v>597</v>
      </c>
      <c r="AD15" s="6" t="s">
        <v>158</v>
      </c>
      <c r="AH15" s="5" t="s">
        <v>158</v>
      </c>
      <c r="AI15" s="6" t="s">
        <v>623</v>
      </c>
      <c r="AJ15" s="6" t="s">
        <v>624</v>
      </c>
      <c r="AK15" s="6" t="s">
        <v>178</v>
      </c>
      <c r="AL15" s="0" t="n">
        <v>137</v>
      </c>
      <c r="AM15" s="0" t="n">
        <v>281</v>
      </c>
      <c r="AN15" s="6" t="s">
        <v>179</v>
      </c>
      <c r="AO15" s="6" t="s">
        <v>180</v>
      </c>
      <c r="AP15" s="6" t="s">
        <v>619</v>
      </c>
      <c r="AQ15" s="5" t="s">
        <v>162</v>
      </c>
      <c r="AT15" s="0" t="str">
        <f aca="false">IF(AND(AX15="pass",AQ15&lt;&gt;"Y",C15&lt;&gt;"",OR(AW15&lt;&gt;"Y",AV15="Y")),"Y","N")</f>
        <v>N</v>
      </c>
      <c r="AU15" s="0" t="str">
        <f aca="false">_xlfn.TEXTJOIN("; ",TRUE(),IF(AX15&lt;&gt;"pass","gated out",""),IF(AQ15="Y","on hold: "&amp;AR15,""),IF(C15="","no contact named on an opened page",""),IF(AND(AW15="Y",AV15&lt;&gt;"Y"),"Tuesday estimate band "&amp;L15&amp;": founder's call",""))</f>
        <v>no contact named on an opened page</v>
      </c>
      <c r="AW15" s="6" t="s">
        <v>162</v>
      </c>
      <c r="AX15" s="6" t="s">
        <v>181</v>
      </c>
      <c r="AY15" s="6" t="s">
        <v>182</v>
      </c>
      <c r="AZ15" s="6" t="s">
        <v>1</v>
      </c>
      <c r="BA15" s="6" t="s">
        <v>625</v>
      </c>
      <c r="BB15" s="6" t="s">
        <v>626</v>
      </c>
      <c r="BC15" s="6" t="s">
        <v>627</v>
      </c>
      <c r="BD15" s="6" t="s">
        <v>628</v>
      </c>
      <c r="BE15" s="6" t="s">
        <v>629</v>
      </c>
      <c r="BF15" s="6" t="s">
        <v>240</v>
      </c>
      <c r="BG15" s="6" t="s">
        <v>188</v>
      </c>
      <c r="BH15" s="6" t="s">
        <v>241</v>
      </c>
      <c r="BI15" s="6" t="s">
        <v>630</v>
      </c>
      <c r="BJ15" s="6" t="s">
        <v>631</v>
      </c>
      <c r="BK15" s="6" t="s">
        <v>191</v>
      </c>
      <c r="BL15" s="6" t="s">
        <v>192</v>
      </c>
      <c r="BM15" s="6" t="s">
        <v>168</v>
      </c>
      <c r="BN15" s="6" t="s">
        <v>163</v>
      </c>
      <c r="BO15" s="6" t="s">
        <v>163</v>
      </c>
      <c r="BP15" s="6" t="s">
        <v>378</v>
      </c>
      <c r="BQ15" s="0" t="n">
        <v>40.74024</v>
      </c>
      <c r="BR15" s="0" t="n">
        <v>-73.994996</v>
      </c>
      <c r="BS15" s="6" t="s">
        <v>168</v>
      </c>
      <c r="BT15" s="0" t="n">
        <v>0</v>
      </c>
      <c r="BU15" s="6" t="s">
        <v>632</v>
      </c>
      <c r="BV15" s="6" t="s">
        <v>633</v>
      </c>
      <c r="BW15" s="6" t="s">
        <v>622</v>
      </c>
      <c r="BX15" s="6" t="s">
        <v>634</v>
      </c>
      <c r="BY15" s="6" t="s">
        <v>248</v>
      </c>
      <c r="BZ15" s="6" t="s">
        <v>635</v>
      </c>
      <c r="CA15" s="6" t="s">
        <v>174</v>
      </c>
      <c r="CC15" s="6" t="s">
        <v>200</v>
      </c>
      <c r="CE15" s="6" t="s">
        <v>162</v>
      </c>
      <c r="CH15" s="6" t="s">
        <v>163</v>
      </c>
      <c r="CJ15" s="6" t="s">
        <v>163</v>
      </c>
      <c r="CK15" s="6" t="s">
        <v>162</v>
      </c>
      <c r="CL15" s="6" t="s">
        <v>577</v>
      </c>
      <c r="CM15" s="6" t="s">
        <v>636</v>
      </c>
      <c r="CN15" s="6" t="s">
        <v>174</v>
      </c>
      <c r="CO15" s="0" t="n">
        <v>196</v>
      </c>
      <c r="CP15" s="6" t="s">
        <v>251</v>
      </c>
      <c r="CQ15" s="6" t="s">
        <v>637</v>
      </c>
      <c r="CR15" s="6" t="s">
        <v>206</v>
      </c>
      <c r="CS15" s="0" t="n">
        <v>0.84</v>
      </c>
      <c r="CT15" s="0" t="n">
        <v>65.9</v>
      </c>
      <c r="CU15" s="0" t="n">
        <v>20.9</v>
      </c>
      <c r="CV15" s="0" t="n">
        <v>15</v>
      </c>
      <c r="CW15" s="0" t="n">
        <v>15</v>
      </c>
      <c r="CX15" s="0" t="n">
        <v>15</v>
      </c>
      <c r="CY15" s="6" t="n">
        <f aca="false">IF(AH15="exact",10,IF(AH15="adjacent",5,0))</f>
        <v>0</v>
      </c>
      <c r="CZ15" s="6" t="n">
        <f aca="false">IF(R15="Y",15,0)</f>
        <v>0</v>
      </c>
      <c r="DF15" s="6" t="s">
        <v>158</v>
      </c>
      <c r="DG15" s="6" t="s">
        <v>211</v>
      </c>
      <c r="DJ15" s="6" t="s">
        <v>638</v>
      </c>
      <c r="DK15" s="6" t="s">
        <v>639</v>
      </c>
      <c r="DS15" s="6" t="s">
        <v>158</v>
      </c>
      <c r="DX15" s="6" t="s">
        <v>168</v>
      </c>
      <c r="ER15" s="0" t="str">
        <f aca="false">IF(ISNUMBER(MATCH(U15,{"queued","contacted","replied","call_booked","call_done","yes_in_principle","materials_sent"},0)),"Y","N")</f>
        <v>N</v>
      </c>
      <c r="ES15" s="0" t="str">
        <f aca="false">IF(COUNTIFS($AP$2:$AP$1000,AP15,$ER$2:$ER$1000,"Y")+COUNTIFS($AP$2:$AP$1000,AP15,$T$2:$T$1000,"Y")&gt;0,"Y","N")</f>
        <v>N</v>
      </c>
      <c r="ET15" s="0" t="str">
        <f aca="false">IF(AND(U15="new",T15="N",AT15="Y",AS15="",ES15="N"),"Y","N")</f>
        <v>N</v>
      </c>
      <c r="EU15" s="0" t="str">
        <f aca="false">IF(ET15&lt;&gt;"Y","N",IF(COUNTIFS($AP$2:$AP$1000,AP15,$ET$2:$ET$1000,"Y",$J$2:$J$1000,"&gt;"&amp;J15)+COUNTIFS($AP$2:$AP$1000,AP15,$ET$2:$ET$1000,"Y",$J$2:$J$1000,J15,$EW$2:$EW$1000,"&lt;"&amp;EW15)=0,"Y","N"))</f>
        <v>N</v>
      </c>
      <c r="EV15" s="0" t="str">
        <f aca="false">IF(Y15="","N",IF(Y15&lt;=10,"Y","N"))</f>
        <v>N</v>
      </c>
      <c r="EW15" s="6" t="n">
        <f aca="false">ROW()-1</f>
        <v>14</v>
      </c>
    </row>
    <row r="16" customFormat="false" ht="15" hidden="false" customHeight="false" outlineLevel="0" collapsed="false">
      <c r="A16" s="0" t="s">
        <v>640</v>
      </c>
      <c r="B16" s="0" t="s">
        <v>641</v>
      </c>
      <c r="C16" s="0" t="s">
        <v>642</v>
      </c>
      <c r="D16" s="0" t="s">
        <v>643</v>
      </c>
      <c r="E16" s="0" t="s">
        <v>644</v>
      </c>
      <c r="H16" s="5" t="s">
        <v>158</v>
      </c>
      <c r="I16" s="5" t="s">
        <v>159</v>
      </c>
      <c r="J16" s="6" t="n">
        <f aca="false">IF(AX16="pass",ROUND(CU16+CV16+CW16+CX16+CY16+CZ16,1),0)</f>
        <v>65.3</v>
      </c>
      <c r="K16" s="6" t="s">
        <v>645</v>
      </c>
      <c r="L16" s="6" t="s">
        <v>561</v>
      </c>
      <c r="R16" s="5" t="s">
        <v>162</v>
      </c>
      <c r="S16" s="6" t="s">
        <v>163</v>
      </c>
      <c r="T16" s="5" t="s">
        <v>162</v>
      </c>
      <c r="U16" s="5" t="s">
        <v>228</v>
      </c>
      <c r="V16" s="6" t="s">
        <v>646</v>
      </c>
      <c r="W16" s="6" t="s">
        <v>166</v>
      </c>
      <c r="X16" s="6" t="s">
        <v>167</v>
      </c>
      <c r="Y16" s="0" t="str">
        <f aca="false">IF(EU16&lt;&gt;"Y","",COUNTIFS($EU$2:$EU$1000,"Y",$J$2:$J$1000,"&gt;"&amp;J16)+COUNTIFS($EU$2:$EU$1000,"Y",$J$2:$J$1000,J16,$EW$2:$EW$1000,"&lt;"&amp;EW16)+1)</f>
        <v/>
      </c>
      <c r="Z16" s="0" t="n">
        <v>15</v>
      </c>
      <c r="AA16" s="6" t="s">
        <v>168</v>
      </c>
      <c r="AB16" s="6" t="s">
        <v>647</v>
      </c>
      <c r="AC16" s="6" t="s">
        <v>170</v>
      </c>
      <c r="AD16" s="6" t="s">
        <v>171</v>
      </c>
      <c r="AE16" s="6" t="s">
        <v>172</v>
      </c>
      <c r="AF16" s="6" t="s">
        <v>648</v>
      </c>
      <c r="AG16" s="6" t="s">
        <v>174</v>
      </c>
      <c r="AH16" s="5" t="s">
        <v>175</v>
      </c>
      <c r="AI16" s="6" t="s">
        <v>649</v>
      </c>
      <c r="AJ16" s="6" t="s">
        <v>650</v>
      </c>
      <c r="AK16" s="6" t="s">
        <v>178</v>
      </c>
      <c r="AL16" s="0" t="n">
        <v>7</v>
      </c>
      <c r="AM16" s="0" t="n">
        <v>136</v>
      </c>
      <c r="AN16" s="6" t="s">
        <v>179</v>
      </c>
      <c r="AO16" s="6" t="s">
        <v>180</v>
      </c>
      <c r="AP16" s="6" t="s">
        <v>640</v>
      </c>
      <c r="AQ16" s="5" t="s">
        <v>162</v>
      </c>
      <c r="AT16" s="0" t="str">
        <f aca="false">IF(AND(AX16="pass",AQ16&lt;&gt;"Y",C16&lt;&gt;"",OR(AW16&lt;&gt;"Y",AV16="Y")),"Y","N")</f>
        <v>N</v>
      </c>
      <c r="AU16" s="0" t="str">
        <f aca="false">_xlfn.TEXTJOIN("; ",TRUE(),IF(AX16&lt;&gt;"pass","gated out",""),IF(AQ16="Y","on hold: "&amp;AR16,""),IF(C16="","no contact named on an opened page",""),IF(AND(AW16="Y",AV16&lt;&gt;"Y"),"Tuesday estimate band "&amp;L16&amp;": founder's call",""))</f>
        <v>Tuesday estimate band under-40: founder's call</v>
      </c>
      <c r="AW16" s="6" t="s">
        <v>168</v>
      </c>
      <c r="AX16" s="6" t="s">
        <v>181</v>
      </c>
      <c r="AY16" s="6" t="s">
        <v>182</v>
      </c>
      <c r="AZ16" s="6" t="s">
        <v>1</v>
      </c>
      <c r="BA16" s="6" t="s">
        <v>651</v>
      </c>
      <c r="BB16" s="6" t="s">
        <v>652</v>
      </c>
      <c r="BC16" s="6" t="s">
        <v>653</v>
      </c>
      <c r="BD16" s="6" t="s">
        <v>654</v>
      </c>
      <c r="BF16" s="6" t="s">
        <v>187</v>
      </c>
      <c r="BG16" s="6" t="s">
        <v>188</v>
      </c>
      <c r="BH16" s="6" t="s">
        <v>189</v>
      </c>
      <c r="BI16" s="6" t="s">
        <v>655</v>
      </c>
      <c r="BK16" s="6" t="s">
        <v>191</v>
      </c>
      <c r="BL16" s="6" t="s">
        <v>656</v>
      </c>
      <c r="BM16" s="6" t="s">
        <v>162</v>
      </c>
      <c r="BN16" s="6" t="s">
        <v>163</v>
      </c>
      <c r="BO16" s="6" t="s">
        <v>163</v>
      </c>
      <c r="BP16" s="6" t="s">
        <v>193</v>
      </c>
      <c r="BQ16" s="0" t="n">
        <v>40.733674</v>
      </c>
      <c r="BR16" s="0" t="n">
        <v>-73.988766</v>
      </c>
      <c r="BS16" s="6" t="s">
        <v>168</v>
      </c>
      <c r="BT16" s="0" t="n">
        <v>0</v>
      </c>
      <c r="BU16" s="6" t="s">
        <v>657</v>
      </c>
      <c r="BV16" s="6" t="s">
        <v>658</v>
      </c>
      <c r="BW16" s="6" t="s">
        <v>646</v>
      </c>
      <c r="BX16" s="6" t="s">
        <v>174</v>
      </c>
      <c r="BY16" s="6" t="s">
        <v>196</v>
      </c>
      <c r="BZ16" s="6" t="s">
        <v>659</v>
      </c>
      <c r="CA16" s="6" t="s">
        <v>660</v>
      </c>
      <c r="CC16" s="6" t="s">
        <v>200</v>
      </c>
      <c r="CE16" s="6" t="s">
        <v>162</v>
      </c>
      <c r="CH16" s="6" t="s">
        <v>163</v>
      </c>
      <c r="CJ16" s="6" t="s">
        <v>163</v>
      </c>
      <c r="CK16" s="6" t="s">
        <v>162</v>
      </c>
      <c r="CL16" s="6" t="s">
        <v>577</v>
      </c>
      <c r="CM16" s="6" t="s">
        <v>661</v>
      </c>
      <c r="CN16" s="6" t="s">
        <v>174</v>
      </c>
      <c r="CO16" s="0" t="n">
        <v>31</v>
      </c>
      <c r="CP16" s="6" t="s">
        <v>578</v>
      </c>
      <c r="CQ16" s="6" t="s">
        <v>662</v>
      </c>
      <c r="CR16" s="6" t="s">
        <v>206</v>
      </c>
      <c r="CS16" s="0" t="n">
        <v>0.41</v>
      </c>
      <c r="CT16" s="0" t="n">
        <v>65.3</v>
      </c>
      <c r="CU16" s="0" t="n">
        <v>10.3</v>
      </c>
      <c r="CV16" s="0" t="n">
        <v>15</v>
      </c>
      <c r="CW16" s="0" t="n">
        <v>15</v>
      </c>
      <c r="CX16" s="0" t="n">
        <v>15</v>
      </c>
      <c r="CY16" s="6" t="n">
        <f aca="false">IF(AH16="exact",10,IF(AH16="adjacent",5,0))</f>
        <v>10</v>
      </c>
      <c r="CZ16" s="6" t="n">
        <f aca="false">IF(R16="Y",15,0)</f>
        <v>0</v>
      </c>
      <c r="DA16" s="6" t="s">
        <v>663</v>
      </c>
      <c r="DB16" s="6" t="s">
        <v>664</v>
      </c>
      <c r="DC16" s="6" t="s">
        <v>665</v>
      </c>
      <c r="DF16" s="6" t="s">
        <v>158</v>
      </c>
      <c r="DG16" s="6" t="s">
        <v>211</v>
      </c>
      <c r="DJ16" s="6" t="s">
        <v>666</v>
      </c>
      <c r="DK16" s="6" t="s">
        <v>667</v>
      </c>
      <c r="DM16" s="6" t="s">
        <v>668</v>
      </c>
      <c r="DN16" s="6" t="s">
        <v>669</v>
      </c>
      <c r="DO16" s="6" t="s">
        <v>670</v>
      </c>
      <c r="DQ16" s="6" t="s">
        <v>216</v>
      </c>
      <c r="DR16" s="6" t="s">
        <v>671</v>
      </c>
      <c r="DS16" s="6" t="s">
        <v>171</v>
      </c>
      <c r="DT16" s="6" t="s">
        <v>172</v>
      </c>
      <c r="DU16" s="6" t="s">
        <v>648</v>
      </c>
      <c r="DV16" s="6" t="s">
        <v>672</v>
      </c>
      <c r="DW16" s="6" t="s">
        <v>673</v>
      </c>
      <c r="DX16" s="6" t="s">
        <v>168</v>
      </c>
      <c r="DY16" s="6" t="s">
        <v>221</v>
      </c>
      <c r="ER16" s="0" t="str">
        <f aca="false">IF(ISNUMBER(MATCH(U16,{"queued","contacted","replied","call_booked","call_done","yes_in_principle","materials_sent"},0)),"Y","N")</f>
        <v>N</v>
      </c>
      <c r="ES16" s="0" t="str">
        <f aca="false">IF(COUNTIFS($AP$2:$AP$1000,AP16,$ER$2:$ER$1000,"Y")+COUNTIFS($AP$2:$AP$1000,AP16,$T$2:$T$1000,"Y")&gt;0,"Y","N")</f>
        <v>N</v>
      </c>
      <c r="ET16" s="0" t="str">
        <f aca="false">IF(AND(U16="new",T16="N",AT16="Y",AS16="",ES16="N"),"Y","N")</f>
        <v>N</v>
      </c>
      <c r="EU16" s="0" t="str">
        <f aca="false">IF(ET16&lt;&gt;"Y","N",IF(COUNTIFS($AP$2:$AP$1000,AP16,$ET$2:$ET$1000,"Y",$J$2:$J$1000,"&gt;"&amp;J16)+COUNTIFS($AP$2:$AP$1000,AP16,$ET$2:$ET$1000,"Y",$J$2:$J$1000,J16,$EW$2:$EW$1000,"&lt;"&amp;EW16)=0,"Y","N"))</f>
        <v>N</v>
      </c>
      <c r="EV16" s="0" t="str">
        <f aca="false">IF(Y16="","N",IF(Y16&lt;=10,"Y","N"))</f>
        <v>N</v>
      </c>
      <c r="EW16" s="6" t="n">
        <f aca="false">ROW()-1</f>
        <v>15</v>
      </c>
    </row>
    <row r="17" customFormat="false" ht="15" hidden="false" customHeight="false" outlineLevel="0" collapsed="false">
      <c r="A17" s="0" t="s">
        <v>674</v>
      </c>
      <c r="B17" s="0" t="s">
        <v>675</v>
      </c>
      <c r="H17" s="5" t="s">
        <v>158</v>
      </c>
      <c r="I17" s="5" t="s">
        <v>594</v>
      </c>
      <c r="J17" s="6" t="n">
        <f aca="false">IF(AX17="pass",ROUND(CU17+CV17+CW17+CX17+CY17+CZ17,1),0)</f>
        <v>63.4</v>
      </c>
      <c r="K17" s="6" t="s">
        <v>676</v>
      </c>
      <c r="L17" s="6" t="s">
        <v>395</v>
      </c>
      <c r="R17" s="5" t="s">
        <v>162</v>
      </c>
      <c r="S17" s="6" t="s">
        <v>163</v>
      </c>
      <c r="T17" s="5" t="s">
        <v>162</v>
      </c>
      <c r="U17" s="5" t="s">
        <v>228</v>
      </c>
      <c r="V17" s="6" t="s">
        <v>677</v>
      </c>
      <c r="W17" s="6" t="s">
        <v>166</v>
      </c>
      <c r="X17" s="6" t="s">
        <v>167</v>
      </c>
      <c r="Y17" s="0" t="str">
        <f aca="false">IF(EU17&lt;&gt;"Y","",COUNTIFS($EU$2:$EU$1000,"Y",$J$2:$J$1000,"&gt;"&amp;J17)+COUNTIFS($EU$2:$EU$1000,"Y",$J$2:$J$1000,J17,$EW$2:$EW$1000,"&lt;"&amp;EW17)+1)</f>
        <v/>
      </c>
      <c r="Z17" s="0" t="n">
        <v>16</v>
      </c>
      <c r="AA17" s="6" t="s">
        <v>168</v>
      </c>
      <c r="AB17" s="6" t="s">
        <v>597</v>
      </c>
      <c r="AD17" s="6" t="s">
        <v>158</v>
      </c>
      <c r="AH17" s="5" t="s">
        <v>158</v>
      </c>
      <c r="AI17" s="6" t="s">
        <v>678</v>
      </c>
      <c r="AJ17" s="6" t="s">
        <v>163</v>
      </c>
      <c r="AK17" s="6" t="s">
        <v>178</v>
      </c>
      <c r="AL17" s="0" t="n">
        <v>31</v>
      </c>
      <c r="AM17" s="0" t="n">
        <v>82</v>
      </c>
      <c r="AN17" s="6" t="s">
        <v>179</v>
      </c>
      <c r="AO17" s="6" t="s">
        <v>180</v>
      </c>
      <c r="AP17" s="6" t="s">
        <v>674</v>
      </c>
      <c r="AQ17" s="5" t="s">
        <v>162</v>
      </c>
      <c r="AT17" s="0" t="str">
        <f aca="false">IF(AND(AX17="pass",AQ17&lt;&gt;"Y",C17&lt;&gt;"",OR(AW17&lt;&gt;"Y",AV17="Y")),"Y","N")</f>
        <v>N</v>
      </c>
      <c r="AU17" s="0" t="str">
        <f aca="false">_xlfn.TEXTJOIN("; ",TRUE(),IF(AX17&lt;&gt;"pass","gated out",""),IF(AQ17="Y","on hold: "&amp;AR17,""),IF(C17="","no contact named on an opened page",""),IF(AND(AW17="Y",AV17&lt;&gt;"Y"),"Tuesday estimate band "&amp;L17&amp;": founder's call",""))</f>
        <v>no contact named on an opened page</v>
      </c>
      <c r="AW17" s="6" t="s">
        <v>162</v>
      </c>
      <c r="AX17" s="6" t="s">
        <v>181</v>
      </c>
      <c r="AY17" s="6" t="s">
        <v>182</v>
      </c>
      <c r="AZ17" s="6" t="s">
        <v>1</v>
      </c>
      <c r="BA17" s="6" t="s">
        <v>679</v>
      </c>
      <c r="BB17" s="6" t="s">
        <v>680</v>
      </c>
      <c r="BC17" s="6" t="s">
        <v>681</v>
      </c>
      <c r="BD17" s="6" t="s">
        <v>682</v>
      </c>
      <c r="BE17" s="6" t="s">
        <v>683</v>
      </c>
      <c r="BF17" s="6" t="s">
        <v>161</v>
      </c>
      <c r="BG17" s="6" t="s">
        <v>188</v>
      </c>
      <c r="BH17" s="6" t="s">
        <v>241</v>
      </c>
      <c r="BI17" s="6" t="s">
        <v>684</v>
      </c>
      <c r="BJ17" s="6" t="s">
        <v>685</v>
      </c>
      <c r="BK17" s="6" t="s">
        <v>191</v>
      </c>
      <c r="BL17" s="6" t="s">
        <v>192</v>
      </c>
      <c r="BM17" s="6" t="s">
        <v>168</v>
      </c>
      <c r="BN17" s="6" t="s">
        <v>163</v>
      </c>
      <c r="BO17" s="6" t="s">
        <v>163</v>
      </c>
      <c r="BP17" s="6" t="s">
        <v>193</v>
      </c>
      <c r="BQ17" s="0" t="n">
        <v>40.737722</v>
      </c>
      <c r="BR17" s="0" t="n">
        <v>-73.989367</v>
      </c>
      <c r="BS17" s="6" t="s">
        <v>168</v>
      </c>
      <c r="BT17" s="0" t="n">
        <v>0</v>
      </c>
      <c r="BU17" s="6" t="s">
        <v>686</v>
      </c>
      <c r="BV17" s="6" t="s">
        <v>687</v>
      </c>
      <c r="BW17" s="6" t="s">
        <v>677</v>
      </c>
      <c r="BX17" s="6" t="s">
        <v>166</v>
      </c>
      <c r="BY17" s="6" t="s">
        <v>445</v>
      </c>
      <c r="BZ17" s="6" t="s">
        <v>688</v>
      </c>
      <c r="CA17" s="6" t="s">
        <v>689</v>
      </c>
      <c r="CC17" s="6" t="s">
        <v>200</v>
      </c>
      <c r="CE17" s="6" t="s">
        <v>162</v>
      </c>
      <c r="CH17" s="6" t="s">
        <v>163</v>
      </c>
      <c r="CJ17" s="6" t="s">
        <v>163</v>
      </c>
      <c r="CK17" s="6" t="s">
        <v>162</v>
      </c>
      <c r="CL17" s="6" t="s">
        <v>577</v>
      </c>
      <c r="CM17" s="6" t="s">
        <v>677</v>
      </c>
      <c r="CN17" s="6" t="s">
        <v>174</v>
      </c>
      <c r="CO17" s="0" t="n">
        <v>50</v>
      </c>
      <c r="CQ17" s="6" t="s">
        <v>690</v>
      </c>
      <c r="CR17" s="6" t="s">
        <v>206</v>
      </c>
      <c r="CS17" s="0" t="n">
        <v>0.74</v>
      </c>
      <c r="CT17" s="0" t="n">
        <v>63.4</v>
      </c>
      <c r="CU17" s="0" t="n">
        <v>18.4</v>
      </c>
      <c r="CV17" s="0" t="n">
        <v>15</v>
      </c>
      <c r="CW17" s="0" t="n">
        <v>15</v>
      </c>
      <c r="CX17" s="0" t="n">
        <v>15</v>
      </c>
      <c r="CY17" s="6" t="n">
        <f aca="false">IF(AH17="exact",10,IF(AH17="adjacent",5,0))</f>
        <v>0</v>
      </c>
      <c r="CZ17" s="6" t="n">
        <f aca="false">IF(R17="Y",15,0)</f>
        <v>0</v>
      </c>
      <c r="DF17" s="6" t="s">
        <v>158</v>
      </c>
      <c r="DG17" s="6" t="s">
        <v>211</v>
      </c>
      <c r="DK17" s="6" t="s">
        <v>691</v>
      </c>
      <c r="DS17" s="6" t="s">
        <v>158</v>
      </c>
      <c r="DX17" s="6" t="s">
        <v>168</v>
      </c>
      <c r="ER17" s="0" t="str">
        <f aca="false">IF(ISNUMBER(MATCH(U17,{"queued","contacted","replied","call_booked","call_done","yes_in_principle","materials_sent"},0)),"Y","N")</f>
        <v>N</v>
      </c>
      <c r="ES17" s="0" t="str">
        <f aca="false">IF(COUNTIFS($AP$2:$AP$1000,AP17,$ER$2:$ER$1000,"Y")+COUNTIFS($AP$2:$AP$1000,AP17,$T$2:$T$1000,"Y")&gt;0,"Y","N")</f>
        <v>N</v>
      </c>
      <c r="ET17" s="0" t="str">
        <f aca="false">IF(AND(U17="new",T17="N",AT17="Y",AS17="",ES17="N"),"Y","N")</f>
        <v>N</v>
      </c>
      <c r="EU17" s="0" t="str">
        <f aca="false">IF(ET17&lt;&gt;"Y","N",IF(COUNTIFS($AP$2:$AP$1000,AP17,$ET$2:$ET$1000,"Y",$J$2:$J$1000,"&gt;"&amp;J17)+COUNTIFS($AP$2:$AP$1000,AP17,$ET$2:$ET$1000,"Y",$J$2:$J$1000,J17,$EW$2:$EW$1000,"&lt;"&amp;EW17)=0,"Y","N"))</f>
        <v>N</v>
      </c>
      <c r="EV17" s="0" t="str">
        <f aca="false">IF(Y17="","N",IF(Y17&lt;=10,"Y","N"))</f>
        <v>N</v>
      </c>
      <c r="EW17" s="6" t="n">
        <f aca="false">ROW()-1</f>
        <v>16</v>
      </c>
    </row>
    <row r="18" customFormat="false" ht="15" hidden="false" customHeight="false" outlineLevel="0" collapsed="false">
      <c r="A18" s="0" t="s">
        <v>692</v>
      </c>
      <c r="B18" s="0" t="s">
        <v>693</v>
      </c>
      <c r="C18" s="0" t="s">
        <v>694</v>
      </c>
      <c r="D18" s="0" t="s">
        <v>695</v>
      </c>
      <c r="E18" s="0" t="s">
        <v>696</v>
      </c>
      <c r="H18" s="5" t="s">
        <v>158</v>
      </c>
      <c r="I18" s="5" t="s">
        <v>159</v>
      </c>
      <c r="J18" s="6" t="n">
        <f aca="false">IF(AX18="pass",ROUND(CU18+CV18+CW18+CX18+CY18+CZ18,1),0)</f>
        <v>63</v>
      </c>
      <c r="K18" s="6" t="s">
        <v>697</v>
      </c>
      <c r="L18" s="6" t="s">
        <v>161</v>
      </c>
      <c r="R18" s="5" t="s">
        <v>162</v>
      </c>
      <c r="S18" s="6" t="s">
        <v>163</v>
      </c>
      <c r="T18" s="5" t="s">
        <v>162</v>
      </c>
      <c r="U18" s="5" t="s">
        <v>698</v>
      </c>
      <c r="V18" s="6" t="s">
        <v>699</v>
      </c>
      <c r="W18" s="6" t="s">
        <v>166</v>
      </c>
      <c r="X18" s="6" t="s">
        <v>167</v>
      </c>
      <c r="Y18" s="0" t="str">
        <f aca="false">IF(EU18&lt;&gt;"Y","",COUNTIFS($EU$2:$EU$1000,"Y",$J$2:$J$1000,"&gt;"&amp;J18)+COUNTIFS($EU$2:$EU$1000,"Y",$J$2:$J$1000,J18,$EW$2:$EW$1000,"&lt;"&amp;EW18)+1)</f>
        <v/>
      </c>
      <c r="Z18" s="0" t="n">
        <v>17</v>
      </c>
      <c r="AA18" s="6" t="s">
        <v>168</v>
      </c>
      <c r="AB18" s="6" t="s">
        <v>700</v>
      </c>
      <c r="AC18" s="6" t="s">
        <v>170</v>
      </c>
      <c r="AD18" s="6" t="s">
        <v>171</v>
      </c>
      <c r="AE18" s="6" t="s">
        <v>172</v>
      </c>
      <c r="AF18" s="6" t="s">
        <v>701</v>
      </c>
      <c r="AG18" s="6" t="s">
        <v>174</v>
      </c>
      <c r="AH18" s="5" t="s">
        <v>310</v>
      </c>
      <c r="AI18" s="6" t="s">
        <v>702</v>
      </c>
      <c r="AJ18" s="6" t="s">
        <v>434</v>
      </c>
      <c r="AK18" s="6" t="s">
        <v>178</v>
      </c>
      <c r="AL18" s="0" t="n">
        <v>49</v>
      </c>
      <c r="AM18" s="0" t="n">
        <v>121</v>
      </c>
      <c r="AN18" s="6" t="s">
        <v>179</v>
      </c>
      <c r="AO18" s="6" t="s">
        <v>370</v>
      </c>
      <c r="AP18" s="6" t="s">
        <v>703</v>
      </c>
      <c r="AQ18" s="5" t="s">
        <v>162</v>
      </c>
      <c r="AT18" s="0" t="str">
        <f aca="false">IF(AND(AX18="pass",AQ18&lt;&gt;"Y",C18&lt;&gt;"",OR(AW18&lt;&gt;"Y",AV18="Y")),"Y","N")</f>
        <v>Y</v>
      </c>
      <c r="AU18" s="0" t="str">
        <f aca="false">_xlfn.TEXTJOIN("; ",TRUE(),IF(AX18&lt;&gt;"pass","gated out",""),IF(AQ18="Y","on hold: "&amp;AR18,""),IF(C18="","no contact named on an opened page",""),IF(AND(AW18="Y",AV18&lt;&gt;"Y"),"Tuesday estimate band "&amp;L18&amp;": founder's call",""))</f>
        <v/>
      </c>
      <c r="AW18" s="6" t="s">
        <v>162</v>
      </c>
      <c r="AX18" s="6" t="s">
        <v>181</v>
      </c>
      <c r="AY18" s="6" t="s">
        <v>182</v>
      </c>
      <c r="AZ18" s="6" t="s">
        <v>1</v>
      </c>
      <c r="BA18" s="6" t="s">
        <v>704</v>
      </c>
      <c r="BB18" s="6" t="s">
        <v>705</v>
      </c>
      <c r="BC18" s="6" t="s">
        <v>706</v>
      </c>
      <c r="BD18" s="6" t="s">
        <v>707</v>
      </c>
      <c r="BE18" s="6" t="s">
        <v>708</v>
      </c>
      <c r="BF18" s="6" t="s">
        <v>163</v>
      </c>
      <c r="BG18" s="6" t="s">
        <v>163</v>
      </c>
      <c r="BH18" s="6" t="s">
        <v>280</v>
      </c>
      <c r="BI18" s="6" t="s">
        <v>709</v>
      </c>
      <c r="BJ18" s="6" t="s">
        <v>710</v>
      </c>
      <c r="BK18" s="6" t="s">
        <v>191</v>
      </c>
      <c r="BL18" s="6" t="s">
        <v>192</v>
      </c>
      <c r="BM18" s="6" t="s">
        <v>168</v>
      </c>
      <c r="BN18" s="6" t="s">
        <v>711</v>
      </c>
      <c r="BO18" s="6" t="s">
        <v>163</v>
      </c>
      <c r="BP18" s="6" t="s">
        <v>712</v>
      </c>
      <c r="BQ18" s="0" t="n">
        <v>40.745243</v>
      </c>
      <c r="BR18" s="0" t="n">
        <v>-73.989968</v>
      </c>
      <c r="BS18" s="6" t="s">
        <v>168</v>
      </c>
      <c r="BT18" s="0" t="n">
        <v>0</v>
      </c>
      <c r="BU18" s="6" t="s">
        <v>713</v>
      </c>
      <c r="BV18" s="6" t="s">
        <v>702</v>
      </c>
      <c r="BW18" s="6" t="s">
        <v>699</v>
      </c>
      <c r="BX18" s="6" t="s">
        <v>166</v>
      </c>
      <c r="BY18" s="6" t="s">
        <v>196</v>
      </c>
      <c r="BZ18" s="6" t="s">
        <v>714</v>
      </c>
      <c r="CA18" s="6" t="s">
        <v>715</v>
      </c>
      <c r="CC18" s="6" t="s">
        <v>200</v>
      </c>
      <c r="CE18" s="6" t="s">
        <v>162</v>
      </c>
      <c r="CH18" s="6" t="s">
        <v>163</v>
      </c>
      <c r="CJ18" s="6" t="s">
        <v>163</v>
      </c>
      <c r="CK18" s="6" t="s">
        <v>162</v>
      </c>
      <c r="CL18" s="6" t="s">
        <v>716</v>
      </c>
      <c r="CM18" s="6" t="s">
        <v>709</v>
      </c>
      <c r="CN18" s="6" t="s">
        <v>174</v>
      </c>
      <c r="CO18" s="0" t="n">
        <v>77</v>
      </c>
      <c r="CQ18" s="6" t="s">
        <v>717</v>
      </c>
      <c r="CR18" s="6" t="s">
        <v>206</v>
      </c>
      <c r="CS18" s="0" t="n">
        <v>1</v>
      </c>
      <c r="CT18" s="0" t="n">
        <v>63</v>
      </c>
      <c r="CU18" s="0" t="n">
        <v>25</v>
      </c>
      <c r="CV18" s="0" t="n">
        <v>11</v>
      </c>
      <c r="CW18" s="0" t="n">
        <v>7</v>
      </c>
      <c r="CX18" s="0" t="n">
        <v>15</v>
      </c>
      <c r="CY18" s="6" t="n">
        <f aca="false">IF(AH18="exact",10,IF(AH18="adjacent",5,0))</f>
        <v>5</v>
      </c>
      <c r="CZ18" s="6" t="n">
        <f aca="false">IF(R18="Y",15,0)</f>
        <v>0</v>
      </c>
      <c r="DF18" s="6" t="s">
        <v>158</v>
      </c>
      <c r="DG18" s="6" t="s">
        <v>211</v>
      </c>
      <c r="DJ18" s="6" t="s">
        <v>718</v>
      </c>
      <c r="DK18" s="6" t="s">
        <v>719</v>
      </c>
      <c r="DL18" s="6" t="s">
        <v>720</v>
      </c>
      <c r="DM18" s="6" t="s">
        <v>721</v>
      </c>
      <c r="DO18" s="6" t="s">
        <v>722</v>
      </c>
      <c r="DS18" s="6" t="s">
        <v>158</v>
      </c>
      <c r="DX18" s="6" t="s">
        <v>168</v>
      </c>
      <c r="DY18" s="6" t="s">
        <v>618</v>
      </c>
      <c r="DZ18" s="6" t="s">
        <v>723</v>
      </c>
      <c r="ER18" s="0" t="str">
        <f aca="false">IF(ISNUMBER(MATCH(U18,{"queued","contacted","replied","call_booked","call_done","yes_in_principle","materials_sent"},0)),"Y","N")</f>
        <v>Y</v>
      </c>
      <c r="ES18" s="0" t="str">
        <f aca="false">IF(COUNTIFS($AP$2:$AP$1000,AP18,$ER$2:$ER$1000,"Y")+COUNTIFS($AP$2:$AP$1000,AP18,$T$2:$T$1000,"Y")&gt;0,"Y","N")</f>
        <v>Y</v>
      </c>
      <c r="ET18" s="0" t="str">
        <f aca="false">IF(AND(U18="new",T18="N",AT18="Y",AS18="",ES18="N"),"Y","N")</f>
        <v>N</v>
      </c>
      <c r="EU18" s="0" t="str">
        <f aca="false">IF(ET18&lt;&gt;"Y","N",IF(COUNTIFS($AP$2:$AP$1000,AP18,$ET$2:$ET$1000,"Y",$J$2:$J$1000,"&gt;"&amp;J18)+COUNTIFS($AP$2:$AP$1000,AP18,$ET$2:$ET$1000,"Y",$J$2:$J$1000,J18,$EW$2:$EW$1000,"&lt;"&amp;EW18)=0,"Y","N"))</f>
        <v>N</v>
      </c>
      <c r="EV18" s="0" t="str">
        <f aca="false">IF(Y18="","N",IF(Y18&lt;=10,"Y","N"))</f>
        <v>N</v>
      </c>
      <c r="EW18" s="6" t="n">
        <f aca="false">ROW()-1</f>
        <v>17</v>
      </c>
    </row>
    <row r="19" customFormat="false" ht="15" hidden="false" customHeight="false" outlineLevel="0" collapsed="false">
      <c r="A19" s="0" t="s">
        <v>724</v>
      </c>
      <c r="B19" s="0" t="s">
        <v>725</v>
      </c>
      <c r="H19" s="5" t="s">
        <v>158</v>
      </c>
      <c r="I19" s="5" t="s">
        <v>594</v>
      </c>
      <c r="J19" s="6" t="n">
        <f aca="false">IF(AX19="pass",ROUND(CU19+CV19+CW19+CX19+CY19+CZ19,1),0)</f>
        <v>63</v>
      </c>
      <c r="K19" s="6" t="s">
        <v>726</v>
      </c>
      <c r="L19" s="6" t="s">
        <v>187</v>
      </c>
      <c r="R19" s="5" t="s">
        <v>162</v>
      </c>
      <c r="S19" s="6" t="s">
        <v>163</v>
      </c>
      <c r="T19" s="5" t="s">
        <v>162</v>
      </c>
      <c r="U19" s="5" t="s">
        <v>228</v>
      </c>
      <c r="V19" s="6" t="s">
        <v>727</v>
      </c>
      <c r="W19" s="6" t="s">
        <v>166</v>
      </c>
      <c r="X19" s="6" t="s">
        <v>167</v>
      </c>
      <c r="Y19" s="0" t="str">
        <f aca="false">IF(EU19&lt;&gt;"Y","",COUNTIFS($EU$2:$EU$1000,"Y",$J$2:$J$1000,"&gt;"&amp;J19)+COUNTIFS($EU$2:$EU$1000,"Y",$J$2:$J$1000,J19,$EW$2:$EW$1000,"&lt;"&amp;EW19)+1)</f>
        <v/>
      </c>
      <c r="Z19" s="0" t="n">
        <v>18</v>
      </c>
      <c r="AA19" s="6" t="s">
        <v>168</v>
      </c>
      <c r="AB19" s="6" t="s">
        <v>597</v>
      </c>
      <c r="AD19" s="6" t="s">
        <v>158</v>
      </c>
      <c r="AH19" s="5" t="s">
        <v>158</v>
      </c>
      <c r="AI19" s="6" t="s">
        <v>728</v>
      </c>
      <c r="AJ19" s="6" t="s">
        <v>729</v>
      </c>
      <c r="AK19" s="6" t="s">
        <v>435</v>
      </c>
      <c r="AL19" s="0" t="n">
        <v>113</v>
      </c>
      <c r="AM19" s="0" t="n">
        <v>249</v>
      </c>
      <c r="AN19" s="6" t="s">
        <v>179</v>
      </c>
      <c r="AO19" s="6" t="s">
        <v>180</v>
      </c>
      <c r="AP19" s="6" t="s">
        <v>724</v>
      </c>
      <c r="AQ19" s="5" t="s">
        <v>162</v>
      </c>
      <c r="AT19" s="0" t="str">
        <f aca="false">IF(AND(AX19="pass",AQ19&lt;&gt;"Y",C19&lt;&gt;"",OR(AW19&lt;&gt;"Y",AV19="Y")),"Y","N")</f>
        <v>N</v>
      </c>
      <c r="AU19" s="0" t="str">
        <f aca="false">_xlfn.TEXTJOIN("; ",TRUE(),IF(AX19&lt;&gt;"pass","gated out",""),IF(AQ19="Y","on hold: "&amp;AR19,""),IF(C19="","no contact named on an opened page",""),IF(AND(AW19="Y",AV19&lt;&gt;"Y"),"Tuesday estimate band "&amp;L19&amp;": founder's call",""))</f>
        <v>no contact named on an opened page</v>
      </c>
      <c r="AW19" s="6" t="s">
        <v>162</v>
      </c>
      <c r="AX19" s="6" t="s">
        <v>181</v>
      </c>
      <c r="AY19" s="6" t="s">
        <v>182</v>
      </c>
      <c r="AZ19" s="6" t="s">
        <v>1</v>
      </c>
      <c r="BA19" s="6" t="s">
        <v>730</v>
      </c>
      <c r="BB19" s="6" t="s">
        <v>731</v>
      </c>
      <c r="BC19" s="6" t="s">
        <v>732</v>
      </c>
      <c r="BD19" s="6" t="s">
        <v>733</v>
      </c>
      <c r="BE19" s="6" t="s">
        <v>605</v>
      </c>
      <c r="BF19" s="6" t="s">
        <v>240</v>
      </c>
      <c r="BG19" s="6" t="s">
        <v>188</v>
      </c>
      <c r="BH19" s="6" t="s">
        <v>241</v>
      </c>
      <c r="BI19" s="6" t="s">
        <v>734</v>
      </c>
      <c r="BJ19" s="6" t="s">
        <v>735</v>
      </c>
      <c r="BK19" s="6" t="s">
        <v>191</v>
      </c>
      <c r="BL19" s="6" t="s">
        <v>192</v>
      </c>
      <c r="BM19" s="6" t="s">
        <v>168</v>
      </c>
      <c r="BN19" s="6" t="s">
        <v>163</v>
      </c>
      <c r="BO19" s="6" t="s">
        <v>163</v>
      </c>
      <c r="BP19" s="6" t="s">
        <v>193</v>
      </c>
      <c r="BQ19" s="0" t="n">
        <v>40.734626</v>
      </c>
      <c r="BR19" s="0" t="n">
        <v>-73.9911</v>
      </c>
      <c r="BS19" s="6" t="s">
        <v>168</v>
      </c>
      <c r="BT19" s="0" t="n">
        <v>0</v>
      </c>
      <c r="BU19" s="6" t="s">
        <v>736</v>
      </c>
      <c r="BV19" s="6" t="s">
        <v>737</v>
      </c>
      <c r="BW19" s="6" t="s">
        <v>727</v>
      </c>
      <c r="BX19" s="6" t="s">
        <v>738</v>
      </c>
      <c r="BY19" s="6" t="s">
        <v>248</v>
      </c>
      <c r="CC19" s="6" t="s">
        <v>739</v>
      </c>
      <c r="CE19" s="6" t="s">
        <v>162</v>
      </c>
      <c r="CH19" s="6" t="s">
        <v>201</v>
      </c>
      <c r="CI19" s="6" t="s">
        <v>740</v>
      </c>
      <c r="CJ19" s="6" t="s">
        <v>163</v>
      </c>
      <c r="CK19" s="6" t="s">
        <v>162</v>
      </c>
      <c r="CL19" s="6" t="s">
        <v>577</v>
      </c>
      <c r="CM19" s="6" t="s">
        <v>741</v>
      </c>
      <c r="CN19" s="6" t="s">
        <v>174</v>
      </c>
      <c r="CO19" s="0" t="n">
        <v>168</v>
      </c>
      <c r="CQ19" s="6" t="s">
        <v>742</v>
      </c>
      <c r="CR19" s="6" t="s">
        <v>206</v>
      </c>
      <c r="CS19" s="0" t="n">
        <v>1</v>
      </c>
      <c r="CT19" s="0" t="n">
        <v>63</v>
      </c>
      <c r="CU19" s="0" t="n">
        <v>25</v>
      </c>
      <c r="CV19" s="0" t="n">
        <v>15</v>
      </c>
      <c r="CW19" s="0" t="n">
        <v>15</v>
      </c>
      <c r="CX19" s="0" t="n">
        <v>8</v>
      </c>
      <c r="CY19" s="6" t="n">
        <f aca="false">IF(AH19="exact",10,IF(AH19="adjacent",5,0))</f>
        <v>0</v>
      </c>
      <c r="CZ19" s="6" t="n">
        <f aca="false">IF(R19="Y",15,0)</f>
        <v>0</v>
      </c>
      <c r="DF19" s="6" t="s">
        <v>158</v>
      </c>
      <c r="DG19" s="6" t="s">
        <v>211</v>
      </c>
      <c r="DJ19" s="6" t="s">
        <v>743</v>
      </c>
      <c r="DK19" s="6" t="s">
        <v>744</v>
      </c>
      <c r="DS19" s="6" t="s">
        <v>158</v>
      </c>
      <c r="DX19" s="6" t="s">
        <v>168</v>
      </c>
      <c r="ER19" s="0" t="str">
        <f aca="false">IF(ISNUMBER(MATCH(U19,{"queued","contacted","replied","call_booked","call_done","yes_in_principle","materials_sent"},0)),"Y","N")</f>
        <v>N</v>
      </c>
      <c r="ES19" s="0" t="str">
        <f aca="false">IF(COUNTIFS($AP$2:$AP$1000,AP19,$ER$2:$ER$1000,"Y")+COUNTIFS($AP$2:$AP$1000,AP19,$T$2:$T$1000,"Y")&gt;0,"Y","N")</f>
        <v>N</v>
      </c>
      <c r="ET19" s="0" t="str">
        <f aca="false">IF(AND(U19="new",T19="N",AT19="Y",AS19="",ES19="N"),"Y","N")</f>
        <v>N</v>
      </c>
      <c r="EU19" s="0" t="str">
        <f aca="false">IF(ET19&lt;&gt;"Y","N",IF(COUNTIFS($AP$2:$AP$1000,AP19,$ET$2:$ET$1000,"Y",$J$2:$J$1000,"&gt;"&amp;J19)+COUNTIFS($AP$2:$AP$1000,AP19,$ET$2:$ET$1000,"Y",$J$2:$J$1000,J19,$EW$2:$EW$1000,"&lt;"&amp;EW19)=0,"Y","N"))</f>
        <v>N</v>
      </c>
      <c r="EV19" s="0" t="str">
        <f aca="false">IF(Y19="","N",IF(Y19&lt;=10,"Y","N"))</f>
        <v>N</v>
      </c>
      <c r="EW19" s="6" t="n">
        <f aca="false">ROW()-1</f>
        <v>18</v>
      </c>
    </row>
    <row r="20" customFormat="false" ht="15" hidden="false" customHeight="false" outlineLevel="0" collapsed="false">
      <c r="A20" s="0" t="s">
        <v>745</v>
      </c>
      <c r="B20" s="0" t="s">
        <v>746</v>
      </c>
      <c r="C20" s="0" t="s">
        <v>747</v>
      </c>
      <c r="D20" s="0" t="s">
        <v>748</v>
      </c>
      <c r="E20" s="0" t="s">
        <v>749</v>
      </c>
      <c r="H20" s="5" t="s">
        <v>158</v>
      </c>
      <c r="I20" s="5" t="s">
        <v>159</v>
      </c>
      <c r="J20" s="6" t="n">
        <f aca="false">IF(AX20="pass",ROUND(CU20+CV20+CW20+CX20+CY20+CZ20,1),0)</f>
        <v>62.7</v>
      </c>
      <c r="K20" s="6" t="s">
        <v>750</v>
      </c>
      <c r="L20" s="6" t="s">
        <v>395</v>
      </c>
      <c r="R20" s="5" t="s">
        <v>162</v>
      </c>
      <c r="S20" s="6" t="s">
        <v>163</v>
      </c>
      <c r="T20" s="5" t="s">
        <v>162</v>
      </c>
      <c r="U20" s="5" t="s">
        <v>228</v>
      </c>
      <c r="V20" s="6" t="s">
        <v>751</v>
      </c>
      <c r="W20" s="6" t="s">
        <v>166</v>
      </c>
      <c r="X20" s="6" t="s">
        <v>167</v>
      </c>
      <c r="Y20" s="6" t="n">
        <f aca="false">IF(EU20&lt;&gt;"Y","",COUNTIFS($EU$2:$EU$1000,"Y",$J$2:$J$1000,"&gt;"&amp;J20)+COUNTIFS($EU$2:$EU$1000,"Y",$J$2:$J$1000,J20,$EW$2:$EW$1000,"&lt;"&amp;EW20)+1)</f>
        <v>12</v>
      </c>
      <c r="Z20" s="0" t="n">
        <v>19</v>
      </c>
      <c r="AA20" s="6" t="s">
        <v>168</v>
      </c>
      <c r="AB20" s="6" t="s">
        <v>752</v>
      </c>
      <c r="AC20" s="6" t="s">
        <v>170</v>
      </c>
      <c r="AD20" s="6" t="s">
        <v>171</v>
      </c>
      <c r="AE20" s="6" t="s">
        <v>231</v>
      </c>
      <c r="AF20" s="6" t="s">
        <v>753</v>
      </c>
      <c r="AG20" s="6" t="s">
        <v>174</v>
      </c>
      <c r="AH20" s="5" t="s">
        <v>310</v>
      </c>
      <c r="AI20" s="6" t="s">
        <v>754</v>
      </c>
      <c r="AJ20" s="6" t="s">
        <v>755</v>
      </c>
      <c r="AK20" s="6" t="s">
        <v>178</v>
      </c>
      <c r="AL20" s="0" t="n">
        <v>8</v>
      </c>
      <c r="AM20" s="0" t="n">
        <v>297</v>
      </c>
      <c r="AN20" s="6" t="s">
        <v>179</v>
      </c>
      <c r="AO20" s="6" t="s">
        <v>180</v>
      </c>
      <c r="AP20" s="6" t="s">
        <v>745</v>
      </c>
      <c r="AQ20" s="5" t="s">
        <v>162</v>
      </c>
      <c r="AT20" s="0" t="str">
        <f aca="false">IF(AND(AX20="pass",AQ20&lt;&gt;"Y",C20&lt;&gt;"",OR(AW20&lt;&gt;"Y",AV20="Y")),"Y","N")</f>
        <v>Y</v>
      </c>
      <c r="AU20" s="0" t="str">
        <f aca="false">_xlfn.TEXTJOIN("; ",TRUE(),IF(AX20&lt;&gt;"pass","gated out",""),IF(AQ20="Y","on hold: "&amp;AR20,""),IF(C20="","no contact named on an opened page",""),IF(AND(AW20="Y",AV20&lt;&gt;"Y"),"Tuesday estimate band "&amp;L20&amp;": founder's call",""))</f>
        <v/>
      </c>
      <c r="AW20" s="6" t="s">
        <v>162</v>
      </c>
      <c r="AX20" s="6" t="s">
        <v>181</v>
      </c>
      <c r="AY20" s="6" t="s">
        <v>182</v>
      </c>
      <c r="AZ20" s="6" t="s">
        <v>1</v>
      </c>
      <c r="BA20" s="6" t="s">
        <v>756</v>
      </c>
      <c r="BB20" s="6" t="s">
        <v>757</v>
      </c>
      <c r="BC20" s="6" t="s">
        <v>758</v>
      </c>
      <c r="BD20" s="6" t="s">
        <v>759</v>
      </c>
      <c r="BE20" s="6" t="s">
        <v>760</v>
      </c>
      <c r="BF20" s="6" t="s">
        <v>163</v>
      </c>
      <c r="BG20" s="6" t="s">
        <v>163</v>
      </c>
      <c r="BH20" s="6" t="s">
        <v>280</v>
      </c>
      <c r="BI20" s="6" t="s">
        <v>761</v>
      </c>
      <c r="BJ20" s="6" t="s">
        <v>762</v>
      </c>
      <c r="BK20" s="6" t="s">
        <v>191</v>
      </c>
      <c r="BL20" s="6" t="s">
        <v>763</v>
      </c>
      <c r="BM20" s="6" t="s">
        <v>162</v>
      </c>
      <c r="BN20" s="6" t="s">
        <v>163</v>
      </c>
      <c r="BO20" s="6" t="s">
        <v>163</v>
      </c>
      <c r="BP20" s="6" t="s">
        <v>347</v>
      </c>
      <c r="BQ20" s="0" t="n">
        <v>40.743309</v>
      </c>
      <c r="BR20" s="0" t="n">
        <v>-73.987329</v>
      </c>
      <c r="BS20" s="6" t="s">
        <v>168</v>
      </c>
      <c r="BT20" s="0" t="n">
        <v>0</v>
      </c>
      <c r="BU20" s="6" t="s">
        <v>764</v>
      </c>
      <c r="BV20" s="6" t="s">
        <v>765</v>
      </c>
      <c r="BW20" s="6" t="s">
        <v>751</v>
      </c>
      <c r="BX20" s="6" t="s">
        <v>766</v>
      </c>
      <c r="BY20" s="6" t="s">
        <v>248</v>
      </c>
      <c r="BZ20" s="6" t="s">
        <v>761</v>
      </c>
      <c r="CA20" s="6" t="s">
        <v>166</v>
      </c>
      <c r="CC20" s="6" t="s">
        <v>200</v>
      </c>
      <c r="CE20" s="6" t="s">
        <v>162</v>
      </c>
      <c r="CH20" s="6" t="s">
        <v>163</v>
      </c>
      <c r="CJ20" s="6" t="s">
        <v>163</v>
      </c>
      <c r="CK20" s="6" t="s">
        <v>162</v>
      </c>
      <c r="CL20" s="6" t="s">
        <v>767</v>
      </c>
      <c r="CM20" s="6" t="s">
        <v>761</v>
      </c>
      <c r="CN20" s="6" t="s">
        <v>166</v>
      </c>
      <c r="CO20" s="0" t="n">
        <v>49</v>
      </c>
      <c r="CP20" s="6" t="s">
        <v>768</v>
      </c>
      <c r="CQ20" s="6" t="s">
        <v>769</v>
      </c>
      <c r="CR20" s="6" t="s">
        <v>206</v>
      </c>
      <c r="CS20" s="0" t="n">
        <v>0.51</v>
      </c>
      <c r="CT20" s="0" t="n">
        <v>62.7</v>
      </c>
      <c r="CU20" s="0" t="n">
        <v>12.7</v>
      </c>
      <c r="CV20" s="0" t="n">
        <v>15</v>
      </c>
      <c r="CW20" s="0" t="n">
        <v>15</v>
      </c>
      <c r="CX20" s="0" t="n">
        <v>15</v>
      </c>
      <c r="CY20" s="6" t="n">
        <f aca="false">IF(AH20="exact",10,IF(AH20="adjacent",5,0))</f>
        <v>5</v>
      </c>
      <c r="CZ20" s="6" t="n">
        <f aca="false">IF(R20="Y",15,0)</f>
        <v>0</v>
      </c>
      <c r="DF20" s="6" t="s">
        <v>158</v>
      </c>
      <c r="DG20" s="6" t="s">
        <v>211</v>
      </c>
      <c r="DK20" s="6" t="s">
        <v>770</v>
      </c>
      <c r="DM20" s="6" t="s">
        <v>771</v>
      </c>
      <c r="DN20" s="6" t="s">
        <v>772</v>
      </c>
      <c r="DO20" s="6" t="s">
        <v>773</v>
      </c>
      <c r="DS20" s="6" t="s">
        <v>158</v>
      </c>
      <c r="DX20" s="6" t="s">
        <v>168</v>
      </c>
      <c r="DY20" s="6" t="s">
        <v>264</v>
      </c>
      <c r="ER20" s="0" t="str">
        <f aca="false">IF(ISNUMBER(MATCH(U20,{"queued","contacted","replied","call_booked","call_done","yes_in_principle","materials_sent"},0)),"Y","N")</f>
        <v>N</v>
      </c>
      <c r="ES20" s="0" t="str">
        <f aca="false">IF(COUNTIFS($AP$2:$AP$1000,AP20,$ER$2:$ER$1000,"Y")+COUNTIFS($AP$2:$AP$1000,AP20,$T$2:$T$1000,"Y")&gt;0,"Y","N")</f>
        <v>N</v>
      </c>
      <c r="ET20" s="0" t="str">
        <f aca="false">IF(AND(U20="new",T20="N",AT20="Y",AS20="",ES20="N"),"Y","N")</f>
        <v>Y</v>
      </c>
      <c r="EU20" s="0" t="str">
        <f aca="false">IF(ET20&lt;&gt;"Y","N",IF(COUNTIFS($AP$2:$AP$1000,AP20,$ET$2:$ET$1000,"Y",$J$2:$J$1000,"&gt;"&amp;J20)+COUNTIFS($AP$2:$AP$1000,AP20,$ET$2:$ET$1000,"Y",$J$2:$J$1000,J20,$EW$2:$EW$1000,"&lt;"&amp;EW20)=0,"Y","N"))</f>
        <v>Y</v>
      </c>
      <c r="EV20" s="0" t="str">
        <f aca="false">IF(Y20="","N",IF(Y20&lt;=10,"Y","N"))</f>
        <v>N</v>
      </c>
      <c r="EW20" s="6" t="n">
        <f aca="false">ROW()-1</f>
        <v>19</v>
      </c>
    </row>
    <row r="21" customFormat="false" ht="15" hidden="false" customHeight="false" outlineLevel="0" collapsed="false">
      <c r="A21" s="0" t="s">
        <v>774</v>
      </c>
      <c r="B21" s="0" t="s">
        <v>775</v>
      </c>
      <c r="C21" s="0" t="s">
        <v>776</v>
      </c>
      <c r="D21" s="0" t="s">
        <v>777</v>
      </c>
      <c r="E21" s="0" t="s">
        <v>778</v>
      </c>
      <c r="H21" s="5" t="s">
        <v>158</v>
      </c>
      <c r="I21" s="5" t="s">
        <v>159</v>
      </c>
      <c r="J21" s="6" t="n">
        <f aca="false">IF(AX21="pass",ROUND(CU21+CV21+CW21+CX21+CY21+CZ21,1),0)</f>
        <v>61</v>
      </c>
      <c r="K21" s="6" t="s">
        <v>779</v>
      </c>
      <c r="L21" s="6" t="s">
        <v>161</v>
      </c>
      <c r="R21" s="5" t="s">
        <v>162</v>
      </c>
      <c r="S21" s="6" t="s">
        <v>163</v>
      </c>
      <c r="T21" s="5" t="s">
        <v>162</v>
      </c>
      <c r="U21" s="5" t="s">
        <v>228</v>
      </c>
      <c r="V21" s="6" t="s">
        <v>780</v>
      </c>
      <c r="W21" s="6" t="s">
        <v>166</v>
      </c>
      <c r="X21" s="6" t="s">
        <v>167</v>
      </c>
      <c r="Y21" s="6" t="n">
        <f aca="false">IF(EU21&lt;&gt;"Y","",COUNTIFS($EU$2:$EU$1000,"Y",$J$2:$J$1000,"&gt;"&amp;J21)+COUNTIFS($EU$2:$EU$1000,"Y",$J$2:$J$1000,J21,$EW$2:$EW$1000,"&lt;"&amp;EW21)+1)</f>
        <v>13</v>
      </c>
      <c r="Z21" s="0" t="n">
        <v>20</v>
      </c>
      <c r="AA21" s="6" t="s">
        <v>168</v>
      </c>
      <c r="AB21" s="6" t="s">
        <v>781</v>
      </c>
      <c r="AC21" s="6" t="s">
        <v>170</v>
      </c>
      <c r="AD21" s="6" t="s">
        <v>171</v>
      </c>
      <c r="AE21" s="6" t="s">
        <v>231</v>
      </c>
      <c r="AF21" s="6" t="s">
        <v>782</v>
      </c>
      <c r="AG21" s="6" t="s">
        <v>174</v>
      </c>
      <c r="AH21" s="5" t="s">
        <v>310</v>
      </c>
      <c r="AI21" s="6" t="s">
        <v>783</v>
      </c>
      <c r="AJ21" s="6" t="s">
        <v>784</v>
      </c>
      <c r="AK21" s="6" t="s">
        <v>178</v>
      </c>
      <c r="AL21" s="0" t="n">
        <v>75</v>
      </c>
      <c r="AM21" s="0" t="n">
        <v>151</v>
      </c>
      <c r="AN21" s="6" t="s">
        <v>179</v>
      </c>
      <c r="AO21" s="6" t="s">
        <v>370</v>
      </c>
      <c r="AP21" s="6" t="s">
        <v>774</v>
      </c>
      <c r="AQ21" s="5" t="s">
        <v>162</v>
      </c>
      <c r="AT21" s="0" t="str">
        <f aca="false">IF(AND(AX21="pass",AQ21&lt;&gt;"Y",C21&lt;&gt;"",OR(AW21&lt;&gt;"Y",AV21="Y")),"Y","N")</f>
        <v>Y</v>
      </c>
      <c r="AU21" s="0" t="str">
        <f aca="false">_xlfn.TEXTJOIN("; ",TRUE(),IF(AX21&lt;&gt;"pass","gated out",""),IF(AQ21="Y","on hold: "&amp;AR21,""),IF(C21="","no contact named on an opened page",""),IF(AND(AW21="Y",AV21&lt;&gt;"Y"),"Tuesday estimate band "&amp;L21&amp;": founder's call",""))</f>
        <v/>
      </c>
      <c r="AW21" s="6" t="s">
        <v>162</v>
      </c>
      <c r="AX21" s="6" t="s">
        <v>181</v>
      </c>
      <c r="AY21" s="6" t="s">
        <v>182</v>
      </c>
      <c r="AZ21" s="6" t="s">
        <v>1</v>
      </c>
      <c r="BA21" s="6" t="s">
        <v>785</v>
      </c>
      <c r="BB21" s="6" t="s">
        <v>786</v>
      </c>
      <c r="BC21" s="6" t="s">
        <v>787</v>
      </c>
      <c r="BD21" s="6" t="s">
        <v>788</v>
      </c>
      <c r="BF21" s="6" t="s">
        <v>187</v>
      </c>
      <c r="BG21" s="6" t="s">
        <v>188</v>
      </c>
      <c r="BH21" s="6" t="s">
        <v>189</v>
      </c>
      <c r="BI21" s="6" t="s">
        <v>789</v>
      </c>
      <c r="BK21" s="6" t="s">
        <v>191</v>
      </c>
      <c r="BL21" s="6" t="s">
        <v>192</v>
      </c>
      <c r="BM21" s="6" t="s">
        <v>168</v>
      </c>
      <c r="BN21" s="6" t="s">
        <v>790</v>
      </c>
      <c r="BO21" s="6" t="s">
        <v>163</v>
      </c>
      <c r="BP21" s="6" t="s">
        <v>347</v>
      </c>
      <c r="BQ21" s="0" t="n">
        <v>40.743043</v>
      </c>
      <c r="BR21" s="0" t="n">
        <v>-73.99233</v>
      </c>
      <c r="BS21" s="6" t="s">
        <v>168</v>
      </c>
      <c r="BT21" s="0" t="n">
        <v>0</v>
      </c>
      <c r="BU21" s="6" t="s">
        <v>791</v>
      </c>
      <c r="BV21" s="6" t="s">
        <v>783</v>
      </c>
      <c r="BW21" s="6" t="s">
        <v>780</v>
      </c>
      <c r="BX21" s="6" t="s">
        <v>174</v>
      </c>
      <c r="BY21" s="6" t="s">
        <v>196</v>
      </c>
      <c r="BZ21" s="6" t="s">
        <v>789</v>
      </c>
      <c r="CA21" s="6" t="s">
        <v>174</v>
      </c>
      <c r="CC21" s="6" t="s">
        <v>739</v>
      </c>
      <c r="CE21" s="6" t="s">
        <v>162</v>
      </c>
      <c r="CH21" s="6" t="s">
        <v>163</v>
      </c>
      <c r="CJ21" s="6" t="s">
        <v>163</v>
      </c>
      <c r="CK21" s="6" t="s">
        <v>162</v>
      </c>
      <c r="CL21" s="6" t="s">
        <v>716</v>
      </c>
      <c r="CM21" s="6" t="s">
        <v>789</v>
      </c>
      <c r="CN21" s="6" t="s">
        <v>174</v>
      </c>
      <c r="CO21" s="0" t="n">
        <v>106</v>
      </c>
      <c r="CQ21" s="6" t="s">
        <v>792</v>
      </c>
      <c r="CR21" s="6" t="s">
        <v>206</v>
      </c>
      <c r="CS21" s="0" t="n">
        <v>1</v>
      </c>
      <c r="CT21" s="0" t="n">
        <v>61</v>
      </c>
      <c r="CU21" s="0" t="n">
        <v>25</v>
      </c>
      <c r="CV21" s="0" t="n">
        <v>11</v>
      </c>
      <c r="CW21" s="0" t="n">
        <v>7</v>
      </c>
      <c r="CX21" s="0" t="n">
        <v>13</v>
      </c>
      <c r="CY21" s="6" t="n">
        <f aca="false">IF(AH21="exact",10,IF(AH21="adjacent",5,0))</f>
        <v>5</v>
      </c>
      <c r="CZ21" s="6" t="n">
        <f aca="false">IF(R21="Y",15,0)</f>
        <v>0</v>
      </c>
      <c r="DA21" s="6" t="s">
        <v>793</v>
      </c>
      <c r="DB21" s="6" t="s">
        <v>794</v>
      </c>
      <c r="DC21" s="6" t="s">
        <v>795</v>
      </c>
      <c r="DF21" s="6" t="s">
        <v>158</v>
      </c>
      <c r="DG21" s="6" t="s">
        <v>211</v>
      </c>
      <c r="DK21" s="6" t="s">
        <v>796</v>
      </c>
      <c r="DM21" s="6" t="s">
        <v>797</v>
      </c>
      <c r="DN21" s="6" t="s">
        <v>798</v>
      </c>
      <c r="DO21" s="6" t="s">
        <v>799</v>
      </c>
      <c r="DQ21" s="6" t="s">
        <v>216</v>
      </c>
      <c r="DR21" s="6" t="s">
        <v>800</v>
      </c>
      <c r="DS21" s="6" t="s">
        <v>171</v>
      </c>
      <c r="DT21" s="6" t="s">
        <v>231</v>
      </c>
      <c r="DU21" s="6" t="s">
        <v>801</v>
      </c>
      <c r="DV21" s="6" t="s">
        <v>802</v>
      </c>
      <c r="DW21" s="6" t="s">
        <v>803</v>
      </c>
      <c r="DX21" s="6" t="s">
        <v>168</v>
      </c>
      <c r="DY21" s="6" t="s">
        <v>618</v>
      </c>
      <c r="ER21" s="0" t="str">
        <f aca="false">IF(ISNUMBER(MATCH(U21,{"queued","contacted","replied","call_booked","call_done","yes_in_principle","materials_sent"},0)),"Y","N")</f>
        <v>N</v>
      </c>
      <c r="ES21" s="0" t="str">
        <f aca="false">IF(COUNTIFS($AP$2:$AP$1000,AP21,$ER$2:$ER$1000,"Y")+COUNTIFS($AP$2:$AP$1000,AP21,$T$2:$T$1000,"Y")&gt;0,"Y","N")</f>
        <v>N</v>
      </c>
      <c r="ET21" s="0" t="str">
        <f aca="false">IF(AND(U21="new",T21="N",AT21="Y",AS21="",ES21="N"),"Y","N")</f>
        <v>Y</v>
      </c>
      <c r="EU21" s="0" t="str">
        <f aca="false">IF(ET21&lt;&gt;"Y","N",IF(COUNTIFS($AP$2:$AP$1000,AP21,$ET$2:$ET$1000,"Y",$J$2:$J$1000,"&gt;"&amp;J21)+COUNTIFS($AP$2:$AP$1000,AP21,$ET$2:$ET$1000,"Y",$J$2:$J$1000,J21,$EW$2:$EW$1000,"&lt;"&amp;EW21)=0,"Y","N"))</f>
        <v>Y</v>
      </c>
      <c r="EV21" s="0" t="str">
        <f aca="false">IF(Y21="","N",IF(Y21&lt;=10,"Y","N"))</f>
        <v>N</v>
      </c>
      <c r="EW21" s="6" t="n">
        <f aca="false">ROW()-1</f>
        <v>20</v>
      </c>
    </row>
    <row r="22" customFormat="false" ht="15" hidden="false" customHeight="false" outlineLevel="0" collapsed="false">
      <c r="A22" s="0" t="s">
        <v>804</v>
      </c>
      <c r="B22" s="0" t="s">
        <v>805</v>
      </c>
      <c r="C22" s="0" t="s">
        <v>806</v>
      </c>
      <c r="D22" s="0" t="s">
        <v>807</v>
      </c>
      <c r="E22" s="0" t="s">
        <v>808</v>
      </c>
      <c r="H22" s="5" t="s">
        <v>158</v>
      </c>
      <c r="I22" s="5" t="s">
        <v>159</v>
      </c>
      <c r="J22" s="6" t="n">
        <f aca="false">IF(AX22="pass",ROUND(CU22+CV22+CW22+CX22+CY22+CZ22,1),0)</f>
        <v>61</v>
      </c>
      <c r="K22" s="6" t="s">
        <v>809</v>
      </c>
      <c r="L22" s="6" t="s">
        <v>161</v>
      </c>
      <c r="R22" s="5" t="s">
        <v>162</v>
      </c>
      <c r="S22" s="6" t="s">
        <v>163</v>
      </c>
      <c r="T22" s="5" t="s">
        <v>162</v>
      </c>
      <c r="U22" s="5" t="s">
        <v>228</v>
      </c>
      <c r="V22" s="6" t="s">
        <v>810</v>
      </c>
      <c r="W22" s="6" t="s">
        <v>166</v>
      </c>
      <c r="X22" s="6" t="s">
        <v>167</v>
      </c>
      <c r="Y22" s="6" t="n">
        <f aca="false">IF(EU22&lt;&gt;"Y","",COUNTIFS($EU$2:$EU$1000,"Y",$J$2:$J$1000,"&gt;"&amp;J22)+COUNTIFS($EU$2:$EU$1000,"Y",$J$2:$J$1000,J22,$EW$2:$EW$1000,"&lt;"&amp;EW22)+1)</f>
        <v>14</v>
      </c>
      <c r="Z22" s="0" t="n">
        <v>21</v>
      </c>
      <c r="AA22" s="6" t="s">
        <v>168</v>
      </c>
      <c r="AB22" s="6" t="s">
        <v>811</v>
      </c>
      <c r="AC22" s="6" t="s">
        <v>170</v>
      </c>
      <c r="AD22" s="6" t="s">
        <v>171</v>
      </c>
      <c r="AE22" s="6" t="s">
        <v>231</v>
      </c>
      <c r="AF22" s="6" t="s">
        <v>812</v>
      </c>
      <c r="AG22" s="6" t="s">
        <v>174</v>
      </c>
      <c r="AH22" s="5" t="s">
        <v>310</v>
      </c>
      <c r="AI22" s="6" t="s">
        <v>813</v>
      </c>
      <c r="AJ22" s="6" t="s">
        <v>163</v>
      </c>
      <c r="AK22" s="6" t="s">
        <v>435</v>
      </c>
      <c r="AL22" s="0" t="n">
        <v>89</v>
      </c>
      <c r="AM22" s="0" t="n">
        <v>179</v>
      </c>
      <c r="AN22" s="6" t="s">
        <v>179</v>
      </c>
      <c r="AO22" s="6" t="s">
        <v>180</v>
      </c>
      <c r="AP22" s="6" t="s">
        <v>804</v>
      </c>
      <c r="AQ22" s="5" t="s">
        <v>162</v>
      </c>
      <c r="AT22" s="0" t="str">
        <f aca="false">IF(AND(AX22="pass",AQ22&lt;&gt;"Y",C22&lt;&gt;"",OR(AW22&lt;&gt;"Y",AV22="Y")),"Y","N")</f>
        <v>Y</v>
      </c>
      <c r="AU22" s="0" t="str">
        <f aca="false">_xlfn.TEXTJOIN("; ",TRUE(),IF(AX22&lt;&gt;"pass","gated out",""),IF(AQ22="Y","on hold: "&amp;AR22,""),IF(C22="","no contact named on an opened page",""),IF(AND(AW22="Y",AV22&lt;&gt;"Y"),"Tuesday estimate band "&amp;L22&amp;": founder's call",""))</f>
        <v/>
      </c>
      <c r="AW22" s="6" t="s">
        <v>162</v>
      </c>
      <c r="AX22" s="6" t="s">
        <v>181</v>
      </c>
      <c r="AY22" s="6" t="s">
        <v>182</v>
      </c>
      <c r="AZ22" s="6" t="s">
        <v>1</v>
      </c>
      <c r="BA22" s="6" t="s">
        <v>814</v>
      </c>
      <c r="BB22" s="6" t="s">
        <v>815</v>
      </c>
      <c r="BC22" s="6" t="s">
        <v>816</v>
      </c>
      <c r="BD22" s="6" t="s">
        <v>817</v>
      </c>
      <c r="BF22" s="6" t="s">
        <v>240</v>
      </c>
      <c r="BG22" s="6" t="s">
        <v>188</v>
      </c>
      <c r="BH22" s="6" t="s">
        <v>189</v>
      </c>
      <c r="BI22" s="6" t="s">
        <v>818</v>
      </c>
      <c r="BK22" s="6" t="s">
        <v>191</v>
      </c>
      <c r="BL22" s="6" t="s">
        <v>192</v>
      </c>
      <c r="BM22" s="6" t="s">
        <v>168</v>
      </c>
      <c r="BN22" s="6" t="s">
        <v>819</v>
      </c>
      <c r="BO22" s="6" t="s">
        <v>163</v>
      </c>
      <c r="BP22" s="6" t="s">
        <v>378</v>
      </c>
      <c r="BQ22" s="0" t="n">
        <v>40.740813</v>
      </c>
      <c r="BR22" s="0" t="n">
        <v>-73.993107</v>
      </c>
      <c r="BS22" s="6" t="s">
        <v>168</v>
      </c>
      <c r="BT22" s="0" t="n">
        <v>0</v>
      </c>
      <c r="BU22" s="6" t="s">
        <v>820</v>
      </c>
      <c r="BV22" s="6" t="s">
        <v>813</v>
      </c>
      <c r="BW22" s="6" t="s">
        <v>810</v>
      </c>
      <c r="BX22" s="6" t="s">
        <v>166</v>
      </c>
      <c r="BY22" s="6" t="s">
        <v>445</v>
      </c>
      <c r="CC22" s="6" t="s">
        <v>179</v>
      </c>
      <c r="CE22" s="6" t="s">
        <v>162</v>
      </c>
      <c r="CH22" s="6" t="s">
        <v>201</v>
      </c>
      <c r="CI22" s="6" t="s">
        <v>821</v>
      </c>
      <c r="CJ22" s="6" t="s">
        <v>163</v>
      </c>
      <c r="CK22" s="6" t="s">
        <v>162</v>
      </c>
      <c r="CL22" s="6" t="s">
        <v>822</v>
      </c>
      <c r="CM22" s="6" t="s">
        <v>818</v>
      </c>
      <c r="CN22" s="6" t="s">
        <v>166</v>
      </c>
      <c r="CO22" s="0" t="n">
        <v>126</v>
      </c>
      <c r="CQ22" s="6" t="s">
        <v>823</v>
      </c>
      <c r="CR22" s="6" t="s">
        <v>206</v>
      </c>
      <c r="CS22" s="0" t="n">
        <v>1</v>
      </c>
      <c r="CT22" s="0" t="n">
        <v>61</v>
      </c>
      <c r="CU22" s="0" t="n">
        <v>25</v>
      </c>
      <c r="CV22" s="0" t="n">
        <v>11</v>
      </c>
      <c r="CW22" s="0" t="n">
        <v>15</v>
      </c>
      <c r="CX22" s="0" t="n">
        <v>5</v>
      </c>
      <c r="CY22" s="6" t="n">
        <f aca="false">IF(AH22="exact",10,IF(AH22="adjacent",5,0))</f>
        <v>5</v>
      </c>
      <c r="CZ22" s="6" t="n">
        <f aca="false">IF(R22="Y",15,0)</f>
        <v>0</v>
      </c>
      <c r="DF22" s="6" t="s">
        <v>158</v>
      </c>
      <c r="DG22" s="6" t="s">
        <v>211</v>
      </c>
      <c r="DK22" s="6" t="s">
        <v>824</v>
      </c>
      <c r="DM22" s="6" t="s">
        <v>825</v>
      </c>
      <c r="DN22" s="6" t="s">
        <v>826</v>
      </c>
      <c r="DO22" s="6" t="s">
        <v>827</v>
      </c>
      <c r="DS22" s="6" t="s">
        <v>158</v>
      </c>
      <c r="DX22" s="6" t="s">
        <v>168</v>
      </c>
      <c r="DY22" s="6" t="s">
        <v>618</v>
      </c>
      <c r="ER22" s="0" t="str">
        <f aca="false">IF(ISNUMBER(MATCH(U22,{"queued","contacted","replied","call_booked","call_done","yes_in_principle","materials_sent"},0)),"Y","N")</f>
        <v>N</v>
      </c>
      <c r="ES22" s="0" t="str">
        <f aca="false">IF(COUNTIFS($AP$2:$AP$1000,AP22,$ER$2:$ER$1000,"Y")+COUNTIFS($AP$2:$AP$1000,AP22,$T$2:$T$1000,"Y")&gt;0,"Y","N")</f>
        <v>N</v>
      </c>
      <c r="ET22" s="0" t="str">
        <f aca="false">IF(AND(U22="new",T22="N",AT22="Y",AS22="",ES22="N"),"Y","N")</f>
        <v>Y</v>
      </c>
      <c r="EU22" s="0" t="str">
        <f aca="false">IF(ET22&lt;&gt;"Y","N",IF(COUNTIFS($AP$2:$AP$1000,AP22,$ET$2:$ET$1000,"Y",$J$2:$J$1000,"&gt;"&amp;J22)+COUNTIFS($AP$2:$AP$1000,AP22,$ET$2:$ET$1000,"Y",$J$2:$J$1000,J22,$EW$2:$EW$1000,"&lt;"&amp;EW22)=0,"Y","N"))</f>
        <v>Y</v>
      </c>
      <c r="EV22" s="0" t="str">
        <f aca="false">IF(Y22="","N",IF(Y22&lt;=10,"Y","N"))</f>
        <v>N</v>
      </c>
      <c r="EW22" s="6" t="n">
        <f aca="false">ROW()-1</f>
        <v>21</v>
      </c>
    </row>
    <row r="23" customFormat="false" ht="15" hidden="false" customHeight="false" outlineLevel="0" collapsed="false">
      <c r="A23" s="0" t="s">
        <v>828</v>
      </c>
      <c r="B23" s="0" t="s">
        <v>829</v>
      </c>
      <c r="C23" s="0" t="s">
        <v>830</v>
      </c>
      <c r="D23" s="0" t="s">
        <v>831</v>
      </c>
      <c r="E23" s="0" t="s">
        <v>832</v>
      </c>
      <c r="H23" s="5" t="s">
        <v>158</v>
      </c>
      <c r="I23" s="5" t="s">
        <v>159</v>
      </c>
      <c r="J23" s="6" t="n">
        <f aca="false">IF(AX23="pass",ROUND(CU23+CV23+CW23+CX23+CY23+CZ23,1),0)</f>
        <v>76</v>
      </c>
      <c r="K23" s="6" t="s">
        <v>833</v>
      </c>
      <c r="L23" s="6" t="s">
        <v>187</v>
      </c>
      <c r="R23" s="5" t="s">
        <v>168</v>
      </c>
      <c r="S23" s="6" t="s">
        <v>163</v>
      </c>
      <c r="T23" s="5" t="s">
        <v>162</v>
      </c>
      <c r="U23" s="5" t="s">
        <v>228</v>
      </c>
      <c r="V23" s="6" t="s">
        <v>834</v>
      </c>
      <c r="W23" s="6" t="s">
        <v>166</v>
      </c>
      <c r="X23" s="6" t="s">
        <v>167</v>
      </c>
      <c r="Y23" s="6" t="n">
        <f aca="false">IF(EU23&lt;&gt;"Y","",COUNTIFS($EU$2:$EU$1000,"Y",$J$2:$J$1000,"&gt;"&amp;J23)+COUNTIFS($EU$2:$EU$1000,"Y",$J$2:$J$1000,J23,$EW$2:$EW$1000,"&lt;"&amp;EW23)+1)</f>
        <v>1</v>
      </c>
      <c r="Z23" s="0" t="n">
        <v>22</v>
      </c>
      <c r="AA23" s="6" t="s">
        <v>168</v>
      </c>
      <c r="AB23" s="6" t="s">
        <v>835</v>
      </c>
      <c r="AC23" s="6" t="s">
        <v>170</v>
      </c>
      <c r="AD23" s="6" t="s">
        <v>171</v>
      </c>
      <c r="AE23" s="6" t="s">
        <v>231</v>
      </c>
      <c r="AF23" s="6" t="s">
        <v>836</v>
      </c>
      <c r="AG23" s="6" t="s">
        <v>174</v>
      </c>
      <c r="AH23" s="5" t="s">
        <v>310</v>
      </c>
      <c r="AI23" s="6" t="s">
        <v>837</v>
      </c>
      <c r="AJ23" s="6" t="s">
        <v>163</v>
      </c>
      <c r="AK23" s="6" t="s">
        <v>435</v>
      </c>
      <c r="AL23" s="0" t="n">
        <v>113</v>
      </c>
      <c r="AM23" s="0" t="n">
        <v>225</v>
      </c>
      <c r="AN23" s="6" t="s">
        <v>179</v>
      </c>
      <c r="AO23" s="6" t="s">
        <v>180</v>
      </c>
      <c r="AP23" s="6" t="s">
        <v>828</v>
      </c>
      <c r="AQ23" s="5" t="s">
        <v>162</v>
      </c>
      <c r="AT23" s="0" t="str">
        <f aca="false">IF(AND(AX23="pass",AQ23&lt;&gt;"Y",C23&lt;&gt;"",OR(AW23&lt;&gt;"Y",AV23="Y")),"Y","N")</f>
        <v>Y</v>
      </c>
      <c r="AU23" s="0" t="str">
        <f aca="false">_xlfn.TEXTJOIN("; ",TRUE(),IF(AX23&lt;&gt;"pass","gated out",""),IF(AQ23="Y","on hold: "&amp;AR23,""),IF(C23="","no contact named on an opened page",""),IF(AND(AW23="Y",AV23&lt;&gt;"Y"),"Tuesday estimate band "&amp;L23&amp;": founder's call",""))</f>
        <v/>
      </c>
      <c r="AW23" s="6" t="s">
        <v>162</v>
      </c>
      <c r="AX23" s="6" t="s">
        <v>181</v>
      </c>
      <c r="AY23" s="6" t="s">
        <v>182</v>
      </c>
      <c r="AZ23" s="6" t="s">
        <v>1</v>
      </c>
      <c r="BA23" s="6" t="s">
        <v>838</v>
      </c>
      <c r="BB23" s="6" t="s">
        <v>839</v>
      </c>
      <c r="BC23" s="6" t="s">
        <v>840</v>
      </c>
      <c r="BD23" s="6" t="s">
        <v>605</v>
      </c>
      <c r="BF23" s="6" t="s">
        <v>240</v>
      </c>
      <c r="BG23" s="6" t="s">
        <v>188</v>
      </c>
      <c r="BH23" s="6" t="s">
        <v>189</v>
      </c>
      <c r="BI23" s="6" t="s">
        <v>841</v>
      </c>
      <c r="BK23" s="6" t="s">
        <v>191</v>
      </c>
      <c r="BL23" s="6" t="s">
        <v>192</v>
      </c>
      <c r="BM23" s="6" t="s">
        <v>168</v>
      </c>
      <c r="BN23" s="6" t="s">
        <v>842</v>
      </c>
      <c r="BO23" s="6" t="s">
        <v>163</v>
      </c>
      <c r="BP23" s="6" t="s">
        <v>347</v>
      </c>
      <c r="BQ23" s="0" t="n">
        <v>40.743006</v>
      </c>
      <c r="BR23" s="0" t="n">
        <v>-73.98947</v>
      </c>
      <c r="BS23" s="6" t="s">
        <v>168</v>
      </c>
      <c r="BT23" s="0" t="n">
        <v>0</v>
      </c>
      <c r="BU23" s="6" t="s">
        <v>843</v>
      </c>
      <c r="BV23" s="6" t="s">
        <v>844</v>
      </c>
      <c r="BW23" s="6" t="s">
        <v>834</v>
      </c>
      <c r="BX23" s="6" t="s">
        <v>845</v>
      </c>
      <c r="BY23" s="6" t="s">
        <v>248</v>
      </c>
      <c r="BZ23" s="6" t="s">
        <v>841</v>
      </c>
      <c r="CA23" s="6" t="s">
        <v>166</v>
      </c>
      <c r="CC23" s="6" t="s">
        <v>179</v>
      </c>
      <c r="CE23" s="6" t="s">
        <v>162</v>
      </c>
      <c r="CH23" s="6" t="s">
        <v>201</v>
      </c>
      <c r="CI23" s="6" t="s">
        <v>846</v>
      </c>
      <c r="CJ23" s="6" t="s">
        <v>163</v>
      </c>
      <c r="CK23" s="6" t="s">
        <v>162</v>
      </c>
      <c r="CL23" s="6" t="s">
        <v>847</v>
      </c>
      <c r="CM23" s="6" t="s">
        <v>841</v>
      </c>
      <c r="CN23" s="6" t="s">
        <v>174</v>
      </c>
      <c r="CO23" s="0" t="n">
        <v>159</v>
      </c>
      <c r="CQ23" s="6" t="s">
        <v>848</v>
      </c>
      <c r="CR23" s="6" t="s">
        <v>206</v>
      </c>
      <c r="CS23" s="0" t="n">
        <v>1</v>
      </c>
      <c r="CT23" s="0" t="n">
        <v>61</v>
      </c>
      <c r="CU23" s="0" t="n">
        <v>25</v>
      </c>
      <c r="CV23" s="0" t="n">
        <v>11</v>
      </c>
      <c r="CW23" s="0" t="n">
        <v>15</v>
      </c>
      <c r="CX23" s="0" t="n">
        <v>5</v>
      </c>
      <c r="CY23" s="6" t="n">
        <f aca="false">IF(AH23="exact",10,IF(AH23="adjacent",5,0))</f>
        <v>5</v>
      </c>
      <c r="CZ23" s="6" t="n">
        <f aca="false">IF(R23="Y",15,0)</f>
        <v>15</v>
      </c>
      <c r="DF23" s="6" t="s">
        <v>158</v>
      </c>
      <c r="DG23" s="6" t="s">
        <v>211</v>
      </c>
      <c r="DJ23" s="6" t="s">
        <v>849</v>
      </c>
      <c r="DK23" s="6" t="s">
        <v>850</v>
      </c>
      <c r="DM23" s="6" t="s">
        <v>851</v>
      </c>
      <c r="DN23" s="6" t="s">
        <v>418</v>
      </c>
      <c r="DO23" s="6" t="s">
        <v>852</v>
      </c>
      <c r="DS23" s="6" t="s">
        <v>158</v>
      </c>
      <c r="DX23" s="6" t="s">
        <v>168</v>
      </c>
      <c r="DY23" s="6" t="s">
        <v>618</v>
      </c>
      <c r="ER23" s="0" t="str">
        <f aca="false">IF(ISNUMBER(MATCH(U23,{"queued","contacted","replied","call_booked","call_done","yes_in_principle","materials_sent"},0)),"Y","N")</f>
        <v>N</v>
      </c>
      <c r="ES23" s="0" t="str">
        <f aca="false">IF(COUNTIFS($AP$2:$AP$1000,AP23,$ER$2:$ER$1000,"Y")+COUNTIFS($AP$2:$AP$1000,AP23,$T$2:$T$1000,"Y")&gt;0,"Y","N")</f>
        <v>N</v>
      </c>
      <c r="ET23" s="0" t="str">
        <f aca="false">IF(AND(U23="new",T23="N",AT23="Y",AS23="",ES23="N"),"Y","N")</f>
        <v>Y</v>
      </c>
      <c r="EU23" s="0" t="str">
        <f aca="false">IF(ET23&lt;&gt;"Y","N",IF(COUNTIFS($AP$2:$AP$1000,AP23,$ET$2:$ET$1000,"Y",$J$2:$J$1000,"&gt;"&amp;J23)+COUNTIFS($AP$2:$AP$1000,AP23,$ET$2:$ET$1000,"Y",$J$2:$J$1000,J23,$EW$2:$EW$1000,"&lt;"&amp;EW23)=0,"Y","N"))</f>
        <v>Y</v>
      </c>
      <c r="EV23" s="0" t="str">
        <f aca="false">IF(Y23="","N",IF(Y23&lt;=10,"Y","N"))</f>
        <v>Y</v>
      </c>
      <c r="EW23" s="6" t="n">
        <f aca="false">ROW()-1</f>
        <v>22</v>
      </c>
    </row>
    <row r="24" customFormat="false" ht="15" hidden="false" customHeight="false" outlineLevel="0" collapsed="false">
      <c r="A24" s="0" t="s">
        <v>853</v>
      </c>
      <c r="B24" s="0" t="s">
        <v>854</v>
      </c>
      <c r="C24" s="0" t="s">
        <v>855</v>
      </c>
      <c r="D24" s="0" t="s">
        <v>856</v>
      </c>
      <c r="E24" s="0" t="s">
        <v>696</v>
      </c>
      <c r="H24" s="5" t="s">
        <v>158</v>
      </c>
      <c r="I24" s="5" t="s">
        <v>159</v>
      </c>
      <c r="J24" s="6" t="n">
        <f aca="false">IF(AX24="pass",ROUND(CU24+CV24+CW24+CX24+CY24+CZ24,1),0)</f>
        <v>60.1</v>
      </c>
      <c r="K24" s="6" t="s">
        <v>857</v>
      </c>
      <c r="L24" s="6" t="s">
        <v>187</v>
      </c>
      <c r="R24" s="5" t="s">
        <v>162</v>
      </c>
      <c r="S24" s="6" t="s">
        <v>163</v>
      </c>
      <c r="T24" s="5" t="s">
        <v>162</v>
      </c>
      <c r="U24" s="5" t="s">
        <v>228</v>
      </c>
      <c r="V24" s="6" t="s">
        <v>858</v>
      </c>
      <c r="W24" s="6" t="s">
        <v>166</v>
      </c>
      <c r="X24" s="6" t="s">
        <v>167</v>
      </c>
      <c r="Y24" s="6" t="n">
        <f aca="false">IF(EU24&lt;&gt;"Y","",COUNTIFS($EU$2:$EU$1000,"Y",$J$2:$J$1000,"&gt;"&amp;J24)+COUNTIFS($EU$2:$EU$1000,"Y",$J$2:$J$1000,J24,$EW$2:$EW$1000,"&lt;"&amp;EW24)+1)</f>
        <v>15</v>
      </c>
      <c r="Z24" s="0" t="n">
        <v>23</v>
      </c>
      <c r="AA24" s="6" t="s">
        <v>168</v>
      </c>
      <c r="AB24" s="6" t="s">
        <v>859</v>
      </c>
      <c r="AC24" s="6" t="s">
        <v>170</v>
      </c>
      <c r="AD24" s="6" t="s">
        <v>171</v>
      </c>
      <c r="AE24" s="6" t="s">
        <v>172</v>
      </c>
      <c r="AF24" s="6" t="s">
        <v>860</v>
      </c>
      <c r="AG24" s="6" t="s">
        <v>174</v>
      </c>
      <c r="AH24" s="5" t="s">
        <v>310</v>
      </c>
      <c r="AI24" s="6" t="s">
        <v>861</v>
      </c>
      <c r="AJ24" s="6" t="s">
        <v>650</v>
      </c>
      <c r="AK24" s="6" t="s">
        <v>178</v>
      </c>
      <c r="AL24" s="0" t="n">
        <v>112</v>
      </c>
      <c r="AM24" s="0" t="n">
        <v>278</v>
      </c>
      <c r="AN24" s="6" t="s">
        <v>179</v>
      </c>
      <c r="AO24" s="6" t="s">
        <v>862</v>
      </c>
      <c r="AP24" s="6" t="s">
        <v>853</v>
      </c>
      <c r="AQ24" s="5" t="s">
        <v>162</v>
      </c>
      <c r="AT24" s="0" t="str">
        <f aca="false">IF(AND(AX24="pass",AQ24&lt;&gt;"Y",C24&lt;&gt;"",OR(AW24&lt;&gt;"Y",AV24="Y")),"Y","N")</f>
        <v>Y</v>
      </c>
      <c r="AU24" s="0" t="str">
        <f aca="false">_xlfn.TEXTJOIN("; ",TRUE(),IF(AX24&lt;&gt;"pass","gated out",""),IF(AQ24="Y","on hold: "&amp;AR24,""),IF(C24="","no contact named on an opened page",""),IF(AND(AW24="Y",AV24&lt;&gt;"Y"),"Tuesday estimate band "&amp;L24&amp;": founder's call",""))</f>
        <v/>
      </c>
      <c r="AW24" s="6" t="s">
        <v>162</v>
      </c>
      <c r="AX24" s="6" t="s">
        <v>181</v>
      </c>
      <c r="AY24" s="6" t="s">
        <v>182</v>
      </c>
      <c r="AZ24" s="6" t="s">
        <v>1</v>
      </c>
      <c r="BA24" s="6" t="s">
        <v>863</v>
      </c>
      <c r="BB24" s="6" t="s">
        <v>864</v>
      </c>
      <c r="BC24" s="6" t="s">
        <v>865</v>
      </c>
      <c r="BD24" s="6" t="s">
        <v>866</v>
      </c>
      <c r="BE24" s="6" t="s">
        <v>867</v>
      </c>
      <c r="BF24" s="6" t="s">
        <v>240</v>
      </c>
      <c r="BG24" s="6" t="s">
        <v>188</v>
      </c>
      <c r="BH24" s="6" t="s">
        <v>241</v>
      </c>
      <c r="BI24" s="6" t="s">
        <v>868</v>
      </c>
      <c r="BJ24" s="6" t="s">
        <v>869</v>
      </c>
      <c r="BK24" s="6" t="s">
        <v>191</v>
      </c>
      <c r="BL24" s="6" t="s">
        <v>192</v>
      </c>
      <c r="BM24" s="6" t="s">
        <v>168</v>
      </c>
      <c r="BN24" s="6" t="s">
        <v>163</v>
      </c>
      <c r="BO24" s="6" t="s">
        <v>163</v>
      </c>
      <c r="BP24" s="6" t="s">
        <v>347</v>
      </c>
      <c r="BQ24" s="0" t="n">
        <v>40.742654</v>
      </c>
      <c r="BR24" s="0" t="n">
        <v>-73.991559</v>
      </c>
      <c r="BS24" s="6" t="s">
        <v>168</v>
      </c>
      <c r="BT24" s="0" t="n">
        <v>0</v>
      </c>
      <c r="BU24" s="6" t="s">
        <v>870</v>
      </c>
      <c r="BV24" s="6" t="s">
        <v>871</v>
      </c>
      <c r="BW24" s="6" t="s">
        <v>858</v>
      </c>
      <c r="BX24" s="6" t="s">
        <v>174</v>
      </c>
      <c r="BY24" s="6" t="s">
        <v>196</v>
      </c>
      <c r="BZ24" s="6" t="s">
        <v>868</v>
      </c>
      <c r="CA24" s="6" t="s">
        <v>166</v>
      </c>
      <c r="CC24" s="6" t="s">
        <v>739</v>
      </c>
      <c r="CE24" s="6" t="s">
        <v>162</v>
      </c>
      <c r="CH24" s="6" t="s">
        <v>201</v>
      </c>
      <c r="CI24" s="6" t="s">
        <v>872</v>
      </c>
      <c r="CJ24" s="6" t="s">
        <v>163</v>
      </c>
      <c r="CK24" s="6" t="s">
        <v>162</v>
      </c>
      <c r="CL24" s="6" t="s">
        <v>873</v>
      </c>
      <c r="CM24" s="6" t="s">
        <v>868</v>
      </c>
      <c r="CN24" s="6" t="s">
        <v>174</v>
      </c>
      <c r="CO24" s="0" t="n">
        <v>176</v>
      </c>
      <c r="CP24" s="6" t="s">
        <v>251</v>
      </c>
      <c r="CQ24" s="6" t="s">
        <v>874</v>
      </c>
      <c r="CR24" s="6" t="s">
        <v>206</v>
      </c>
      <c r="CS24" s="0" t="n">
        <v>0.88</v>
      </c>
      <c r="CT24" s="0" t="n">
        <v>60.1</v>
      </c>
      <c r="CU24" s="0" t="n">
        <v>22.1</v>
      </c>
      <c r="CV24" s="0" t="n">
        <v>15</v>
      </c>
      <c r="CW24" s="0" t="n">
        <v>5</v>
      </c>
      <c r="CX24" s="0" t="n">
        <v>13</v>
      </c>
      <c r="CY24" s="6" t="n">
        <f aca="false">IF(AH24="exact",10,IF(AH24="adjacent",5,0))</f>
        <v>5</v>
      </c>
      <c r="CZ24" s="6" t="n">
        <f aca="false">IF(R24="Y",15,0)</f>
        <v>0</v>
      </c>
      <c r="DF24" s="6" t="s">
        <v>158</v>
      </c>
      <c r="DG24" s="6" t="s">
        <v>211</v>
      </c>
      <c r="DK24" s="6" t="s">
        <v>875</v>
      </c>
      <c r="DM24" s="6" t="s">
        <v>876</v>
      </c>
      <c r="DO24" s="6" t="s">
        <v>877</v>
      </c>
      <c r="DS24" s="6" t="s">
        <v>158</v>
      </c>
      <c r="DX24" s="6" t="s">
        <v>168</v>
      </c>
      <c r="DY24" s="6" t="s">
        <v>221</v>
      </c>
      <c r="ER24" s="0" t="str">
        <f aca="false">IF(ISNUMBER(MATCH(U24,{"queued","contacted","replied","call_booked","call_done","yes_in_principle","materials_sent"},0)),"Y","N")</f>
        <v>N</v>
      </c>
      <c r="ES24" s="0" t="str">
        <f aca="false">IF(COUNTIFS($AP$2:$AP$1000,AP24,$ER$2:$ER$1000,"Y")+COUNTIFS($AP$2:$AP$1000,AP24,$T$2:$T$1000,"Y")&gt;0,"Y","N")</f>
        <v>N</v>
      </c>
      <c r="ET24" s="0" t="str">
        <f aca="false">IF(AND(U24="new",T24="N",AT24="Y",AS24="",ES24="N"),"Y","N")</f>
        <v>Y</v>
      </c>
      <c r="EU24" s="0" t="str">
        <f aca="false">IF(ET24&lt;&gt;"Y","N",IF(COUNTIFS($AP$2:$AP$1000,AP24,$ET$2:$ET$1000,"Y",$J$2:$J$1000,"&gt;"&amp;J24)+COUNTIFS($AP$2:$AP$1000,AP24,$ET$2:$ET$1000,"Y",$J$2:$J$1000,J24,$EW$2:$EW$1000,"&lt;"&amp;EW24)=0,"Y","N"))</f>
        <v>Y</v>
      </c>
      <c r="EV24" s="0" t="str">
        <f aca="false">IF(Y24="","N",IF(Y24&lt;=10,"Y","N"))</f>
        <v>N</v>
      </c>
      <c r="EW24" s="6" t="n">
        <f aca="false">ROW()-1</f>
        <v>23</v>
      </c>
    </row>
    <row r="25" customFormat="false" ht="15" hidden="false" customHeight="false" outlineLevel="0" collapsed="false">
      <c r="A25" s="0" t="s">
        <v>878</v>
      </c>
      <c r="B25" s="0" t="s">
        <v>879</v>
      </c>
      <c r="C25" s="0" t="s">
        <v>880</v>
      </c>
      <c r="D25" s="0" t="s">
        <v>881</v>
      </c>
      <c r="E25" s="0" t="s">
        <v>808</v>
      </c>
      <c r="H25" s="5" t="s">
        <v>158</v>
      </c>
      <c r="I25" s="5" t="s">
        <v>159</v>
      </c>
      <c r="J25" s="6" t="n">
        <f aca="false">IF(AX25="pass",ROUND(CU25+CV25+CW25+CX25+CY25+CZ25,1),0)</f>
        <v>60.1</v>
      </c>
      <c r="K25" s="6" t="s">
        <v>882</v>
      </c>
      <c r="L25" s="6" t="s">
        <v>395</v>
      </c>
      <c r="O25" s="6" t="s">
        <v>883</v>
      </c>
      <c r="P25" s="6" t="s">
        <v>884</v>
      </c>
      <c r="Q25" s="6" t="s">
        <v>885</v>
      </c>
      <c r="R25" s="5" t="s">
        <v>162</v>
      </c>
      <c r="S25" s="6" t="s">
        <v>163</v>
      </c>
      <c r="T25" s="5" t="s">
        <v>162</v>
      </c>
      <c r="U25" s="5" t="s">
        <v>228</v>
      </c>
      <c r="V25" s="6" t="s">
        <v>884</v>
      </c>
      <c r="W25" s="6" t="s">
        <v>166</v>
      </c>
      <c r="X25" s="6" t="s">
        <v>167</v>
      </c>
      <c r="Y25" s="6" t="n">
        <f aca="false">IF(EU25&lt;&gt;"Y","",COUNTIFS($EU$2:$EU$1000,"Y",$J$2:$J$1000,"&gt;"&amp;J25)+COUNTIFS($EU$2:$EU$1000,"Y",$J$2:$J$1000,J25,$EW$2:$EW$1000,"&lt;"&amp;EW25)+1)</f>
        <v>16</v>
      </c>
      <c r="Z25" s="0" t="n">
        <v>24</v>
      </c>
      <c r="AA25" s="6" t="s">
        <v>168</v>
      </c>
      <c r="AB25" s="6" t="s">
        <v>886</v>
      </c>
      <c r="AC25" s="6" t="s">
        <v>170</v>
      </c>
      <c r="AD25" s="6" t="s">
        <v>171</v>
      </c>
      <c r="AE25" s="6" t="s">
        <v>231</v>
      </c>
      <c r="AF25" s="6" t="s">
        <v>887</v>
      </c>
      <c r="AG25" s="6" t="s">
        <v>174</v>
      </c>
      <c r="AH25" s="5" t="s">
        <v>310</v>
      </c>
      <c r="AI25" s="6" t="s">
        <v>888</v>
      </c>
      <c r="AJ25" s="6" t="s">
        <v>889</v>
      </c>
      <c r="AK25" s="6" t="s">
        <v>890</v>
      </c>
      <c r="AL25" s="0" t="n">
        <v>32</v>
      </c>
      <c r="AM25" s="0" t="n">
        <v>100</v>
      </c>
      <c r="AN25" s="6" t="s">
        <v>179</v>
      </c>
      <c r="AO25" s="6" t="s">
        <v>180</v>
      </c>
      <c r="AP25" s="6" t="s">
        <v>878</v>
      </c>
      <c r="AQ25" s="5" t="s">
        <v>162</v>
      </c>
      <c r="AR25" s="6" t="s">
        <v>891</v>
      </c>
      <c r="AT25" s="0" t="str">
        <f aca="false">IF(AND(AX25="pass",AQ25&lt;&gt;"Y",C25&lt;&gt;"",OR(AW25&lt;&gt;"Y",AV25="Y")),"Y","N")</f>
        <v>Y</v>
      </c>
      <c r="AU25" s="0" t="str">
        <f aca="false">_xlfn.TEXTJOIN("; ",TRUE(),IF(AX25&lt;&gt;"pass","gated out",""),IF(AQ25="Y","on hold: "&amp;AR25,""),IF(C25="","no contact named on an opened page",""),IF(AND(AW25="Y",AV25&lt;&gt;"Y"),"Tuesday estimate band "&amp;L25&amp;": founder's call",""))</f>
        <v/>
      </c>
      <c r="AW25" s="6" t="s">
        <v>162</v>
      </c>
      <c r="AX25" s="6" t="s">
        <v>181</v>
      </c>
      <c r="AY25" s="6" t="s">
        <v>182</v>
      </c>
      <c r="AZ25" s="6" t="s">
        <v>1</v>
      </c>
      <c r="BA25" s="6" t="s">
        <v>892</v>
      </c>
      <c r="BB25" s="6" t="s">
        <v>893</v>
      </c>
      <c r="BC25" s="6" t="s">
        <v>894</v>
      </c>
      <c r="BD25" s="6" t="s">
        <v>895</v>
      </c>
      <c r="BE25" s="6" t="s">
        <v>896</v>
      </c>
      <c r="BF25" s="6" t="s">
        <v>163</v>
      </c>
      <c r="BG25" s="6" t="s">
        <v>163</v>
      </c>
      <c r="BH25" s="6" t="s">
        <v>280</v>
      </c>
      <c r="BI25" s="6" t="s">
        <v>897</v>
      </c>
      <c r="BJ25" s="6" t="s">
        <v>898</v>
      </c>
      <c r="BK25" s="6" t="s">
        <v>191</v>
      </c>
      <c r="BL25" s="6" t="s">
        <v>192</v>
      </c>
      <c r="BM25" s="6" t="s">
        <v>168</v>
      </c>
      <c r="BN25" s="6" t="s">
        <v>163</v>
      </c>
      <c r="BO25" s="6" t="s">
        <v>163</v>
      </c>
      <c r="BP25" s="6" t="s">
        <v>347</v>
      </c>
      <c r="BQ25" s="0" t="n">
        <v>40.743613</v>
      </c>
      <c r="BR25" s="0" t="n">
        <v>-73.991062</v>
      </c>
      <c r="BS25" s="6" t="s">
        <v>168</v>
      </c>
      <c r="BT25" s="0" t="n">
        <v>0</v>
      </c>
      <c r="BU25" s="6" t="s">
        <v>899</v>
      </c>
      <c r="BV25" s="6" t="s">
        <v>900</v>
      </c>
      <c r="BW25" s="6" t="s">
        <v>884</v>
      </c>
      <c r="BX25" s="6" t="s">
        <v>885</v>
      </c>
      <c r="BY25" s="6" t="s">
        <v>248</v>
      </c>
      <c r="CC25" s="6" t="s">
        <v>739</v>
      </c>
      <c r="CD25" s="6" t="s">
        <v>163</v>
      </c>
      <c r="CE25" s="6" t="s">
        <v>162</v>
      </c>
      <c r="CH25" s="6" t="s">
        <v>163</v>
      </c>
      <c r="CJ25" s="6" t="s">
        <v>163</v>
      </c>
      <c r="CK25" s="6" t="s">
        <v>162</v>
      </c>
      <c r="CL25" s="6" t="s">
        <v>901</v>
      </c>
      <c r="CM25" s="6" t="s">
        <v>902</v>
      </c>
      <c r="CN25" s="6" t="s">
        <v>174</v>
      </c>
      <c r="CO25" s="0" t="n">
        <v>57</v>
      </c>
      <c r="CQ25" s="6" t="s">
        <v>903</v>
      </c>
      <c r="CR25" s="6" t="s">
        <v>206</v>
      </c>
      <c r="CS25" s="0" t="n">
        <v>0.8</v>
      </c>
      <c r="CT25" s="0" t="n">
        <v>60.1</v>
      </c>
      <c r="CU25" s="0" t="n">
        <v>20.1</v>
      </c>
      <c r="CV25" s="0" t="n">
        <v>15</v>
      </c>
      <c r="CW25" s="0" t="n">
        <v>15</v>
      </c>
      <c r="CX25" s="0" t="n">
        <v>5</v>
      </c>
      <c r="CY25" s="6" t="n">
        <f aca="false">IF(AH25="exact",10,IF(AH25="adjacent",5,0))</f>
        <v>5</v>
      </c>
      <c r="CZ25" s="6" t="n">
        <f aca="false">IF(R25="Y",15,0)</f>
        <v>0</v>
      </c>
      <c r="DF25" s="6" t="s">
        <v>158</v>
      </c>
      <c r="DG25" s="6" t="s">
        <v>211</v>
      </c>
      <c r="DJ25" s="6" t="s">
        <v>904</v>
      </c>
      <c r="DK25" s="6" t="s">
        <v>905</v>
      </c>
      <c r="DM25" s="6" t="s">
        <v>906</v>
      </c>
      <c r="DO25" s="6" t="s">
        <v>907</v>
      </c>
      <c r="DS25" s="6" t="s">
        <v>158</v>
      </c>
      <c r="DX25" s="6" t="s">
        <v>168</v>
      </c>
      <c r="DY25" s="6" t="s">
        <v>618</v>
      </c>
      <c r="ER25" s="0" t="str">
        <f aca="false">IF(ISNUMBER(MATCH(U25,{"queued","contacted","replied","call_booked","call_done","yes_in_principle","materials_sent"},0)),"Y","N")</f>
        <v>N</v>
      </c>
      <c r="ES25" s="0" t="str">
        <f aca="false">IF(COUNTIFS($AP$2:$AP$1000,AP25,$ER$2:$ER$1000,"Y")+COUNTIFS($AP$2:$AP$1000,AP25,$T$2:$T$1000,"Y")&gt;0,"Y","N")</f>
        <v>N</v>
      </c>
      <c r="ET25" s="0" t="str">
        <f aca="false">IF(AND(U25="new",T25="N",AT25="Y",AS25="",ES25="N"),"Y","N")</f>
        <v>Y</v>
      </c>
      <c r="EU25" s="0" t="str">
        <f aca="false">IF(ET25&lt;&gt;"Y","N",IF(COUNTIFS($AP$2:$AP$1000,AP25,$ET$2:$ET$1000,"Y",$J$2:$J$1000,"&gt;"&amp;J25)+COUNTIFS($AP$2:$AP$1000,AP25,$ET$2:$ET$1000,"Y",$J$2:$J$1000,J25,$EW$2:$EW$1000,"&lt;"&amp;EW25)=0,"Y","N"))</f>
        <v>Y</v>
      </c>
      <c r="EV25" s="0" t="str">
        <f aca="false">IF(Y25="","N",IF(Y25&lt;=10,"Y","N"))</f>
        <v>N</v>
      </c>
      <c r="EW25" s="6" t="n">
        <f aca="false">ROW()-1</f>
        <v>24</v>
      </c>
    </row>
    <row r="26" customFormat="false" ht="15" hidden="false" customHeight="false" outlineLevel="0" collapsed="false">
      <c r="A26" s="0" t="s">
        <v>908</v>
      </c>
      <c r="B26" s="0" t="s">
        <v>909</v>
      </c>
      <c r="H26" s="5" t="s">
        <v>158</v>
      </c>
      <c r="I26" s="5" t="s">
        <v>594</v>
      </c>
      <c r="J26" s="6" t="n">
        <f aca="false">IF(AX26="pass",ROUND(CU26+CV26+CW26+CX26+CY26+CZ26,1),0)</f>
        <v>60</v>
      </c>
      <c r="K26" s="6" t="s">
        <v>910</v>
      </c>
      <c r="L26" s="6" t="s">
        <v>161</v>
      </c>
      <c r="O26" s="6" t="s">
        <v>911</v>
      </c>
      <c r="P26" s="6" t="s">
        <v>912</v>
      </c>
      <c r="Q26" s="6" t="s">
        <v>913</v>
      </c>
      <c r="R26" s="5" t="s">
        <v>162</v>
      </c>
      <c r="S26" s="6" t="s">
        <v>163</v>
      </c>
      <c r="T26" s="5" t="s">
        <v>162</v>
      </c>
      <c r="U26" s="5" t="s">
        <v>228</v>
      </c>
      <c r="V26" s="6" t="s">
        <v>912</v>
      </c>
      <c r="W26" s="6" t="s">
        <v>166</v>
      </c>
      <c r="X26" s="6" t="s">
        <v>167</v>
      </c>
      <c r="Y26" s="0" t="str">
        <f aca="false">IF(EU26&lt;&gt;"Y","",COUNTIFS($EU$2:$EU$1000,"Y",$J$2:$J$1000,"&gt;"&amp;J26)+COUNTIFS($EU$2:$EU$1000,"Y",$J$2:$J$1000,J26,$EW$2:$EW$1000,"&lt;"&amp;EW26)+1)</f>
        <v/>
      </c>
      <c r="Z26" s="0" t="n">
        <v>25</v>
      </c>
      <c r="AA26" s="6" t="s">
        <v>168</v>
      </c>
      <c r="AB26" s="6" t="s">
        <v>597</v>
      </c>
      <c r="AD26" s="6" t="s">
        <v>158</v>
      </c>
      <c r="AH26" s="5" t="s">
        <v>158</v>
      </c>
      <c r="AI26" s="6" t="s">
        <v>399</v>
      </c>
      <c r="AJ26" s="6" t="s">
        <v>624</v>
      </c>
      <c r="AK26" s="6" t="s">
        <v>890</v>
      </c>
      <c r="AL26" s="0" t="n">
        <v>44</v>
      </c>
      <c r="AM26" s="0" t="n">
        <v>172</v>
      </c>
      <c r="AN26" s="6" t="s">
        <v>179</v>
      </c>
      <c r="AO26" s="6" t="s">
        <v>180</v>
      </c>
      <c r="AP26" s="6" t="s">
        <v>908</v>
      </c>
      <c r="AQ26" s="5" t="s">
        <v>168</v>
      </c>
      <c r="AR26" s="6" t="s">
        <v>891</v>
      </c>
      <c r="AT26" s="0" t="str">
        <f aca="false">IF(AND(AX26="pass",AQ26&lt;&gt;"Y",C26&lt;&gt;"",OR(AW26&lt;&gt;"Y",AV26="Y")),"Y","N")</f>
        <v>N</v>
      </c>
      <c r="AU26" s="0" t="str">
        <f aca="false">_xlfn.TEXTJOIN("; ",TRUE(),IF(AX26&lt;&gt;"pass","gated out",""),IF(AQ26="Y","on hold: "&amp;AR26,""),IF(C26="","no contact named on an opened page",""),IF(AND(AW26="Y",AV26&lt;&gt;"Y"),"Tuesday estimate band "&amp;L26&amp;": founder's call",""))</f>
        <v>on hold: lease signed, move not confirmed: check the lobby directory before outreach (B); no contact named on an opened page</v>
      </c>
      <c r="AW26" s="6" t="s">
        <v>162</v>
      </c>
      <c r="AX26" s="6" t="s">
        <v>181</v>
      </c>
      <c r="AY26" s="6" t="s">
        <v>182</v>
      </c>
      <c r="AZ26" s="6" t="s">
        <v>1</v>
      </c>
      <c r="BA26" s="6" t="s">
        <v>914</v>
      </c>
      <c r="BB26" s="6" t="s">
        <v>915</v>
      </c>
      <c r="BC26" s="6" t="s">
        <v>916</v>
      </c>
      <c r="BD26" s="6" t="s">
        <v>917</v>
      </c>
      <c r="BE26" s="6" t="s">
        <v>918</v>
      </c>
      <c r="BF26" s="6" t="s">
        <v>163</v>
      </c>
      <c r="BG26" s="6" t="s">
        <v>163</v>
      </c>
      <c r="BH26" s="6" t="s">
        <v>280</v>
      </c>
      <c r="BI26" s="6" t="s">
        <v>919</v>
      </c>
      <c r="BJ26" s="6" t="s">
        <v>920</v>
      </c>
      <c r="BK26" s="6" t="s">
        <v>191</v>
      </c>
      <c r="BL26" s="6" t="s">
        <v>192</v>
      </c>
      <c r="BM26" s="6" t="s">
        <v>168</v>
      </c>
      <c r="BN26" s="6" t="s">
        <v>163</v>
      </c>
      <c r="BO26" s="6" t="s">
        <v>163</v>
      </c>
      <c r="BP26" s="6" t="s">
        <v>347</v>
      </c>
      <c r="BQ26" s="0" t="n">
        <v>40.742014</v>
      </c>
      <c r="BR26" s="0" t="n">
        <v>-73.993705</v>
      </c>
      <c r="BS26" s="6" t="s">
        <v>168</v>
      </c>
      <c r="BT26" s="0" t="n">
        <v>0</v>
      </c>
      <c r="BU26" s="6" t="s">
        <v>406</v>
      </c>
      <c r="BV26" s="6" t="s">
        <v>407</v>
      </c>
      <c r="BW26" s="6" t="s">
        <v>912</v>
      </c>
      <c r="BX26" s="6" t="s">
        <v>913</v>
      </c>
      <c r="BY26" s="6" t="s">
        <v>248</v>
      </c>
      <c r="BZ26" s="6" t="s">
        <v>921</v>
      </c>
      <c r="CA26" s="6" t="s">
        <v>922</v>
      </c>
      <c r="CC26" s="6" t="s">
        <v>739</v>
      </c>
      <c r="CD26" s="6" t="s">
        <v>163</v>
      </c>
      <c r="CE26" s="6" t="s">
        <v>162</v>
      </c>
      <c r="CH26" s="6" t="s">
        <v>163</v>
      </c>
      <c r="CJ26" s="6" t="s">
        <v>163</v>
      </c>
      <c r="CK26" s="6" t="s">
        <v>162</v>
      </c>
      <c r="CL26" s="6" t="s">
        <v>923</v>
      </c>
      <c r="CM26" s="6" t="s">
        <v>919</v>
      </c>
      <c r="CN26" s="6" t="s">
        <v>166</v>
      </c>
      <c r="CO26" s="0" t="n">
        <v>87</v>
      </c>
      <c r="CQ26" s="6" t="s">
        <v>924</v>
      </c>
      <c r="CR26" s="6" t="s">
        <v>206</v>
      </c>
      <c r="CS26" s="0" t="n">
        <v>1</v>
      </c>
      <c r="CT26" s="0" t="n">
        <v>60</v>
      </c>
      <c r="CU26" s="0" t="n">
        <v>25</v>
      </c>
      <c r="CV26" s="0" t="n">
        <v>15</v>
      </c>
      <c r="CW26" s="0" t="n">
        <v>15</v>
      </c>
      <c r="CX26" s="0" t="n">
        <v>5</v>
      </c>
      <c r="CY26" s="6" t="n">
        <f aca="false">IF(AH26="exact",10,IF(AH26="adjacent",5,0))</f>
        <v>0</v>
      </c>
      <c r="CZ26" s="6" t="n">
        <f aca="false">IF(R26="Y",15,0)</f>
        <v>0</v>
      </c>
      <c r="DF26" s="6" t="s">
        <v>158</v>
      </c>
      <c r="DG26" s="6" t="s">
        <v>211</v>
      </c>
      <c r="DJ26" s="6" t="s">
        <v>925</v>
      </c>
      <c r="DK26" s="6" t="s">
        <v>926</v>
      </c>
      <c r="DS26" s="6" t="s">
        <v>158</v>
      </c>
      <c r="DX26" s="6" t="s">
        <v>168</v>
      </c>
      <c r="ER26" s="0" t="str">
        <f aca="false">IF(ISNUMBER(MATCH(U26,{"queued","contacted","replied","call_booked","call_done","yes_in_principle","materials_sent"},0)),"Y","N")</f>
        <v>N</v>
      </c>
      <c r="ES26" s="0" t="str">
        <f aca="false">IF(COUNTIFS($AP$2:$AP$1000,AP26,$ER$2:$ER$1000,"Y")+COUNTIFS($AP$2:$AP$1000,AP26,$T$2:$T$1000,"Y")&gt;0,"Y","N")</f>
        <v>N</v>
      </c>
      <c r="ET26" s="0" t="str">
        <f aca="false">IF(AND(U26="new",T26="N",AT26="Y",AS26="",ES26="N"),"Y","N")</f>
        <v>N</v>
      </c>
      <c r="EU26" s="0" t="str">
        <f aca="false">IF(ET26&lt;&gt;"Y","N",IF(COUNTIFS($AP$2:$AP$1000,AP26,$ET$2:$ET$1000,"Y",$J$2:$J$1000,"&gt;"&amp;J26)+COUNTIFS($AP$2:$AP$1000,AP26,$ET$2:$ET$1000,"Y",$J$2:$J$1000,J26,$EW$2:$EW$1000,"&lt;"&amp;EW26)=0,"Y","N"))</f>
        <v>N</v>
      </c>
      <c r="EV26" s="0" t="str">
        <f aca="false">IF(Y26="","N",IF(Y26&lt;=10,"Y","N"))</f>
        <v>N</v>
      </c>
      <c r="EW26" s="6" t="n">
        <f aca="false">ROW()-1</f>
        <v>25</v>
      </c>
    </row>
    <row r="27" customFormat="false" ht="15" hidden="false" customHeight="false" outlineLevel="0" collapsed="false">
      <c r="A27" s="0" t="s">
        <v>927</v>
      </c>
      <c r="B27" s="0" t="s">
        <v>928</v>
      </c>
      <c r="H27" s="5" t="s">
        <v>158</v>
      </c>
      <c r="I27" s="5" t="s">
        <v>594</v>
      </c>
      <c r="J27" s="6" t="n">
        <f aca="false">IF(AX27="pass",ROUND(CU27+CV27+CW27+CX27+CY27+CZ27,1),0)</f>
        <v>60</v>
      </c>
      <c r="K27" s="6" t="s">
        <v>929</v>
      </c>
      <c r="L27" s="6" t="s">
        <v>161</v>
      </c>
      <c r="R27" s="5" t="s">
        <v>162</v>
      </c>
      <c r="S27" s="6" t="s">
        <v>163</v>
      </c>
      <c r="T27" s="5" t="s">
        <v>162</v>
      </c>
      <c r="U27" s="5" t="s">
        <v>228</v>
      </c>
      <c r="V27" s="6" t="s">
        <v>930</v>
      </c>
      <c r="W27" s="6" t="s">
        <v>166</v>
      </c>
      <c r="X27" s="6" t="s">
        <v>167</v>
      </c>
      <c r="Y27" s="0" t="str">
        <f aca="false">IF(EU27&lt;&gt;"Y","",COUNTIFS($EU$2:$EU$1000,"Y",$J$2:$J$1000,"&gt;"&amp;J27)+COUNTIFS($EU$2:$EU$1000,"Y",$J$2:$J$1000,J27,$EW$2:$EW$1000,"&lt;"&amp;EW27)+1)</f>
        <v/>
      </c>
      <c r="Z27" s="0" t="n">
        <v>26</v>
      </c>
      <c r="AA27" s="6" t="s">
        <v>168</v>
      </c>
      <c r="AB27" s="6" t="s">
        <v>597</v>
      </c>
      <c r="AD27" s="6" t="s">
        <v>158</v>
      </c>
      <c r="AH27" s="5" t="s">
        <v>158</v>
      </c>
      <c r="AI27" s="6" t="s">
        <v>931</v>
      </c>
      <c r="AJ27" s="6" t="s">
        <v>163</v>
      </c>
      <c r="AK27" s="6" t="s">
        <v>435</v>
      </c>
      <c r="AL27" s="0" t="n">
        <v>70</v>
      </c>
      <c r="AM27" s="0" t="n">
        <v>180</v>
      </c>
      <c r="AN27" s="6" t="s">
        <v>179</v>
      </c>
      <c r="AO27" s="6" t="s">
        <v>180</v>
      </c>
      <c r="AP27" s="6" t="s">
        <v>927</v>
      </c>
      <c r="AQ27" s="5" t="s">
        <v>162</v>
      </c>
      <c r="AT27" s="0" t="str">
        <f aca="false">IF(AND(AX27="pass",AQ27&lt;&gt;"Y",C27&lt;&gt;"",OR(AW27&lt;&gt;"Y",AV27="Y")),"Y","N")</f>
        <v>N</v>
      </c>
      <c r="AU27" s="0" t="str">
        <f aca="false">_xlfn.TEXTJOIN("; ",TRUE(),IF(AX27&lt;&gt;"pass","gated out",""),IF(AQ27="Y","on hold: "&amp;AR27,""),IF(C27="","no contact named on an opened page",""),IF(AND(AW27="Y",AV27&lt;&gt;"Y"),"Tuesday estimate band "&amp;L27&amp;": founder's call",""))</f>
        <v>no contact named on an opened page</v>
      </c>
      <c r="AW27" s="6" t="s">
        <v>162</v>
      </c>
      <c r="AX27" s="6" t="s">
        <v>181</v>
      </c>
      <c r="AY27" s="6" t="s">
        <v>182</v>
      </c>
      <c r="AZ27" s="6" t="s">
        <v>1</v>
      </c>
      <c r="BA27" s="6" t="s">
        <v>932</v>
      </c>
      <c r="BB27" s="6" t="s">
        <v>933</v>
      </c>
      <c r="BC27" s="6" t="s">
        <v>934</v>
      </c>
      <c r="BD27" s="6" t="s">
        <v>935</v>
      </c>
      <c r="BE27" s="6" t="s">
        <v>936</v>
      </c>
      <c r="BF27" s="6" t="s">
        <v>163</v>
      </c>
      <c r="BG27" s="6" t="s">
        <v>163</v>
      </c>
      <c r="BH27" s="6" t="s">
        <v>280</v>
      </c>
      <c r="BI27" s="6" t="s">
        <v>930</v>
      </c>
      <c r="BJ27" s="6" t="s">
        <v>937</v>
      </c>
      <c r="BK27" s="6" t="s">
        <v>191</v>
      </c>
      <c r="BL27" s="6" t="s">
        <v>192</v>
      </c>
      <c r="BM27" s="6" t="s">
        <v>168</v>
      </c>
      <c r="BN27" s="6" t="s">
        <v>163</v>
      </c>
      <c r="BO27" s="6" t="s">
        <v>163</v>
      </c>
      <c r="BP27" s="6" t="s">
        <v>712</v>
      </c>
      <c r="BQ27" s="0" t="n">
        <v>40.743939</v>
      </c>
      <c r="BR27" s="0" t="n">
        <v>-73.988677</v>
      </c>
      <c r="BS27" s="6" t="s">
        <v>168</v>
      </c>
      <c r="BT27" s="0" t="n">
        <v>0</v>
      </c>
      <c r="BU27" s="6" t="s">
        <v>938</v>
      </c>
      <c r="BV27" s="6" t="s">
        <v>939</v>
      </c>
      <c r="BW27" s="6" t="s">
        <v>930</v>
      </c>
      <c r="BX27" s="6" t="s">
        <v>166</v>
      </c>
      <c r="BY27" s="6" t="s">
        <v>445</v>
      </c>
      <c r="BZ27" s="6" t="s">
        <v>940</v>
      </c>
      <c r="CA27" s="6" t="s">
        <v>941</v>
      </c>
      <c r="CC27" s="6" t="s">
        <v>179</v>
      </c>
      <c r="CE27" s="6" t="s">
        <v>162</v>
      </c>
      <c r="CH27" s="6" t="s">
        <v>201</v>
      </c>
      <c r="CI27" s="6" t="s">
        <v>942</v>
      </c>
      <c r="CJ27" s="6" t="s">
        <v>163</v>
      </c>
      <c r="CK27" s="6" t="s">
        <v>162</v>
      </c>
      <c r="CL27" s="6" t="s">
        <v>577</v>
      </c>
      <c r="CM27" s="6" t="s">
        <v>930</v>
      </c>
      <c r="CN27" s="6" t="s">
        <v>174</v>
      </c>
      <c r="CO27" s="0" t="n">
        <v>112</v>
      </c>
      <c r="CQ27" s="6" t="s">
        <v>943</v>
      </c>
      <c r="CR27" s="6" t="s">
        <v>206</v>
      </c>
      <c r="CS27" s="0" t="n">
        <v>1</v>
      </c>
      <c r="CT27" s="0" t="n">
        <v>60</v>
      </c>
      <c r="CU27" s="0" t="n">
        <v>25</v>
      </c>
      <c r="CV27" s="0" t="n">
        <v>15</v>
      </c>
      <c r="CW27" s="0" t="n">
        <v>15</v>
      </c>
      <c r="CX27" s="0" t="n">
        <v>5</v>
      </c>
      <c r="CY27" s="6" t="n">
        <f aca="false">IF(AH27="exact",10,IF(AH27="adjacent",5,0))</f>
        <v>0</v>
      </c>
      <c r="CZ27" s="6" t="n">
        <f aca="false">IF(R27="Y",15,0)</f>
        <v>0</v>
      </c>
      <c r="DF27" s="6" t="s">
        <v>158</v>
      </c>
      <c r="DG27" s="6" t="s">
        <v>211</v>
      </c>
      <c r="DJ27" s="6" t="s">
        <v>944</v>
      </c>
      <c r="DK27" s="6" t="s">
        <v>945</v>
      </c>
      <c r="DS27" s="6" t="s">
        <v>158</v>
      </c>
      <c r="DX27" s="6" t="s">
        <v>168</v>
      </c>
      <c r="ER27" s="0" t="str">
        <f aca="false">IF(ISNUMBER(MATCH(U27,{"queued","contacted","replied","call_booked","call_done","yes_in_principle","materials_sent"},0)),"Y","N")</f>
        <v>N</v>
      </c>
      <c r="ES27" s="0" t="str">
        <f aca="false">IF(COUNTIFS($AP$2:$AP$1000,AP27,$ER$2:$ER$1000,"Y")+COUNTIFS($AP$2:$AP$1000,AP27,$T$2:$T$1000,"Y")&gt;0,"Y","N")</f>
        <v>N</v>
      </c>
      <c r="ET27" s="0" t="str">
        <f aca="false">IF(AND(U27="new",T27="N",AT27="Y",AS27="",ES27="N"),"Y","N")</f>
        <v>N</v>
      </c>
      <c r="EU27" s="0" t="str">
        <f aca="false">IF(ET27&lt;&gt;"Y","N",IF(COUNTIFS($AP$2:$AP$1000,AP27,$ET$2:$ET$1000,"Y",$J$2:$J$1000,"&gt;"&amp;J27)+COUNTIFS($AP$2:$AP$1000,AP27,$ET$2:$ET$1000,"Y",$J$2:$J$1000,J27,$EW$2:$EW$1000,"&lt;"&amp;EW27)=0,"Y","N"))</f>
        <v>N</v>
      </c>
      <c r="EV27" s="0" t="str">
        <f aca="false">IF(Y27="","N",IF(Y27&lt;=10,"Y","N"))</f>
        <v>N</v>
      </c>
      <c r="EW27" s="6" t="n">
        <f aca="false">ROW()-1</f>
        <v>26</v>
      </c>
    </row>
    <row r="28" customFormat="false" ht="15" hidden="false" customHeight="false" outlineLevel="0" collapsed="false">
      <c r="A28" s="0" t="s">
        <v>946</v>
      </c>
      <c r="B28" s="0" t="s">
        <v>947</v>
      </c>
      <c r="C28" s="0" t="s">
        <v>948</v>
      </c>
      <c r="D28" s="0" t="s">
        <v>949</v>
      </c>
      <c r="E28" s="0" t="s">
        <v>950</v>
      </c>
      <c r="H28" s="5" t="s">
        <v>158</v>
      </c>
      <c r="I28" s="5" t="s">
        <v>159</v>
      </c>
      <c r="J28" s="6" t="n">
        <f aca="false">IF(AX28="pass",ROUND(CU28+CV28+CW28+CX28+CY28+CZ28,1),0)</f>
        <v>58.8</v>
      </c>
      <c r="K28" s="6" t="s">
        <v>951</v>
      </c>
      <c r="L28" s="6" t="s">
        <v>395</v>
      </c>
      <c r="O28" s="6" t="s">
        <v>952</v>
      </c>
      <c r="P28" s="6" t="s">
        <v>953</v>
      </c>
      <c r="Q28" s="6" t="s">
        <v>954</v>
      </c>
      <c r="R28" s="5" t="s">
        <v>162</v>
      </c>
      <c r="S28" s="6" t="s">
        <v>163</v>
      </c>
      <c r="T28" s="5" t="s">
        <v>162</v>
      </c>
      <c r="U28" s="5" t="s">
        <v>228</v>
      </c>
      <c r="V28" s="6" t="s">
        <v>953</v>
      </c>
      <c r="W28" s="6" t="s">
        <v>166</v>
      </c>
      <c r="X28" s="6" t="s">
        <v>167</v>
      </c>
      <c r="Y28" s="6" t="n">
        <f aca="false">IF(EU28&lt;&gt;"Y","",COUNTIFS($EU$2:$EU$1000,"Y",$J$2:$J$1000,"&gt;"&amp;J28)+COUNTIFS($EU$2:$EU$1000,"Y",$J$2:$J$1000,J28,$EW$2:$EW$1000,"&lt;"&amp;EW28)+1)</f>
        <v>17</v>
      </c>
      <c r="Z28" s="0" t="n">
        <v>27</v>
      </c>
      <c r="AA28" s="6" t="s">
        <v>168</v>
      </c>
      <c r="AB28" s="6" t="s">
        <v>955</v>
      </c>
      <c r="AC28" s="6" t="s">
        <v>170</v>
      </c>
      <c r="AD28" s="6" t="s">
        <v>171</v>
      </c>
      <c r="AE28" s="6" t="s">
        <v>172</v>
      </c>
      <c r="AF28" s="6" t="s">
        <v>956</v>
      </c>
      <c r="AG28" s="6" t="s">
        <v>174</v>
      </c>
      <c r="AH28" s="5" t="s">
        <v>175</v>
      </c>
      <c r="AI28" s="6" t="s">
        <v>957</v>
      </c>
      <c r="AJ28" s="6" t="s">
        <v>958</v>
      </c>
      <c r="AK28" s="6" t="s">
        <v>178</v>
      </c>
      <c r="AL28" s="0" t="n">
        <v>13</v>
      </c>
      <c r="AM28" s="0" t="n">
        <v>204</v>
      </c>
      <c r="AN28" s="6" t="s">
        <v>179</v>
      </c>
      <c r="AO28" s="6" t="s">
        <v>163</v>
      </c>
      <c r="AP28" s="6" t="s">
        <v>946</v>
      </c>
      <c r="AQ28" s="5" t="s">
        <v>162</v>
      </c>
      <c r="AT28" s="0" t="str">
        <f aca="false">IF(AND(AX28="pass",AQ28&lt;&gt;"Y",C28&lt;&gt;"",OR(AW28&lt;&gt;"Y",AV28="Y")),"Y","N")</f>
        <v>Y</v>
      </c>
      <c r="AU28" s="0" t="str">
        <f aca="false">_xlfn.TEXTJOIN("; ",TRUE(),IF(AX28&lt;&gt;"pass","gated out",""),IF(AQ28="Y","on hold: "&amp;AR28,""),IF(C28="","no contact named on an opened page",""),IF(AND(AW28="Y",AV28&lt;&gt;"Y"),"Tuesday estimate band "&amp;L28&amp;": founder's call",""))</f>
        <v/>
      </c>
      <c r="AW28" s="6" t="s">
        <v>162</v>
      </c>
      <c r="AX28" s="6" t="s">
        <v>181</v>
      </c>
      <c r="AY28" s="6" t="s">
        <v>182</v>
      </c>
      <c r="AZ28" s="6" t="s">
        <v>1</v>
      </c>
      <c r="BA28" s="6" t="s">
        <v>959</v>
      </c>
      <c r="BB28" s="6" t="s">
        <v>960</v>
      </c>
      <c r="BC28" s="6" t="s">
        <v>961</v>
      </c>
      <c r="BD28" s="6" t="s">
        <v>962</v>
      </c>
      <c r="BE28" s="6" t="s">
        <v>963</v>
      </c>
      <c r="BF28" s="6" t="s">
        <v>163</v>
      </c>
      <c r="BG28" s="6" t="s">
        <v>163</v>
      </c>
      <c r="BH28" s="6" t="s">
        <v>280</v>
      </c>
      <c r="BI28" s="6" t="s">
        <v>964</v>
      </c>
      <c r="BJ28" s="6" t="s">
        <v>965</v>
      </c>
      <c r="BK28" s="6" t="s">
        <v>191</v>
      </c>
      <c r="BL28" s="6" t="s">
        <v>192</v>
      </c>
      <c r="BM28" s="6" t="s">
        <v>168</v>
      </c>
      <c r="BN28" s="6" t="s">
        <v>163</v>
      </c>
      <c r="BO28" s="6" t="s">
        <v>163</v>
      </c>
      <c r="BP28" s="6" t="s">
        <v>244</v>
      </c>
      <c r="BQ28" s="0" t="n">
        <v>40.74291</v>
      </c>
      <c r="BR28" s="0" t="n">
        <v>-73.984627</v>
      </c>
      <c r="BS28" s="6" t="s">
        <v>168</v>
      </c>
      <c r="BT28" s="0" t="n">
        <v>0</v>
      </c>
      <c r="BU28" s="6" t="s">
        <v>966</v>
      </c>
      <c r="BV28" s="6" t="s">
        <v>967</v>
      </c>
      <c r="BW28" s="6" t="s">
        <v>953</v>
      </c>
      <c r="BX28" s="6" t="s">
        <v>954</v>
      </c>
      <c r="BY28" s="6" t="s">
        <v>248</v>
      </c>
      <c r="BZ28" s="6" t="s">
        <v>964</v>
      </c>
      <c r="CA28" s="6" t="s">
        <v>968</v>
      </c>
      <c r="CC28" s="6" t="s">
        <v>739</v>
      </c>
      <c r="CE28" s="6" t="s">
        <v>162</v>
      </c>
      <c r="CH28" s="6" t="s">
        <v>163</v>
      </c>
      <c r="CJ28" s="6" t="s">
        <v>163</v>
      </c>
      <c r="CK28" s="6" t="s">
        <v>162</v>
      </c>
      <c r="CL28" s="6" t="s">
        <v>163</v>
      </c>
      <c r="CO28" s="0" t="n">
        <v>51</v>
      </c>
      <c r="CP28" s="6" t="s">
        <v>969</v>
      </c>
      <c r="CQ28" s="6" t="s">
        <v>970</v>
      </c>
      <c r="CR28" s="6" t="s">
        <v>206</v>
      </c>
      <c r="CS28" s="0" t="n">
        <v>0.59</v>
      </c>
      <c r="CT28" s="0" t="n">
        <v>58.8</v>
      </c>
      <c r="CU28" s="0" t="n">
        <v>14.8</v>
      </c>
      <c r="CV28" s="0" t="n">
        <v>15</v>
      </c>
      <c r="CW28" s="0" t="n">
        <v>6</v>
      </c>
      <c r="CX28" s="0" t="n">
        <v>13</v>
      </c>
      <c r="CY28" s="6" t="n">
        <f aca="false">IF(AH28="exact",10,IF(AH28="adjacent",5,0))</f>
        <v>10</v>
      </c>
      <c r="CZ28" s="6" t="n">
        <f aca="false">IF(R28="Y",15,0)</f>
        <v>0</v>
      </c>
      <c r="DA28" s="6" t="s">
        <v>971</v>
      </c>
      <c r="DB28" s="6" t="s">
        <v>972</v>
      </c>
      <c r="DC28" s="6" t="s">
        <v>973</v>
      </c>
      <c r="DF28" s="6" t="s">
        <v>158</v>
      </c>
      <c r="DG28" s="6" t="s">
        <v>211</v>
      </c>
      <c r="DJ28" s="6" t="s">
        <v>974</v>
      </c>
      <c r="DK28" s="6" t="s">
        <v>975</v>
      </c>
      <c r="DM28" s="6" t="s">
        <v>976</v>
      </c>
      <c r="DO28" s="6" t="s">
        <v>977</v>
      </c>
      <c r="DQ28" s="6" t="s">
        <v>216</v>
      </c>
      <c r="DR28" s="6" t="s">
        <v>978</v>
      </c>
      <c r="DS28" s="6" t="s">
        <v>171</v>
      </c>
      <c r="DT28" s="6" t="s">
        <v>172</v>
      </c>
      <c r="DU28" s="6" t="s">
        <v>956</v>
      </c>
      <c r="DW28" s="6" t="s">
        <v>979</v>
      </c>
      <c r="DX28" s="6" t="s">
        <v>168</v>
      </c>
      <c r="DY28" s="6" t="s">
        <v>264</v>
      </c>
      <c r="ER28" s="0" t="str">
        <f aca="false">IF(ISNUMBER(MATCH(U28,{"queued","contacted","replied","call_booked","call_done","yes_in_principle","materials_sent"},0)),"Y","N")</f>
        <v>N</v>
      </c>
      <c r="ES28" s="0" t="str">
        <f aca="false">IF(COUNTIFS($AP$2:$AP$1000,AP28,$ER$2:$ER$1000,"Y")+COUNTIFS($AP$2:$AP$1000,AP28,$T$2:$T$1000,"Y")&gt;0,"Y","N")</f>
        <v>N</v>
      </c>
      <c r="ET28" s="0" t="str">
        <f aca="false">IF(AND(U28="new",T28="N",AT28="Y",AS28="",ES28="N"),"Y","N")</f>
        <v>Y</v>
      </c>
      <c r="EU28" s="0" t="str">
        <f aca="false">IF(ET28&lt;&gt;"Y","N",IF(COUNTIFS($AP$2:$AP$1000,AP28,$ET$2:$ET$1000,"Y",$J$2:$J$1000,"&gt;"&amp;J28)+COUNTIFS($AP$2:$AP$1000,AP28,$ET$2:$ET$1000,"Y",$J$2:$J$1000,J28,$EW$2:$EW$1000,"&lt;"&amp;EW28)=0,"Y","N"))</f>
        <v>Y</v>
      </c>
      <c r="EV28" s="0" t="str">
        <f aca="false">IF(Y28="","N",IF(Y28&lt;=10,"Y","N"))</f>
        <v>N</v>
      </c>
      <c r="EW28" s="6" t="n">
        <f aca="false">ROW()-1</f>
        <v>27</v>
      </c>
    </row>
    <row r="29" customFormat="false" ht="15" hidden="false" customHeight="false" outlineLevel="0" collapsed="false">
      <c r="A29" s="0" t="s">
        <v>980</v>
      </c>
      <c r="B29" s="0" t="s">
        <v>981</v>
      </c>
      <c r="C29" s="0" t="s">
        <v>982</v>
      </c>
      <c r="D29" s="0" t="s">
        <v>983</v>
      </c>
      <c r="E29" s="0" t="s">
        <v>808</v>
      </c>
      <c r="H29" s="5" t="s">
        <v>158</v>
      </c>
      <c r="I29" s="5" t="s">
        <v>159</v>
      </c>
      <c r="J29" s="6" t="n">
        <f aca="false">IF(AX29="pass",ROUND(CU29+CV29+CW29+CX29+CY29+CZ29,1),0)</f>
        <v>58.5</v>
      </c>
      <c r="K29" s="6" t="s">
        <v>984</v>
      </c>
      <c r="L29" s="6" t="s">
        <v>561</v>
      </c>
      <c r="R29" s="5" t="s">
        <v>162</v>
      </c>
      <c r="S29" s="6" t="s">
        <v>163</v>
      </c>
      <c r="T29" s="5" t="s">
        <v>162</v>
      </c>
      <c r="U29" s="5" t="s">
        <v>228</v>
      </c>
      <c r="V29" s="6" t="s">
        <v>751</v>
      </c>
      <c r="W29" s="6" t="s">
        <v>166</v>
      </c>
      <c r="X29" s="6" t="s">
        <v>167</v>
      </c>
      <c r="Y29" s="0" t="str">
        <f aca="false">IF(EU29&lt;&gt;"Y","",COUNTIFS($EU$2:$EU$1000,"Y",$J$2:$J$1000,"&gt;"&amp;J29)+COUNTIFS($EU$2:$EU$1000,"Y",$J$2:$J$1000,J29,$EW$2:$EW$1000,"&lt;"&amp;EW29)+1)</f>
        <v/>
      </c>
      <c r="Z29" s="0" t="n">
        <v>28</v>
      </c>
      <c r="AA29" s="6" t="s">
        <v>168</v>
      </c>
      <c r="AB29" s="6" t="s">
        <v>985</v>
      </c>
      <c r="AC29" s="6" t="s">
        <v>170</v>
      </c>
      <c r="AD29" s="6" t="s">
        <v>171</v>
      </c>
      <c r="AE29" s="6" t="s">
        <v>231</v>
      </c>
      <c r="AF29" s="6" t="s">
        <v>986</v>
      </c>
      <c r="AG29" s="6" t="s">
        <v>174</v>
      </c>
      <c r="AH29" s="5" t="s">
        <v>310</v>
      </c>
      <c r="AI29" s="6" t="s">
        <v>754</v>
      </c>
      <c r="AJ29" s="6" t="s">
        <v>987</v>
      </c>
      <c r="AK29" s="6" t="s">
        <v>178</v>
      </c>
      <c r="AL29" s="0" t="n">
        <v>25</v>
      </c>
      <c r="AM29" s="0" t="n">
        <v>51</v>
      </c>
      <c r="AN29" s="6" t="s">
        <v>179</v>
      </c>
      <c r="AO29" s="6" t="s">
        <v>180</v>
      </c>
      <c r="AP29" s="6" t="s">
        <v>980</v>
      </c>
      <c r="AQ29" s="5" t="s">
        <v>162</v>
      </c>
      <c r="AT29" s="0" t="str">
        <f aca="false">IF(AND(AX29="pass",AQ29&lt;&gt;"Y",C29&lt;&gt;"",OR(AW29&lt;&gt;"Y",AV29="Y")),"Y","N")</f>
        <v>N</v>
      </c>
      <c r="AU29" s="0" t="str">
        <f aca="false">_xlfn.TEXTJOIN("; ",TRUE(),IF(AX29&lt;&gt;"pass","gated out",""),IF(AQ29="Y","on hold: "&amp;AR29,""),IF(C29="","no contact named on an opened page",""),IF(AND(AW29="Y",AV29&lt;&gt;"Y"),"Tuesday estimate band "&amp;L29&amp;": founder's call",""))</f>
        <v>Tuesday estimate band under-40: founder's call</v>
      </c>
      <c r="AW29" s="6" t="s">
        <v>168</v>
      </c>
      <c r="AX29" s="6" t="s">
        <v>181</v>
      </c>
      <c r="AY29" s="6" t="s">
        <v>182</v>
      </c>
      <c r="AZ29" s="6" t="s">
        <v>1</v>
      </c>
      <c r="BA29" s="6" t="s">
        <v>988</v>
      </c>
      <c r="BB29" s="6" t="s">
        <v>989</v>
      </c>
      <c r="BC29" s="6" t="s">
        <v>990</v>
      </c>
      <c r="BD29" s="6" t="s">
        <v>991</v>
      </c>
      <c r="BF29" s="6" t="s">
        <v>161</v>
      </c>
      <c r="BG29" s="6" t="s">
        <v>188</v>
      </c>
      <c r="BH29" s="6" t="s">
        <v>189</v>
      </c>
      <c r="BI29" s="6" t="s">
        <v>992</v>
      </c>
      <c r="BK29" s="6" t="s">
        <v>191</v>
      </c>
      <c r="BL29" s="6" t="s">
        <v>192</v>
      </c>
      <c r="BM29" s="6" t="s">
        <v>168</v>
      </c>
      <c r="BN29" s="6" t="s">
        <v>163</v>
      </c>
      <c r="BO29" s="6" t="s">
        <v>163</v>
      </c>
      <c r="BP29" s="6" t="s">
        <v>347</v>
      </c>
      <c r="BQ29" s="0" t="n">
        <v>40.743309</v>
      </c>
      <c r="BR29" s="0" t="n">
        <v>-73.987329</v>
      </c>
      <c r="BS29" s="6" t="s">
        <v>168</v>
      </c>
      <c r="BT29" s="0" t="n">
        <v>0</v>
      </c>
      <c r="BU29" s="6" t="s">
        <v>764</v>
      </c>
      <c r="BV29" s="6" t="s">
        <v>765</v>
      </c>
      <c r="BW29" s="6" t="s">
        <v>751</v>
      </c>
      <c r="BX29" s="6" t="s">
        <v>766</v>
      </c>
      <c r="BY29" s="6" t="s">
        <v>248</v>
      </c>
      <c r="BZ29" s="6" t="s">
        <v>992</v>
      </c>
      <c r="CA29" s="6" t="s">
        <v>166</v>
      </c>
      <c r="CC29" s="6" t="s">
        <v>200</v>
      </c>
      <c r="CE29" s="6" t="s">
        <v>162</v>
      </c>
      <c r="CH29" s="6" t="s">
        <v>163</v>
      </c>
      <c r="CJ29" s="6" t="s">
        <v>163</v>
      </c>
      <c r="CK29" s="6" t="s">
        <v>162</v>
      </c>
      <c r="CL29" s="6" t="s">
        <v>993</v>
      </c>
      <c r="CM29" s="6" t="s">
        <v>992</v>
      </c>
      <c r="CN29" s="6" t="s">
        <v>166</v>
      </c>
      <c r="CO29" s="0" t="n">
        <v>36</v>
      </c>
      <c r="CP29" s="6" t="s">
        <v>578</v>
      </c>
      <c r="CQ29" s="6" t="s">
        <v>994</v>
      </c>
      <c r="CR29" s="6" t="s">
        <v>206</v>
      </c>
      <c r="CS29" s="0" t="n">
        <v>0.34</v>
      </c>
      <c r="CT29" s="0" t="n">
        <v>58.5</v>
      </c>
      <c r="CU29" s="0" t="n">
        <v>8.5</v>
      </c>
      <c r="CV29" s="0" t="n">
        <v>15</v>
      </c>
      <c r="CW29" s="0" t="n">
        <v>15</v>
      </c>
      <c r="CX29" s="0" t="n">
        <v>15</v>
      </c>
      <c r="CY29" s="6" t="n">
        <f aca="false">IF(AH29="exact",10,IF(AH29="adjacent",5,0))</f>
        <v>5</v>
      </c>
      <c r="CZ29" s="6" t="n">
        <f aca="false">IF(R29="Y",15,0)</f>
        <v>0</v>
      </c>
      <c r="DA29" s="6" t="s">
        <v>995</v>
      </c>
      <c r="DB29" s="6" t="s">
        <v>996</v>
      </c>
      <c r="DC29" s="6" t="s">
        <v>997</v>
      </c>
      <c r="DF29" s="6" t="s">
        <v>158</v>
      </c>
      <c r="DG29" s="6" t="s">
        <v>211</v>
      </c>
      <c r="DJ29" s="6" t="s">
        <v>998</v>
      </c>
      <c r="DK29" s="6" t="s">
        <v>999</v>
      </c>
      <c r="DM29" s="6" t="s">
        <v>1000</v>
      </c>
      <c r="DO29" s="6" t="s">
        <v>1001</v>
      </c>
      <c r="DQ29" s="6" t="s">
        <v>216</v>
      </c>
      <c r="DR29" s="6" t="s">
        <v>1002</v>
      </c>
      <c r="DS29" s="6" t="s">
        <v>171</v>
      </c>
      <c r="DT29" s="6" t="s">
        <v>231</v>
      </c>
      <c r="DU29" s="6" t="s">
        <v>1003</v>
      </c>
      <c r="DW29" s="6" t="s">
        <v>1004</v>
      </c>
      <c r="DX29" s="6" t="s">
        <v>168</v>
      </c>
      <c r="DY29" s="6" t="s">
        <v>221</v>
      </c>
      <c r="ER29" s="0" t="str">
        <f aca="false">IF(ISNUMBER(MATCH(U29,{"queued","contacted","replied","call_booked","call_done","yes_in_principle","materials_sent"},0)),"Y","N")</f>
        <v>N</v>
      </c>
      <c r="ES29" s="0" t="str">
        <f aca="false">IF(COUNTIFS($AP$2:$AP$1000,AP29,$ER$2:$ER$1000,"Y")+COUNTIFS($AP$2:$AP$1000,AP29,$T$2:$T$1000,"Y")&gt;0,"Y","N")</f>
        <v>N</v>
      </c>
      <c r="ET29" s="0" t="str">
        <f aca="false">IF(AND(U29="new",T29="N",AT29="Y",AS29="",ES29="N"),"Y","N")</f>
        <v>N</v>
      </c>
      <c r="EU29" s="0" t="str">
        <f aca="false">IF(ET29&lt;&gt;"Y","N",IF(COUNTIFS($AP$2:$AP$1000,AP29,$ET$2:$ET$1000,"Y",$J$2:$J$1000,"&gt;"&amp;J29)+COUNTIFS($AP$2:$AP$1000,AP29,$ET$2:$ET$1000,"Y",$J$2:$J$1000,J29,$EW$2:$EW$1000,"&lt;"&amp;EW29)=0,"Y","N"))</f>
        <v>N</v>
      </c>
      <c r="EV29" s="0" t="str">
        <f aca="false">IF(Y29="","N",IF(Y29&lt;=10,"Y","N"))</f>
        <v>N</v>
      </c>
      <c r="EW29" s="6" t="n">
        <f aca="false">ROW()-1</f>
        <v>28</v>
      </c>
    </row>
    <row r="30" customFormat="false" ht="15" hidden="false" customHeight="false" outlineLevel="0" collapsed="false">
      <c r="A30" s="0" t="s">
        <v>1005</v>
      </c>
      <c r="B30" s="0" t="s">
        <v>1006</v>
      </c>
      <c r="H30" s="5" t="s">
        <v>158</v>
      </c>
      <c r="I30" s="5" t="s">
        <v>594</v>
      </c>
      <c r="J30" s="6" t="n">
        <f aca="false">IF(AX30="pass",ROUND(CU30+CV30+CW30+CX30+CY30+CZ30,1),0)</f>
        <v>58</v>
      </c>
      <c r="K30" s="6" t="s">
        <v>1007</v>
      </c>
      <c r="L30" s="6" t="s">
        <v>395</v>
      </c>
      <c r="R30" s="5" t="s">
        <v>162</v>
      </c>
      <c r="S30" s="6" t="s">
        <v>163</v>
      </c>
      <c r="T30" s="5" t="s">
        <v>162</v>
      </c>
      <c r="U30" s="5" t="s">
        <v>228</v>
      </c>
      <c r="V30" s="6" t="s">
        <v>1008</v>
      </c>
      <c r="W30" s="6" t="s">
        <v>166</v>
      </c>
      <c r="X30" s="6" t="s">
        <v>167</v>
      </c>
      <c r="Y30" s="0" t="str">
        <f aca="false">IF(EU30&lt;&gt;"Y","",COUNTIFS($EU$2:$EU$1000,"Y",$J$2:$J$1000,"&gt;"&amp;J30)+COUNTIFS($EU$2:$EU$1000,"Y",$J$2:$J$1000,J30,$EW$2:$EW$1000,"&lt;"&amp;EW30)+1)</f>
        <v/>
      </c>
      <c r="Z30" s="0" t="n">
        <v>29</v>
      </c>
      <c r="AA30" s="6" t="s">
        <v>168</v>
      </c>
      <c r="AB30" s="6" t="s">
        <v>597</v>
      </c>
      <c r="AD30" s="6" t="s">
        <v>158</v>
      </c>
      <c r="AH30" s="5" t="s">
        <v>158</v>
      </c>
      <c r="AI30" s="6" t="s">
        <v>1009</v>
      </c>
      <c r="AJ30" s="6" t="s">
        <v>234</v>
      </c>
      <c r="AK30" s="6" t="s">
        <v>178</v>
      </c>
      <c r="AL30" s="0" t="n">
        <v>32</v>
      </c>
      <c r="AM30" s="0" t="n">
        <v>64</v>
      </c>
      <c r="AN30" s="6" t="s">
        <v>179</v>
      </c>
      <c r="AO30" s="6" t="s">
        <v>180</v>
      </c>
      <c r="AP30" s="6" t="s">
        <v>1005</v>
      </c>
      <c r="AQ30" s="5" t="s">
        <v>162</v>
      </c>
      <c r="AT30" s="0" t="str">
        <f aca="false">IF(AND(AX30="pass",AQ30&lt;&gt;"Y",C30&lt;&gt;"",OR(AW30&lt;&gt;"Y",AV30="Y")),"Y","N")</f>
        <v>N</v>
      </c>
      <c r="AU30" s="0" t="str">
        <f aca="false">_xlfn.TEXTJOIN("; ",TRUE(),IF(AX30&lt;&gt;"pass","gated out",""),IF(AQ30="Y","on hold: "&amp;AR30,""),IF(C30="","no contact named on an opened page",""),IF(AND(AW30="Y",AV30&lt;&gt;"Y"),"Tuesday estimate band "&amp;L30&amp;": founder's call",""))</f>
        <v>no contact named on an opened page</v>
      </c>
      <c r="AW30" s="6" t="s">
        <v>162</v>
      </c>
      <c r="AX30" s="6" t="s">
        <v>181</v>
      </c>
      <c r="AY30" s="6" t="s">
        <v>182</v>
      </c>
      <c r="AZ30" s="6" t="s">
        <v>1</v>
      </c>
      <c r="BA30" s="6" t="s">
        <v>1010</v>
      </c>
      <c r="BB30" s="6" t="s">
        <v>1011</v>
      </c>
      <c r="BC30" s="6" t="s">
        <v>1012</v>
      </c>
      <c r="BD30" s="6" t="s">
        <v>1013</v>
      </c>
      <c r="BF30" s="6" t="s">
        <v>161</v>
      </c>
      <c r="BG30" s="6" t="s">
        <v>188</v>
      </c>
      <c r="BH30" s="6" t="s">
        <v>189</v>
      </c>
      <c r="BI30" s="6" t="s">
        <v>1014</v>
      </c>
      <c r="BK30" s="6" t="s">
        <v>191</v>
      </c>
      <c r="BL30" s="6" t="s">
        <v>192</v>
      </c>
      <c r="BM30" s="6" t="s">
        <v>168</v>
      </c>
      <c r="BN30" s="6" t="s">
        <v>1015</v>
      </c>
      <c r="BO30" s="6" t="s">
        <v>163</v>
      </c>
      <c r="BP30" s="6" t="s">
        <v>244</v>
      </c>
      <c r="BQ30" s="0" t="n">
        <v>40.742242</v>
      </c>
      <c r="BR30" s="0" t="n">
        <v>-73.984606</v>
      </c>
      <c r="BS30" s="6" t="s">
        <v>168</v>
      </c>
      <c r="BT30" s="0" t="n">
        <v>0</v>
      </c>
      <c r="BU30" s="6" t="s">
        <v>1016</v>
      </c>
      <c r="BV30" s="6" t="s">
        <v>1017</v>
      </c>
      <c r="BW30" s="6" t="s">
        <v>1008</v>
      </c>
      <c r="BX30" s="6" t="s">
        <v>772</v>
      </c>
      <c r="BY30" s="6" t="s">
        <v>248</v>
      </c>
      <c r="BZ30" s="6" t="s">
        <v>1014</v>
      </c>
      <c r="CA30" s="6" t="s">
        <v>166</v>
      </c>
      <c r="CC30" s="6" t="s">
        <v>200</v>
      </c>
      <c r="CE30" s="6" t="s">
        <v>162</v>
      </c>
      <c r="CH30" s="6" t="s">
        <v>163</v>
      </c>
      <c r="CJ30" s="6" t="s">
        <v>163</v>
      </c>
      <c r="CK30" s="6" t="s">
        <v>162</v>
      </c>
      <c r="CL30" s="6" t="s">
        <v>577</v>
      </c>
      <c r="CM30" s="6" t="s">
        <v>1014</v>
      </c>
      <c r="CN30" s="6" t="s">
        <v>174</v>
      </c>
      <c r="CO30" s="0" t="n">
        <v>45</v>
      </c>
      <c r="CQ30" s="6" t="s">
        <v>1018</v>
      </c>
      <c r="CR30" s="6" t="s">
        <v>206</v>
      </c>
      <c r="CS30" s="0" t="n">
        <v>0.68</v>
      </c>
      <c r="CT30" s="0" t="n">
        <v>58</v>
      </c>
      <c r="CU30" s="0" t="n">
        <v>17</v>
      </c>
      <c r="CV30" s="0" t="n">
        <v>11</v>
      </c>
      <c r="CW30" s="0" t="n">
        <v>15</v>
      </c>
      <c r="CX30" s="0" t="n">
        <v>15</v>
      </c>
      <c r="CY30" s="6" t="n">
        <f aca="false">IF(AH30="exact",10,IF(AH30="adjacent",5,0))</f>
        <v>0</v>
      </c>
      <c r="CZ30" s="6" t="n">
        <f aca="false">IF(R30="Y",15,0)</f>
        <v>0</v>
      </c>
      <c r="DF30" s="6" t="s">
        <v>158</v>
      </c>
      <c r="DG30" s="6" t="s">
        <v>211</v>
      </c>
      <c r="DJ30" s="6" t="s">
        <v>1019</v>
      </c>
      <c r="DK30" s="6" t="s">
        <v>1020</v>
      </c>
      <c r="DL30" s="6" t="s">
        <v>1021</v>
      </c>
      <c r="DS30" s="6" t="s">
        <v>158</v>
      </c>
      <c r="DX30" s="6" t="s">
        <v>168</v>
      </c>
      <c r="ER30" s="0" t="str">
        <f aca="false">IF(ISNUMBER(MATCH(U30,{"queued","contacted","replied","call_booked","call_done","yes_in_principle","materials_sent"},0)),"Y","N")</f>
        <v>N</v>
      </c>
      <c r="ES30" s="0" t="str">
        <f aca="false">IF(COUNTIFS($AP$2:$AP$1000,AP30,$ER$2:$ER$1000,"Y")+COUNTIFS($AP$2:$AP$1000,AP30,$T$2:$T$1000,"Y")&gt;0,"Y","N")</f>
        <v>N</v>
      </c>
      <c r="ET30" s="0" t="str">
        <f aca="false">IF(AND(U30="new",T30="N",AT30="Y",AS30="",ES30="N"),"Y","N")</f>
        <v>N</v>
      </c>
      <c r="EU30" s="0" t="str">
        <f aca="false">IF(ET30&lt;&gt;"Y","N",IF(COUNTIFS($AP$2:$AP$1000,AP30,$ET$2:$ET$1000,"Y",$J$2:$J$1000,"&gt;"&amp;J30)+COUNTIFS($AP$2:$AP$1000,AP30,$ET$2:$ET$1000,"Y",$J$2:$J$1000,J30,$EW$2:$EW$1000,"&lt;"&amp;EW30)=0,"Y","N"))</f>
        <v>N</v>
      </c>
      <c r="EV30" s="0" t="str">
        <f aca="false">IF(Y30="","N",IF(Y30&lt;=10,"Y","N"))</f>
        <v>N</v>
      </c>
      <c r="EW30" s="6" t="n">
        <f aca="false">ROW()-1</f>
        <v>29</v>
      </c>
    </row>
    <row r="31" customFormat="false" ht="15" hidden="false" customHeight="false" outlineLevel="0" collapsed="false">
      <c r="A31" s="0" t="s">
        <v>1022</v>
      </c>
      <c r="B31" s="0" t="s">
        <v>1023</v>
      </c>
      <c r="C31" s="0" t="s">
        <v>1024</v>
      </c>
      <c r="D31" s="0" t="s">
        <v>1025</v>
      </c>
      <c r="E31" s="0" t="s">
        <v>1026</v>
      </c>
      <c r="H31" s="5" t="s">
        <v>158</v>
      </c>
      <c r="I31" s="5" t="s">
        <v>159</v>
      </c>
      <c r="J31" s="6" t="n">
        <f aca="false">IF(AX31="pass",ROUND(CU31+CV31+CW31+CX31+CY31+CZ31,1),0)</f>
        <v>57.8</v>
      </c>
      <c r="K31" s="6" t="s">
        <v>1027</v>
      </c>
      <c r="L31" s="6" t="s">
        <v>395</v>
      </c>
      <c r="R31" s="5" t="s">
        <v>162</v>
      </c>
      <c r="S31" s="6" t="s">
        <v>163</v>
      </c>
      <c r="T31" s="5" t="s">
        <v>162</v>
      </c>
      <c r="U31" s="5" t="s">
        <v>228</v>
      </c>
      <c r="V31" s="6" t="s">
        <v>1028</v>
      </c>
      <c r="W31" s="6" t="s">
        <v>166</v>
      </c>
      <c r="X31" s="6" t="s">
        <v>167</v>
      </c>
      <c r="Y31" s="6" t="n">
        <f aca="false">IF(EU31&lt;&gt;"Y","",COUNTIFS($EU$2:$EU$1000,"Y",$J$2:$J$1000,"&gt;"&amp;J31)+COUNTIFS($EU$2:$EU$1000,"Y",$J$2:$J$1000,J31,$EW$2:$EW$1000,"&lt;"&amp;EW31)+1)</f>
        <v>18</v>
      </c>
      <c r="Z31" s="0" t="n">
        <v>30</v>
      </c>
      <c r="AA31" s="6" t="s">
        <v>168</v>
      </c>
      <c r="AB31" s="6" t="s">
        <v>1029</v>
      </c>
      <c r="AC31" s="6" t="s">
        <v>170</v>
      </c>
      <c r="AD31" s="6" t="s">
        <v>171</v>
      </c>
      <c r="AE31" s="6" t="s">
        <v>172</v>
      </c>
      <c r="AF31" s="6" t="s">
        <v>1030</v>
      </c>
      <c r="AG31" s="6" t="s">
        <v>174</v>
      </c>
      <c r="AH31" s="5" t="s">
        <v>175</v>
      </c>
      <c r="AI31" s="6" t="s">
        <v>1031</v>
      </c>
      <c r="AJ31" s="6" t="s">
        <v>1032</v>
      </c>
      <c r="AK31" s="6" t="s">
        <v>178</v>
      </c>
      <c r="AL31" s="0" t="n">
        <v>37</v>
      </c>
      <c r="AM31" s="0" t="n">
        <v>90</v>
      </c>
      <c r="AN31" s="6" t="s">
        <v>179</v>
      </c>
      <c r="AO31" s="6" t="s">
        <v>1033</v>
      </c>
      <c r="AP31" s="6" t="s">
        <v>1022</v>
      </c>
      <c r="AQ31" s="5" t="s">
        <v>162</v>
      </c>
      <c r="AT31" s="0" t="str">
        <f aca="false">IF(AND(AX31="pass",AQ31&lt;&gt;"Y",C31&lt;&gt;"",OR(AW31&lt;&gt;"Y",AV31="Y")),"Y","N")</f>
        <v>Y</v>
      </c>
      <c r="AU31" s="0" t="str">
        <f aca="false">_xlfn.TEXTJOIN("; ",TRUE(),IF(AX31&lt;&gt;"pass","gated out",""),IF(AQ31="Y","on hold: "&amp;AR31,""),IF(C31="","no contact named on an opened page",""),IF(AND(AW31="Y",AV31&lt;&gt;"Y"),"Tuesday estimate band "&amp;L31&amp;": founder's call",""))</f>
        <v/>
      </c>
      <c r="AW31" s="6" t="s">
        <v>162</v>
      </c>
      <c r="AX31" s="6" t="s">
        <v>181</v>
      </c>
      <c r="AY31" s="6" t="s">
        <v>182</v>
      </c>
      <c r="AZ31" s="6" t="s">
        <v>1</v>
      </c>
      <c r="BA31" s="6" t="s">
        <v>1034</v>
      </c>
      <c r="BB31" s="6" t="s">
        <v>1035</v>
      </c>
      <c r="BC31" s="6" t="s">
        <v>1036</v>
      </c>
      <c r="BD31" s="6" t="s">
        <v>1037</v>
      </c>
      <c r="BE31" s="6" t="s">
        <v>1038</v>
      </c>
      <c r="BF31" s="6" t="s">
        <v>161</v>
      </c>
      <c r="BG31" s="6" t="s">
        <v>188</v>
      </c>
      <c r="BH31" s="6" t="s">
        <v>241</v>
      </c>
      <c r="BI31" s="6" t="s">
        <v>1039</v>
      </c>
      <c r="BJ31" s="6" t="s">
        <v>1040</v>
      </c>
      <c r="BK31" s="6" t="s">
        <v>191</v>
      </c>
      <c r="BL31" s="6" t="s">
        <v>192</v>
      </c>
      <c r="BM31" s="6" t="s">
        <v>168</v>
      </c>
      <c r="BN31" s="6" t="s">
        <v>163</v>
      </c>
      <c r="BO31" s="6" t="s">
        <v>163</v>
      </c>
      <c r="BP31" s="6" t="s">
        <v>712</v>
      </c>
      <c r="BQ31" s="0" t="n">
        <v>40.744899</v>
      </c>
      <c r="BR31" s="0" t="n">
        <v>-73.989082</v>
      </c>
      <c r="BS31" s="6" t="s">
        <v>168</v>
      </c>
      <c r="BT31" s="0" t="n">
        <v>0</v>
      </c>
      <c r="BU31" s="6" t="s">
        <v>1041</v>
      </c>
      <c r="BV31" s="6" t="s">
        <v>1042</v>
      </c>
      <c r="BW31" s="6" t="s">
        <v>1028</v>
      </c>
      <c r="BX31" s="6" t="s">
        <v>1043</v>
      </c>
      <c r="BY31" s="6" t="s">
        <v>248</v>
      </c>
      <c r="BZ31" s="6" t="s">
        <v>1044</v>
      </c>
      <c r="CA31" s="6" t="s">
        <v>166</v>
      </c>
      <c r="CC31" s="6" t="s">
        <v>200</v>
      </c>
      <c r="CE31" s="6" t="s">
        <v>162</v>
      </c>
      <c r="CH31" s="6" t="s">
        <v>163</v>
      </c>
      <c r="CJ31" s="6" t="s">
        <v>163</v>
      </c>
      <c r="CK31" s="6" t="s">
        <v>162</v>
      </c>
      <c r="CL31" s="6" t="s">
        <v>1045</v>
      </c>
      <c r="CM31" s="6" t="s">
        <v>1039</v>
      </c>
      <c r="CN31" s="6" t="s">
        <v>174</v>
      </c>
      <c r="CO31" s="0" t="n">
        <v>58</v>
      </c>
      <c r="CQ31" s="6" t="s">
        <v>1046</v>
      </c>
      <c r="CR31" s="6" t="s">
        <v>206</v>
      </c>
      <c r="CS31" s="0" t="n">
        <v>0.91</v>
      </c>
      <c r="CT31" s="0" t="n">
        <v>57.8</v>
      </c>
      <c r="CU31" s="0" t="n">
        <v>22.8</v>
      </c>
      <c r="CV31" s="0" t="n">
        <v>15</v>
      </c>
      <c r="CW31" s="0" t="n">
        <v>-5</v>
      </c>
      <c r="CX31" s="0" t="n">
        <v>15</v>
      </c>
      <c r="CY31" s="6" t="n">
        <f aca="false">IF(AH31="exact",10,IF(AH31="adjacent",5,0))</f>
        <v>10</v>
      </c>
      <c r="CZ31" s="6" t="n">
        <f aca="false">IF(R31="Y",15,0)</f>
        <v>0</v>
      </c>
      <c r="DA31" s="6" t="s">
        <v>1047</v>
      </c>
      <c r="DB31" s="6" t="s">
        <v>1048</v>
      </c>
      <c r="DC31" s="6" t="s">
        <v>1049</v>
      </c>
      <c r="DF31" s="6" t="s">
        <v>158</v>
      </c>
      <c r="DG31" s="6" t="s">
        <v>211</v>
      </c>
      <c r="DJ31" s="6" t="s">
        <v>1050</v>
      </c>
      <c r="DK31" s="6" t="s">
        <v>1051</v>
      </c>
      <c r="DM31" s="6" t="s">
        <v>1052</v>
      </c>
      <c r="DO31" s="6" t="s">
        <v>1053</v>
      </c>
      <c r="DQ31" s="6" t="s">
        <v>216</v>
      </c>
      <c r="DR31" s="6" t="s">
        <v>1054</v>
      </c>
      <c r="DS31" s="6" t="s">
        <v>171</v>
      </c>
      <c r="DT31" s="6" t="s">
        <v>172</v>
      </c>
      <c r="DU31" s="6" t="s">
        <v>1030</v>
      </c>
      <c r="DW31" s="6" t="s">
        <v>1055</v>
      </c>
      <c r="DX31" s="6" t="s">
        <v>168</v>
      </c>
      <c r="DY31" s="6" t="s">
        <v>221</v>
      </c>
      <c r="ER31" s="0" t="str">
        <f aca="false">IF(ISNUMBER(MATCH(U31,{"queued","contacted","replied","call_booked","call_done","yes_in_principle","materials_sent"},0)),"Y","N")</f>
        <v>N</v>
      </c>
      <c r="ES31" s="0" t="str">
        <f aca="false">IF(COUNTIFS($AP$2:$AP$1000,AP31,$ER$2:$ER$1000,"Y")+COUNTIFS($AP$2:$AP$1000,AP31,$T$2:$T$1000,"Y")&gt;0,"Y","N")</f>
        <v>N</v>
      </c>
      <c r="ET31" s="0" t="str">
        <f aca="false">IF(AND(U31="new",T31="N",AT31="Y",AS31="",ES31="N"),"Y","N")</f>
        <v>Y</v>
      </c>
      <c r="EU31" s="0" t="str">
        <f aca="false">IF(ET31&lt;&gt;"Y","N",IF(COUNTIFS($AP$2:$AP$1000,AP31,$ET$2:$ET$1000,"Y",$J$2:$J$1000,"&gt;"&amp;J31)+COUNTIFS($AP$2:$AP$1000,AP31,$ET$2:$ET$1000,"Y",$J$2:$J$1000,J31,$EW$2:$EW$1000,"&lt;"&amp;EW31)=0,"Y","N"))</f>
        <v>Y</v>
      </c>
      <c r="EV31" s="0" t="str">
        <f aca="false">IF(Y31="","N",IF(Y31&lt;=10,"Y","N"))</f>
        <v>N</v>
      </c>
      <c r="EW31" s="6" t="n">
        <f aca="false">ROW()-1</f>
        <v>30</v>
      </c>
    </row>
    <row r="32" customFormat="false" ht="15" hidden="false" customHeight="false" outlineLevel="0" collapsed="false">
      <c r="A32" s="0" t="s">
        <v>1056</v>
      </c>
      <c r="B32" s="0" t="s">
        <v>1057</v>
      </c>
      <c r="C32" s="0" t="s">
        <v>1058</v>
      </c>
      <c r="D32" s="0" t="s">
        <v>1059</v>
      </c>
      <c r="E32" s="0" t="s">
        <v>1060</v>
      </c>
      <c r="H32" s="5" t="s">
        <v>158</v>
      </c>
      <c r="I32" s="5" t="s">
        <v>159</v>
      </c>
      <c r="J32" s="6" t="n">
        <f aca="false">IF(AX32="pass",ROUND(CU32+CV32+CW32+CX32+CY32+CZ32,1),0)</f>
        <v>57.4</v>
      </c>
      <c r="K32" s="6" t="s">
        <v>1061</v>
      </c>
      <c r="L32" s="6" t="s">
        <v>395</v>
      </c>
      <c r="R32" s="5" t="s">
        <v>162</v>
      </c>
      <c r="S32" s="6" t="s">
        <v>163</v>
      </c>
      <c r="T32" s="5" t="s">
        <v>162</v>
      </c>
      <c r="U32" s="5" t="s">
        <v>228</v>
      </c>
      <c r="V32" s="6" t="s">
        <v>1062</v>
      </c>
      <c r="W32" s="6" t="s">
        <v>166</v>
      </c>
      <c r="X32" s="6" t="s">
        <v>167</v>
      </c>
      <c r="Y32" s="6" t="n">
        <f aca="false">IF(EU32&lt;&gt;"Y","",COUNTIFS($EU$2:$EU$1000,"Y",$J$2:$J$1000,"&gt;"&amp;J32)+COUNTIFS($EU$2:$EU$1000,"Y",$J$2:$J$1000,J32,$EW$2:$EW$1000,"&lt;"&amp;EW32)+1)</f>
        <v>19</v>
      </c>
      <c r="Z32" s="0" t="n">
        <v>31</v>
      </c>
      <c r="AA32" s="6" t="s">
        <v>168</v>
      </c>
      <c r="AB32" s="6" t="s">
        <v>1063</v>
      </c>
      <c r="AC32" s="6" t="s">
        <v>170</v>
      </c>
      <c r="AD32" s="6" t="s">
        <v>171</v>
      </c>
      <c r="AE32" s="6" t="s">
        <v>231</v>
      </c>
      <c r="AF32" s="6" t="s">
        <v>1064</v>
      </c>
      <c r="AG32" s="6" t="s">
        <v>174</v>
      </c>
      <c r="AH32" s="5" t="s">
        <v>175</v>
      </c>
      <c r="AI32" s="6" t="s">
        <v>1065</v>
      </c>
      <c r="AJ32" s="6" t="s">
        <v>163</v>
      </c>
      <c r="AK32" s="6" t="s">
        <v>178</v>
      </c>
      <c r="AL32" s="0" t="n">
        <v>12</v>
      </c>
      <c r="AM32" s="0" t="n">
        <v>288</v>
      </c>
      <c r="AN32" s="6" t="s">
        <v>179</v>
      </c>
      <c r="AO32" s="6" t="s">
        <v>370</v>
      </c>
      <c r="AP32" s="6" t="s">
        <v>1056</v>
      </c>
      <c r="AQ32" s="5" t="s">
        <v>162</v>
      </c>
      <c r="AT32" s="0" t="str">
        <f aca="false">IF(AND(AX32="pass",AQ32&lt;&gt;"Y",C32&lt;&gt;"",OR(AW32&lt;&gt;"Y",AV32="Y")),"Y","N")</f>
        <v>Y</v>
      </c>
      <c r="AU32" s="0" t="str">
        <f aca="false">_xlfn.TEXTJOIN("; ",TRUE(),IF(AX32&lt;&gt;"pass","gated out",""),IF(AQ32="Y","on hold: "&amp;AR32,""),IF(C32="","no contact named on an opened page",""),IF(AND(AW32="Y",AV32&lt;&gt;"Y"),"Tuesday estimate band "&amp;L32&amp;": founder's call",""))</f>
        <v/>
      </c>
      <c r="AW32" s="6" t="s">
        <v>162</v>
      </c>
      <c r="AX32" s="6" t="s">
        <v>181</v>
      </c>
      <c r="AY32" s="6" t="s">
        <v>182</v>
      </c>
      <c r="AZ32" s="6" t="s">
        <v>1</v>
      </c>
      <c r="BA32" s="6" t="s">
        <v>1066</v>
      </c>
      <c r="BB32" s="6" t="s">
        <v>1067</v>
      </c>
      <c r="BC32" s="6" t="s">
        <v>1068</v>
      </c>
      <c r="BD32" s="6" t="s">
        <v>1069</v>
      </c>
      <c r="BE32" s="6" t="s">
        <v>1070</v>
      </c>
      <c r="BF32" s="6" t="s">
        <v>240</v>
      </c>
      <c r="BG32" s="6" t="s">
        <v>188</v>
      </c>
      <c r="BH32" s="6" t="s">
        <v>241</v>
      </c>
      <c r="BI32" s="6" t="s">
        <v>1062</v>
      </c>
      <c r="BJ32" s="6" t="s">
        <v>1071</v>
      </c>
      <c r="BK32" s="6" t="s">
        <v>191</v>
      </c>
      <c r="BL32" s="6" t="s">
        <v>163</v>
      </c>
      <c r="BM32" s="6" t="s">
        <v>163</v>
      </c>
      <c r="BN32" s="6" t="s">
        <v>1072</v>
      </c>
      <c r="BO32" s="6" t="s">
        <v>163</v>
      </c>
      <c r="BP32" s="6" t="s">
        <v>347</v>
      </c>
      <c r="BQ32" s="0" t="n">
        <v>40.742199</v>
      </c>
      <c r="BR32" s="0" t="n">
        <v>-73.99172</v>
      </c>
      <c r="BS32" s="6" t="s">
        <v>168</v>
      </c>
      <c r="BT32" s="0" t="n">
        <v>0</v>
      </c>
      <c r="BU32" s="6" t="s">
        <v>1073</v>
      </c>
      <c r="BV32" s="6" t="s">
        <v>1074</v>
      </c>
      <c r="BW32" s="6" t="s">
        <v>1062</v>
      </c>
      <c r="BX32" s="6" t="s">
        <v>166</v>
      </c>
      <c r="BY32" s="6" t="s">
        <v>445</v>
      </c>
      <c r="BZ32" s="6" t="s">
        <v>1075</v>
      </c>
      <c r="CA32" s="6" t="s">
        <v>1076</v>
      </c>
      <c r="CC32" s="6" t="s">
        <v>200</v>
      </c>
      <c r="CE32" s="6" t="s">
        <v>162</v>
      </c>
      <c r="CH32" s="6" t="s">
        <v>201</v>
      </c>
      <c r="CI32" s="6" t="s">
        <v>1075</v>
      </c>
      <c r="CJ32" s="6" t="s">
        <v>163</v>
      </c>
      <c r="CK32" s="6" t="s">
        <v>162</v>
      </c>
      <c r="CL32" s="6" t="s">
        <v>716</v>
      </c>
      <c r="CM32" s="6" t="s">
        <v>1062</v>
      </c>
      <c r="CN32" s="6" t="s">
        <v>174</v>
      </c>
      <c r="CO32" s="0" t="n">
        <v>59</v>
      </c>
      <c r="CP32" s="6" t="s">
        <v>768</v>
      </c>
      <c r="CQ32" s="6" t="s">
        <v>1077</v>
      </c>
      <c r="CR32" s="6" t="s">
        <v>206</v>
      </c>
      <c r="CS32" s="0" t="n">
        <v>0.58</v>
      </c>
      <c r="CT32" s="0" t="n">
        <v>57.4</v>
      </c>
      <c r="CU32" s="0" t="n">
        <v>14.4</v>
      </c>
      <c r="CV32" s="0" t="n">
        <v>11</v>
      </c>
      <c r="CW32" s="0" t="n">
        <v>7</v>
      </c>
      <c r="CX32" s="0" t="n">
        <v>15</v>
      </c>
      <c r="CY32" s="6" t="n">
        <f aca="false">IF(AH32="exact",10,IF(AH32="adjacent",5,0))</f>
        <v>10</v>
      </c>
      <c r="CZ32" s="6" t="n">
        <f aca="false">IF(R32="Y",15,0)</f>
        <v>0</v>
      </c>
      <c r="DA32" s="6" t="s">
        <v>1078</v>
      </c>
      <c r="DB32" s="6" t="s">
        <v>1079</v>
      </c>
      <c r="DC32" s="6" t="s">
        <v>808</v>
      </c>
      <c r="DF32" s="6" t="s">
        <v>158</v>
      </c>
      <c r="DG32" s="6" t="s">
        <v>211</v>
      </c>
      <c r="DK32" s="6" t="s">
        <v>1080</v>
      </c>
      <c r="DM32" s="6" t="s">
        <v>1081</v>
      </c>
      <c r="DO32" s="6" t="s">
        <v>1082</v>
      </c>
      <c r="DQ32" s="6" t="s">
        <v>216</v>
      </c>
      <c r="DR32" s="6" t="s">
        <v>1083</v>
      </c>
      <c r="DS32" s="6" t="s">
        <v>171</v>
      </c>
      <c r="DT32" s="6" t="s">
        <v>231</v>
      </c>
      <c r="DU32" s="6" t="s">
        <v>1084</v>
      </c>
      <c r="DW32" s="6" t="s">
        <v>1085</v>
      </c>
      <c r="DX32" s="6" t="s">
        <v>168</v>
      </c>
      <c r="DY32" s="6" t="s">
        <v>221</v>
      </c>
      <c r="ER32" s="0" t="str">
        <f aca="false">IF(ISNUMBER(MATCH(U32,{"queued","contacted","replied","call_booked","call_done","yes_in_principle","materials_sent"},0)),"Y","N")</f>
        <v>N</v>
      </c>
      <c r="ES32" s="0" t="str">
        <f aca="false">IF(COUNTIFS($AP$2:$AP$1000,AP32,$ER$2:$ER$1000,"Y")+COUNTIFS($AP$2:$AP$1000,AP32,$T$2:$T$1000,"Y")&gt;0,"Y","N")</f>
        <v>N</v>
      </c>
      <c r="ET32" s="0" t="str">
        <f aca="false">IF(AND(U32="new",T32="N",AT32="Y",AS32="",ES32="N"),"Y","N")</f>
        <v>Y</v>
      </c>
      <c r="EU32" s="0" t="str">
        <f aca="false">IF(ET32&lt;&gt;"Y","N",IF(COUNTIFS($AP$2:$AP$1000,AP32,$ET$2:$ET$1000,"Y",$J$2:$J$1000,"&gt;"&amp;J32)+COUNTIFS($AP$2:$AP$1000,AP32,$ET$2:$ET$1000,"Y",$J$2:$J$1000,J32,$EW$2:$EW$1000,"&lt;"&amp;EW32)=0,"Y","N"))</f>
        <v>Y</v>
      </c>
      <c r="EV32" s="0" t="str">
        <f aca="false">IF(Y32="","N",IF(Y32&lt;=10,"Y","N"))</f>
        <v>N</v>
      </c>
      <c r="EW32" s="6" t="n">
        <f aca="false">ROW()-1</f>
        <v>31</v>
      </c>
    </row>
    <row r="33" customFormat="false" ht="15" hidden="false" customHeight="false" outlineLevel="0" collapsed="false">
      <c r="A33" s="0" t="s">
        <v>1086</v>
      </c>
      <c r="B33" s="0" t="s">
        <v>1087</v>
      </c>
      <c r="C33" s="0" t="s">
        <v>1088</v>
      </c>
      <c r="D33" s="0" t="s">
        <v>1089</v>
      </c>
      <c r="E33" s="0" t="s">
        <v>1090</v>
      </c>
      <c r="H33" s="5" t="s">
        <v>158</v>
      </c>
      <c r="I33" s="5" t="s">
        <v>159</v>
      </c>
      <c r="J33" s="6" t="n">
        <f aca="false">IF(AX33="pass",ROUND(CU33+CV33+CW33+CX33+CY33+CZ33,1),0)</f>
        <v>57</v>
      </c>
      <c r="K33" s="6" t="s">
        <v>1091</v>
      </c>
      <c r="L33" s="6" t="s">
        <v>161</v>
      </c>
      <c r="O33" s="6" t="s">
        <v>1092</v>
      </c>
      <c r="P33" s="6" t="s">
        <v>1093</v>
      </c>
      <c r="Q33" s="6" t="s">
        <v>1094</v>
      </c>
      <c r="R33" s="5" t="s">
        <v>162</v>
      </c>
      <c r="S33" s="6" t="s">
        <v>163</v>
      </c>
      <c r="T33" s="5" t="s">
        <v>162</v>
      </c>
      <c r="U33" s="5" t="s">
        <v>228</v>
      </c>
      <c r="V33" s="6" t="s">
        <v>1093</v>
      </c>
      <c r="W33" s="6" t="s">
        <v>166</v>
      </c>
      <c r="X33" s="6" t="s">
        <v>167</v>
      </c>
      <c r="Y33" s="0" t="str">
        <f aca="false">IF(EU33&lt;&gt;"Y","",COUNTIFS($EU$2:$EU$1000,"Y",$J$2:$J$1000,"&gt;"&amp;J33)+COUNTIFS($EU$2:$EU$1000,"Y",$J$2:$J$1000,J33,$EW$2:$EW$1000,"&lt;"&amp;EW33)+1)</f>
        <v/>
      </c>
      <c r="Z33" s="0" t="n">
        <v>32</v>
      </c>
      <c r="AA33" s="6" t="s">
        <v>168</v>
      </c>
      <c r="AB33" s="6" t="s">
        <v>1095</v>
      </c>
      <c r="AC33" s="6" t="s">
        <v>170</v>
      </c>
      <c r="AD33" s="6" t="s">
        <v>171</v>
      </c>
      <c r="AE33" s="6" t="s">
        <v>231</v>
      </c>
      <c r="AF33" s="6" t="s">
        <v>1096</v>
      </c>
      <c r="AG33" s="6" t="s">
        <v>174</v>
      </c>
      <c r="AH33" s="5" t="s">
        <v>310</v>
      </c>
      <c r="AI33" s="6" t="s">
        <v>754</v>
      </c>
      <c r="AJ33" s="6" t="s">
        <v>163</v>
      </c>
      <c r="AK33" s="6" t="s">
        <v>890</v>
      </c>
      <c r="AL33" s="0" t="n">
        <v>55</v>
      </c>
      <c r="AM33" s="0" t="n">
        <v>111</v>
      </c>
      <c r="AN33" s="6" t="s">
        <v>179</v>
      </c>
      <c r="AO33" s="6" t="s">
        <v>370</v>
      </c>
      <c r="AP33" s="6" t="s">
        <v>1086</v>
      </c>
      <c r="AQ33" s="5" t="s">
        <v>168</v>
      </c>
      <c r="AR33" s="6" t="s">
        <v>891</v>
      </c>
      <c r="AT33" s="0" t="str">
        <f aca="false">IF(AND(AX33="pass",AQ33&lt;&gt;"Y",C33&lt;&gt;"",OR(AW33&lt;&gt;"Y",AV33="Y")),"Y","N")</f>
        <v>N</v>
      </c>
      <c r="AU33" s="0" t="str">
        <f aca="false">_xlfn.TEXTJOIN("; ",TRUE(),IF(AX33&lt;&gt;"pass","gated out",""),IF(AQ33="Y","on hold: "&amp;AR33,""),IF(C33="","no contact named on an opened page",""),IF(AND(AW33="Y",AV33&lt;&gt;"Y"),"Tuesday estimate band "&amp;L33&amp;": founder's call",""))</f>
        <v>on hold: lease signed, move not confirmed: check the lobby directory before outreach (B)</v>
      </c>
      <c r="AW33" s="6" t="s">
        <v>162</v>
      </c>
      <c r="AX33" s="6" t="s">
        <v>181</v>
      </c>
      <c r="AY33" s="6" t="s">
        <v>182</v>
      </c>
      <c r="AZ33" s="6" t="s">
        <v>1</v>
      </c>
      <c r="BA33" s="6" t="s">
        <v>1097</v>
      </c>
      <c r="BB33" s="6" t="s">
        <v>1098</v>
      </c>
      <c r="BC33" s="6" t="s">
        <v>1099</v>
      </c>
      <c r="BD33" s="6" t="s">
        <v>536</v>
      </c>
      <c r="BF33" s="6" t="s">
        <v>187</v>
      </c>
      <c r="BG33" s="6" t="s">
        <v>188</v>
      </c>
      <c r="BH33" s="6" t="s">
        <v>189</v>
      </c>
      <c r="BI33" s="6" t="s">
        <v>1100</v>
      </c>
      <c r="BK33" s="6" t="s">
        <v>191</v>
      </c>
      <c r="BL33" s="6" t="s">
        <v>192</v>
      </c>
      <c r="BM33" s="6" t="s">
        <v>168</v>
      </c>
      <c r="BN33" s="6" t="s">
        <v>163</v>
      </c>
      <c r="BO33" s="6" t="s">
        <v>163</v>
      </c>
      <c r="BP33" s="6" t="s">
        <v>347</v>
      </c>
      <c r="BQ33" s="0" t="n">
        <v>40.743309</v>
      </c>
      <c r="BR33" s="0" t="n">
        <v>-73.987329</v>
      </c>
      <c r="BS33" s="6" t="s">
        <v>168</v>
      </c>
      <c r="BT33" s="0" t="n">
        <v>0</v>
      </c>
      <c r="BU33" s="6" t="s">
        <v>764</v>
      </c>
      <c r="BV33" s="6" t="s">
        <v>765</v>
      </c>
      <c r="BW33" s="6" t="s">
        <v>1093</v>
      </c>
      <c r="BX33" s="6" t="s">
        <v>1094</v>
      </c>
      <c r="BY33" s="6" t="s">
        <v>248</v>
      </c>
      <c r="CC33" s="6" t="s">
        <v>739</v>
      </c>
      <c r="CD33" s="6" t="s">
        <v>163</v>
      </c>
      <c r="CE33" s="6" t="s">
        <v>162</v>
      </c>
      <c r="CH33" s="6" t="s">
        <v>163</v>
      </c>
      <c r="CJ33" s="6" t="s">
        <v>163</v>
      </c>
      <c r="CK33" s="6" t="s">
        <v>162</v>
      </c>
      <c r="CL33" s="6" t="s">
        <v>382</v>
      </c>
      <c r="CM33" s="6" t="s">
        <v>1100</v>
      </c>
      <c r="CN33" s="6" t="s">
        <v>174</v>
      </c>
      <c r="CO33" s="0" t="n">
        <v>78</v>
      </c>
      <c r="CQ33" s="6" t="s">
        <v>1101</v>
      </c>
      <c r="CR33" s="6" t="s">
        <v>206</v>
      </c>
      <c r="CS33" s="0" t="n">
        <v>1</v>
      </c>
      <c r="CT33" s="0" t="n">
        <v>57</v>
      </c>
      <c r="CU33" s="0" t="n">
        <v>25</v>
      </c>
      <c r="CV33" s="0" t="n">
        <v>15</v>
      </c>
      <c r="CW33" s="0" t="n">
        <v>7</v>
      </c>
      <c r="CX33" s="0" t="n">
        <v>5</v>
      </c>
      <c r="CY33" s="6" t="n">
        <f aca="false">IF(AH33="exact",10,IF(AH33="adjacent",5,0))</f>
        <v>5</v>
      </c>
      <c r="CZ33" s="6" t="n">
        <f aca="false">IF(R33="Y",15,0)</f>
        <v>0</v>
      </c>
      <c r="DA33" s="6" t="s">
        <v>1102</v>
      </c>
      <c r="DB33" s="6" t="s">
        <v>1103</v>
      </c>
      <c r="DC33" s="6" t="s">
        <v>808</v>
      </c>
      <c r="DF33" s="6" t="s">
        <v>158</v>
      </c>
      <c r="DG33" s="6" t="s">
        <v>211</v>
      </c>
      <c r="DJ33" s="6" t="s">
        <v>1104</v>
      </c>
      <c r="DK33" s="6" t="s">
        <v>1105</v>
      </c>
      <c r="DM33" s="6" t="s">
        <v>1106</v>
      </c>
      <c r="DO33" s="6" t="s">
        <v>1107</v>
      </c>
      <c r="DQ33" s="6" t="s">
        <v>216</v>
      </c>
      <c r="DR33" s="6" t="s">
        <v>1108</v>
      </c>
      <c r="DS33" s="6" t="s">
        <v>171</v>
      </c>
      <c r="DT33" s="6" t="s">
        <v>231</v>
      </c>
      <c r="DU33" s="6" t="s">
        <v>1109</v>
      </c>
      <c r="DW33" s="6" t="s">
        <v>1110</v>
      </c>
      <c r="DX33" s="6" t="s">
        <v>168</v>
      </c>
      <c r="DY33" s="6" t="s">
        <v>221</v>
      </c>
      <c r="ER33" s="0" t="str">
        <f aca="false">IF(ISNUMBER(MATCH(U33,{"queued","contacted","replied","call_booked","call_done","yes_in_principle","materials_sent"},0)),"Y","N")</f>
        <v>N</v>
      </c>
      <c r="ES33" s="0" t="str">
        <f aca="false">IF(COUNTIFS($AP$2:$AP$1000,AP33,$ER$2:$ER$1000,"Y")+COUNTIFS($AP$2:$AP$1000,AP33,$T$2:$T$1000,"Y")&gt;0,"Y","N")</f>
        <v>N</v>
      </c>
      <c r="ET33" s="0" t="str">
        <f aca="false">IF(AND(U33="new",T33="N",AT33="Y",AS33="",ES33="N"),"Y","N")</f>
        <v>N</v>
      </c>
      <c r="EU33" s="0" t="str">
        <f aca="false">IF(ET33&lt;&gt;"Y","N",IF(COUNTIFS($AP$2:$AP$1000,AP33,$ET$2:$ET$1000,"Y",$J$2:$J$1000,"&gt;"&amp;J33)+COUNTIFS($AP$2:$AP$1000,AP33,$ET$2:$ET$1000,"Y",$J$2:$J$1000,J33,$EW$2:$EW$1000,"&lt;"&amp;EW33)=0,"Y","N"))</f>
        <v>N</v>
      </c>
      <c r="EV33" s="0" t="str">
        <f aca="false">IF(Y33="","N",IF(Y33&lt;=10,"Y","N"))</f>
        <v>N</v>
      </c>
      <c r="EW33" s="6" t="n">
        <f aca="false">ROW()-1</f>
        <v>32</v>
      </c>
    </row>
    <row r="34" customFormat="false" ht="15" hidden="false" customHeight="false" outlineLevel="0" collapsed="false">
      <c r="A34" s="0" t="s">
        <v>1111</v>
      </c>
      <c r="B34" s="0" t="s">
        <v>1112</v>
      </c>
      <c r="H34" s="5" t="s">
        <v>158</v>
      </c>
      <c r="I34" s="5" t="s">
        <v>594</v>
      </c>
      <c r="J34" s="6" t="n">
        <f aca="false">IF(AX34="pass",ROUND(CU34+CV34+CW34+CX34+CY34+CZ34,1),0)</f>
        <v>56</v>
      </c>
      <c r="K34" s="6" t="s">
        <v>1113</v>
      </c>
      <c r="L34" s="6" t="s">
        <v>161</v>
      </c>
      <c r="R34" s="5" t="s">
        <v>162</v>
      </c>
      <c r="S34" s="6" t="s">
        <v>163</v>
      </c>
      <c r="T34" s="5" t="s">
        <v>162</v>
      </c>
      <c r="U34" s="5" t="s">
        <v>228</v>
      </c>
      <c r="V34" s="6" t="s">
        <v>1114</v>
      </c>
      <c r="W34" s="6" t="s">
        <v>166</v>
      </c>
      <c r="X34" s="6" t="s">
        <v>167</v>
      </c>
      <c r="Y34" s="0" t="str">
        <f aca="false">IF(EU34&lt;&gt;"Y","",COUNTIFS($EU$2:$EU$1000,"Y",$J$2:$J$1000,"&gt;"&amp;J34)+COUNTIFS($EU$2:$EU$1000,"Y",$J$2:$J$1000,J34,$EW$2:$EW$1000,"&lt;"&amp;EW34)+1)</f>
        <v/>
      </c>
      <c r="Z34" s="0" t="n">
        <v>33</v>
      </c>
      <c r="AA34" s="6" t="s">
        <v>168</v>
      </c>
      <c r="AB34" s="6" t="s">
        <v>597</v>
      </c>
      <c r="AD34" s="6" t="s">
        <v>158</v>
      </c>
      <c r="AH34" s="5" t="s">
        <v>158</v>
      </c>
      <c r="AI34" s="6" t="s">
        <v>1115</v>
      </c>
      <c r="AJ34" s="6" t="s">
        <v>1116</v>
      </c>
      <c r="AK34" s="6" t="s">
        <v>435</v>
      </c>
      <c r="AL34" s="0" t="n">
        <v>96</v>
      </c>
      <c r="AM34" s="0" t="n">
        <v>231</v>
      </c>
      <c r="AN34" s="6" t="s">
        <v>179</v>
      </c>
      <c r="AO34" s="6" t="s">
        <v>180</v>
      </c>
      <c r="AP34" s="6" t="s">
        <v>1111</v>
      </c>
      <c r="AQ34" s="5" t="s">
        <v>162</v>
      </c>
      <c r="AT34" s="0" t="str">
        <f aca="false">IF(AND(AX34="pass",AQ34&lt;&gt;"Y",C34&lt;&gt;"",OR(AW34&lt;&gt;"Y",AV34="Y")),"Y","N")</f>
        <v>N</v>
      </c>
      <c r="AU34" s="0" t="str">
        <f aca="false">_xlfn.TEXTJOIN("; ",TRUE(),IF(AX34&lt;&gt;"pass","gated out",""),IF(AQ34="Y","on hold: "&amp;AR34,""),IF(C34="","no contact named on an opened page",""),IF(AND(AW34="Y",AV34&lt;&gt;"Y"),"Tuesday estimate band "&amp;L34&amp;": founder's call",""))</f>
        <v>no contact named on an opened page</v>
      </c>
      <c r="AW34" s="6" t="s">
        <v>162</v>
      </c>
      <c r="AX34" s="6" t="s">
        <v>181</v>
      </c>
      <c r="AY34" s="6" t="s">
        <v>182</v>
      </c>
      <c r="AZ34" s="6" t="s">
        <v>1</v>
      </c>
      <c r="BA34" s="6" t="s">
        <v>1117</v>
      </c>
      <c r="BB34" s="6" t="s">
        <v>1118</v>
      </c>
      <c r="BC34" s="6" t="s">
        <v>1119</v>
      </c>
      <c r="BD34" s="6" t="s">
        <v>1120</v>
      </c>
      <c r="BE34" s="6" t="s">
        <v>1121</v>
      </c>
      <c r="BF34" s="6" t="s">
        <v>240</v>
      </c>
      <c r="BG34" s="6" t="s">
        <v>188</v>
      </c>
      <c r="BH34" s="6" t="s">
        <v>241</v>
      </c>
      <c r="BI34" s="6" t="s">
        <v>1122</v>
      </c>
      <c r="BJ34" s="6" t="s">
        <v>1123</v>
      </c>
      <c r="BK34" s="6" t="s">
        <v>191</v>
      </c>
      <c r="BL34" s="6" t="s">
        <v>192</v>
      </c>
      <c r="BM34" s="6" t="s">
        <v>168</v>
      </c>
      <c r="BN34" s="6" t="s">
        <v>1124</v>
      </c>
      <c r="BO34" s="6" t="s">
        <v>163</v>
      </c>
      <c r="BP34" s="6" t="s">
        <v>378</v>
      </c>
      <c r="BQ34" s="0" t="n">
        <v>40.739487</v>
      </c>
      <c r="BR34" s="0" t="n">
        <v>-73.99283</v>
      </c>
      <c r="BS34" s="6" t="s">
        <v>168</v>
      </c>
      <c r="BT34" s="0" t="n">
        <v>0</v>
      </c>
      <c r="BU34" s="6" t="s">
        <v>1125</v>
      </c>
      <c r="BV34" s="6" t="s">
        <v>1126</v>
      </c>
      <c r="BW34" s="6" t="s">
        <v>1114</v>
      </c>
      <c r="BX34" s="6" t="s">
        <v>166</v>
      </c>
      <c r="BY34" s="6" t="s">
        <v>445</v>
      </c>
      <c r="BZ34" s="6" t="s">
        <v>1127</v>
      </c>
      <c r="CA34" s="6" t="s">
        <v>1128</v>
      </c>
      <c r="CC34" s="6" t="s">
        <v>179</v>
      </c>
      <c r="CE34" s="6" t="s">
        <v>162</v>
      </c>
      <c r="CH34" s="6" t="s">
        <v>163</v>
      </c>
      <c r="CJ34" s="6" t="s">
        <v>163</v>
      </c>
      <c r="CK34" s="6" t="s">
        <v>162</v>
      </c>
      <c r="CL34" s="6" t="s">
        <v>1129</v>
      </c>
      <c r="CM34" s="6" t="s">
        <v>1114</v>
      </c>
      <c r="CN34" s="6" t="s">
        <v>174</v>
      </c>
      <c r="CO34" s="0" t="n">
        <v>149</v>
      </c>
      <c r="CQ34" s="6" t="s">
        <v>1130</v>
      </c>
      <c r="CR34" s="6" t="s">
        <v>206</v>
      </c>
      <c r="CS34" s="0" t="n">
        <v>1</v>
      </c>
      <c r="CT34" s="0" t="n">
        <v>56</v>
      </c>
      <c r="CU34" s="0" t="n">
        <v>25</v>
      </c>
      <c r="CV34" s="0" t="n">
        <v>11</v>
      </c>
      <c r="CW34" s="0" t="n">
        <v>15</v>
      </c>
      <c r="CX34" s="0" t="n">
        <v>5</v>
      </c>
      <c r="CY34" s="6" t="n">
        <f aca="false">IF(AH34="exact",10,IF(AH34="adjacent",5,0))</f>
        <v>0</v>
      </c>
      <c r="CZ34" s="6" t="n">
        <f aca="false">IF(R34="Y",15,0)</f>
        <v>0</v>
      </c>
      <c r="DF34" s="6" t="s">
        <v>158</v>
      </c>
      <c r="DG34" s="6" t="s">
        <v>211</v>
      </c>
      <c r="DJ34" s="6" t="s">
        <v>1131</v>
      </c>
      <c r="DK34" s="6" t="s">
        <v>1132</v>
      </c>
      <c r="DS34" s="6" t="s">
        <v>158</v>
      </c>
      <c r="DX34" s="6" t="s">
        <v>168</v>
      </c>
      <c r="ER34" s="0" t="str">
        <f aca="false">IF(ISNUMBER(MATCH(U34,{"queued","contacted","replied","call_booked","call_done","yes_in_principle","materials_sent"},0)),"Y","N")</f>
        <v>N</v>
      </c>
      <c r="ES34" s="0" t="str">
        <f aca="false">IF(COUNTIFS($AP$2:$AP$1000,AP34,$ER$2:$ER$1000,"Y")+COUNTIFS($AP$2:$AP$1000,AP34,$T$2:$T$1000,"Y")&gt;0,"Y","N")</f>
        <v>N</v>
      </c>
      <c r="ET34" s="0" t="str">
        <f aca="false">IF(AND(U34="new",T34="N",AT34="Y",AS34="",ES34="N"),"Y","N")</f>
        <v>N</v>
      </c>
      <c r="EU34" s="0" t="str">
        <f aca="false">IF(ET34&lt;&gt;"Y","N",IF(COUNTIFS($AP$2:$AP$1000,AP34,$ET$2:$ET$1000,"Y",$J$2:$J$1000,"&gt;"&amp;J34)+COUNTIFS($AP$2:$AP$1000,AP34,$ET$2:$ET$1000,"Y",$J$2:$J$1000,J34,$EW$2:$EW$1000,"&lt;"&amp;EW34)=0,"Y","N"))</f>
        <v>N</v>
      </c>
      <c r="EV34" s="0" t="str">
        <f aca="false">IF(Y34="","N",IF(Y34&lt;=10,"Y","N"))</f>
        <v>N</v>
      </c>
      <c r="EW34" s="6" t="n">
        <f aca="false">ROW()-1</f>
        <v>33</v>
      </c>
    </row>
    <row r="35" customFormat="false" ht="15" hidden="false" customHeight="false" outlineLevel="0" collapsed="false">
      <c r="A35" s="0" t="s">
        <v>1133</v>
      </c>
      <c r="B35" s="0" t="s">
        <v>1134</v>
      </c>
      <c r="C35" s="0" t="s">
        <v>1135</v>
      </c>
      <c r="D35" s="0" t="s">
        <v>363</v>
      </c>
      <c r="E35" s="0" t="s">
        <v>808</v>
      </c>
      <c r="H35" s="5" t="s">
        <v>158</v>
      </c>
      <c r="I35" s="5" t="s">
        <v>159</v>
      </c>
      <c r="J35" s="6" t="n">
        <f aca="false">IF(AX35="pass",ROUND(CU35+CV35+CW35+CX35+CY35+CZ35,1),0)</f>
        <v>55.3</v>
      </c>
      <c r="K35" s="6" t="s">
        <v>1136</v>
      </c>
      <c r="L35" s="6" t="s">
        <v>395</v>
      </c>
      <c r="R35" s="5" t="s">
        <v>162</v>
      </c>
      <c r="S35" s="6" t="s">
        <v>163</v>
      </c>
      <c r="T35" s="5" t="s">
        <v>162</v>
      </c>
      <c r="U35" s="5" t="s">
        <v>228</v>
      </c>
      <c r="V35" s="6" t="s">
        <v>1137</v>
      </c>
      <c r="W35" s="6" t="s">
        <v>166</v>
      </c>
      <c r="X35" s="6" t="s">
        <v>167</v>
      </c>
      <c r="Y35" s="0" t="str">
        <f aca="false">IF(EU35&lt;&gt;"Y","",COUNTIFS($EU$2:$EU$1000,"Y",$J$2:$J$1000,"&gt;"&amp;J35)+COUNTIFS($EU$2:$EU$1000,"Y",$J$2:$J$1000,J35,$EW$2:$EW$1000,"&lt;"&amp;EW35)+1)</f>
        <v/>
      </c>
      <c r="Z35" s="0" t="n">
        <v>34</v>
      </c>
      <c r="AA35" s="6" t="s">
        <v>168</v>
      </c>
      <c r="AB35" s="6" t="s">
        <v>1138</v>
      </c>
      <c r="AC35" s="6" t="s">
        <v>170</v>
      </c>
      <c r="AD35" s="6" t="s">
        <v>171</v>
      </c>
      <c r="AE35" s="6" t="s">
        <v>231</v>
      </c>
      <c r="AF35" s="6" t="s">
        <v>1139</v>
      </c>
      <c r="AG35" s="6" t="s">
        <v>174</v>
      </c>
      <c r="AH35" s="5" t="s">
        <v>310</v>
      </c>
      <c r="AI35" s="6" t="s">
        <v>1140</v>
      </c>
      <c r="AJ35" s="6" t="s">
        <v>1141</v>
      </c>
      <c r="AK35" s="6" t="s">
        <v>435</v>
      </c>
      <c r="AL35" s="0" t="n">
        <v>26</v>
      </c>
      <c r="AM35" s="0" t="n">
        <v>90</v>
      </c>
      <c r="AN35" s="6" t="s">
        <v>179</v>
      </c>
      <c r="AO35" s="6" t="s">
        <v>180</v>
      </c>
      <c r="AP35" s="6" t="s">
        <v>703</v>
      </c>
      <c r="AQ35" s="5" t="s">
        <v>162</v>
      </c>
      <c r="AT35" s="0" t="str">
        <f aca="false">IF(AND(AX35="pass",AQ35&lt;&gt;"Y",C35&lt;&gt;"",OR(AW35&lt;&gt;"Y",AV35="Y")),"Y","N")</f>
        <v>Y</v>
      </c>
      <c r="AU35" s="0" t="str">
        <f aca="false">_xlfn.TEXTJOIN("; ",TRUE(),IF(AX35&lt;&gt;"pass","gated out",""),IF(AQ35="Y","on hold: "&amp;AR35,""),IF(C35="","no contact named on an opened page",""),IF(AND(AW35="Y",AV35&lt;&gt;"Y"),"Tuesday estimate band "&amp;L35&amp;": founder's call",""))</f>
        <v/>
      </c>
      <c r="AW35" s="6" t="s">
        <v>162</v>
      </c>
      <c r="AX35" s="6" t="s">
        <v>181</v>
      </c>
      <c r="AY35" s="6" t="s">
        <v>182</v>
      </c>
      <c r="AZ35" s="6" t="s">
        <v>1</v>
      </c>
      <c r="BA35" s="6" t="s">
        <v>1142</v>
      </c>
      <c r="BB35" s="6" t="s">
        <v>1143</v>
      </c>
      <c r="BC35" s="6" t="s">
        <v>1144</v>
      </c>
      <c r="BD35" s="6" t="s">
        <v>1145</v>
      </c>
      <c r="BE35" s="6" t="s">
        <v>1146</v>
      </c>
      <c r="BF35" s="6" t="s">
        <v>161</v>
      </c>
      <c r="BG35" s="6" t="s">
        <v>188</v>
      </c>
      <c r="BH35" s="6" t="s">
        <v>241</v>
      </c>
      <c r="BI35" s="6" t="s">
        <v>1147</v>
      </c>
      <c r="BJ35" s="6" t="s">
        <v>1148</v>
      </c>
      <c r="BK35" s="6" t="s">
        <v>191</v>
      </c>
      <c r="BL35" s="6" t="s">
        <v>192</v>
      </c>
      <c r="BM35" s="6" t="s">
        <v>168</v>
      </c>
      <c r="BN35" s="6" t="s">
        <v>711</v>
      </c>
      <c r="BO35" s="6" t="s">
        <v>163</v>
      </c>
      <c r="BP35" s="6" t="s">
        <v>193</v>
      </c>
      <c r="BQ35" s="0" t="n">
        <v>40.738063</v>
      </c>
      <c r="BR35" s="0" t="n">
        <v>-73.991898</v>
      </c>
      <c r="BS35" s="6" t="s">
        <v>168</v>
      </c>
      <c r="BT35" s="0" t="n">
        <v>0</v>
      </c>
      <c r="BU35" s="6" t="s">
        <v>1149</v>
      </c>
      <c r="BV35" s="6" t="s">
        <v>1140</v>
      </c>
      <c r="BW35" s="6" t="s">
        <v>1137</v>
      </c>
      <c r="BX35" s="6" t="s">
        <v>1150</v>
      </c>
      <c r="BY35" s="6" t="s">
        <v>248</v>
      </c>
      <c r="CC35" s="6" t="s">
        <v>739</v>
      </c>
      <c r="CE35" s="6" t="s">
        <v>162</v>
      </c>
      <c r="CH35" s="6" t="s">
        <v>163</v>
      </c>
      <c r="CJ35" s="6" t="s">
        <v>163</v>
      </c>
      <c r="CK35" s="6" t="s">
        <v>162</v>
      </c>
      <c r="CL35" s="6" t="s">
        <v>577</v>
      </c>
      <c r="CM35" s="6" t="s">
        <v>1151</v>
      </c>
      <c r="CN35" s="6" t="s">
        <v>174</v>
      </c>
      <c r="CO35" s="0" t="n">
        <v>48</v>
      </c>
      <c r="CP35" s="6" t="s">
        <v>969</v>
      </c>
      <c r="CQ35" s="6" t="s">
        <v>1152</v>
      </c>
      <c r="CR35" s="6" t="s">
        <v>206</v>
      </c>
      <c r="CS35" s="0" t="n">
        <v>0.65</v>
      </c>
      <c r="CT35" s="0" t="n">
        <v>55.3</v>
      </c>
      <c r="CU35" s="0" t="n">
        <v>16.3</v>
      </c>
      <c r="CV35" s="0" t="n">
        <v>11</v>
      </c>
      <c r="CW35" s="0" t="n">
        <v>15</v>
      </c>
      <c r="CX35" s="0" t="n">
        <v>8</v>
      </c>
      <c r="CY35" s="6" t="n">
        <f aca="false">IF(AH35="exact",10,IF(AH35="adjacent",5,0))</f>
        <v>5</v>
      </c>
      <c r="CZ35" s="6" t="n">
        <f aca="false">IF(R35="Y",15,0)</f>
        <v>0</v>
      </c>
      <c r="DF35" s="6" t="s">
        <v>158</v>
      </c>
      <c r="DG35" s="6" t="s">
        <v>211</v>
      </c>
      <c r="DJ35" s="6" t="s">
        <v>1153</v>
      </c>
      <c r="DK35" s="6" t="s">
        <v>1154</v>
      </c>
      <c r="DL35" s="6" t="s">
        <v>1155</v>
      </c>
      <c r="DM35" s="6" t="s">
        <v>1156</v>
      </c>
      <c r="DN35" s="6" t="s">
        <v>1157</v>
      </c>
      <c r="DO35" s="6" t="s">
        <v>1158</v>
      </c>
      <c r="DS35" s="6" t="s">
        <v>158</v>
      </c>
      <c r="DX35" s="6" t="s">
        <v>168</v>
      </c>
      <c r="DY35" s="6" t="s">
        <v>221</v>
      </c>
      <c r="DZ35" s="6" t="s">
        <v>1159</v>
      </c>
      <c r="ER35" s="0" t="str">
        <f aca="false">IF(ISNUMBER(MATCH(U35,{"queued","contacted","replied","call_booked","call_done","yes_in_principle","materials_sent"},0)),"Y","N")</f>
        <v>N</v>
      </c>
      <c r="ES35" s="0" t="str">
        <f aca="false">IF(COUNTIFS($AP$2:$AP$1000,AP35,$ER$2:$ER$1000,"Y")+COUNTIFS($AP$2:$AP$1000,AP35,$T$2:$T$1000,"Y")&gt;0,"Y","N")</f>
        <v>Y</v>
      </c>
      <c r="ET35" s="0" t="str">
        <f aca="false">IF(AND(U35="new",T35="N",AT35="Y",AS35="",ES35="N"),"Y","N")</f>
        <v>N</v>
      </c>
      <c r="EU35" s="0" t="str">
        <f aca="false">IF(ET35&lt;&gt;"Y","N",IF(COUNTIFS($AP$2:$AP$1000,AP35,$ET$2:$ET$1000,"Y",$J$2:$J$1000,"&gt;"&amp;J35)+COUNTIFS($AP$2:$AP$1000,AP35,$ET$2:$ET$1000,"Y",$J$2:$J$1000,J35,$EW$2:$EW$1000,"&lt;"&amp;EW35)=0,"Y","N"))</f>
        <v>N</v>
      </c>
      <c r="EV35" s="0" t="str">
        <f aca="false">IF(Y35="","N",IF(Y35&lt;=10,"Y","N"))</f>
        <v>N</v>
      </c>
      <c r="EW35" s="6" t="n">
        <f aca="false">ROW()-1</f>
        <v>34</v>
      </c>
    </row>
    <row r="36" customFormat="false" ht="15" hidden="false" customHeight="false" outlineLevel="0" collapsed="false">
      <c r="A36" s="0" t="s">
        <v>1160</v>
      </c>
      <c r="B36" s="0" t="s">
        <v>1161</v>
      </c>
      <c r="C36" s="0" t="s">
        <v>1162</v>
      </c>
      <c r="D36" s="0" t="s">
        <v>1163</v>
      </c>
      <c r="E36" s="0" t="s">
        <v>696</v>
      </c>
      <c r="H36" s="5" t="s">
        <v>158</v>
      </c>
      <c r="I36" s="5" t="s">
        <v>159</v>
      </c>
      <c r="J36" s="6" t="n">
        <f aca="false">IF(AX36="pass",ROUND(CU36+CV36+CW36+CX36+CY36+CZ36,1),0)</f>
        <v>55.2</v>
      </c>
      <c r="K36" s="6" t="s">
        <v>1164</v>
      </c>
      <c r="L36" s="6" t="s">
        <v>187</v>
      </c>
      <c r="R36" s="5" t="s">
        <v>162</v>
      </c>
      <c r="S36" s="6" t="s">
        <v>163</v>
      </c>
      <c r="T36" s="5" t="s">
        <v>162</v>
      </c>
      <c r="U36" s="5" t="s">
        <v>228</v>
      </c>
      <c r="V36" s="6" t="s">
        <v>1165</v>
      </c>
      <c r="W36" s="6" t="s">
        <v>166</v>
      </c>
      <c r="X36" s="6" t="s">
        <v>167</v>
      </c>
      <c r="Y36" s="6" t="n">
        <f aca="false">IF(EU36&lt;&gt;"Y","",COUNTIFS($EU$2:$EU$1000,"Y",$J$2:$J$1000,"&gt;"&amp;J36)+COUNTIFS($EU$2:$EU$1000,"Y",$J$2:$J$1000,J36,$EW$2:$EW$1000,"&lt;"&amp;EW36)+1)</f>
        <v>20</v>
      </c>
      <c r="Z36" s="0" t="n">
        <v>35</v>
      </c>
      <c r="AA36" s="6" t="s">
        <v>168</v>
      </c>
      <c r="AB36" s="6" t="s">
        <v>1166</v>
      </c>
      <c r="AC36" s="6" t="s">
        <v>170</v>
      </c>
      <c r="AD36" s="6" t="s">
        <v>171</v>
      </c>
      <c r="AE36" s="6" t="s">
        <v>231</v>
      </c>
      <c r="AF36" s="6" t="s">
        <v>1167</v>
      </c>
      <c r="AG36" s="6" t="s">
        <v>174</v>
      </c>
      <c r="AH36" s="5" t="s">
        <v>310</v>
      </c>
      <c r="AI36" s="6" t="s">
        <v>1168</v>
      </c>
      <c r="AJ36" s="6" t="s">
        <v>434</v>
      </c>
      <c r="AK36" s="6" t="s">
        <v>435</v>
      </c>
      <c r="AL36" s="0" t="n">
        <v>132</v>
      </c>
      <c r="AM36" s="0" t="n">
        <v>263</v>
      </c>
      <c r="AN36" s="6" t="s">
        <v>179</v>
      </c>
      <c r="AO36" s="6" t="s">
        <v>370</v>
      </c>
      <c r="AP36" s="6" t="s">
        <v>1160</v>
      </c>
      <c r="AQ36" s="5" t="s">
        <v>162</v>
      </c>
      <c r="AT36" s="0" t="str">
        <f aca="false">IF(AND(AX36="pass",AQ36&lt;&gt;"Y",C36&lt;&gt;"",OR(AW36&lt;&gt;"Y",AV36="Y")),"Y","N")</f>
        <v>Y</v>
      </c>
      <c r="AU36" s="0" t="str">
        <f aca="false">_xlfn.TEXTJOIN("; ",TRUE(),IF(AX36&lt;&gt;"pass","gated out",""),IF(AQ36="Y","on hold: "&amp;AR36,""),IF(C36="","no contact named on an opened page",""),IF(AND(AW36="Y",AV36&lt;&gt;"Y"),"Tuesday estimate band "&amp;L36&amp;": founder's call",""))</f>
        <v/>
      </c>
      <c r="AW36" s="6" t="s">
        <v>162</v>
      </c>
      <c r="AX36" s="6" t="s">
        <v>181</v>
      </c>
      <c r="AY36" s="6" t="s">
        <v>182</v>
      </c>
      <c r="AZ36" s="6" t="s">
        <v>1</v>
      </c>
      <c r="BA36" s="6" t="s">
        <v>1169</v>
      </c>
      <c r="BB36" s="6" t="s">
        <v>1170</v>
      </c>
      <c r="BC36" s="6" t="s">
        <v>1171</v>
      </c>
      <c r="BD36" s="6" t="s">
        <v>1172</v>
      </c>
      <c r="BF36" s="6" t="s">
        <v>240</v>
      </c>
      <c r="BG36" s="6" t="s">
        <v>188</v>
      </c>
      <c r="BH36" s="6" t="s">
        <v>189</v>
      </c>
      <c r="BI36" s="6" t="s">
        <v>1173</v>
      </c>
      <c r="BK36" s="6" t="s">
        <v>191</v>
      </c>
      <c r="BL36" s="6" t="s">
        <v>192</v>
      </c>
      <c r="BM36" s="6" t="s">
        <v>168</v>
      </c>
      <c r="BN36" s="6" t="s">
        <v>163</v>
      </c>
      <c r="BO36" s="6" t="s">
        <v>163</v>
      </c>
      <c r="BP36" s="6" t="s">
        <v>193</v>
      </c>
      <c r="BQ36" s="0" t="n">
        <v>40.734305</v>
      </c>
      <c r="BR36" s="0" t="n">
        <v>-73.991059</v>
      </c>
      <c r="BS36" s="6" t="s">
        <v>168</v>
      </c>
      <c r="BT36" s="0" t="n">
        <v>0</v>
      </c>
      <c r="BU36" s="6" t="s">
        <v>736</v>
      </c>
      <c r="BV36" s="6" t="s">
        <v>737</v>
      </c>
      <c r="BW36" s="6" t="s">
        <v>1165</v>
      </c>
      <c r="BX36" s="6" t="s">
        <v>1174</v>
      </c>
      <c r="BY36" s="6" t="s">
        <v>248</v>
      </c>
      <c r="BZ36" s="6" t="s">
        <v>1175</v>
      </c>
      <c r="CA36" s="6" t="s">
        <v>1176</v>
      </c>
      <c r="CC36" s="6" t="s">
        <v>179</v>
      </c>
      <c r="CE36" s="6" t="s">
        <v>162</v>
      </c>
      <c r="CH36" s="6" t="s">
        <v>201</v>
      </c>
      <c r="CI36" s="6" t="s">
        <v>740</v>
      </c>
      <c r="CJ36" s="6" t="s">
        <v>163</v>
      </c>
      <c r="CK36" s="6" t="s">
        <v>162</v>
      </c>
      <c r="CL36" s="6" t="s">
        <v>540</v>
      </c>
      <c r="CM36" s="6" t="s">
        <v>1177</v>
      </c>
      <c r="CN36" s="6" t="s">
        <v>174</v>
      </c>
      <c r="CO36" s="0" t="n">
        <v>186</v>
      </c>
      <c r="CP36" s="6" t="s">
        <v>251</v>
      </c>
      <c r="CQ36" s="6" t="s">
        <v>1178</v>
      </c>
      <c r="CR36" s="6" t="s">
        <v>206</v>
      </c>
      <c r="CS36" s="0" t="n">
        <v>0.93</v>
      </c>
      <c r="CT36" s="0" t="n">
        <v>55.2</v>
      </c>
      <c r="CU36" s="0" t="n">
        <v>23.2</v>
      </c>
      <c r="CV36" s="0" t="n">
        <v>15</v>
      </c>
      <c r="CW36" s="0" t="n">
        <v>7</v>
      </c>
      <c r="CX36" s="0" t="n">
        <v>5</v>
      </c>
      <c r="CY36" s="6" t="n">
        <f aca="false">IF(AH36="exact",10,IF(AH36="adjacent",5,0))</f>
        <v>5</v>
      </c>
      <c r="CZ36" s="6" t="n">
        <f aca="false">IF(R36="Y",15,0)</f>
        <v>0</v>
      </c>
      <c r="DF36" s="6" t="s">
        <v>158</v>
      </c>
      <c r="DG36" s="6" t="s">
        <v>211</v>
      </c>
      <c r="DJ36" s="6" t="s">
        <v>1179</v>
      </c>
      <c r="DK36" s="6" t="s">
        <v>1180</v>
      </c>
      <c r="DM36" s="6" t="s">
        <v>1181</v>
      </c>
      <c r="DO36" s="6" t="s">
        <v>1182</v>
      </c>
      <c r="DS36" s="6" t="s">
        <v>158</v>
      </c>
      <c r="DX36" s="6" t="s">
        <v>168</v>
      </c>
      <c r="DY36" s="6" t="s">
        <v>221</v>
      </c>
      <c r="ER36" s="0" t="str">
        <f aca="false">IF(ISNUMBER(MATCH(U36,{"queued","contacted","replied","call_booked","call_done","yes_in_principle","materials_sent"},0)),"Y","N")</f>
        <v>N</v>
      </c>
      <c r="ES36" s="0" t="str">
        <f aca="false">IF(COUNTIFS($AP$2:$AP$1000,AP36,$ER$2:$ER$1000,"Y")+COUNTIFS($AP$2:$AP$1000,AP36,$T$2:$T$1000,"Y")&gt;0,"Y","N")</f>
        <v>N</v>
      </c>
      <c r="ET36" s="0" t="str">
        <f aca="false">IF(AND(U36="new",T36="N",AT36="Y",AS36="",ES36="N"),"Y","N")</f>
        <v>Y</v>
      </c>
      <c r="EU36" s="0" t="str">
        <f aca="false">IF(ET36&lt;&gt;"Y","N",IF(COUNTIFS($AP$2:$AP$1000,AP36,$ET$2:$ET$1000,"Y",$J$2:$J$1000,"&gt;"&amp;J36)+COUNTIFS($AP$2:$AP$1000,AP36,$ET$2:$ET$1000,"Y",$J$2:$J$1000,J36,$EW$2:$EW$1000,"&lt;"&amp;EW36)=0,"Y","N"))</f>
        <v>Y</v>
      </c>
      <c r="EV36" s="0" t="str">
        <f aca="false">IF(Y36="","N",IF(Y36&lt;=10,"Y","N"))</f>
        <v>N</v>
      </c>
      <c r="EW36" s="6" t="n">
        <f aca="false">ROW()-1</f>
        <v>35</v>
      </c>
    </row>
    <row r="37" customFormat="false" ht="15" hidden="false" customHeight="false" outlineLevel="0" collapsed="false">
      <c r="A37" s="0" t="s">
        <v>1183</v>
      </c>
      <c r="B37" s="0" t="s">
        <v>1184</v>
      </c>
      <c r="C37" s="0" t="s">
        <v>451</v>
      </c>
      <c r="D37" s="0" t="s">
        <v>1185</v>
      </c>
      <c r="E37" s="0" t="s">
        <v>1186</v>
      </c>
      <c r="H37" s="5" t="s">
        <v>158</v>
      </c>
      <c r="I37" s="5" t="s">
        <v>159</v>
      </c>
      <c r="J37" s="6" t="n">
        <f aca="false">IF(AX37="pass",ROUND(CU37+CV37+CW37+CX37+CY37+CZ37,1),0)</f>
        <v>54</v>
      </c>
      <c r="K37" s="6" t="s">
        <v>1187</v>
      </c>
      <c r="L37" s="6" t="s">
        <v>395</v>
      </c>
      <c r="R37" s="5" t="s">
        <v>162</v>
      </c>
      <c r="S37" s="6" t="s">
        <v>163</v>
      </c>
      <c r="T37" s="5" t="s">
        <v>162</v>
      </c>
      <c r="U37" s="5" t="s">
        <v>228</v>
      </c>
      <c r="V37" s="6" t="s">
        <v>1188</v>
      </c>
      <c r="W37" s="6" t="s">
        <v>166</v>
      </c>
      <c r="X37" s="6" t="s">
        <v>167</v>
      </c>
      <c r="Y37" s="6" t="n">
        <f aca="false">IF(EU37&lt;&gt;"Y","",COUNTIFS($EU$2:$EU$1000,"Y",$J$2:$J$1000,"&gt;"&amp;J37)+COUNTIFS($EU$2:$EU$1000,"Y",$J$2:$J$1000,J37,$EW$2:$EW$1000,"&lt;"&amp;EW37)+1)</f>
        <v>21</v>
      </c>
      <c r="Z37" s="0" t="n">
        <v>36</v>
      </c>
      <c r="AA37" s="6" t="s">
        <v>168</v>
      </c>
      <c r="AB37" s="6" t="s">
        <v>1189</v>
      </c>
      <c r="AC37" s="6" t="s">
        <v>170</v>
      </c>
      <c r="AD37" s="6" t="s">
        <v>171</v>
      </c>
      <c r="AE37" s="6" t="s">
        <v>1190</v>
      </c>
      <c r="AF37" s="6" t="s">
        <v>1191</v>
      </c>
      <c r="AG37" s="6" t="s">
        <v>174</v>
      </c>
      <c r="AH37" s="5" t="s">
        <v>310</v>
      </c>
      <c r="AI37" s="6" t="s">
        <v>1192</v>
      </c>
      <c r="AJ37" s="6" t="s">
        <v>234</v>
      </c>
      <c r="AK37" s="6" t="s">
        <v>435</v>
      </c>
      <c r="AL37" s="0" t="n">
        <v>50</v>
      </c>
      <c r="AM37" s="0" t="n">
        <v>50</v>
      </c>
      <c r="AN37" s="6" t="s">
        <v>739</v>
      </c>
      <c r="AO37" s="6" t="s">
        <v>163</v>
      </c>
      <c r="AP37" s="6" t="s">
        <v>1183</v>
      </c>
      <c r="AQ37" s="5" t="s">
        <v>162</v>
      </c>
      <c r="AT37" s="0" t="str">
        <f aca="false">IF(AND(AX37="pass",AQ37&lt;&gt;"Y",C37&lt;&gt;"",OR(AW37&lt;&gt;"Y",AV37="Y")),"Y","N")</f>
        <v>Y</v>
      </c>
      <c r="AU37" s="0" t="str">
        <f aca="false">_xlfn.TEXTJOIN("; ",TRUE(),IF(AX37&lt;&gt;"pass","gated out",""),IF(AQ37="Y","on hold: "&amp;AR37,""),IF(C37="","no contact named on an opened page",""),IF(AND(AW37="Y",AV37&lt;&gt;"Y"),"Tuesday estimate band "&amp;L37&amp;": founder's call",""))</f>
        <v/>
      </c>
      <c r="AW37" s="6" t="s">
        <v>162</v>
      </c>
      <c r="AX37" s="6" t="s">
        <v>181</v>
      </c>
      <c r="AY37" s="6" t="s">
        <v>182</v>
      </c>
      <c r="AZ37" s="6" t="s">
        <v>1</v>
      </c>
      <c r="BA37" s="6" t="s">
        <v>1193</v>
      </c>
      <c r="BB37" s="6" t="s">
        <v>163</v>
      </c>
      <c r="BC37" s="6" t="s">
        <v>1194</v>
      </c>
      <c r="BD37" s="6" t="s">
        <v>1195</v>
      </c>
      <c r="BF37" s="6" t="s">
        <v>395</v>
      </c>
      <c r="BG37" s="6" t="s">
        <v>1196</v>
      </c>
      <c r="BH37" s="6" t="s">
        <v>189</v>
      </c>
      <c r="BI37" s="6" t="s">
        <v>1188</v>
      </c>
      <c r="BK37" s="6" t="s">
        <v>163</v>
      </c>
      <c r="BL37" s="6" t="s">
        <v>163</v>
      </c>
      <c r="BM37" s="6" t="s">
        <v>163</v>
      </c>
      <c r="BN37" s="6" t="s">
        <v>163</v>
      </c>
      <c r="BO37" s="6" t="s">
        <v>163</v>
      </c>
      <c r="BP37" s="6" t="s">
        <v>347</v>
      </c>
      <c r="BQ37" s="0" t="n">
        <v>40.739961</v>
      </c>
      <c r="BR37" s="0" t="n">
        <v>-73.990971</v>
      </c>
      <c r="BS37" s="6" t="s">
        <v>168</v>
      </c>
      <c r="BT37" s="0" t="n">
        <v>0</v>
      </c>
      <c r="BU37" s="6" t="s">
        <v>1197</v>
      </c>
      <c r="BV37" s="6" t="s">
        <v>1198</v>
      </c>
      <c r="BW37" s="6" t="s">
        <v>1188</v>
      </c>
      <c r="BX37" s="6" t="s">
        <v>1199</v>
      </c>
      <c r="BY37" s="6" t="s">
        <v>248</v>
      </c>
      <c r="CC37" s="6" t="s">
        <v>179</v>
      </c>
      <c r="CE37" s="6" t="s">
        <v>162</v>
      </c>
      <c r="CH37" s="6" t="s">
        <v>163</v>
      </c>
      <c r="CJ37" s="6" t="s">
        <v>163</v>
      </c>
      <c r="CK37" s="6" t="s">
        <v>162</v>
      </c>
      <c r="CL37" s="6" t="s">
        <v>163</v>
      </c>
      <c r="CO37" s="0" t="n">
        <v>50</v>
      </c>
      <c r="CQ37" s="6" t="s">
        <v>1200</v>
      </c>
      <c r="CR37" s="6" t="s">
        <v>206</v>
      </c>
      <c r="CS37" s="0" t="n">
        <v>1</v>
      </c>
      <c r="CT37" s="0" t="n">
        <v>54</v>
      </c>
      <c r="CU37" s="0" t="n">
        <v>30</v>
      </c>
      <c r="CV37" s="0" t="n">
        <v>8</v>
      </c>
      <c r="CW37" s="0" t="n">
        <v>6</v>
      </c>
      <c r="CX37" s="0" t="n">
        <v>5</v>
      </c>
      <c r="CY37" s="6" t="n">
        <f aca="false">IF(AH37="exact",10,IF(AH37="adjacent",5,0))</f>
        <v>5</v>
      </c>
      <c r="CZ37" s="6" t="n">
        <f aca="false">IF(R37="Y",15,0)</f>
        <v>0</v>
      </c>
      <c r="DA37" s="6" t="s">
        <v>1201</v>
      </c>
      <c r="DB37" s="6" t="s">
        <v>1202</v>
      </c>
      <c r="DC37" s="6" t="s">
        <v>1203</v>
      </c>
      <c r="DF37" s="6" t="s">
        <v>158</v>
      </c>
      <c r="DG37" s="6" t="s">
        <v>211</v>
      </c>
      <c r="DJ37" s="6" t="s">
        <v>1204</v>
      </c>
      <c r="DK37" s="6" t="s">
        <v>1205</v>
      </c>
      <c r="DM37" s="6" t="s">
        <v>1206</v>
      </c>
      <c r="DN37" s="6" t="s">
        <v>669</v>
      </c>
      <c r="DO37" s="6" t="s">
        <v>1207</v>
      </c>
      <c r="DQ37" s="6" t="s">
        <v>216</v>
      </c>
      <c r="DR37" s="6" t="s">
        <v>1208</v>
      </c>
      <c r="DS37" s="6" t="s">
        <v>171</v>
      </c>
      <c r="DT37" s="6" t="s">
        <v>1190</v>
      </c>
      <c r="DU37" s="6" t="s">
        <v>1188</v>
      </c>
      <c r="DV37" s="6" t="s">
        <v>1199</v>
      </c>
      <c r="DW37" s="6" t="s">
        <v>1209</v>
      </c>
      <c r="DX37" s="6" t="s">
        <v>168</v>
      </c>
      <c r="DY37" s="6" t="s">
        <v>221</v>
      </c>
      <c r="ER37" s="0" t="str">
        <f aca="false">IF(ISNUMBER(MATCH(U37,{"queued","contacted","replied","call_booked","call_done","yes_in_principle","materials_sent"},0)),"Y","N")</f>
        <v>N</v>
      </c>
      <c r="ES37" s="0" t="str">
        <f aca="false">IF(COUNTIFS($AP$2:$AP$1000,AP37,$ER$2:$ER$1000,"Y")+COUNTIFS($AP$2:$AP$1000,AP37,$T$2:$T$1000,"Y")&gt;0,"Y","N")</f>
        <v>N</v>
      </c>
      <c r="ET37" s="0" t="str">
        <f aca="false">IF(AND(U37="new",T37="N",AT37="Y",AS37="",ES37="N"),"Y","N")</f>
        <v>Y</v>
      </c>
      <c r="EU37" s="0" t="str">
        <f aca="false">IF(ET37&lt;&gt;"Y","N",IF(COUNTIFS($AP$2:$AP$1000,AP37,$ET$2:$ET$1000,"Y",$J$2:$J$1000,"&gt;"&amp;J37)+COUNTIFS($AP$2:$AP$1000,AP37,$ET$2:$ET$1000,"Y",$J$2:$J$1000,J37,$EW$2:$EW$1000,"&lt;"&amp;EW37)=0,"Y","N"))</f>
        <v>Y</v>
      </c>
      <c r="EV37" s="0" t="str">
        <f aca="false">IF(Y37="","N",IF(Y37&lt;=10,"Y","N"))</f>
        <v>N</v>
      </c>
      <c r="EW37" s="6" t="n">
        <f aca="false">ROW()-1</f>
        <v>36</v>
      </c>
    </row>
    <row r="38" customFormat="false" ht="15" hidden="false" customHeight="false" outlineLevel="0" collapsed="false">
      <c r="A38" s="0" t="s">
        <v>1210</v>
      </c>
      <c r="B38" s="0" t="s">
        <v>1211</v>
      </c>
      <c r="H38" s="5" t="s">
        <v>158</v>
      </c>
      <c r="I38" s="5" t="s">
        <v>594</v>
      </c>
      <c r="J38" s="6" t="n">
        <f aca="false">IF(AX38="pass",ROUND(CU38+CV38+CW38+CX38+CY38+CZ38,1),0)</f>
        <v>54</v>
      </c>
      <c r="K38" s="6" t="s">
        <v>1212</v>
      </c>
      <c r="L38" s="6" t="s">
        <v>561</v>
      </c>
      <c r="R38" s="5" t="s">
        <v>162</v>
      </c>
      <c r="S38" s="6" t="s">
        <v>163</v>
      </c>
      <c r="T38" s="5" t="s">
        <v>162</v>
      </c>
      <c r="U38" s="5" t="s">
        <v>228</v>
      </c>
      <c r="V38" s="6" t="s">
        <v>1213</v>
      </c>
      <c r="W38" s="6" t="s">
        <v>166</v>
      </c>
      <c r="X38" s="6" t="s">
        <v>167</v>
      </c>
      <c r="Y38" s="0" t="str">
        <f aca="false">IF(EU38&lt;&gt;"Y","",COUNTIFS($EU$2:$EU$1000,"Y",$J$2:$J$1000,"&gt;"&amp;J38)+COUNTIFS($EU$2:$EU$1000,"Y",$J$2:$J$1000,J38,$EW$2:$EW$1000,"&lt;"&amp;EW38)+1)</f>
        <v/>
      </c>
      <c r="Z38" s="0" t="n">
        <v>37</v>
      </c>
      <c r="AA38" s="6" t="s">
        <v>168</v>
      </c>
      <c r="AB38" s="6" t="s">
        <v>1214</v>
      </c>
      <c r="AD38" s="6" t="s">
        <v>158</v>
      </c>
      <c r="AH38" s="5" t="s">
        <v>158</v>
      </c>
      <c r="AI38" s="6" t="s">
        <v>1215</v>
      </c>
      <c r="AJ38" s="6" t="s">
        <v>1216</v>
      </c>
      <c r="AK38" s="6" t="s">
        <v>178</v>
      </c>
      <c r="AL38" s="0" t="n">
        <v>22</v>
      </c>
      <c r="AM38" s="0" t="n">
        <v>56</v>
      </c>
      <c r="AN38" s="6" t="s">
        <v>179</v>
      </c>
      <c r="AO38" s="6" t="s">
        <v>180</v>
      </c>
      <c r="AP38" s="6" t="s">
        <v>1210</v>
      </c>
      <c r="AQ38" s="5" t="s">
        <v>162</v>
      </c>
      <c r="AT38" s="0" t="str">
        <f aca="false">IF(AND(AX38="pass",AQ38&lt;&gt;"Y",C38&lt;&gt;"",OR(AW38&lt;&gt;"Y",AV38="Y")),"Y","N")</f>
        <v>N</v>
      </c>
      <c r="AU38" s="0" t="str">
        <f aca="false">_xlfn.TEXTJOIN("; ",TRUE(),IF(AX38&lt;&gt;"pass","gated out",""),IF(AQ38="Y","on hold: "&amp;AR38,""),IF(C38="","no contact named on an opened page",""),IF(AND(AW38="Y",AV38&lt;&gt;"Y"),"Tuesday estimate band "&amp;L38&amp;": founder's call",""))</f>
        <v>no contact named on an opened page; Tuesday estimate band under-40: founder's call</v>
      </c>
      <c r="AW38" s="6" t="s">
        <v>168</v>
      </c>
      <c r="AX38" s="6" t="s">
        <v>181</v>
      </c>
      <c r="AY38" s="6" t="s">
        <v>182</v>
      </c>
      <c r="AZ38" s="6" t="s">
        <v>1</v>
      </c>
      <c r="BA38" s="6" t="s">
        <v>1217</v>
      </c>
      <c r="BB38" s="6" t="s">
        <v>1218</v>
      </c>
      <c r="BC38" s="6" t="s">
        <v>1219</v>
      </c>
      <c r="BD38" s="6" t="s">
        <v>1220</v>
      </c>
      <c r="BE38" s="6" t="s">
        <v>1221</v>
      </c>
      <c r="BF38" s="6" t="s">
        <v>163</v>
      </c>
      <c r="BG38" s="6" t="s">
        <v>163</v>
      </c>
      <c r="BH38" s="6" t="s">
        <v>280</v>
      </c>
      <c r="BI38" s="6" t="s">
        <v>1222</v>
      </c>
      <c r="BJ38" s="6" t="s">
        <v>1223</v>
      </c>
      <c r="BK38" s="6" t="s">
        <v>191</v>
      </c>
      <c r="BL38" s="6" t="s">
        <v>192</v>
      </c>
      <c r="BM38" s="6" t="s">
        <v>168</v>
      </c>
      <c r="BN38" s="6" t="s">
        <v>163</v>
      </c>
      <c r="BO38" s="6" t="s">
        <v>163</v>
      </c>
      <c r="BP38" s="6" t="s">
        <v>347</v>
      </c>
      <c r="BQ38" s="0" t="n">
        <v>40.74082</v>
      </c>
      <c r="BR38" s="0" t="n">
        <v>-73.992366</v>
      </c>
      <c r="BS38" s="6" t="s">
        <v>168</v>
      </c>
      <c r="BT38" s="0" t="n">
        <v>0</v>
      </c>
      <c r="BU38" s="6" t="s">
        <v>1224</v>
      </c>
      <c r="BV38" s="6" t="s">
        <v>1225</v>
      </c>
      <c r="BW38" s="6" t="s">
        <v>1213</v>
      </c>
      <c r="BX38" s="6" t="s">
        <v>1226</v>
      </c>
      <c r="BY38" s="6" t="s">
        <v>248</v>
      </c>
      <c r="BZ38" s="6" t="s">
        <v>1227</v>
      </c>
      <c r="CA38" s="6" t="s">
        <v>166</v>
      </c>
      <c r="CC38" s="6" t="s">
        <v>200</v>
      </c>
      <c r="CE38" s="6" t="s">
        <v>162</v>
      </c>
      <c r="CH38" s="6" t="s">
        <v>163</v>
      </c>
      <c r="CJ38" s="6" t="s">
        <v>163</v>
      </c>
      <c r="CK38" s="6" t="s">
        <v>162</v>
      </c>
      <c r="CL38" s="6" t="s">
        <v>449</v>
      </c>
      <c r="CM38" s="6" t="s">
        <v>1228</v>
      </c>
      <c r="CN38" s="6" t="s">
        <v>174</v>
      </c>
      <c r="CO38" s="0" t="n">
        <v>35</v>
      </c>
      <c r="CP38" s="6" t="s">
        <v>578</v>
      </c>
      <c r="CQ38" s="6" t="s">
        <v>1229</v>
      </c>
      <c r="CR38" s="6" t="s">
        <v>206</v>
      </c>
      <c r="CS38" s="0" t="n">
        <v>0.36</v>
      </c>
      <c r="CT38" s="0" t="n">
        <v>54</v>
      </c>
      <c r="CU38" s="0" t="n">
        <v>9</v>
      </c>
      <c r="CV38" s="0" t="n">
        <v>15</v>
      </c>
      <c r="CW38" s="0" t="n">
        <v>15</v>
      </c>
      <c r="CX38" s="0" t="n">
        <v>15</v>
      </c>
      <c r="CY38" s="6" t="n">
        <f aca="false">IF(AH38="exact",10,IF(AH38="adjacent",5,0))</f>
        <v>0</v>
      </c>
      <c r="CZ38" s="6" t="n">
        <f aca="false">IF(R38="Y",15,0)</f>
        <v>0</v>
      </c>
      <c r="DF38" s="6" t="s">
        <v>158</v>
      </c>
      <c r="DG38" s="6" t="s">
        <v>211</v>
      </c>
      <c r="DJ38" s="6" t="s">
        <v>1230</v>
      </c>
      <c r="DK38" s="6" t="s">
        <v>1231</v>
      </c>
      <c r="DS38" s="6" t="s">
        <v>158</v>
      </c>
      <c r="DX38" s="6" t="s">
        <v>168</v>
      </c>
      <c r="ER38" s="0" t="str">
        <f aca="false">IF(ISNUMBER(MATCH(U38,{"queued","contacted","replied","call_booked","call_done","yes_in_principle","materials_sent"},0)),"Y","N")</f>
        <v>N</v>
      </c>
      <c r="ES38" s="0" t="str">
        <f aca="false">IF(COUNTIFS($AP$2:$AP$1000,AP38,$ER$2:$ER$1000,"Y")+COUNTIFS($AP$2:$AP$1000,AP38,$T$2:$T$1000,"Y")&gt;0,"Y","N")</f>
        <v>N</v>
      </c>
      <c r="ET38" s="0" t="str">
        <f aca="false">IF(AND(U38="new",T38="N",AT38="Y",AS38="",ES38="N"),"Y","N")</f>
        <v>N</v>
      </c>
      <c r="EU38" s="0" t="str">
        <f aca="false">IF(ET38&lt;&gt;"Y","N",IF(COUNTIFS($AP$2:$AP$1000,AP38,$ET$2:$ET$1000,"Y",$J$2:$J$1000,"&gt;"&amp;J38)+COUNTIFS($AP$2:$AP$1000,AP38,$ET$2:$ET$1000,"Y",$J$2:$J$1000,J38,$EW$2:$EW$1000,"&lt;"&amp;EW38)=0,"Y","N"))</f>
        <v>N</v>
      </c>
      <c r="EV38" s="0" t="str">
        <f aca="false">IF(Y38="","N",IF(Y38&lt;=10,"Y","N"))</f>
        <v>N</v>
      </c>
      <c r="EW38" s="6" t="n">
        <f aca="false">ROW()-1</f>
        <v>37</v>
      </c>
    </row>
    <row r="39" customFormat="false" ht="15" hidden="false" customHeight="false" outlineLevel="0" collapsed="false">
      <c r="A39" s="0" t="s">
        <v>1232</v>
      </c>
      <c r="B39" s="0" t="s">
        <v>1233</v>
      </c>
      <c r="H39" s="5" t="s">
        <v>158</v>
      </c>
      <c r="I39" s="5" t="s">
        <v>594</v>
      </c>
      <c r="J39" s="6" t="n">
        <f aca="false">IF(AX39="pass",ROUND(CU39+CV39+CW39+CX39+CY39+CZ39,1),0)</f>
        <v>52.4</v>
      </c>
      <c r="K39" s="6" t="s">
        <v>1234</v>
      </c>
      <c r="L39" s="6" t="s">
        <v>395</v>
      </c>
      <c r="R39" s="5" t="s">
        <v>162</v>
      </c>
      <c r="S39" s="6" t="s">
        <v>163</v>
      </c>
      <c r="T39" s="5" t="s">
        <v>162</v>
      </c>
      <c r="U39" s="5" t="s">
        <v>228</v>
      </c>
      <c r="V39" s="6" t="s">
        <v>1235</v>
      </c>
      <c r="W39" s="6" t="s">
        <v>166</v>
      </c>
      <c r="X39" s="6" t="s">
        <v>167</v>
      </c>
      <c r="Y39" s="0" t="str">
        <f aca="false">IF(EU39&lt;&gt;"Y","",COUNTIFS($EU$2:$EU$1000,"Y",$J$2:$J$1000,"&gt;"&amp;J39)+COUNTIFS($EU$2:$EU$1000,"Y",$J$2:$J$1000,J39,$EW$2:$EW$1000,"&lt;"&amp;EW39)+1)</f>
        <v/>
      </c>
      <c r="Z39" s="0" t="n">
        <v>38</v>
      </c>
      <c r="AA39" s="6" t="s">
        <v>168</v>
      </c>
      <c r="AB39" s="6" t="s">
        <v>597</v>
      </c>
      <c r="AD39" s="6" t="s">
        <v>158</v>
      </c>
      <c r="AH39" s="5" t="s">
        <v>158</v>
      </c>
      <c r="AI39" s="6" t="s">
        <v>837</v>
      </c>
      <c r="AJ39" s="6" t="s">
        <v>163</v>
      </c>
      <c r="AK39" s="6" t="s">
        <v>178</v>
      </c>
      <c r="AL39" s="0" t="n">
        <v>9</v>
      </c>
      <c r="AM39" s="0" t="n">
        <v>224</v>
      </c>
      <c r="AN39" s="6" t="s">
        <v>179</v>
      </c>
      <c r="AO39" s="6" t="s">
        <v>180</v>
      </c>
      <c r="AP39" s="6" t="s">
        <v>1232</v>
      </c>
      <c r="AQ39" s="5" t="s">
        <v>162</v>
      </c>
      <c r="AT39" s="0" t="str">
        <f aca="false">IF(AND(AX39="pass",AQ39&lt;&gt;"Y",C39&lt;&gt;"",OR(AW39&lt;&gt;"Y",AV39="Y")),"Y","N")</f>
        <v>N</v>
      </c>
      <c r="AU39" s="0" t="str">
        <f aca="false">_xlfn.TEXTJOIN("; ",TRUE(),IF(AX39&lt;&gt;"pass","gated out",""),IF(AQ39="Y","on hold: "&amp;AR39,""),IF(C39="","no contact named on an opened page",""),IF(AND(AW39="Y",AV39&lt;&gt;"Y"),"Tuesday estimate band "&amp;L39&amp;": founder's call",""))</f>
        <v>no contact named on an opened page</v>
      </c>
      <c r="AW39" s="6" t="s">
        <v>162</v>
      </c>
      <c r="AX39" s="6" t="s">
        <v>181</v>
      </c>
      <c r="AY39" s="6" t="s">
        <v>182</v>
      </c>
      <c r="AZ39" s="6" t="s">
        <v>1</v>
      </c>
      <c r="BA39" s="6" t="s">
        <v>1236</v>
      </c>
      <c r="BB39" s="6" t="s">
        <v>1237</v>
      </c>
      <c r="BC39" s="6" t="s">
        <v>1238</v>
      </c>
      <c r="BD39" s="6" t="s">
        <v>1239</v>
      </c>
      <c r="BE39" s="6" t="s">
        <v>1240</v>
      </c>
      <c r="BF39" s="6" t="s">
        <v>240</v>
      </c>
      <c r="BG39" s="6" t="s">
        <v>188</v>
      </c>
      <c r="BH39" s="6" t="s">
        <v>241</v>
      </c>
      <c r="BI39" s="6" t="s">
        <v>1241</v>
      </c>
      <c r="BJ39" s="6" t="s">
        <v>1242</v>
      </c>
      <c r="BK39" s="6" t="s">
        <v>191</v>
      </c>
      <c r="BL39" s="6" t="s">
        <v>1243</v>
      </c>
      <c r="BM39" s="6" t="s">
        <v>162</v>
      </c>
      <c r="BN39" s="6" t="s">
        <v>1244</v>
      </c>
      <c r="BO39" s="6" t="s">
        <v>163</v>
      </c>
      <c r="BP39" s="6" t="s">
        <v>347</v>
      </c>
      <c r="BQ39" s="0" t="n">
        <v>40.743006</v>
      </c>
      <c r="BR39" s="0" t="n">
        <v>-73.98947</v>
      </c>
      <c r="BS39" s="6" t="s">
        <v>168</v>
      </c>
      <c r="BT39" s="0" t="n">
        <v>0</v>
      </c>
      <c r="BU39" s="6" t="s">
        <v>843</v>
      </c>
      <c r="BV39" s="6" t="s">
        <v>844</v>
      </c>
      <c r="BW39" s="6" t="s">
        <v>1235</v>
      </c>
      <c r="BX39" s="6" t="s">
        <v>1245</v>
      </c>
      <c r="BY39" s="6" t="s">
        <v>248</v>
      </c>
      <c r="CC39" s="6" t="s">
        <v>739</v>
      </c>
      <c r="CE39" s="6" t="s">
        <v>162</v>
      </c>
      <c r="CH39" s="6" t="s">
        <v>201</v>
      </c>
      <c r="CI39" s="6" t="s">
        <v>846</v>
      </c>
      <c r="CJ39" s="6" t="s">
        <v>163</v>
      </c>
      <c r="CK39" s="6" t="s">
        <v>162</v>
      </c>
      <c r="CL39" s="6" t="s">
        <v>577</v>
      </c>
      <c r="CM39" s="6" t="s">
        <v>1241</v>
      </c>
      <c r="CN39" s="6" t="s">
        <v>174</v>
      </c>
      <c r="CO39" s="0" t="n">
        <v>45</v>
      </c>
      <c r="CP39" s="6" t="s">
        <v>969</v>
      </c>
      <c r="CQ39" s="6" t="s">
        <v>1246</v>
      </c>
      <c r="CR39" s="6" t="s">
        <v>206</v>
      </c>
      <c r="CS39" s="0" t="n">
        <v>0.54</v>
      </c>
      <c r="CT39" s="0" t="n">
        <v>52.4</v>
      </c>
      <c r="CU39" s="0" t="n">
        <v>13.4</v>
      </c>
      <c r="CV39" s="0" t="n">
        <v>11</v>
      </c>
      <c r="CW39" s="0" t="n">
        <v>15</v>
      </c>
      <c r="CX39" s="0" t="n">
        <v>13</v>
      </c>
      <c r="CY39" s="6" t="n">
        <f aca="false">IF(AH39="exact",10,IF(AH39="adjacent",5,0))</f>
        <v>0</v>
      </c>
      <c r="CZ39" s="6" t="n">
        <f aca="false">IF(R39="Y",15,0)</f>
        <v>0</v>
      </c>
      <c r="DF39" s="6" t="s">
        <v>158</v>
      </c>
      <c r="DG39" s="6" t="s">
        <v>211</v>
      </c>
      <c r="DK39" s="6" t="s">
        <v>1247</v>
      </c>
      <c r="DS39" s="6" t="s">
        <v>158</v>
      </c>
      <c r="DX39" s="6" t="s">
        <v>168</v>
      </c>
      <c r="ER39" s="0" t="str">
        <f aca="false">IF(ISNUMBER(MATCH(U39,{"queued","contacted","replied","call_booked","call_done","yes_in_principle","materials_sent"},0)),"Y","N")</f>
        <v>N</v>
      </c>
      <c r="ES39" s="0" t="str">
        <f aca="false">IF(COUNTIFS($AP$2:$AP$1000,AP39,$ER$2:$ER$1000,"Y")+COUNTIFS($AP$2:$AP$1000,AP39,$T$2:$T$1000,"Y")&gt;0,"Y","N")</f>
        <v>N</v>
      </c>
      <c r="ET39" s="0" t="str">
        <f aca="false">IF(AND(U39="new",T39="N",AT39="Y",AS39="",ES39="N"),"Y","N")</f>
        <v>N</v>
      </c>
      <c r="EU39" s="0" t="str">
        <f aca="false">IF(ET39&lt;&gt;"Y","N",IF(COUNTIFS($AP$2:$AP$1000,AP39,$ET$2:$ET$1000,"Y",$J$2:$J$1000,"&gt;"&amp;J39)+COUNTIFS($AP$2:$AP$1000,AP39,$ET$2:$ET$1000,"Y",$J$2:$J$1000,J39,$EW$2:$EW$1000,"&lt;"&amp;EW39)=0,"Y","N"))</f>
        <v>N</v>
      </c>
      <c r="EV39" s="0" t="str">
        <f aca="false">IF(Y39="","N",IF(Y39&lt;=10,"Y","N"))</f>
        <v>N</v>
      </c>
      <c r="EW39" s="6" t="n">
        <f aca="false">ROW()-1</f>
        <v>38</v>
      </c>
    </row>
    <row r="40" customFormat="false" ht="15" hidden="false" customHeight="false" outlineLevel="0" collapsed="false">
      <c r="A40" s="0" t="s">
        <v>1248</v>
      </c>
      <c r="B40" s="0" t="s">
        <v>1249</v>
      </c>
      <c r="C40" s="0" t="s">
        <v>1250</v>
      </c>
      <c r="D40" s="0" t="s">
        <v>1251</v>
      </c>
      <c r="E40" s="0" t="s">
        <v>1252</v>
      </c>
      <c r="H40" s="5" t="s">
        <v>158</v>
      </c>
      <c r="I40" s="5" t="s">
        <v>159</v>
      </c>
      <c r="J40" s="6" t="n">
        <f aca="false">IF(AX40="pass",ROUND(CU40+CV40+CW40+CX40+CY40+CZ40,1),0)</f>
        <v>52.3</v>
      </c>
      <c r="K40" s="6" t="s">
        <v>1253</v>
      </c>
      <c r="L40" s="6" t="s">
        <v>187</v>
      </c>
      <c r="R40" s="5" t="s">
        <v>162</v>
      </c>
      <c r="S40" s="6" t="s">
        <v>163</v>
      </c>
      <c r="T40" s="5" t="s">
        <v>162</v>
      </c>
      <c r="U40" s="5" t="s">
        <v>228</v>
      </c>
      <c r="V40" s="6" t="s">
        <v>1254</v>
      </c>
      <c r="W40" s="6" t="s">
        <v>166</v>
      </c>
      <c r="X40" s="6" t="s">
        <v>167</v>
      </c>
      <c r="Y40" s="6" t="n">
        <f aca="false">IF(EU40&lt;&gt;"Y","",COUNTIFS($EU$2:$EU$1000,"Y",$J$2:$J$1000,"&gt;"&amp;J40)+COUNTIFS($EU$2:$EU$1000,"Y",$J$2:$J$1000,J40,$EW$2:$EW$1000,"&lt;"&amp;EW40)+1)</f>
        <v>22</v>
      </c>
      <c r="Z40" s="0" t="n">
        <v>39</v>
      </c>
      <c r="AA40" s="6" t="s">
        <v>168</v>
      </c>
      <c r="AB40" s="6" t="s">
        <v>1255</v>
      </c>
      <c r="AC40" s="6" t="s">
        <v>170</v>
      </c>
      <c r="AD40" s="6" t="s">
        <v>171</v>
      </c>
      <c r="AE40" s="6" t="s">
        <v>172</v>
      </c>
      <c r="AF40" s="6" t="s">
        <v>1256</v>
      </c>
      <c r="AG40" s="6" t="s">
        <v>174</v>
      </c>
      <c r="AH40" s="5" t="s">
        <v>310</v>
      </c>
      <c r="AI40" s="6" t="s">
        <v>1257</v>
      </c>
      <c r="AJ40" s="6" t="s">
        <v>1258</v>
      </c>
      <c r="AK40" s="6" t="s">
        <v>178</v>
      </c>
      <c r="AL40" s="0" t="n">
        <v>100</v>
      </c>
      <c r="AM40" s="0" t="n">
        <v>309</v>
      </c>
      <c r="AN40" s="6" t="s">
        <v>179</v>
      </c>
      <c r="AO40" s="6" t="s">
        <v>163</v>
      </c>
      <c r="AP40" s="6" t="s">
        <v>1248</v>
      </c>
      <c r="AQ40" s="5" t="s">
        <v>162</v>
      </c>
      <c r="AT40" s="0" t="str">
        <f aca="false">IF(AND(AX40="pass",AQ40&lt;&gt;"Y",C40&lt;&gt;"",OR(AW40&lt;&gt;"Y",AV40="Y")),"Y","N")</f>
        <v>Y</v>
      </c>
      <c r="AU40" s="0" t="str">
        <f aca="false">_xlfn.TEXTJOIN("; ",TRUE(),IF(AX40&lt;&gt;"pass","gated out",""),IF(AQ40="Y","on hold: "&amp;AR40,""),IF(C40="","no contact named on an opened page",""),IF(AND(AW40="Y",AV40&lt;&gt;"Y"),"Tuesday estimate band "&amp;L40&amp;": founder's call",""))</f>
        <v/>
      </c>
      <c r="AW40" s="6" t="s">
        <v>162</v>
      </c>
      <c r="AX40" s="6" t="s">
        <v>181</v>
      </c>
      <c r="AY40" s="6" t="s">
        <v>182</v>
      </c>
      <c r="AZ40" s="6" t="s">
        <v>1</v>
      </c>
      <c r="BA40" s="6" t="s">
        <v>1259</v>
      </c>
      <c r="BB40" s="6" t="s">
        <v>1260</v>
      </c>
      <c r="BC40" s="6" t="s">
        <v>1261</v>
      </c>
      <c r="BD40" s="6" t="s">
        <v>1069</v>
      </c>
      <c r="BE40" s="6" t="s">
        <v>1262</v>
      </c>
      <c r="BF40" s="6" t="s">
        <v>163</v>
      </c>
      <c r="BG40" s="6" t="s">
        <v>163</v>
      </c>
      <c r="BH40" s="6" t="s">
        <v>280</v>
      </c>
      <c r="BI40" s="6" t="s">
        <v>1254</v>
      </c>
      <c r="BJ40" s="6" t="s">
        <v>1263</v>
      </c>
      <c r="BK40" s="6" t="s">
        <v>1264</v>
      </c>
      <c r="BL40" s="6" t="s">
        <v>192</v>
      </c>
      <c r="BM40" s="6" t="s">
        <v>168</v>
      </c>
      <c r="BN40" s="6" t="s">
        <v>163</v>
      </c>
      <c r="BO40" s="6" t="s">
        <v>163</v>
      </c>
      <c r="BP40" s="6" t="s">
        <v>193</v>
      </c>
      <c r="BQ40" s="0" t="n">
        <v>40.7357</v>
      </c>
      <c r="BR40" s="0" t="n">
        <v>-73.991754</v>
      </c>
      <c r="BS40" s="6" t="s">
        <v>168</v>
      </c>
      <c r="BT40" s="0" t="n">
        <v>0</v>
      </c>
      <c r="BU40" s="6" t="s">
        <v>1265</v>
      </c>
      <c r="BV40" s="6" t="s">
        <v>1266</v>
      </c>
      <c r="BW40" s="6" t="s">
        <v>1254</v>
      </c>
      <c r="BX40" s="6" t="s">
        <v>166</v>
      </c>
      <c r="BY40" s="6" t="s">
        <v>196</v>
      </c>
      <c r="BZ40" s="6" t="s">
        <v>1267</v>
      </c>
      <c r="CA40" s="6" t="s">
        <v>1268</v>
      </c>
      <c r="CC40" s="6" t="s">
        <v>200</v>
      </c>
      <c r="CE40" s="6" t="s">
        <v>162</v>
      </c>
      <c r="CH40" s="6" t="s">
        <v>163</v>
      </c>
      <c r="CJ40" s="6" t="s">
        <v>163</v>
      </c>
      <c r="CK40" s="6" t="s">
        <v>162</v>
      </c>
      <c r="CL40" s="6" t="s">
        <v>163</v>
      </c>
      <c r="CO40" s="0" t="n">
        <v>176</v>
      </c>
      <c r="CP40" s="6" t="s">
        <v>251</v>
      </c>
      <c r="CQ40" s="6" t="s">
        <v>1269</v>
      </c>
      <c r="CR40" s="6" t="s">
        <v>206</v>
      </c>
      <c r="CS40" s="0" t="n">
        <v>0.81</v>
      </c>
      <c r="CT40" s="0" t="n">
        <v>52.3</v>
      </c>
      <c r="CU40" s="0" t="n">
        <v>20.3</v>
      </c>
      <c r="CV40" s="0" t="n">
        <v>6</v>
      </c>
      <c r="CW40" s="0" t="n">
        <v>6</v>
      </c>
      <c r="CX40" s="0" t="n">
        <v>15</v>
      </c>
      <c r="CY40" s="6" t="n">
        <f aca="false">IF(AH40="exact",10,IF(AH40="adjacent",5,0))</f>
        <v>5</v>
      </c>
      <c r="CZ40" s="6" t="n">
        <f aca="false">IF(R40="Y",15,0)</f>
        <v>0</v>
      </c>
      <c r="DF40" s="6" t="s">
        <v>158</v>
      </c>
      <c r="DG40" s="6" t="s">
        <v>211</v>
      </c>
      <c r="DK40" s="6" t="s">
        <v>1270</v>
      </c>
      <c r="DM40" s="6" t="s">
        <v>1271</v>
      </c>
      <c r="DO40" s="6" t="s">
        <v>1272</v>
      </c>
      <c r="DS40" s="6" t="s">
        <v>158</v>
      </c>
      <c r="DX40" s="6" t="s">
        <v>168</v>
      </c>
      <c r="DY40" s="6" t="s">
        <v>264</v>
      </c>
      <c r="ER40" s="0" t="str">
        <f aca="false">IF(ISNUMBER(MATCH(U40,{"queued","contacted","replied","call_booked","call_done","yes_in_principle","materials_sent"},0)),"Y","N")</f>
        <v>N</v>
      </c>
      <c r="ES40" s="0" t="str">
        <f aca="false">IF(COUNTIFS($AP$2:$AP$1000,AP40,$ER$2:$ER$1000,"Y")+COUNTIFS($AP$2:$AP$1000,AP40,$T$2:$T$1000,"Y")&gt;0,"Y","N")</f>
        <v>N</v>
      </c>
      <c r="ET40" s="0" t="str">
        <f aca="false">IF(AND(U40="new",T40="N",AT40="Y",AS40="",ES40="N"),"Y","N")</f>
        <v>Y</v>
      </c>
      <c r="EU40" s="0" t="str">
        <f aca="false">IF(ET40&lt;&gt;"Y","N",IF(COUNTIFS($AP$2:$AP$1000,AP40,$ET$2:$ET$1000,"Y",$J$2:$J$1000,"&gt;"&amp;J40)+COUNTIFS($AP$2:$AP$1000,AP40,$ET$2:$ET$1000,"Y",$J$2:$J$1000,J40,$EW$2:$EW$1000,"&lt;"&amp;EW40)=0,"Y","N"))</f>
        <v>Y</v>
      </c>
      <c r="EV40" s="0" t="str">
        <f aca="false">IF(Y40="","N",IF(Y40&lt;=10,"Y","N"))</f>
        <v>N</v>
      </c>
      <c r="EW40" s="6" t="n">
        <f aca="false">ROW()-1</f>
        <v>39</v>
      </c>
    </row>
    <row r="41" customFormat="false" ht="15" hidden="false" customHeight="false" outlineLevel="0" collapsed="false">
      <c r="A41" s="0" t="s">
        <v>1273</v>
      </c>
      <c r="B41" s="0" t="s">
        <v>1274</v>
      </c>
      <c r="H41" s="5" t="s">
        <v>158</v>
      </c>
      <c r="I41" s="5" t="s">
        <v>594</v>
      </c>
      <c r="J41" s="6" t="n">
        <f aca="false">IF(AX41="pass",ROUND(CU41+CV41+CW41+CX41+CY41+CZ41,1),0)</f>
        <v>52</v>
      </c>
      <c r="K41" s="6" t="s">
        <v>1275</v>
      </c>
      <c r="L41" s="6" t="s">
        <v>395</v>
      </c>
      <c r="R41" s="5" t="s">
        <v>162</v>
      </c>
      <c r="S41" s="6" t="s">
        <v>163</v>
      </c>
      <c r="T41" s="5" t="s">
        <v>162</v>
      </c>
      <c r="U41" s="5" t="s">
        <v>228</v>
      </c>
      <c r="V41" s="6" t="s">
        <v>197</v>
      </c>
      <c r="W41" s="6" t="s">
        <v>166</v>
      </c>
      <c r="X41" s="6" t="s">
        <v>167</v>
      </c>
      <c r="Y41" s="0" t="str">
        <f aca="false">IF(EU41&lt;&gt;"Y","",COUNTIFS($EU$2:$EU$1000,"Y",$J$2:$J$1000,"&gt;"&amp;J41)+COUNTIFS($EU$2:$EU$1000,"Y",$J$2:$J$1000,J41,$EW$2:$EW$1000,"&lt;"&amp;EW41)+1)</f>
        <v/>
      </c>
      <c r="Z41" s="0" t="n">
        <v>40</v>
      </c>
      <c r="AA41" s="6" t="s">
        <v>168</v>
      </c>
      <c r="AB41" s="6" t="s">
        <v>597</v>
      </c>
      <c r="AD41" s="6" t="s">
        <v>158</v>
      </c>
      <c r="AH41" s="5" t="s">
        <v>158</v>
      </c>
      <c r="AI41" s="6" t="s">
        <v>176</v>
      </c>
      <c r="AJ41" s="6" t="s">
        <v>1276</v>
      </c>
      <c r="AK41" s="6" t="s">
        <v>178</v>
      </c>
      <c r="AL41" s="0" t="n">
        <v>10</v>
      </c>
      <c r="AM41" s="0" t="n">
        <v>234</v>
      </c>
      <c r="AN41" s="6" t="s">
        <v>179</v>
      </c>
      <c r="AO41" s="6" t="s">
        <v>274</v>
      </c>
      <c r="AP41" s="6" t="s">
        <v>1273</v>
      </c>
      <c r="AQ41" s="5" t="s">
        <v>162</v>
      </c>
      <c r="AT41" s="0" t="str">
        <f aca="false">IF(AND(AX41="pass",AQ41&lt;&gt;"Y",C41&lt;&gt;"",OR(AW41&lt;&gt;"Y",AV41="Y")),"Y","N")</f>
        <v>N</v>
      </c>
      <c r="AU41" s="0" t="str">
        <f aca="false">_xlfn.TEXTJOIN("; ",TRUE(),IF(AX41&lt;&gt;"pass","gated out",""),IF(AQ41="Y","on hold: "&amp;AR41,""),IF(C41="","no contact named on an opened page",""),IF(AND(AW41="Y",AV41&lt;&gt;"Y"),"Tuesday estimate band "&amp;L41&amp;": founder's call",""))</f>
        <v>no contact named on an opened page</v>
      </c>
      <c r="AW41" s="6" t="s">
        <v>162</v>
      </c>
      <c r="AX41" s="6" t="s">
        <v>181</v>
      </c>
      <c r="AY41" s="6" t="s">
        <v>182</v>
      </c>
      <c r="AZ41" s="6" t="s">
        <v>1</v>
      </c>
      <c r="BA41" s="6" t="s">
        <v>1277</v>
      </c>
      <c r="BB41" s="6" t="s">
        <v>1278</v>
      </c>
      <c r="BC41" s="6" t="s">
        <v>1279</v>
      </c>
      <c r="BD41" s="6" t="s">
        <v>1069</v>
      </c>
      <c r="BE41" s="6" t="s">
        <v>1280</v>
      </c>
      <c r="BF41" s="6" t="s">
        <v>240</v>
      </c>
      <c r="BG41" s="6" t="s">
        <v>188</v>
      </c>
      <c r="BH41" s="6" t="s">
        <v>241</v>
      </c>
      <c r="BI41" s="6" t="s">
        <v>1281</v>
      </c>
      <c r="BJ41" s="6" t="s">
        <v>1282</v>
      </c>
      <c r="BK41" s="6" t="s">
        <v>191</v>
      </c>
      <c r="BL41" s="6" t="s">
        <v>656</v>
      </c>
      <c r="BM41" s="6" t="s">
        <v>162</v>
      </c>
      <c r="BN41" s="6" t="s">
        <v>163</v>
      </c>
      <c r="BO41" s="6" t="s">
        <v>163</v>
      </c>
      <c r="BP41" s="6" t="s">
        <v>193</v>
      </c>
      <c r="BQ41" s="0" t="n">
        <v>40.73686</v>
      </c>
      <c r="BR41" s="0" t="n">
        <v>-73.988546</v>
      </c>
      <c r="BS41" s="6" t="s">
        <v>168</v>
      </c>
      <c r="BT41" s="0" t="n">
        <v>0</v>
      </c>
      <c r="BU41" s="6" t="s">
        <v>194</v>
      </c>
      <c r="BV41" s="6" t="s">
        <v>195</v>
      </c>
      <c r="BW41" s="6" t="s">
        <v>197</v>
      </c>
      <c r="BX41" s="6" t="s">
        <v>198</v>
      </c>
      <c r="BY41" s="6" t="s">
        <v>283</v>
      </c>
      <c r="CB41" s="6" t="s">
        <v>199</v>
      </c>
      <c r="CC41" s="6" t="s">
        <v>739</v>
      </c>
      <c r="CE41" s="6" t="s">
        <v>162</v>
      </c>
      <c r="CH41" s="6" t="s">
        <v>201</v>
      </c>
      <c r="CI41" s="6" t="s">
        <v>202</v>
      </c>
      <c r="CJ41" s="6" t="s">
        <v>163</v>
      </c>
      <c r="CK41" s="6" t="s">
        <v>162</v>
      </c>
      <c r="CL41" s="6" t="s">
        <v>286</v>
      </c>
      <c r="CM41" s="6" t="s">
        <v>1283</v>
      </c>
      <c r="CN41" s="6" t="s">
        <v>174</v>
      </c>
      <c r="CO41" s="0" t="n">
        <v>48</v>
      </c>
      <c r="CP41" s="6" t="s">
        <v>969</v>
      </c>
      <c r="CQ41" s="6" t="s">
        <v>1284</v>
      </c>
      <c r="CR41" s="6" t="s">
        <v>206</v>
      </c>
      <c r="CS41" s="0" t="n">
        <v>0.56</v>
      </c>
      <c r="CT41" s="0" t="n">
        <v>52</v>
      </c>
      <c r="CU41" s="0" t="n">
        <v>14</v>
      </c>
      <c r="CV41" s="0" t="n">
        <v>15</v>
      </c>
      <c r="CW41" s="0" t="n">
        <v>10</v>
      </c>
      <c r="CX41" s="0" t="n">
        <v>13</v>
      </c>
      <c r="CY41" s="6" t="n">
        <f aca="false">IF(AH41="exact",10,IF(AH41="adjacent",5,0))</f>
        <v>0</v>
      </c>
      <c r="CZ41" s="6" t="n">
        <f aca="false">IF(R41="Y",15,0)</f>
        <v>0</v>
      </c>
      <c r="DF41" s="6" t="s">
        <v>158</v>
      </c>
      <c r="DG41" s="6" t="s">
        <v>211</v>
      </c>
      <c r="DJ41" s="6" t="s">
        <v>1285</v>
      </c>
      <c r="DK41" s="6" t="s">
        <v>1286</v>
      </c>
      <c r="DS41" s="6" t="s">
        <v>158</v>
      </c>
      <c r="DX41" s="6" t="s">
        <v>168</v>
      </c>
      <c r="ER41" s="0" t="str">
        <f aca="false">IF(ISNUMBER(MATCH(U41,{"queued","contacted","replied","call_booked","call_done","yes_in_principle","materials_sent"},0)),"Y","N")</f>
        <v>N</v>
      </c>
      <c r="ES41" s="0" t="str">
        <f aca="false">IF(COUNTIFS($AP$2:$AP$1000,AP41,$ER$2:$ER$1000,"Y")+COUNTIFS($AP$2:$AP$1000,AP41,$T$2:$T$1000,"Y")&gt;0,"Y","N")</f>
        <v>N</v>
      </c>
      <c r="ET41" s="0" t="str">
        <f aca="false">IF(AND(U41="new",T41="N",AT41="Y",AS41="",ES41="N"),"Y","N")</f>
        <v>N</v>
      </c>
      <c r="EU41" s="0" t="str">
        <f aca="false">IF(ET41&lt;&gt;"Y","N",IF(COUNTIFS($AP$2:$AP$1000,AP41,$ET$2:$ET$1000,"Y",$J$2:$J$1000,"&gt;"&amp;J41)+COUNTIFS($AP$2:$AP$1000,AP41,$ET$2:$ET$1000,"Y",$J$2:$J$1000,J41,$EW$2:$EW$1000,"&lt;"&amp;EW41)=0,"Y","N"))</f>
        <v>N</v>
      </c>
      <c r="EV41" s="0" t="str">
        <f aca="false">IF(Y41="","N",IF(Y41&lt;=10,"Y","N"))</f>
        <v>N</v>
      </c>
      <c r="EW41" s="6" t="n">
        <f aca="false">ROW()-1</f>
        <v>40</v>
      </c>
    </row>
    <row r="42" customFormat="false" ht="15" hidden="false" customHeight="false" outlineLevel="0" collapsed="false">
      <c r="A42" s="0" t="s">
        <v>1287</v>
      </c>
      <c r="B42" s="0" t="s">
        <v>1288</v>
      </c>
      <c r="H42" s="5" t="s">
        <v>158</v>
      </c>
      <c r="I42" s="5" t="s">
        <v>594</v>
      </c>
      <c r="J42" s="6" t="n">
        <f aca="false">IF(AX42="pass",ROUND(CU42+CV42+CW42+CX42+CY42+CZ42,1),0)</f>
        <v>51.7</v>
      </c>
      <c r="K42" s="6" t="s">
        <v>1289</v>
      </c>
      <c r="L42" s="6" t="s">
        <v>161</v>
      </c>
      <c r="O42" s="6" t="s">
        <v>1290</v>
      </c>
      <c r="P42" s="6" t="s">
        <v>1291</v>
      </c>
      <c r="Q42" s="6" t="s">
        <v>1292</v>
      </c>
      <c r="R42" s="5" t="s">
        <v>162</v>
      </c>
      <c r="S42" s="6" t="s">
        <v>163</v>
      </c>
      <c r="T42" s="5" t="s">
        <v>162</v>
      </c>
      <c r="U42" s="5" t="s">
        <v>228</v>
      </c>
      <c r="V42" s="6" t="s">
        <v>1291</v>
      </c>
      <c r="W42" s="6" t="s">
        <v>166</v>
      </c>
      <c r="X42" s="6" t="s">
        <v>167</v>
      </c>
      <c r="Y42" s="0" t="str">
        <f aca="false">IF(EU42&lt;&gt;"Y","",COUNTIFS($EU$2:$EU$1000,"Y",$J$2:$J$1000,"&gt;"&amp;J42)+COUNTIFS($EU$2:$EU$1000,"Y",$J$2:$J$1000,J42,$EW$2:$EW$1000,"&lt;"&amp;EW42)+1)</f>
        <v/>
      </c>
      <c r="Z42" s="0" t="n">
        <v>41</v>
      </c>
      <c r="AA42" s="6" t="s">
        <v>168</v>
      </c>
      <c r="AB42" s="6" t="s">
        <v>597</v>
      </c>
      <c r="AD42" s="6" t="s">
        <v>158</v>
      </c>
      <c r="AH42" s="5" t="s">
        <v>158</v>
      </c>
      <c r="AI42" s="6" t="s">
        <v>1293</v>
      </c>
      <c r="AJ42" s="6" t="s">
        <v>889</v>
      </c>
      <c r="AK42" s="6" t="s">
        <v>890</v>
      </c>
      <c r="AL42" s="0" t="n">
        <v>58</v>
      </c>
      <c r="AM42" s="0" t="n">
        <v>255</v>
      </c>
      <c r="AN42" s="6" t="s">
        <v>179</v>
      </c>
      <c r="AO42" s="6" t="s">
        <v>370</v>
      </c>
      <c r="AP42" s="6" t="s">
        <v>1287</v>
      </c>
      <c r="AQ42" s="5" t="s">
        <v>168</v>
      </c>
      <c r="AR42" s="6" t="s">
        <v>1294</v>
      </c>
      <c r="AT42" s="0" t="str">
        <f aca="false">IF(AND(AX42="pass",AQ42&lt;&gt;"Y",C42&lt;&gt;"",OR(AW42&lt;&gt;"Y",AV42="Y")),"Y","N")</f>
        <v>N</v>
      </c>
      <c r="AU42" s="0" t="str">
        <f aca="false">_xlfn.TEXTJOIN("; ",TRUE(),IF(AX42&lt;&gt;"pass","gated out",""),IF(AQ42="Y","on hold: "&amp;AR42,""),IF(C42="","no contact named on an opened page",""),IF(AND(AW42="Y",AV42&lt;&gt;"Y"),"Tuesday estimate band "&amp;L42&amp;": founder's call",""))</f>
        <v>on hold: lease signed, move not confirmed: check the lobby directory before outreach (B); still in a coworking space until the move; no contact named on an opened page</v>
      </c>
      <c r="AW42" s="6" t="s">
        <v>162</v>
      </c>
      <c r="AX42" s="6" t="s">
        <v>181</v>
      </c>
      <c r="AY42" s="6" t="s">
        <v>182</v>
      </c>
      <c r="AZ42" s="6" t="s">
        <v>1</v>
      </c>
      <c r="BA42" s="6" t="s">
        <v>1295</v>
      </c>
      <c r="BB42" s="6" t="s">
        <v>1296</v>
      </c>
      <c r="BC42" s="6" t="s">
        <v>1297</v>
      </c>
      <c r="BD42" s="6" t="s">
        <v>1298</v>
      </c>
      <c r="BE42" s="6" t="s">
        <v>1299</v>
      </c>
      <c r="BF42" s="6" t="s">
        <v>163</v>
      </c>
      <c r="BG42" s="6" t="s">
        <v>163</v>
      </c>
      <c r="BH42" s="6" t="s">
        <v>280</v>
      </c>
      <c r="BI42" s="6" t="s">
        <v>1300</v>
      </c>
      <c r="BJ42" s="6" t="s">
        <v>1301</v>
      </c>
      <c r="BK42" s="6" t="s">
        <v>191</v>
      </c>
      <c r="BL42" s="6" t="s">
        <v>192</v>
      </c>
      <c r="BM42" s="6" t="s">
        <v>168</v>
      </c>
      <c r="BN42" s="6" t="s">
        <v>163</v>
      </c>
      <c r="BO42" s="6" t="s">
        <v>163</v>
      </c>
      <c r="BP42" s="6" t="s">
        <v>378</v>
      </c>
      <c r="BQ42" s="0" t="n">
        <v>40.7409</v>
      </c>
      <c r="BR42" s="0" t="n">
        <v>-73.994512</v>
      </c>
      <c r="BS42" s="6" t="s">
        <v>168</v>
      </c>
      <c r="BT42" s="0" t="n">
        <v>0</v>
      </c>
      <c r="BU42" s="6" t="s">
        <v>1302</v>
      </c>
      <c r="BV42" s="6" t="s">
        <v>1303</v>
      </c>
      <c r="BW42" s="6" t="s">
        <v>1291</v>
      </c>
      <c r="BX42" s="6" t="s">
        <v>1292</v>
      </c>
      <c r="BY42" s="6" t="s">
        <v>248</v>
      </c>
      <c r="CC42" s="6" t="s">
        <v>739</v>
      </c>
      <c r="CD42" s="6" t="s">
        <v>163</v>
      </c>
      <c r="CE42" s="6" t="s">
        <v>162</v>
      </c>
      <c r="CH42" s="6" t="s">
        <v>163</v>
      </c>
      <c r="CJ42" s="6" t="s">
        <v>163</v>
      </c>
      <c r="CK42" s="6" t="s">
        <v>162</v>
      </c>
      <c r="CL42" s="6" t="s">
        <v>382</v>
      </c>
      <c r="CM42" s="6" t="s">
        <v>1304</v>
      </c>
      <c r="CN42" s="6" t="s">
        <v>174</v>
      </c>
      <c r="CO42" s="0" t="n">
        <v>122</v>
      </c>
      <c r="CP42" s="6" t="s">
        <v>251</v>
      </c>
      <c r="CQ42" s="6" t="s">
        <v>1305</v>
      </c>
      <c r="CR42" s="6" t="s">
        <v>206</v>
      </c>
      <c r="CS42" s="0" t="n">
        <v>0.99</v>
      </c>
      <c r="CT42" s="0" t="n">
        <v>51.7</v>
      </c>
      <c r="CU42" s="0" t="n">
        <v>24.7</v>
      </c>
      <c r="CV42" s="0" t="n">
        <v>15</v>
      </c>
      <c r="CW42" s="0" t="n">
        <v>7</v>
      </c>
      <c r="CX42" s="0" t="n">
        <v>5</v>
      </c>
      <c r="CY42" s="6" t="n">
        <f aca="false">IF(AH42="exact",10,IF(AH42="adjacent",5,0))</f>
        <v>0</v>
      </c>
      <c r="CZ42" s="6" t="n">
        <f aca="false">IF(R42="Y",15,0)</f>
        <v>0</v>
      </c>
      <c r="DF42" s="6" t="s">
        <v>158</v>
      </c>
      <c r="DG42" s="6" t="s">
        <v>211</v>
      </c>
      <c r="DJ42" s="6" t="s">
        <v>1306</v>
      </c>
      <c r="DK42" s="6" t="s">
        <v>1307</v>
      </c>
      <c r="DS42" s="6" t="s">
        <v>158</v>
      </c>
      <c r="DX42" s="6" t="s">
        <v>168</v>
      </c>
      <c r="ER42" s="0" t="str">
        <f aca="false">IF(ISNUMBER(MATCH(U42,{"queued","contacted","replied","call_booked","call_done","yes_in_principle","materials_sent"},0)),"Y","N")</f>
        <v>N</v>
      </c>
      <c r="ES42" s="0" t="str">
        <f aca="false">IF(COUNTIFS($AP$2:$AP$1000,AP42,$ER$2:$ER$1000,"Y")+COUNTIFS($AP$2:$AP$1000,AP42,$T$2:$T$1000,"Y")&gt;0,"Y","N")</f>
        <v>N</v>
      </c>
      <c r="ET42" s="0" t="str">
        <f aca="false">IF(AND(U42="new",T42="N",AT42="Y",AS42="",ES42="N"),"Y","N")</f>
        <v>N</v>
      </c>
      <c r="EU42" s="0" t="str">
        <f aca="false">IF(ET42&lt;&gt;"Y","N",IF(COUNTIFS($AP$2:$AP$1000,AP42,$ET$2:$ET$1000,"Y",$J$2:$J$1000,"&gt;"&amp;J42)+COUNTIFS($AP$2:$AP$1000,AP42,$ET$2:$ET$1000,"Y",$J$2:$J$1000,J42,$EW$2:$EW$1000,"&lt;"&amp;EW42)=0,"Y","N"))</f>
        <v>N</v>
      </c>
      <c r="EV42" s="0" t="str">
        <f aca="false">IF(Y42="","N",IF(Y42&lt;=10,"Y","N"))</f>
        <v>N</v>
      </c>
      <c r="EW42" s="6" t="n">
        <f aca="false">ROW()-1</f>
        <v>41</v>
      </c>
    </row>
    <row r="43" customFormat="false" ht="15" hidden="false" customHeight="false" outlineLevel="0" collapsed="false">
      <c r="A43" s="0" t="s">
        <v>1308</v>
      </c>
      <c r="B43" s="0" t="s">
        <v>1309</v>
      </c>
      <c r="C43" s="0" t="s">
        <v>1310</v>
      </c>
      <c r="D43" s="0" t="s">
        <v>1311</v>
      </c>
      <c r="E43" s="0" t="s">
        <v>1312</v>
      </c>
      <c r="H43" s="5" t="s">
        <v>158</v>
      </c>
      <c r="I43" s="5" t="s">
        <v>159</v>
      </c>
      <c r="J43" s="6" t="n">
        <f aca="false">IF(AX43="pass",ROUND(CU43+CV43+CW43+CX43+CY43+CZ43,1),0)</f>
        <v>51.7</v>
      </c>
      <c r="K43" s="6" t="s">
        <v>1313</v>
      </c>
      <c r="L43" s="6" t="s">
        <v>187</v>
      </c>
      <c r="R43" s="5" t="s">
        <v>162</v>
      </c>
      <c r="S43" s="6" t="s">
        <v>163</v>
      </c>
      <c r="T43" s="5" t="s">
        <v>162</v>
      </c>
      <c r="U43" s="5" t="s">
        <v>228</v>
      </c>
      <c r="V43" s="6" t="s">
        <v>1314</v>
      </c>
      <c r="W43" s="6" t="s">
        <v>166</v>
      </c>
      <c r="X43" s="6" t="s">
        <v>167</v>
      </c>
      <c r="Y43" s="6" t="n">
        <f aca="false">IF(EU43&lt;&gt;"Y","",COUNTIFS($EU$2:$EU$1000,"Y",$J$2:$J$1000,"&gt;"&amp;J43)+COUNTIFS($EU$2:$EU$1000,"Y",$J$2:$J$1000,J43,$EW$2:$EW$1000,"&lt;"&amp;EW43)+1)</f>
        <v>23</v>
      </c>
      <c r="Z43" s="0" t="n">
        <v>42</v>
      </c>
      <c r="AA43" s="6" t="s">
        <v>168</v>
      </c>
      <c r="AB43" s="6" t="s">
        <v>1315</v>
      </c>
      <c r="AC43" s="6" t="s">
        <v>170</v>
      </c>
      <c r="AD43" s="6" t="s">
        <v>171</v>
      </c>
      <c r="AE43" s="6" t="s">
        <v>172</v>
      </c>
      <c r="AF43" s="6" t="s">
        <v>1316</v>
      </c>
      <c r="AG43" s="6" t="s">
        <v>174</v>
      </c>
      <c r="AH43" s="5" t="s">
        <v>310</v>
      </c>
      <c r="AI43" s="6" t="s">
        <v>1317</v>
      </c>
      <c r="AJ43" s="6" t="s">
        <v>273</v>
      </c>
      <c r="AK43" s="6" t="s">
        <v>178</v>
      </c>
      <c r="AL43" s="0" t="n">
        <v>142</v>
      </c>
      <c r="AM43" s="0" t="n">
        <v>302</v>
      </c>
      <c r="AN43" s="6" t="s">
        <v>179</v>
      </c>
      <c r="AO43" s="6" t="s">
        <v>370</v>
      </c>
      <c r="AP43" s="6" t="s">
        <v>1308</v>
      </c>
      <c r="AQ43" s="5" t="s">
        <v>162</v>
      </c>
      <c r="AT43" s="0" t="str">
        <f aca="false">IF(AND(AX43="pass",AQ43&lt;&gt;"Y",C43&lt;&gt;"",OR(AW43&lt;&gt;"Y",AV43="Y")),"Y","N")</f>
        <v>Y</v>
      </c>
      <c r="AU43" s="0" t="str">
        <f aca="false">_xlfn.TEXTJOIN("; ",TRUE(),IF(AX43&lt;&gt;"pass","gated out",""),IF(AQ43="Y","on hold: "&amp;AR43,""),IF(C43="","no contact named on an opened page",""),IF(AND(AW43="Y",AV43&lt;&gt;"Y"),"Tuesday estimate band "&amp;L43&amp;": founder's call",""))</f>
        <v/>
      </c>
      <c r="AW43" s="6" t="s">
        <v>162</v>
      </c>
      <c r="AX43" s="6" t="s">
        <v>181</v>
      </c>
      <c r="AY43" s="6" t="s">
        <v>182</v>
      </c>
      <c r="AZ43" s="6" t="s">
        <v>1</v>
      </c>
      <c r="BA43" s="6" t="s">
        <v>1318</v>
      </c>
      <c r="BB43" s="6" t="s">
        <v>1319</v>
      </c>
      <c r="BC43" s="6" t="s">
        <v>1320</v>
      </c>
      <c r="BD43" s="6" t="s">
        <v>1321</v>
      </c>
      <c r="BE43" s="6" t="s">
        <v>1322</v>
      </c>
      <c r="BF43" s="6" t="s">
        <v>1323</v>
      </c>
      <c r="BG43" s="6" t="s">
        <v>188</v>
      </c>
      <c r="BH43" s="6" t="s">
        <v>1324</v>
      </c>
      <c r="BI43" s="6" t="s">
        <v>1325</v>
      </c>
      <c r="BJ43" s="6" t="s">
        <v>1326</v>
      </c>
      <c r="BK43" s="6" t="s">
        <v>1264</v>
      </c>
      <c r="BL43" s="6" t="s">
        <v>192</v>
      </c>
      <c r="BM43" s="6" t="s">
        <v>168</v>
      </c>
      <c r="BN43" s="6" t="s">
        <v>163</v>
      </c>
      <c r="BO43" s="6" t="s">
        <v>163</v>
      </c>
      <c r="BP43" s="6" t="s">
        <v>193</v>
      </c>
      <c r="BQ43" s="0" t="n">
        <v>40.73716</v>
      </c>
      <c r="BR43" s="0" t="n">
        <v>-73.990073</v>
      </c>
      <c r="BS43" s="6" t="s">
        <v>168</v>
      </c>
      <c r="BT43" s="0" t="n">
        <v>0</v>
      </c>
      <c r="BU43" s="6" t="s">
        <v>1327</v>
      </c>
      <c r="BV43" s="6" t="s">
        <v>1317</v>
      </c>
      <c r="BW43" s="6" t="s">
        <v>1314</v>
      </c>
      <c r="BX43" s="6" t="s">
        <v>1328</v>
      </c>
      <c r="BY43" s="6" t="s">
        <v>248</v>
      </c>
      <c r="BZ43" s="6" t="s">
        <v>1329</v>
      </c>
      <c r="CA43" s="6" t="s">
        <v>1330</v>
      </c>
      <c r="CC43" s="6" t="s">
        <v>200</v>
      </c>
      <c r="CE43" s="6" t="s">
        <v>162</v>
      </c>
      <c r="CH43" s="6" t="s">
        <v>163</v>
      </c>
      <c r="CJ43" s="6" t="s">
        <v>163</v>
      </c>
      <c r="CK43" s="6" t="s">
        <v>162</v>
      </c>
      <c r="CL43" s="6" t="s">
        <v>1331</v>
      </c>
      <c r="CM43" s="6" t="s">
        <v>1332</v>
      </c>
      <c r="CN43" s="6" t="s">
        <v>174</v>
      </c>
      <c r="CO43" s="0" t="n">
        <v>207</v>
      </c>
      <c r="CP43" s="6" t="s">
        <v>251</v>
      </c>
      <c r="CQ43" s="6" t="s">
        <v>1333</v>
      </c>
      <c r="CR43" s="6" t="s">
        <v>206</v>
      </c>
      <c r="CS43" s="0" t="n">
        <v>0.75</v>
      </c>
      <c r="CT43" s="0" t="n">
        <v>51.7</v>
      </c>
      <c r="CU43" s="0" t="n">
        <v>18.7</v>
      </c>
      <c r="CV43" s="0" t="n">
        <v>6</v>
      </c>
      <c r="CW43" s="0" t="n">
        <v>7</v>
      </c>
      <c r="CX43" s="0" t="n">
        <v>15</v>
      </c>
      <c r="CY43" s="6" t="n">
        <f aca="false">IF(AH43="exact",10,IF(AH43="adjacent",5,0))</f>
        <v>5</v>
      </c>
      <c r="CZ43" s="6" t="n">
        <f aca="false">IF(R43="Y",15,0)</f>
        <v>0</v>
      </c>
      <c r="DA43" s="6" t="s">
        <v>1334</v>
      </c>
      <c r="DB43" s="6" t="s">
        <v>1335</v>
      </c>
      <c r="DC43" s="6" t="s">
        <v>808</v>
      </c>
      <c r="DF43" s="6" t="s">
        <v>158</v>
      </c>
      <c r="DG43" s="6" t="s">
        <v>1336</v>
      </c>
      <c r="DH43" s="6" t="s">
        <v>1337</v>
      </c>
      <c r="DI43" s="6" t="s">
        <v>168</v>
      </c>
      <c r="DJ43" s="6" t="s">
        <v>1338</v>
      </c>
      <c r="DK43" s="6" t="s">
        <v>1339</v>
      </c>
      <c r="DM43" s="6" t="s">
        <v>1340</v>
      </c>
      <c r="DO43" s="6" t="s">
        <v>1341</v>
      </c>
      <c r="DQ43" s="6" t="s">
        <v>216</v>
      </c>
      <c r="DR43" s="6" t="s">
        <v>1342</v>
      </c>
      <c r="DS43" s="6" t="s">
        <v>171</v>
      </c>
      <c r="DT43" s="6" t="s">
        <v>172</v>
      </c>
      <c r="DU43" s="6" t="s">
        <v>1316</v>
      </c>
      <c r="DW43" s="6" t="s">
        <v>1343</v>
      </c>
      <c r="DX43" s="6" t="s">
        <v>168</v>
      </c>
      <c r="DY43" s="6" t="s">
        <v>264</v>
      </c>
      <c r="ER43" s="0" t="str">
        <f aca="false">IF(ISNUMBER(MATCH(U43,{"queued","contacted","replied","call_booked","call_done","yes_in_principle","materials_sent"},0)),"Y","N")</f>
        <v>N</v>
      </c>
      <c r="ES43" s="0" t="str">
        <f aca="false">IF(COUNTIFS($AP$2:$AP$1000,AP43,$ER$2:$ER$1000,"Y")+COUNTIFS($AP$2:$AP$1000,AP43,$T$2:$T$1000,"Y")&gt;0,"Y","N")</f>
        <v>N</v>
      </c>
      <c r="ET43" s="0" t="str">
        <f aca="false">IF(AND(U43="new",T43="N",AT43="Y",AS43="",ES43="N"),"Y","N")</f>
        <v>Y</v>
      </c>
      <c r="EU43" s="0" t="str">
        <f aca="false">IF(ET43&lt;&gt;"Y","N",IF(COUNTIFS($AP$2:$AP$1000,AP43,$ET$2:$ET$1000,"Y",$J$2:$J$1000,"&gt;"&amp;J43)+COUNTIFS($AP$2:$AP$1000,AP43,$ET$2:$ET$1000,"Y",$J$2:$J$1000,J43,$EW$2:$EW$1000,"&lt;"&amp;EW43)=0,"Y","N"))</f>
        <v>Y</v>
      </c>
      <c r="EV43" s="0" t="str">
        <f aca="false">IF(Y43="","N",IF(Y43&lt;=10,"Y","N"))</f>
        <v>N</v>
      </c>
      <c r="EW43" s="6" t="n">
        <f aca="false">ROW()-1</f>
        <v>42</v>
      </c>
    </row>
    <row r="44" customFormat="false" ht="15" hidden="false" customHeight="false" outlineLevel="0" collapsed="false">
      <c r="A44" s="0" t="s">
        <v>1344</v>
      </c>
      <c r="B44" s="0" t="s">
        <v>1345</v>
      </c>
      <c r="H44" s="5" t="s">
        <v>158</v>
      </c>
      <c r="I44" s="5" t="s">
        <v>594</v>
      </c>
      <c r="J44" s="6" t="n">
        <f aca="false">IF(AX44="pass",ROUND(CU44+CV44+CW44+CX44+CY44+CZ44,1),0)</f>
        <v>51.3</v>
      </c>
      <c r="K44" s="6" t="s">
        <v>1346</v>
      </c>
      <c r="L44" s="6" t="s">
        <v>161</v>
      </c>
      <c r="R44" s="5" t="s">
        <v>162</v>
      </c>
      <c r="S44" s="6" t="s">
        <v>163</v>
      </c>
      <c r="T44" s="5" t="s">
        <v>162</v>
      </c>
      <c r="U44" s="5" t="s">
        <v>228</v>
      </c>
      <c r="V44" s="6" t="s">
        <v>197</v>
      </c>
      <c r="W44" s="6" t="s">
        <v>166</v>
      </c>
      <c r="X44" s="6" t="s">
        <v>167</v>
      </c>
      <c r="Y44" s="0" t="str">
        <f aca="false">IF(EU44&lt;&gt;"Y","",COUNTIFS($EU$2:$EU$1000,"Y",$J$2:$J$1000,"&gt;"&amp;J44)+COUNTIFS($EU$2:$EU$1000,"Y",$J$2:$J$1000,J44,$EW$2:$EW$1000,"&lt;"&amp;EW44)+1)</f>
        <v/>
      </c>
      <c r="Z44" s="0" t="n">
        <v>43</v>
      </c>
      <c r="AA44" s="6" t="s">
        <v>168</v>
      </c>
      <c r="AB44" s="6" t="s">
        <v>597</v>
      </c>
      <c r="AD44" s="6" t="s">
        <v>158</v>
      </c>
      <c r="AH44" s="5" t="s">
        <v>158</v>
      </c>
      <c r="AI44" s="6" t="s">
        <v>176</v>
      </c>
      <c r="AJ44" s="6" t="s">
        <v>163</v>
      </c>
      <c r="AK44" s="6" t="s">
        <v>178</v>
      </c>
      <c r="AL44" s="0" t="n">
        <v>28</v>
      </c>
      <c r="AM44" s="0" t="n">
        <v>559</v>
      </c>
      <c r="AN44" s="6" t="s">
        <v>179</v>
      </c>
      <c r="AO44" s="6" t="s">
        <v>180</v>
      </c>
      <c r="AP44" s="6" t="s">
        <v>1344</v>
      </c>
      <c r="AQ44" s="5" t="s">
        <v>162</v>
      </c>
      <c r="AT44" s="0" t="str">
        <f aca="false">IF(AND(AX44="pass",AQ44&lt;&gt;"Y",C44&lt;&gt;"",OR(AW44&lt;&gt;"Y",AV44="Y")),"Y","N")</f>
        <v>N</v>
      </c>
      <c r="AU44" s="0" t="str">
        <f aca="false">_xlfn.TEXTJOIN("; ",TRUE(),IF(AX44&lt;&gt;"pass","gated out",""),IF(AQ44="Y","on hold: "&amp;AR44,""),IF(C44="","no contact named on an opened page",""),IF(AND(AW44="Y",AV44&lt;&gt;"Y"),"Tuesday estimate band "&amp;L44&amp;": founder's call",""))</f>
        <v>no contact named on an opened page</v>
      </c>
      <c r="AW44" s="6" t="s">
        <v>162</v>
      </c>
      <c r="AX44" s="6" t="s">
        <v>181</v>
      </c>
      <c r="AY44" s="6" t="s">
        <v>182</v>
      </c>
      <c r="AZ44" s="6" t="s">
        <v>1</v>
      </c>
      <c r="BA44" s="6" t="s">
        <v>1347</v>
      </c>
      <c r="BB44" s="6" t="s">
        <v>163</v>
      </c>
      <c r="BC44" s="6" t="s">
        <v>1348</v>
      </c>
      <c r="BD44" s="6" t="s">
        <v>1349</v>
      </c>
      <c r="BF44" s="6" t="s">
        <v>1323</v>
      </c>
      <c r="BG44" s="6" t="s">
        <v>188</v>
      </c>
      <c r="BH44" s="6" t="s">
        <v>189</v>
      </c>
      <c r="BI44" s="6" t="s">
        <v>1350</v>
      </c>
      <c r="BK44" s="6" t="s">
        <v>1264</v>
      </c>
      <c r="BL44" s="6" t="s">
        <v>1351</v>
      </c>
      <c r="BM44" s="6" t="s">
        <v>162</v>
      </c>
      <c r="BN44" s="6" t="s">
        <v>163</v>
      </c>
      <c r="BO44" s="6" t="s">
        <v>163</v>
      </c>
      <c r="BP44" s="6" t="s">
        <v>193</v>
      </c>
      <c r="BQ44" s="0" t="n">
        <v>40.73686</v>
      </c>
      <c r="BR44" s="0" t="n">
        <v>-73.988546</v>
      </c>
      <c r="BS44" s="6" t="s">
        <v>168</v>
      </c>
      <c r="BT44" s="0" t="n">
        <v>0</v>
      </c>
      <c r="BU44" s="6" t="s">
        <v>194</v>
      </c>
      <c r="BV44" s="6" t="s">
        <v>195</v>
      </c>
      <c r="BW44" s="6" t="s">
        <v>197</v>
      </c>
      <c r="BX44" s="6" t="s">
        <v>198</v>
      </c>
      <c r="BY44" s="6" t="s">
        <v>283</v>
      </c>
      <c r="BZ44" s="6" t="s">
        <v>284</v>
      </c>
      <c r="CA44" s="6" t="s">
        <v>285</v>
      </c>
      <c r="CB44" s="6" t="s">
        <v>199</v>
      </c>
      <c r="CC44" s="6" t="s">
        <v>200</v>
      </c>
      <c r="CE44" s="6" t="s">
        <v>162</v>
      </c>
      <c r="CH44" s="6" t="s">
        <v>201</v>
      </c>
      <c r="CI44" s="6" t="s">
        <v>202</v>
      </c>
      <c r="CJ44" s="6" t="s">
        <v>163</v>
      </c>
      <c r="CK44" s="6" t="s">
        <v>162</v>
      </c>
      <c r="CL44" s="6" t="s">
        <v>577</v>
      </c>
      <c r="CM44" s="6" t="s">
        <v>1352</v>
      </c>
      <c r="CN44" s="6" t="s">
        <v>174</v>
      </c>
      <c r="CO44" s="0" t="n">
        <v>125</v>
      </c>
      <c r="CP44" s="6" t="s">
        <v>768</v>
      </c>
      <c r="CQ44" s="6" t="s">
        <v>1353</v>
      </c>
      <c r="CR44" s="6" t="s">
        <v>206</v>
      </c>
      <c r="CS44" s="0" t="n">
        <v>0.61</v>
      </c>
      <c r="CT44" s="0" t="n">
        <v>51.3</v>
      </c>
      <c r="CU44" s="0" t="n">
        <v>15.3</v>
      </c>
      <c r="CV44" s="0" t="n">
        <v>6</v>
      </c>
      <c r="CW44" s="0" t="n">
        <v>15</v>
      </c>
      <c r="CX44" s="0" t="n">
        <v>15</v>
      </c>
      <c r="CY44" s="6" t="n">
        <f aca="false">IF(AH44="exact",10,IF(AH44="adjacent",5,0))</f>
        <v>0</v>
      </c>
      <c r="CZ44" s="6" t="n">
        <f aca="false">IF(R44="Y",15,0)</f>
        <v>0</v>
      </c>
      <c r="DF44" s="6" t="s">
        <v>158</v>
      </c>
      <c r="DG44" s="6" t="s">
        <v>1336</v>
      </c>
      <c r="DH44" s="6" t="s">
        <v>1337</v>
      </c>
      <c r="DI44" s="6" t="s">
        <v>162</v>
      </c>
      <c r="DJ44" s="6" t="s">
        <v>1354</v>
      </c>
      <c r="DK44" s="6" t="s">
        <v>1355</v>
      </c>
      <c r="DS44" s="6" t="s">
        <v>158</v>
      </c>
      <c r="DX44" s="6" t="s">
        <v>168</v>
      </c>
      <c r="ER44" s="0" t="str">
        <f aca="false">IF(ISNUMBER(MATCH(U44,{"queued","contacted","replied","call_booked","call_done","yes_in_principle","materials_sent"},0)),"Y","N")</f>
        <v>N</v>
      </c>
      <c r="ES44" s="0" t="str">
        <f aca="false">IF(COUNTIFS($AP$2:$AP$1000,AP44,$ER$2:$ER$1000,"Y")+COUNTIFS($AP$2:$AP$1000,AP44,$T$2:$T$1000,"Y")&gt;0,"Y","N")</f>
        <v>N</v>
      </c>
      <c r="ET44" s="0" t="str">
        <f aca="false">IF(AND(U44="new",T44="N",AT44="Y",AS44="",ES44="N"),"Y","N")</f>
        <v>N</v>
      </c>
      <c r="EU44" s="0" t="str">
        <f aca="false">IF(ET44&lt;&gt;"Y","N",IF(COUNTIFS($AP$2:$AP$1000,AP44,$ET$2:$ET$1000,"Y",$J$2:$J$1000,"&gt;"&amp;J44)+COUNTIFS($AP$2:$AP$1000,AP44,$ET$2:$ET$1000,"Y",$J$2:$J$1000,J44,$EW$2:$EW$1000,"&lt;"&amp;EW44)=0,"Y","N"))</f>
        <v>N</v>
      </c>
      <c r="EV44" s="0" t="str">
        <f aca="false">IF(Y44="","N",IF(Y44&lt;=10,"Y","N"))</f>
        <v>N</v>
      </c>
      <c r="EW44" s="6" t="n">
        <f aca="false">ROW()-1</f>
        <v>43</v>
      </c>
    </row>
    <row r="45" customFormat="false" ht="15" hidden="false" customHeight="false" outlineLevel="0" collapsed="false">
      <c r="A45" s="0" t="s">
        <v>1356</v>
      </c>
      <c r="B45" s="0" t="s">
        <v>1357</v>
      </c>
      <c r="C45" s="0" t="s">
        <v>1358</v>
      </c>
      <c r="D45" s="0" t="s">
        <v>1359</v>
      </c>
      <c r="E45" s="0" t="s">
        <v>1360</v>
      </c>
      <c r="H45" s="5" t="s">
        <v>158</v>
      </c>
      <c r="I45" s="5" t="s">
        <v>159</v>
      </c>
      <c r="J45" s="6" t="n">
        <f aca="false">IF(AX45="pass",ROUND(CU45+CV45+CW45+CX45+CY45+CZ45,1),0)</f>
        <v>51.2</v>
      </c>
      <c r="K45" s="6" t="s">
        <v>1361</v>
      </c>
      <c r="L45" s="6" t="s">
        <v>161</v>
      </c>
      <c r="R45" s="5" t="s">
        <v>162</v>
      </c>
      <c r="S45" s="6" t="s">
        <v>163</v>
      </c>
      <c r="T45" s="5" t="s">
        <v>162</v>
      </c>
      <c r="U45" s="5" t="s">
        <v>228</v>
      </c>
      <c r="V45" s="6" t="s">
        <v>1362</v>
      </c>
      <c r="W45" s="6" t="s">
        <v>166</v>
      </c>
      <c r="X45" s="6" t="s">
        <v>167</v>
      </c>
      <c r="Y45" s="6" t="n">
        <f aca="false">IF(EU45&lt;&gt;"Y","",COUNTIFS($EU$2:$EU$1000,"Y",$J$2:$J$1000,"&gt;"&amp;J45)+COUNTIFS($EU$2:$EU$1000,"Y",$J$2:$J$1000,J45,$EW$2:$EW$1000,"&lt;"&amp;EW45)+1)</f>
        <v>24</v>
      </c>
      <c r="Z45" s="0" t="n">
        <v>44</v>
      </c>
      <c r="AA45" s="6" t="s">
        <v>168</v>
      </c>
      <c r="AB45" s="6" t="s">
        <v>1363</v>
      </c>
      <c r="AC45" s="6" t="s">
        <v>170</v>
      </c>
      <c r="AD45" s="6" t="s">
        <v>171</v>
      </c>
      <c r="AE45" s="6" t="s">
        <v>172</v>
      </c>
      <c r="AF45" s="6" t="s">
        <v>1364</v>
      </c>
      <c r="AG45" s="6" t="s">
        <v>174</v>
      </c>
      <c r="AH45" s="5" t="s">
        <v>310</v>
      </c>
      <c r="AI45" s="6" t="s">
        <v>233</v>
      </c>
      <c r="AJ45" s="6" t="s">
        <v>1365</v>
      </c>
      <c r="AK45" s="6" t="s">
        <v>178</v>
      </c>
      <c r="AL45" s="0" t="n">
        <v>28</v>
      </c>
      <c r="AM45" s="0" t="n">
        <v>570</v>
      </c>
      <c r="AN45" s="6" t="s">
        <v>179</v>
      </c>
      <c r="AO45" s="6" t="s">
        <v>274</v>
      </c>
      <c r="AP45" s="6" t="s">
        <v>1356</v>
      </c>
      <c r="AQ45" s="5" t="s">
        <v>162</v>
      </c>
      <c r="AT45" s="0" t="str">
        <f aca="false">IF(AND(AX45="pass",AQ45&lt;&gt;"Y",C45&lt;&gt;"",OR(AW45&lt;&gt;"Y",AV45="Y")),"Y","N")</f>
        <v>Y</v>
      </c>
      <c r="AU45" s="0" t="str">
        <f aca="false">_xlfn.TEXTJOIN("; ",TRUE(),IF(AX45&lt;&gt;"pass","gated out",""),IF(AQ45="Y","on hold: "&amp;AR45,""),IF(C45="","no contact named on an opened page",""),IF(AND(AW45="Y",AV45&lt;&gt;"Y"),"Tuesday estimate band "&amp;L45&amp;": founder's call",""))</f>
        <v/>
      </c>
      <c r="AW45" s="6" t="s">
        <v>162</v>
      </c>
      <c r="AX45" s="6" t="s">
        <v>181</v>
      </c>
      <c r="AY45" s="6" t="s">
        <v>182</v>
      </c>
      <c r="AZ45" s="6" t="s">
        <v>1</v>
      </c>
      <c r="BA45" s="6" t="s">
        <v>1366</v>
      </c>
      <c r="BB45" s="6" t="s">
        <v>1367</v>
      </c>
      <c r="BC45" s="6" t="s">
        <v>1368</v>
      </c>
      <c r="BD45" s="6" t="s">
        <v>1369</v>
      </c>
      <c r="BF45" s="6" t="s">
        <v>1323</v>
      </c>
      <c r="BG45" s="6" t="s">
        <v>188</v>
      </c>
      <c r="BH45" s="6" t="s">
        <v>189</v>
      </c>
      <c r="BI45" s="6" t="s">
        <v>1370</v>
      </c>
      <c r="BK45" s="6" t="s">
        <v>1264</v>
      </c>
      <c r="BL45" s="6" t="s">
        <v>1371</v>
      </c>
      <c r="BM45" s="6" t="s">
        <v>162</v>
      </c>
      <c r="BN45" s="6" t="s">
        <v>163</v>
      </c>
      <c r="BO45" s="6" t="s">
        <v>163</v>
      </c>
      <c r="BP45" s="6" t="s">
        <v>244</v>
      </c>
      <c r="BQ45" s="0" t="n">
        <v>40.742833</v>
      </c>
      <c r="BR45" s="0" t="n">
        <v>-73.984174</v>
      </c>
      <c r="BS45" s="6" t="s">
        <v>168</v>
      </c>
      <c r="BT45" s="0" t="n">
        <v>0</v>
      </c>
      <c r="BU45" s="6" t="s">
        <v>245</v>
      </c>
      <c r="BV45" s="6" t="s">
        <v>246</v>
      </c>
      <c r="BW45" s="6" t="s">
        <v>1362</v>
      </c>
      <c r="BX45" s="6" t="s">
        <v>418</v>
      </c>
      <c r="BY45" s="6" t="s">
        <v>248</v>
      </c>
      <c r="BZ45" s="6" t="s">
        <v>1370</v>
      </c>
      <c r="CA45" s="6" t="s">
        <v>166</v>
      </c>
      <c r="CC45" s="6" t="s">
        <v>200</v>
      </c>
      <c r="CE45" s="6" t="s">
        <v>162</v>
      </c>
      <c r="CH45" s="6" t="s">
        <v>163</v>
      </c>
      <c r="CJ45" s="6" t="s">
        <v>163</v>
      </c>
      <c r="CK45" s="6" t="s">
        <v>162</v>
      </c>
      <c r="CL45" s="6" t="s">
        <v>1372</v>
      </c>
      <c r="CM45" s="6" t="s">
        <v>1370</v>
      </c>
      <c r="CN45" s="6" t="s">
        <v>174</v>
      </c>
      <c r="CO45" s="0" t="n">
        <v>126</v>
      </c>
      <c r="CP45" s="6" t="s">
        <v>768</v>
      </c>
      <c r="CQ45" s="6" t="s">
        <v>1373</v>
      </c>
      <c r="CR45" s="6" t="s">
        <v>206</v>
      </c>
      <c r="CS45" s="0" t="n">
        <v>0.61</v>
      </c>
      <c r="CT45" s="0" t="n">
        <v>51.2</v>
      </c>
      <c r="CU45" s="0" t="n">
        <v>15.2</v>
      </c>
      <c r="CV45" s="0" t="n">
        <v>6</v>
      </c>
      <c r="CW45" s="0" t="n">
        <v>10</v>
      </c>
      <c r="CX45" s="0" t="n">
        <v>15</v>
      </c>
      <c r="CY45" s="6" t="n">
        <f aca="false">IF(AH45="exact",10,IF(AH45="adjacent",5,0))</f>
        <v>5</v>
      </c>
      <c r="CZ45" s="6" t="n">
        <f aca="false">IF(R45="Y",15,0)</f>
        <v>0</v>
      </c>
      <c r="DF45" s="6" t="s">
        <v>158</v>
      </c>
      <c r="DG45" s="6" t="s">
        <v>1336</v>
      </c>
      <c r="DH45" s="6" t="s">
        <v>1337</v>
      </c>
      <c r="DI45" s="6" t="s">
        <v>162</v>
      </c>
      <c r="DJ45" s="6" t="s">
        <v>1374</v>
      </c>
      <c r="DK45" s="6" t="s">
        <v>1375</v>
      </c>
      <c r="DM45" s="6" t="s">
        <v>1376</v>
      </c>
      <c r="DN45" s="6" t="s">
        <v>1377</v>
      </c>
      <c r="DO45" s="6" t="s">
        <v>1378</v>
      </c>
      <c r="DS45" s="6" t="s">
        <v>158</v>
      </c>
      <c r="DX45" s="6" t="s">
        <v>168</v>
      </c>
      <c r="DY45" s="6" t="s">
        <v>221</v>
      </c>
      <c r="ER45" s="0" t="str">
        <f aca="false">IF(ISNUMBER(MATCH(U45,{"queued","contacted","replied","call_booked","call_done","yes_in_principle","materials_sent"},0)),"Y","N")</f>
        <v>N</v>
      </c>
      <c r="ES45" s="0" t="str">
        <f aca="false">IF(COUNTIFS($AP$2:$AP$1000,AP45,$ER$2:$ER$1000,"Y")+COUNTIFS($AP$2:$AP$1000,AP45,$T$2:$T$1000,"Y")&gt;0,"Y","N")</f>
        <v>N</v>
      </c>
      <c r="ET45" s="0" t="str">
        <f aca="false">IF(AND(U45="new",T45="N",AT45="Y",AS45="",ES45="N"),"Y","N")</f>
        <v>Y</v>
      </c>
      <c r="EU45" s="0" t="str">
        <f aca="false">IF(ET45&lt;&gt;"Y","N",IF(COUNTIFS($AP$2:$AP$1000,AP45,$ET$2:$ET$1000,"Y",$J$2:$J$1000,"&gt;"&amp;J45)+COUNTIFS($AP$2:$AP$1000,AP45,$ET$2:$ET$1000,"Y",$J$2:$J$1000,J45,$EW$2:$EW$1000,"&lt;"&amp;EW45)=0,"Y","N"))</f>
        <v>Y</v>
      </c>
      <c r="EV45" s="0" t="str">
        <f aca="false">IF(Y45="","N",IF(Y45&lt;=10,"Y","N"))</f>
        <v>N</v>
      </c>
      <c r="EW45" s="6" t="n">
        <f aca="false">ROW()-1</f>
        <v>44</v>
      </c>
    </row>
    <row r="46" customFormat="false" ht="15" hidden="false" customHeight="false" outlineLevel="0" collapsed="false">
      <c r="A46" s="0" t="s">
        <v>1379</v>
      </c>
      <c r="B46" s="0" t="s">
        <v>1380</v>
      </c>
      <c r="H46" s="5" t="s">
        <v>158</v>
      </c>
      <c r="I46" s="5" t="s">
        <v>594</v>
      </c>
      <c r="J46" s="6" t="n">
        <f aca="false">IF(AX46="pass",ROUND(CU46+CV46+CW46+CX46+CY46+CZ46,1),0)</f>
        <v>51.2</v>
      </c>
      <c r="K46" s="6" t="s">
        <v>1381</v>
      </c>
      <c r="L46" s="6" t="s">
        <v>161</v>
      </c>
      <c r="R46" s="5" t="s">
        <v>162</v>
      </c>
      <c r="S46" s="6" t="s">
        <v>163</v>
      </c>
      <c r="T46" s="5" t="s">
        <v>162</v>
      </c>
      <c r="U46" s="5" t="s">
        <v>228</v>
      </c>
      <c r="V46" s="6" t="s">
        <v>1382</v>
      </c>
      <c r="W46" s="6" t="s">
        <v>166</v>
      </c>
      <c r="X46" s="6" t="s">
        <v>167</v>
      </c>
      <c r="Y46" s="0" t="str">
        <f aca="false">IF(EU46&lt;&gt;"Y","",COUNTIFS($EU$2:$EU$1000,"Y",$J$2:$J$1000,"&gt;"&amp;J46)+COUNTIFS($EU$2:$EU$1000,"Y",$J$2:$J$1000,J46,$EW$2:$EW$1000,"&lt;"&amp;EW46)+1)</f>
        <v/>
      </c>
      <c r="Z46" s="0" t="n">
        <v>45</v>
      </c>
      <c r="AA46" s="6" t="s">
        <v>168</v>
      </c>
      <c r="AB46" s="6" t="s">
        <v>597</v>
      </c>
      <c r="AD46" s="6" t="s">
        <v>158</v>
      </c>
      <c r="AH46" s="5" t="s">
        <v>158</v>
      </c>
      <c r="AI46" s="6" t="s">
        <v>1215</v>
      </c>
      <c r="AJ46" s="6" t="s">
        <v>566</v>
      </c>
      <c r="AK46" s="6" t="s">
        <v>178</v>
      </c>
      <c r="AL46" s="0" t="n">
        <v>18</v>
      </c>
      <c r="AM46" s="0" t="n">
        <v>367</v>
      </c>
      <c r="AN46" s="6" t="s">
        <v>179</v>
      </c>
      <c r="AO46" s="6" t="s">
        <v>180</v>
      </c>
      <c r="AP46" s="6" t="s">
        <v>1379</v>
      </c>
      <c r="AQ46" s="5" t="s">
        <v>162</v>
      </c>
      <c r="AT46" s="0" t="str">
        <f aca="false">IF(AND(AX46="pass",AQ46&lt;&gt;"Y",C46&lt;&gt;"",OR(AW46&lt;&gt;"Y",AV46="Y")),"Y","N")</f>
        <v>N</v>
      </c>
      <c r="AU46" s="0" t="str">
        <f aca="false">_xlfn.TEXTJOIN("; ",TRUE(),IF(AX46&lt;&gt;"pass","gated out",""),IF(AQ46="Y","on hold: "&amp;AR46,""),IF(C46="","no contact named on an opened page",""),IF(AND(AW46="Y",AV46&lt;&gt;"Y"),"Tuesday estimate band "&amp;L46&amp;": founder's call",""))</f>
        <v>no contact named on an opened page</v>
      </c>
      <c r="AW46" s="6" t="s">
        <v>162</v>
      </c>
      <c r="AX46" s="6" t="s">
        <v>181</v>
      </c>
      <c r="AY46" s="6" t="s">
        <v>182</v>
      </c>
      <c r="AZ46" s="6" t="s">
        <v>1</v>
      </c>
      <c r="BA46" s="6" t="s">
        <v>1383</v>
      </c>
      <c r="BB46" s="6" t="s">
        <v>1384</v>
      </c>
      <c r="BC46" s="6" t="s">
        <v>1385</v>
      </c>
      <c r="BD46" s="6" t="s">
        <v>1386</v>
      </c>
      <c r="BF46" s="6" t="s">
        <v>1323</v>
      </c>
      <c r="BG46" s="6" t="s">
        <v>188</v>
      </c>
      <c r="BH46" s="6" t="s">
        <v>189</v>
      </c>
      <c r="BI46" s="6" t="s">
        <v>1387</v>
      </c>
      <c r="BK46" s="6" t="s">
        <v>1264</v>
      </c>
      <c r="BL46" s="6" t="s">
        <v>163</v>
      </c>
      <c r="BM46" s="6" t="s">
        <v>163</v>
      </c>
      <c r="BN46" s="6" t="s">
        <v>163</v>
      </c>
      <c r="BO46" s="6" t="s">
        <v>163</v>
      </c>
      <c r="BP46" s="6" t="s">
        <v>347</v>
      </c>
      <c r="BQ46" s="0" t="n">
        <v>40.74082</v>
      </c>
      <c r="BR46" s="0" t="n">
        <v>-73.992366</v>
      </c>
      <c r="BS46" s="6" t="s">
        <v>168</v>
      </c>
      <c r="BT46" s="0" t="n">
        <v>0</v>
      </c>
      <c r="BU46" s="6" t="s">
        <v>1224</v>
      </c>
      <c r="BV46" s="6" t="s">
        <v>1225</v>
      </c>
      <c r="BW46" s="6" t="s">
        <v>1382</v>
      </c>
      <c r="BX46" s="6" t="s">
        <v>166</v>
      </c>
      <c r="BY46" s="6" t="s">
        <v>445</v>
      </c>
      <c r="BZ46" s="6" t="s">
        <v>1213</v>
      </c>
      <c r="CA46" s="6" t="s">
        <v>1226</v>
      </c>
      <c r="CC46" s="6" t="s">
        <v>200</v>
      </c>
      <c r="CE46" s="6" t="s">
        <v>162</v>
      </c>
      <c r="CH46" s="6" t="s">
        <v>163</v>
      </c>
      <c r="CJ46" s="6" t="s">
        <v>163</v>
      </c>
      <c r="CK46" s="6" t="s">
        <v>162</v>
      </c>
      <c r="CL46" s="6" t="s">
        <v>577</v>
      </c>
      <c r="CM46" s="6" t="s">
        <v>1382</v>
      </c>
      <c r="CN46" s="6" t="s">
        <v>174</v>
      </c>
      <c r="CO46" s="0" t="n">
        <v>81</v>
      </c>
      <c r="CP46" s="6" t="s">
        <v>768</v>
      </c>
      <c r="CQ46" s="6" t="s">
        <v>1388</v>
      </c>
      <c r="CR46" s="6" t="s">
        <v>206</v>
      </c>
      <c r="CS46" s="0" t="n">
        <v>0.61</v>
      </c>
      <c r="CT46" s="0" t="n">
        <v>51.2</v>
      </c>
      <c r="CU46" s="0" t="n">
        <v>15.2</v>
      </c>
      <c r="CV46" s="0" t="n">
        <v>6</v>
      </c>
      <c r="CW46" s="0" t="n">
        <v>15</v>
      </c>
      <c r="CX46" s="0" t="n">
        <v>15</v>
      </c>
      <c r="CY46" s="6" t="n">
        <f aca="false">IF(AH46="exact",10,IF(AH46="adjacent",5,0))</f>
        <v>0</v>
      </c>
      <c r="CZ46" s="6" t="n">
        <f aca="false">IF(R46="Y",15,0)</f>
        <v>0</v>
      </c>
      <c r="DF46" s="6" t="s">
        <v>158</v>
      </c>
      <c r="DG46" s="6" t="s">
        <v>1336</v>
      </c>
      <c r="DH46" s="6" t="s">
        <v>1337</v>
      </c>
      <c r="DI46" s="6" t="s">
        <v>162</v>
      </c>
      <c r="DK46" s="6" t="s">
        <v>1389</v>
      </c>
      <c r="DS46" s="6" t="s">
        <v>158</v>
      </c>
      <c r="DX46" s="6" t="s">
        <v>168</v>
      </c>
      <c r="ER46" s="0" t="str">
        <f aca="false">IF(ISNUMBER(MATCH(U46,{"queued","contacted","replied","call_booked","call_done","yes_in_principle","materials_sent"},0)),"Y","N")</f>
        <v>N</v>
      </c>
      <c r="ES46" s="0" t="str">
        <f aca="false">IF(COUNTIFS($AP$2:$AP$1000,AP46,$ER$2:$ER$1000,"Y")+COUNTIFS($AP$2:$AP$1000,AP46,$T$2:$T$1000,"Y")&gt;0,"Y","N")</f>
        <v>N</v>
      </c>
      <c r="ET46" s="0" t="str">
        <f aca="false">IF(AND(U46="new",T46="N",AT46="Y",AS46="",ES46="N"),"Y","N")</f>
        <v>N</v>
      </c>
      <c r="EU46" s="0" t="str">
        <f aca="false">IF(ET46&lt;&gt;"Y","N",IF(COUNTIFS($AP$2:$AP$1000,AP46,$ET$2:$ET$1000,"Y",$J$2:$J$1000,"&gt;"&amp;J46)+COUNTIFS($AP$2:$AP$1000,AP46,$ET$2:$ET$1000,"Y",$J$2:$J$1000,J46,$EW$2:$EW$1000,"&lt;"&amp;EW46)=0,"Y","N"))</f>
        <v>N</v>
      </c>
      <c r="EV46" s="0" t="str">
        <f aca="false">IF(Y46="","N",IF(Y46&lt;=10,"Y","N"))</f>
        <v>N</v>
      </c>
      <c r="EW46" s="6" t="n">
        <f aca="false">ROW()-1</f>
        <v>45</v>
      </c>
    </row>
    <row r="47" customFormat="false" ht="15" hidden="false" customHeight="false" outlineLevel="0" collapsed="false">
      <c r="A47" s="0" t="s">
        <v>1390</v>
      </c>
      <c r="B47" s="0" t="s">
        <v>1391</v>
      </c>
      <c r="H47" s="5" t="s">
        <v>158</v>
      </c>
      <c r="I47" s="5" t="s">
        <v>594</v>
      </c>
      <c r="J47" s="6" t="n">
        <f aca="false">IF(AX47="pass",ROUND(CU47+CV47+CW47+CX47+CY47+CZ47,1),0)</f>
        <v>48.9</v>
      </c>
      <c r="K47" s="6" t="s">
        <v>1392</v>
      </c>
      <c r="L47" s="6" t="s">
        <v>561</v>
      </c>
      <c r="R47" s="5" t="s">
        <v>162</v>
      </c>
      <c r="S47" s="6" t="s">
        <v>163</v>
      </c>
      <c r="T47" s="5" t="s">
        <v>162</v>
      </c>
      <c r="U47" s="5" t="s">
        <v>228</v>
      </c>
      <c r="V47" s="6" t="s">
        <v>1393</v>
      </c>
      <c r="W47" s="6" t="s">
        <v>166</v>
      </c>
      <c r="X47" s="6" t="s">
        <v>167</v>
      </c>
      <c r="Y47" s="0" t="str">
        <f aca="false">IF(EU47&lt;&gt;"Y","",COUNTIFS($EU$2:$EU$1000,"Y",$J$2:$J$1000,"&gt;"&amp;J47)+COUNTIFS($EU$2:$EU$1000,"Y",$J$2:$J$1000,J47,$EW$2:$EW$1000,"&lt;"&amp;EW47)+1)</f>
        <v/>
      </c>
      <c r="Z47" s="0" t="n">
        <v>46</v>
      </c>
      <c r="AA47" s="6" t="s">
        <v>168</v>
      </c>
      <c r="AB47" s="6" t="s">
        <v>1214</v>
      </c>
      <c r="AD47" s="6" t="s">
        <v>158</v>
      </c>
      <c r="AH47" s="5" t="s">
        <v>158</v>
      </c>
      <c r="AI47" s="6" t="s">
        <v>601</v>
      </c>
      <c r="AJ47" s="6" t="s">
        <v>163</v>
      </c>
      <c r="AK47" s="6" t="s">
        <v>435</v>
      </c>
      <c r="AL47" s="0" t="n">
        <v>21</v>
      </c>
      <c r="AM47" s="0" t="n">
        <v>66</v>
      </c>
      <c r="AN47" s="6" t="s">
        <v>179</v>
      </c>
      <c r="AO47" s="6" t="s">
        <v>1394</v>
      </c>
      <c r="AP47" s="6" t="s">
        <v>1390</v>
      </c>
      <c r="AQ47" s="5" t="s">
        <v>162</v>
      </c>
      <c r="AT47" s="0" t="str">
        <f aca="false">IF(AND(AX47="pass",AQ47&lt;&gt;"Y",C47&lt;&gt;"",OR(AW47&lt;&gt;"Y",AV47="Y")),"Y","N")</f>
        <v>N</v>
      </c>
      <c r="AU47" s="0" t="str">
        <f aca="false">_xlfn.TEXTJOIN("; ",TRUE(),IF(AX47&lt;&gt;"pass","gated out",""),IF(AQ47="Y","on hold: "&amp;AR47,""),IF(C47="","no contact named on an opened page",""),IF(AND(AW47="Y",AV47&lt;&gt;"Y"),"Tuesday estimate band "&amp;L47&amp;": founder's call",""))</f>
        <v>no contact named on an opened page; Tuesday estimate band under-40: founder's call</v>
      </c>
      <c r="AW47" s="6" t="s">
        <v>168</v>
      </c>
      <c r="AX47" s="6" t="s">
        <v>181</v>
      </c>
      <c r="AY47" s="6" t="s">
        <v>182</v>
      </c>
      <c r="AZ47" s="6" t="s">
        <v>1</v>
      </c>
      <c r="BA47" s="6" t="s">
        <v>1395</v>
      </c>
      <c r="BB47" s="6" t="s">
        <v>1396</v>
      </c>
      <c r="BC47" s="6" t="s">
        <v>1397</v>
      </c>
      <c r="BD47" s="6" t="s">
        <v>1398</v>
      </c>
      <c r="BE47" s="6" t="s">
        <v>1399</v>
      </c>
      <c r="BF47" s="6" t="s">
        <v>163</v>
      </c>
      <c r="BG47" s="6" t="s">
        <v>163</v>
      </c>
      <c r="BH47" s="6" t="s">
        <v>280</v>
      </c>
      <c r="BI47" s="6" t="s">
        <v>1400</v>
      </c>
      <c r="BJ47" s="6" t="s">
        <v>1401</v>
      </c>
      <c r="BK47" s="6" t="s">
        <v>191</v>
      </c>
      <c r="BL47" s="6" t="s">
        <v>192</v>
      </c>
      <c r="BM47" s="6" t="s">
        <v>168</v>
      </c>
      <c r="BN47" s="6" t="s">
        <v>163</v>
      </c>
      <c r="BO47" s="6" t="s">
        <v>163</v>
      </c>
      <c r="BP47" s="6" t="s">
        <v>193</v>
      </c>
      <c r="BQ47" s="0" t="n">
        <v>40.73865</v>
      </c>
      <c r="BR47" s="0" t="n">
        <v>-73.991471</v>
      </c>
      <c r="BS47" s="6" t="s">
        <v>168</v>
      </c>
      <c r="BT47" s="0" t="n">
        <v>0</v>
      </c>
      <c r="BU47" s="6" t="s">
        <v>608</v>
      </c>
      <c r="BV47" s="6" t="s">
        <v>609</v>
      </c>
      <c r="BW47" s="6" t="s">
        <v>1393</v>
      </c>
      <c r="BX47" s="6" t="s">
        <v>1402</v>
      </c>
      <c r="BY47" s="6" t="s">
        <v>248</v>
      </c>
      <c r="CC47" s="6" t="s">
        <v>739</v>
      </c>
      <c r="CE47" s="6" t="s">
        <v>162</v>
      </c>
      <c r="CH47" s="6" t="s">
        <v>163</v>
      </c>
      <c r="CJ47" s="6" t="s">
        <v>163</v>
      </c>
      <c r="CK47" s="6" t="s">
        <v>168</v>
      </c>
      <c r="CL47" s="6" t="s">
        <v>1403</v>
      </c>
      <c r="CM47" s="6" t="s">
        <v>1404</v>
      </c>
      <c r="CN47" s="6" t="s">
        <v>174</v>
      </c>
      <c r="CO47" s="0" t="n">
        <v>37</v>
      </c>
      <c r="CP47" s="6" t="s">
        <v>578</v>
      </c>
      <c r="CQ47" s="6" t="s">
        <v>1405</v>
      </c>
      <c r="CR47" s="6" t="s">
        <v>206</v>
      </c>
      <c r="CS47" s="0" t="n">
        <v>0.44</v>
      </c>
      <c r="CT47" s="0" t="n">
        <v>48.9</v>
      </c>
      <c r="CU47" s="0" t="n">
        <v>10.9</v>
      </c>
      <c r="CV47" s="0" t="n">
        <v>15</v>
      </c>
      <c r="CW47" s="0" t="n">
        <v>15</v>
      </c>
      <c r="CX47" s="0" t="n">
        <v>8</v>
      </c>
      <c r="CY47" s="6" t="n">
        <f aca="false">IF(AH47="exact",10,IF(AH47="adjacent",5,0))</f>
        <v>0</v>
      </c>
      <c r="CZ47" s="6" t="n">
        <f aca="false">IF(R47="Y",15,0)</f>
        <v>0</v>
      </c>
      <c r="DF47" s="6" t="s">
        <v>158</v>
      </c>
      <c r="DG47" s="6" t="s">
        <v>211</v>
      </c>
      <c r="DK47" s="6" t="s">
        <v>1406</v>
      </c>
      <c r="DS47" s="6" t="s">
        <v>158</v>
      </c>
      <c r="DX47" s="6" t="s">
        <v>168</v>
      </c>
      <c r="ER47" s="0" t="str">
        <f aca="false">IF(ISNUMBER(MATCH(U47,{"queued","contacted","replied","call_booked","call_done","yes_in_principle","materials_sent"},0)),"Y","N")</f>
        <v>N</v>
      </c>
      <c r="ES47" s="0" t="str">
        <f aca="false">IF(COUNTIFS($AP$2:$AP$1000,AP47,$ER$2:$ER$1000,"Y")+COUNTIFS($AP$2:$AP$1000,AP47,$T$2:$T$1000,"Y")&gt;0,"Y","N")</f>
        <v>N</v>
      </c>
      <c r="ET47" s="0" t="str">
        <f aca="false">IF(AND(U47="new",T47="N",AT47="Y",AS47="",ES47="N"),"Y","N")</f>
        <v>N</v>
      </c>
      <c r="EU47" s="0" t="str">
        <f aca="false">IF(ET47&lt;&gt;"Y","N",IF(COUNTIFS($AP$2:$AP$1000,AP47,$ET$2:$ET$1000,"Y",$J$2:$J$1000,"&gt;"&amp;J47)+COUNTIFS($AP$2:$AP$1000,AP47,$ET$2:$ET$1000,"Y",$J$2:$J$1000,J47,$EW$2:$EW$1000,"&lt;"&amp;EW47)=0,"Y","N"))</f>
        <v>N</v>
      </c>
      <c r="EV47" s="0" t="str">
        <f aca="false">IF(Y47="","N",IF(Y47&lt;=10,"Y","N"))</f>
        <v>N</v>
      </c>
      <c r="EW47" s="6" t="n">
        <f aca="false">ROW()-1</f>
        <v>46</v>
      </c>
    </row>
    <row r="48" customFormat="false" ht="15" hidden="false" customHeight="false" outlineLevel="0" collapsed="false">
      <c r="A48" s="0" t="s">
        <v>1407</v>
      </c>
      <c r="B48" s="0" t="s">
        <v>1408</v>
      </c>
      <c r="H48" s="5" t="s">
        <v>158</v>
      </c>
      <c r="I48" s="5" t="s">
        <v>594</v>
      </c>
      <c r="J48" s="6" t="n">
        <f aca="false">IF(AX48="pass",ROUND(CU48+CV48+CW48+CX48+CY48+CZ48,1),0)</f>
        <v>48.4</v>
      </c>
      <c r="K48" s="6" t="s">
        <v>1409</v>
      </c>
      <c r="L48" s="6" t="s">
        <v>561</v>
      </c>
      <c r="R48" s="5" t="s">
        <v>162</v>
      </c>
      <c r="S48" s="6" t="s">
        <v>163</v>
      </c>
      <c r="T48" s="5" t="s">
        <v>162</v>
      </c>
      <c r="U48" s="5" t="s">
        <v>228</v>
      </c>
      <c r="V48" s="6" t="s">
        <v>1410</v>
      </c>
      <c r="W48" s="6" t="s">
        <v>166</v>
      </c>
      <c r="X48" s="6" t="s">
        <v>167</v>
      </c>
      <c r="Y48" s="0" t="str">
        <f aca="false">IF(EU48&lt;&gt;"Y","",COUNTIFS($EU$2:$EU$1000,"Y",$J$2:$J$1000,"&gt;"&amp;J48)+COUNTIFS($EU$2:$EU$1000,"Y",$J$2:$J$1000,J48,$EW$2:$EW$1000,"&lt;"&amp;EW48)+1)</f>
        <v/>
      </c>
      <c r="Z48" s="0" t="n">
        <v>47</v>
      </c>
      <c r="AA48" s="6" t="s">
        <v>168</v>
      </c>
      <c r="AB48" s="6" t="s">
        <v>1214</v>
      </c>
      <c r="AD48" s="6" t="s">
        <v>158</v>
      </c>
      <c r="AH48" s="5" t="s">
        <v>158</v>
      </c>
      <c r="AI48" s="6" t="s">
        <v>1411</v>
      </c>
      <c r="AJ48" s="6" t="s">
        <v>163</v>
      </c>
      <c r="AK48" s="6" t="s">
        <v>178</v>
      </c>
      <c r="AL48" s="0" t="n">
        <v>6</v>
      </c>
      <c r="AM48" s="0" t="n">
        <v>154</v>
      </c>
      <c r="AN48" s="6" t="s">
        <v>179</v>
      </c>
      <c r="AO48" s="6" t="s">
        <v>274</v>
      </c>
      <c r="AP48" s="6" t="s">
        <v>1407</v>
      </c>
      <c r="AQ48" s="5" t="s">
        <v>162</v>
      </c>
      <c r="AT48" s="0" t="str">
        <f aca="false">IF(AND(AX48="pass",AQ48&lt;&gt;"Y",C48&lt;&gt;"",OR(AW48&lt;&gt;"Y",AV48="Y")),"Y","N")</f>
        <v>N</v>
      </c>
      <c r="AU48" s="0" t="str">
        <f aca="false">_xlfn.TEXTJOIN("; ",TRUE(),IF(AX48&lt;&gt;"pass","gated out",""),IF(AQ48="Y","on hold: "&amp;AR48,""),IF(C48="","no contact named on an opened page",""),IF(AND(AW48="Y",AV48&lt;&gt;"Y"),"Tuesday estimate band "&amp;L48&amp;": founder's call",""))</f>
        <v>no contact named on an opened page; Tuesday estimate band under-40: founder's call</v>
      </c>
      <c r="AW48" s="6" t="s">
        <v>168</v>
      </c>
      <c r="AX48" s="6" t="s">
        <v>181</v>
      </c>
      <c r="AY48" s="6" t="s">
        <v>182</v>
      </c>
      <c r="AZ48" s="6" t="s">
        <v>1</v>
      </c>
      <c r="BA48" s="6" t="s">
        <v>1412</v>
      </c>
      <c r="BB48" s="6" t="s">
        <v>1413</v>
      </c>
      <c r="BC48" s="6" t="s">
        <v>1414</v>
      </c>
      <c r="BD48" s="6" t="s">
        <v>1415</v>
      </c>
      <c r="BE48" s="6" t="s">
        <v>1416</v>
      </c>
      <c r="BF48" s="6" t="s">
        <v>187</v>
      </c>
      <c r="BG48" s="6" t="s">
        <v>188</v>
      </c>
      <c r="BH48" s="6" t="s">
        <v>241</v>
      </c>
      <c r="BI48" s="6" t="s">
        <v>1417</v>
      </c>
      <c r="BJ48" s="6" t="s">
        <v>1418</v>
      </c>
      <c r="BK48" s="6" t="s">
        <v>191</v>
      </c>
      <c r="BL48" s="6" t="s">
        <v>1419</v>
      </c>
      <c r="BM48" s="6" t="s">
        <v>162</v>
      </c>
      <c r="BN48" s="6" t="s">
        <v>163</v>
      </c>
      <c r="BO48" s="6" t="s">
        <v>163</v>
      </c>
      <c r="BP48" s="6" t="s">
        <v>347</v>
      </c>
      <c r="BQ48" s="0" t="n">
        <v>40.741548</v>
      </c>
      <c r="BR48" s="0" t="n">
        <v>-73.993007</v>
      </c>
      <c r="BS48" s="6" t="s">
        <v>168</v>
      </c>
      <c r="BT48" s="0" t="n">
        <v>0</v>
      </c>
      <c r="BU48" s="6" t="s">
        <v>1420</v>
      </c>
      <c r="BV48" s="6" t="s">
        <v>1421</v>
      </c>
      <c r="BW48" s="6" t="s">
        <v>1410</v>
      </c>
      <c r="BX48" s="6" t="s">
        <v>1422</v>
      </c>
      <c r="BY48" s="6" t="s">
        <v>248</v>
      </c>
      <c r="CC48" s="6" t="s">
        <v>739</v>
      </c>
      <c r="CE48" s="6" t="s">
        <v>162</v>
      </c>
      <c r="CH48" s="6" t="s">
        <v>163</v>
      </c>
      <c r="CJ48" s="6" t="s">
        <v>163</v>
      </c>
      <c r="CK48" s="6" t="s">
        <v>162</v>
      </c>
      <c r="CL48" s="6" t="s">
        <v>1423</v>
      </c>
      <c r="CM48" s="6" t="s">
        <v>1424</v>
      </c>
      <c r="CN48" s="6" t="s">
        <v>174</v>
      </c>
      <c r="CO48" s="0" t="n">
        <v>30</v>
      </c>
      <c r="CP48" s="6" t="s">
        <v>578</v>
      </c>
      <c r="CQ48" s="6" t="s">
        <v>1425</v>
      </c>
      <c r="CR48" s="6" t="s">
        <v>206</v>
      </c>
      <c r="CS48" s="0" t="n">
        <v>0.42</v>
      </c>
      <c r="CT48" s="0" t="n">
        <v>48.4</v>
      </c>
      <c r="CU48" s="0" t="n">
        <v>10.4</v>
      </c>
      <c r="CV48" s="0" t="n">
        <v>15</v>
      </c>
      <c r="CW48" s="0" t="n">
        <v>10</v>
      </c>
      <c r="CX48" s="0" t="n">
        <v>13</v>
      </c>
      <c r="CY48" s="6" t="n">
        <f aca="false">IF(AH48="exact",10,IF(AH48="adjacent",5,0))</f>
        <v>0</v>
      </c>
      <c r="CZ48" s="6" t="n">
        <f aca="false">IF(R48="Y",15,0)</f>
        <v>0</v>
      </c>
      <c r="DF48" s="6" t="s">
        <v>158</v>
      </c>
      <c r="DG48" s="6" t="s">
        <v>211</v>
      </c>
      <c r="DK48" s="6" t="s">
        <v>1426</v>
      </c>
      <c r="DS48" s="6" t="s">
        <v>158</v>
      </c>
      <c r="DX48" s="6" t="s">
        <v>168</v>
      </c>
      <c r="ER48" s="0" t="str">
        <f aca="false">IF(ISNUMBER(MATCH(U48,{"queued","contacted","replied","call_booked","call_done","yes_in_principle","materials_sent"},0)),"Y","N")</f>
        <v>N</v>
      </c>
      <c r="ES48" s="0" t="str">
        <f aca="false">IF(COUNTIFS($AP$2:$AP$1000,AP48,$ER$2:$ER$1000,"Y")+COUNTIFS($AP$2:$AP$1000,AP48,$T$2:$T$1000,"Y")&gt;0,"Y","N")</f>
        <v>N</v>
      </c>
      <c r="ET48" s="0" t="str">
        <f aca="false">IF(AND(U48="new",T48="N",AT48="Y",AS48="",ES48="N"),"Y","N")</f>
        <v>N</v>
      </c>
      <c r="EU48" s="0" t="str">
        <f aca="false">IF(ET48&lt;&gt;"Y","N",IF(COUNTIFS($AP$2:$AP$1000,AP48,$ET$2:$ET$1000,"Y",$J$2:$J$1000,"&gt;"&amp;J48)+COUNTIFS($AP$2:$AP$1000,AP48,$ET$2:$ET$1000,"Y",$J$2:$J$1000,J48,$EW$2:$EW$1000,"&lt;"&amp;EW48)=0,"Y","N"))</f>
        <v>N</v>
      </c>
      <c r="EV48" s="0" t="str">
        <f aca="false">IF(Y48="","N",IF(Y48&lt;=10,"Y","N"))</f>
        <v>N</v>
      </c>
      <c r="EW48" s="6" t="n">
        <f aca="false">ROW()-1</f>
        <v>47</v>
      </c>
    </row>
    <row r="49" customFormat="false" ht="15" hidden="false" customHeight="false" outlineLevel="0" collapsed="false">
      <c r="A49" s="0" t="s">
        <v>1427</v>
      </c>
      <c r="B49" s="0" t="s">
        <v>1428</v>
      </c>
      <c r="H49" s="5" t="s">
        <v>158</v>
      </c>
      <c r="I49" s="5" t="s">
        <v>594</v>
      </c>
      <c r="J49" s="6" t="n">
        <f aca="false">IF(AX49="pass",ROUND(CU49+CV49+CW49+CX49+CY49+CZ49,1),0)</f>
        <v>47.4</v>
      </c>
      <c r="K49" s="6" t="s">
        <v>1429</v>
      </c>
      <c r="L49" s="6" t="s">
        <v>187</v>
      </c>
      <c r="O49" s="6" t="s">
        <v>1430</v>
      </c>
      <c r="P49" s="6" t="s">
        <v>1431</v>
      </c>
      <c r="Q49" s="6" t="s">
        <v>1432</v>
      </c>
      <c r="R49" s="5" t="s">
        <v>162</v>
      </c>
      <c r="S49" s="6" t="s">
        <v>163</v>
      </c>
      <c r="T49" s="5" t="s">
        <v>162</v>
      </c>
      <c r="U49" s="5" t="s">
        <v>228</v>
      </c>
      <c r="V49" s="6" t="s">
        <v>1431</v>
      </c>
      <c r="W49" s="6" t="s">
        <v>166</v>
      </c>
      <c r="X49" s="6" t="s">
        <v>167</v>
      </c>
      <c r="Y49" s="0" t="str">
        <f aca="false">IF(EU49&lt;&gt;"Y","",COUNTIFS($EU$2:$EU$1000,"Y",$J$2:$J$1000,"&gt;"&amp;J49)+COUNTIFS($EU$2:$EU$1000,"Y",$J$2:$J$1000,J49,$EW$2:$EW$1000,"&lt;"&amp;EW49)+1)</f>
        <v/>
      </c>
      <c r="Z49" s="0" t="n">
        <v>48</v>
      </c>
      <c r="AA49" s="6" t="s">
        <v>168</v>
      </c>
      <c r="AB49" s="6" t="s">
        <v>597</v>
      </c>
      <c r="AD49" s="6" t="s">
        <v>158</v>
      </c>
      <c r="AH49" s="5" t="s">
        <v>158</v>
      </c>
      <c r="AI49" s="6" t="s">
        <v>1433</v>
      </c>
      <c r="AJ49" s="6" t="s">
        <v>1434</v>
      </c>
      <c r="AK49" s="6" t="s">
        <v>178</v>
      </c>
      <c r="AL49" s="0" t="n">
        <v>34</v>
      </c>
      <c r="AM49" s="0" t="n">
        <v>670</v>
      </c>
      <c r="AN49" s="6" t="s">
        <v>179</v>
      </c>
      <c r="AO49" s="6" t="s">
        <v>180</v>
      </c>
      <c r="AP49" s="6" t="s">
        <v>1427</v>
      </c>
      <c r="AQ49" s="5" t="s">
        <v>162</v>
      </c>
      <c r="AT49" s="0" t="str">
        <f aca="false">IF(AND(AX49="pass",AQ49&lt;&gt;"Y",C49&lt;&gt;"",OR(AW49&lt;&gt;"Y",AV49="Y")),"Y","N")</f>
        <v>N</v>
      </c>
      <c r="AU49" s="0" t="str">
        <f aca="false">_xlfn.TEXTJOIN("; ",TRUE(),IF(AX49&lt;&gt;"pass","gated out",""),IF(AQ49="Y","on hold: "&amp;AR49,""),IF(C49="","no contact named on an opened page",""),IF(AND(AW49="Y",AV49&lt;&gt;"Y"),"Tuesday estimate band "&amp;L49&amp;": founder's call",""))</f>
        <v>no contact named on an opened page</v>
      </c>
      <c r="AW49" s="6" t="s">
        <v>162</v>
      </c>
      <c r="AX49" s="6" t="s">
        <v>181</v>
      </c>
      <c r="AY49" s="6" t="s">
        <v>182</v>
      </c>
      <c r="AZ49" s="6" t="s">
        <v>1</v>
      </c>
      <c r="BA49" s="6" t="s">
        <v>1435</v>
      </c>
      <c r="BB49" s="6" t="s">
        <v>1436</v>
      </c>
      <c r="BC49" s="6" t="s">
        <v>1437</v>
      </c>
      <c r="BD49" s="6" t="s">
        <v>1438</v>
      </c>
      <c r="BF49" s="6" t="s">
        <v>1323</v>
      </c>
      <c r="BG49" s="6" t="s">
        <v>188</v>
      </c>
      <c r="BH49" s="6" t="s">
        <v>189</v>
      </c>
      <c r="BI49" s="6" t="s">
        <v>1439</v>
      </c>
      <c r="BK49" s="6" t="s">
        <v>1440</v>
      </c>
      <c r="BL49" s="6" t="s">
        <v>1441</v>
      </c>
      <c r="BM49" s="6" t="s">
        <v>162</v>
      </c>
      <c r="BN49" s="6" t="s">
        <v>163</v>
      </c>
      <c r="BO49" s="6" t="s">
        <v>163</v>
      </c>
      <c r="BP49" s="6" t="s">
        <v>347</v>
      </c>
      <c r="BQ49" s="0" t="n">
        <v>40.739363</v>
      </c>
      <c r="BR49" s="0" t="n">
        <v>-73.989534</v>
      </c>
      <c r="BS49" s="6" t="s">
        <v>168</v>
      </c>
      <c r="BT49" s="0" t="n">
        <v>0</v>
      </c>
      <c r="BU49" s="6" t="s">
        <v>1442</v>
      </c>
      <c r="BV49" s="6" t="s">
        <v>1443</v>
      </c>
      <c r="BW49" s="6" t="s">
        <v>1431</v>
      </c>
      <c r="BX49" s="6" t="s">
        <v>1432</v>
      </c>
      <c r="BY49" s="6" t="s">
        <v>248</v>
      </c>
      <c r="BZ49" s="6" t="s">
        <v>1444</v>
      </c>
      <c r="CA49" s="6" t="s">
        <v>166</v>
      </c>
      <c r="CC49" s="6" t="s">
        <v>200</v>
      </c>
      <c r="CE49" s="6" t="s">
        <v>162</v>
      </c>
      <c r="CH49" s="6" t="s">
        <v>201</v>
      </c>
      <c r="CI49" s="6" t="s">
        <v>1445</v>
      </c>
      <c r="CJ49" s="6" t="s">
        <v>163</v>
      </c>
      <c r="CK49" s="6" t="s">
        <v>162</v>
      </c>
      <c r="CL49" s="6" t="s">
        <v>449</v>
      </c>
      <c r="CM49" s="6" t="s">
        <v>1444</v>
      </c>
      <c r="CN49" s="6" t="s">
        <v>174</v>
      </c>
      <c r="CO49" s="0" t="n">
        <v>151</v>
      </c>
      <c r="CP49" s="6" t="s">
        <v>251</v>
      </c>
      <c r="CQ49" s="6" t="s">
        <v>1446</v>
      </c>
      <c r="CR49" s="6" t="s">
        <v>206</v>
      </c>
      <c r="CS49" s="0" t="n">
        <v>0.61</v>
      </c>
      <c r="CT49" s="0" t="n">
        <v>47.4</v>
      </c>
      <c r="CU49" s="0" t="n">
        <v>15.4</v>
      </c>
      <c r="CV49" s="0" t="n">
        <v>2</v>
      </c>
      <c r="CW49" s="0" t="n">
        <v>15</v>
      </c>
      <c r="CX49" s="0" t="n">
        <v>15</v>
      </c>
      <c r="CY49" s="6" t="n">
        <f aca="false">IF(AH49="exact",10,IF(AH49="adjacent",5,0))</f>
        <v>0</v>
      </c>
      <c r="CZ49" s="6" t="n">
        <f aca="false">IF(R49="Y",15,0)</f>
        <v>0</v>
      </c>
      <c r="DF49" s="6" t="s">
        <v>158</v>
      </c>
      <c r="DG49" s="6" t="s">
        <v>1336</v>
      </c>
      <c r="DH49" s="6" t="s">
        <v>1447</v>
      </c>
      <c r="DI49" s="6" t="s">
        <v>162</v>
      </c>
      <c r="DJ49" s="6" t="s">
        <v>1448</v>
      </c>
      <c r="DK49" s="6" t="s">
        <v>1449</v>
      </c>
      <c r="DS49" s="6" t="s">
        <v>158</v>
      </c>
      <c r="DX49" s="6" t="s">
        <v>168</v>
      </c>
      <c r="ER49" s="0" t="str">
        <f aca="false">IF(ISNUMBER(MATCH(U49,{"queued","contacted","replied","call_booked","call_done","yes_in_principle","materials_sent"},0)),"Y","N")</f>
        <v>N</v>
      </c>
      <c r="ES49" s="0" t="str">
        <f aca="false">IF(COUNTIFS($AP$2:$AP$1000,AP49,$ER$2:$ER$1000,"Y")+COUNTIFS($AP$2:$AP$1000,AP49,$T$2:$T$1000,"Y")&gt;0,"Y","N")</f>
        <v>N</v>
      </c>
      <c r="ET49" s="0" t="str">
        <f aca="false">IF(AND(U49="new",T49="N",AT49="Y",AS49="",ES49="N"),"Y","N")</f>
        <v>N</v>
      </c>
      <c r="EU49" s="0" t="str">
        <f aca="false">IF(ET49&lt;&gt;"Y","N",IF(COUNTIFS($AP$2:$AP$1000,AP49,$ET$2:$ET$1000,"Y",$J$2:$J$1000,"&gt;"&amp;J49)+COUNTIFS($AP$2:$AP$1000,AP49,$ET$2:$ET$1000,"Y",$J$2:$J$1000,J49,$EW$2:$EW$1000,"&lt;"&amp;EW49)=0,"Y","N"))</f>
        <v>N</v>
      </c>
      <c r="EV49" s="0" t="str">
        <f aca="false">IF(Y49="","N",IF(Y49&lt;=10,"Y","N"))</f>
        <v>N</v>
      </c>
      <c r="EW49" s="6" t="n">
        <f aca="false">ROW()-1</f>
        <v>48</v>
      </c>
    </row>
    <row r="50" customFormat="false" ht="15" hidden="false" customHeight="false" outlineLevel="0" collapsed="false">
      <c r="A50" s="0" t="s">
        <v>1450</v>
      </c>
      <c r="B50" s="0" t="s">
        <v>1451</v>
      </c>
      <c r="H50" s="5" t="s">
        <v>158</v>
      </c>
      <c r="I50" s="5" t="s">
        <v>594</v>
      </c>
      <c r="J50" s="6" t="n">
        <f aca="false">IF(AX50="pass",ROUND(CU50+CV50+CW50+CX50+CY50+CZ50,1),0)</f>
        <v>46.8</v>
      </c>
      <c r="K50" s="6" t="s">
        <v>1452</v>
      </c>
      <c r="L50" s="6" t="s">
        <v>161</v>
      </c>
      <c r="R50" s="5" t="s">
        <v>162</v>
      </c>
      <c r="S50" s="6" t="s">
        <v>163</v>
      </c>
      <c r="T50" s="5" t="s">
        <v>162</v>
      </c>
      <c r="U50" s="5" t="s">
        <v>228</v>
      </c>
      <c r="V50" s="6" t="s">
        <v>1453</v>
      </c>
      <c r="W50" s="6" t="s">
        <v>166</v>
      </c>
      <c r="X50" s="6" t="s">
        <v>167</v>
      </c>
      <c r="Y50" s="0" t="str">
        <f aca="false">IF(EU50&lt;&gt;"Y","",COUNTIFS($EU$2:$EU$1000,"Y",$J$2:$J$1000,"&gt;"&amp;J50)+COUNTIFS($EU$2:$EU$1000,"Y",$J$2:$J$1000,J50,$EW$2:$EW$1000,"&lt;"&amp;EW50)+1)</f>
        <v/>
      </c>
      <c r="Z50" s="0" t="n">
        <v>49</v>
      </c>
      <c r="AA50" s="6" t="s">
        <v>168</v>
      </c>
      <c r="AB50" s="6" t="s">
        <v>597</v>
      </c>
      <c r="AD50" s="6" t="s">
        <v>158</v>
      </c>
      <c r="AH50" s="5" t="s">
        <v>158</v>
      </c>
      <c r="AI50" s="6" t="s">
        <v>1454</v>
      </c>
      <c r="AJ50" s="6" t="s">
        <v>624</v>
      </c>
      <c r="AK50" s="6" t="s">
        <v>178</v>
      </c>
      <c r="AL50" s="0" t="n">
        <v>13</v>
      </c>
      <c r="AM50" s="0" t="n">
        <v>467</v>
      </c>
      <c r="AN50" s="6" t="s">
        <v>179</v>
      </c>
      <c r="AO50" s="6" t="s">
        <v>180</v>
      </c>
      <c r="AP50" s="6" t="s">
        <v>1450</v>
      </c>
      <c r="AQ50" s="5" t="s">
        <v>162</v>
      </c>
      <c r="AT50" s="0" t="str">
        <f aca="false">IF(AND(AX50="pass",AQ50&lt;&gt;"Y",C50&lt;&gt;"",OR(AW50&lt;&gt;"Y",AV50="Y")),"Y","N")</f>
        <v>N</v>
      </c>
      <c r="AU50" s="0" t="str">
        <f aca="false">_xlfn.TEXTJOIN("; ",TRUE(),IF(AX50&lt;&gt;"pass","gated out",""),IF(AQ50="Y","on hold: "&amp;AR50,""),IF(C50="","no contact named on an opened page",""),IF(AND(AW50="Y",AV50&lt;&gt;"Y"),"Tuesday estimate band "&amp;L50&amp;": founder's call",""))</f>
        <v>no contact named on an opened page</v>
      </c>
      <c r="AW50" s="6" t="s">
        <v>162</v>
      </c>
      <c r="AX50" s="6" t="s">
        <v>181</v>
      </c>
      <c r="AY50" s="6" t="s">
        <v>182</v>
      </c>
      <c r="AZ50" s="6" t="s">
        <v>1</v>
      </c>
      <c r="BA50" s="6" t="s">
        <v>1455</v>
      </c>
      <c r="BB50" s="6" t="s">
        <v>1456</v>
      </c>
      <c r="BC50" s="6" t="s">
        <v>1457</v>
      </c>
      <c r="BD50" s="6" t="s">
        <v>1458</v>
      </c>
      <c r="BE50" s="6" t="s">
        <v>1459</v>
      </c>
      <c r="BF50" s="6" t="s">
        <v>1323</v>
      </c>
      <c r="BG50" s="6" t="s">
        <v>188</v>
      </c>
      <c r="BH50" s="6" t="s">
        <v>1324</v>
      </c>
      <c r="BI50" s="6" t="s">
        <v>1460</v>
      </c>
      <c r="BJ50" s="6" t="s">
        <v>1461</v>
      </c>
      <c r="BK50" s="6" t="s">
        <v>1264</v>
      </c>
      <c r="BL50" s="6" t="s">
        <v>1462</v>
      </c>
      <c r="BM50" s="6" t="s">
        <v>162</v>
      </c>
      <c r="BN50" s="6" t="s">
        <v>163</v>
      </c>
      <c r="BO50" s="6" t="s">
        <v>163</v>
      </c>
      <c r="BP50" s="6" t="s">
        <v>712</v>
      </c>
      <c r="BQ50" s="0" t="n">
        <v>40.744515</v>
      </c>
      <c r="BR50" s="0" t="n">
        <v>-73.988255</v>
      </c>
      <c r="BS50" s="6" t="s">
        <v>168</v>
      </c>
      <c r="BT50" s="0" t="n">
        <v>0</v>
      </c>
      <c r="BU50" s="6" t="s">
        <v>1463</v>
      </c>
      <c r="BV50" s="6" t="s">
        <v>1464</v>
      </c>
      <c r="BW50" s="6" t="s">
        <v>1453</v>
      </c>
      <c r="BX50" s="6" t="s">
        <v>166</v>
      </c>
      <c r="BY50" s="6" t="s">
        <v>196</v>
      </c>
      <c r="BZ50" s="6" t="s">
        <v>1465</v>
      </c>
      <c r="CA50" s="6" t="s">
        <v>1466</v>
      </c>
      <c r="CC50" s="6" t="s">
        <v>739</v>
      </c>
      <c r="CE50" s="6" t="s">
        <v>162</v>
      </c>
      <c r="CH50" s="6" t="s">
        <v>163</v>
      </c>
      <c r="CJ50" s="6" t="s">
        <v>163</v>
      </c>
      <c r="CK50" s="6" t="s">
        <v>162</v>
      </c>
      <c r="CL50" s="6" t="s">
        <v>577</v>
      </c>
      <c r="CM50" s="6" t="s">
        <v>1461</v>
      </c>
      <c r="CN50" s="6" t="s">
        <v>174</v>
      </c>
      <c r="CO50" s="0" t="n">
        <v>78</v>
      </c>
      <c r="CP50" s="6" t="s">
        <v>768</v>
      </c>
      <c r="CQ50" s="6" t="s">
        <v>1467</v>
      </c>
      <c r="CR50" s="6" t="s">
        <v>206</v>
      </c>
      <c r="CS50" s="0" t="n">
        <v>0.51</v>
      </c>
      <c r="CT50" s="0" t="n">
        <v>46.8</v>
      </c>
      <c r="CU50" s="0" t="n">
        <v>12.8</v>
      </c>
      <c r="CV50" s="0" t="n">
        <v>6</v>
      </c>
      <c r="CW50" s="0" t="n">
        <v>15</v>
      </c>
      <c r="CX50" s="0" t="n">
        <v>13</v>
      </c>
      <c r="CY50" s="6" t="n">
        <f aca="false">IF(AH50="exact",10,IF(AH50="adjacent",5,0))</f>
        <v>0</v>
      </c>
      <c r="CZ50" s="6" t="n">
        <f aca="false">IF(R50="Y",15,0)</f>
        <v>0</v>
      </c>
      <c r="DF50" s="6" t="s">
        <v>158</v>
      </c>
      <c r="DG50" s="6" t="s">
        <v>1336</v>
      </c>
      <c r="DH50" s="6" t="s">
        <v>1337</v>
      </c>
      <c r="DI50" s="6" t="s">
        <v>168</v>
      </c>
      <c r="DJ50" s="6" t="s">
        <v>1468</v>
      </c>
      <c r="DK50" s="6" t="s">
        <v>1469</v>
      </c>
      <c r="DS50" s="6" t="s">
        <v>158</v>
      </c>
      <c r="DX50" s="6" t="s">
        <v>168</v>
      </c>
      <c r="ER50" s="0" t="str">
        <f aca="false">IF(ISNUMBER(MATCH(U50,{"queued","contacted","replied","call_booked","call_done","yes_in_principle","materials_sent"},0)),"Y","N")</f>
        <v>N</v>
      </c>
      <c r="ES50" s="0" t="str">
        <f aca="false">IF(COUNTIFS($AP$2:$AP$1000,AP50,$ER$2:$ER$1000,"Y")+COUNTIFS($AP$2:$AP$1000,AP50,$T$2:$T$1000,"Y")&gt;0,"Y","N")</f>
        <v>N</v>
      </c>
      <c r="ET50" s="0" t="str">
        <f aca="false">IF(AND(U50="new",T50="N",AT50="Y",AS50="",ES50="N"),"Y","N")</f>
        <v>N</v>
      </c>
      <c r="EU50" s="0" t="str">
        <f aca="false">IF(ET50&lt;&gt;"Y","N",IF(COUNTIFS($AP$2:$AP$1000,AP50,$ET$2:$ET$1000,"Y",$J$2:$J$1000,"&gt;"&amp;J50)+COUNTIFS($AP$2:$AP$1000,AP50,$ET$2:$ET$1000,"Y",$J$2:$J$1000,J50,$EW$2:$EW$1000,"&lt;"&amp;EW50)=0,"Y","N"))</f>
        <v>N</v>
      </c>
      <c r="EV50" s="0" t="str">
        <f aca="false">IF(Y50="","N",IF(Y50&lt;=10,"Y","N"))</f>
        <v>N</v>
      </c>
      <c r="EW50" s="6" t="n">
        <f aca="false">ROW()-1</f>
        <v>49</v>
      </c>
    </row>
    <row r="51" customFormat="false" ht="15" hidden="false" customHeight="false" outlineLevel="0" collapsed="false">
      <c r="A51" s="0" t="s">
        <v>1470</v>
      </c>
      <c r="B51" s="0" t="s">
        <v>1471</v>
      </c>
      <c r="H51" s="5" t="s">
        <v>158</v>
      </c>
      <c r="I51" s="5" t="s">
        <v>594</v>
      </c>
      <c r="J51" s="6" t="n">
        <f aca="false">IF(AX51="pass",ROUND(CU51+CV51+CW51+CX51+CY51+CZ51,1),0)</f>
        <v>46.2</v>
      </c>
      <c r="K51" s="6" t="s">
        <v>1472</v>
      </c>
      <c r="L51" s="6" t="s">
        <v>187</v>
      </c>
      <c r="R51" s="5" t="s">
        <v>162</v>
      </c>
      <c r="S51" s="6" t="s">
        <v>163</v>
      </c>
      <c r="T51" s="5" t="s">
        <v>162</v>
      </c>
      <c r="U51" s="5" t="s">
        <v>228</v>
      </c>
      <c r="V51" s="6" t="s">
        <v>1473</v>
      </c>
      <c r="W51" s="6" t="s">
        <v>166</v>
      </c>
      <c r="X51" s="6" t="s">
        <v>167</v>
      </c>
      <c r="Y51" s="0" t="str">
        <f aca="false">IF(EU51&lt;&gt;"Y","",COUNTIFS($EU$2:$EU$1000,"Y",$J$2:$J$1000,"&gt;"&amp;J51)+COUNTIFS($EU$2:$EU$1000,"Y",$J$2:$J$1000,J51,$EW$2:$EW$1000,"&lt;"&amp;EW51)+1)</f>
        <v/>
      </c>
      <c r="Z51" s="0" t="n">
        <v>50</v>
      </c>
      <c r="AA51" s="6" t="s">
        <v>168</v>
      </c>
      <c r="AB51" s="6" t="s">
        <v>597</v>
      </c>
      <c r="AD51" s="6" t="s">
        <v>158</v>
      </c>
      <c r="AH51" s="5" t="s">
        <v>158</v>
      </c>
      <c r="AI51" s="6" t="s">
        <v>1474</v>
      </c>
      <c r="AJ51" s="6" t="s">
        <v>1475</v>
      </c>
      <c r="AK51" s="6" t="s">
        <v>178</v>
      </c>
      <c r="AL51" s="0" t="n">
        <v>46</v>
      </c>
      <c r="AM51" s="0" t="n">
        <v>912</v>
      </c>
      <c r="AN51" s="6" t="s">
        <v>179</v>
      </c>
      <c r="AO51" s="6" t="s">
        <v>180</v>
      </c>
      <c r="AP51" s="6" t="s">
        <v>1470</v>
      </c>
      <c r="AQ51" s="5" t="s">
        <v>162</v>
      </c>
      <c r="AT51" s="0" t="str">
        <f aca="false">IF(AND(AX51="pass",AQ51&lt;&gt;"Y",C51&lt;&gt;"",OR(AW51&lt;&gt;"Y",AV51="Y")),"Y","N")</f>
        <v>N</v>
      </c>
      <c r="AU51" s="0" t="str">
        <f aca="false">_xlfn.TEXTJOIN("; ",TRUE(),IF(AX51&lt;&gt;"pass","gated out",""),IF(AQ51="Y","on hold: "&amp;AR51,""),IF(C51="","no contact named on an opened page",""),IF(AND(AW51="Y",AV51&lt;&gt;"Y"),"Tuesday estimate band "&amp;L51&amp;": founder's call",""))</f>
        <v>no contact named on an opened page</v>
      </c>
      <c r="AW51" s="6" t="s">
        <v>162</v>
      </c>
      <c r="AX51" s="6" t="s">
        <v>181</v>
      </c>
      <c r="AY51" s="6" t="s">
        <v>182</v>
      </c>
      <c r="AZ51" s="6" t="s">
        <v>1</v>
      </c>
      <c r="BA51" s="6" t="s">
        <v>1476</v>
      </c>
      <c r="BB51" s="6" t="s">
        <v>1477</v>
      </c>
      <c r="BC51" s="6" t="s">
        <v>1478</v>
      </c>
      <c r="BD51" s="6" t="s">
        <v>1479</v>
      </c>
      <c r="BF51" s="6" t="s">
        <v>1323</v>
      </c>
      <c r="BG51" s="6" t="s">
        <v>188</v>
      </c>
      <c r="BH51" s="6" t="s">
        <v>189</v>
      </c>
      <c r="BI51" s="6" t="s">
        <v>1480</v>
      </c>
      <c r="BK51" s="6" t="s">
        <v>1440</v>
      </c>
      <c r="BL51" s="6" t="s">
        <v>163</v>
      </c>
      <c r="BM51" s="6" t="s">
        <v>163</v>
      </c>
      <c r="BN51" s="6" t="s">
        <v>163</v>
      </c>
      <c r="BO51" s="6" t="s">
        <v>163</v>
      </c>
      <c r="BP51" s="6" t="s">
        <v>347</v>
      </c>
      <c r="BQ51" s="0" t="n">
        <v>40.741968</v>
      </c>
      <c r="BR51" s="0" t="n">
        <v>-73.985327</v>
      </c>
      <c r="BS51" s="6" t="s">
        <v>168</v>
      </c>
      <c r="BT51" s="0" t="n">
        <v>0</v>
      </c>
      <c r="BU51" s="6" t="s">
        <v>1481</v>
      </c>
      <c r="BV51" s="6" t="s">
        <v>1482</v>
      </c>
      <c r="BW51" s="6" t="s">
        <v>1473</v>
      </c>
      <c r="BX51" s="6" t="s">
        <v>1483</v>
      </c>
      <c r="BY51" s="6" t="s">
        <v>248</v>
      </c>
      <c r="BZ51" s="6" t="s">
        <v>1480</v>
      </c>
      <c r="CA51" s="6" t="s">
        <v>166</v>
      </c>
      <c r="CC51" s="6" t="s">
        <v>200</v>
      </c>
      <c r="CE51" s="6" t="s">
        <v>162</v>
      </c>
      <c r="CH51" s="6" t="s">
        <v>163</v>
      </c>
      <c r="CJ51" s="6" t="s">
        <v>163</v>
      </c>
      <c r="CK51" s="6" t="s">
        <v>162</v>
      </c>
      <c r="CL51" s="6" t="s">
        <v>449</v>
      </c>
      <c r="CM51" s="6" t="s">
        <v>1480</v>
      </c>
      <c r="CN51" s="6" t="s">
        <v>174</v>
      </c>
      <c r="CO51" s="0" t="n">
        <v>205</v>
      </c>
      <c r="CP51" s="6" t="s">
        <v>251</v>
      </c>
      <c r="CQ51" s="6" t="s">
        <v>1484</v>
      </c>
      <c r="CR51" s="6" t="s">
        <v>206</v>
      </c>
      <c r="CS51" s="0" t="n">
        <v>0.57</v>
      </c>
      <c r="CT51" s="0" t="n">
        <v>46.2</v>
      </c>
      <c r="CU51" s="0" t="n">
        <v>14.2</v>
      </c>
      <c r="CV51" s="0" t="n">
        <v>2</v>
      </c>
      <c r="CW51" s="0" t="n">
        <v>15</v>
      </c>
      <c r="CX51" s="0" t="n">
        <v>15</v>
      </c>
      <c r="CY51" s="6" t="n">
        <f aca="false">IF(AH51="exact",10,IF(AH51="adjacent",5,0))</f>
        <v>0</v>
      </c>
      <c r="CZ51" s="6" t="n">
        <f aca="false">IF(R51="Y",15,0)</f>
        <v>0</v>
      </c>
      <c r="DF51" s="6" t="s">
        <v>158</v>
      </c>
      <c r="DG51" s="6" t="s">
        <v>1336</v>
      </c>
      <c r="DH51" s="6" t="s">
        <v>1447</v>
      </c>
      <c r="DI51" s="6" t="s">
        <v>162</v>
      </c>
      <c r="DJ51" s="6" t="s">
        <v>1485</v>
      </c>
      <c r="DK51" s="6" t="s">
        <v>1486</v>
      </c>
      <c r="DS51" s="6" t="s">
        <v>158</v>
      </c>
      <c r="DX51" s="6" t="s">
        <v>168</v>
      </c>
      <c r="ER51" s="0" t="str">
        <f aca="false">IF(ISNUMBER(MATCH(U51,{"queued","contacted","replied","call_booked","call_done","yes_in_principle","materials_sent"},0)),"Y","N")</f>
        <v>N</v>
      </c>
      <c r="ES51" s="0" t="str">
        <f aca="false">IF(COUNTIFS($AP$2:$AP$1000,AP51,$ER$2:$ER$1000,"Y")+COUNTIFS($AP$2:$AP$1000,AP51,$T$2:$T$1000,"Y")&gt;0,"Y","N")</f>
        <v>N</v>
      </c>
      <c r="ET51" s="0" t="str">
        <f aca="false">IF(AND(U51="new",T51="N",AT51="Y",AS51="",ES51="N"),"Y","N")</f>
        <v>N</v>
      </c>
      <c r="EU51" s="0" t="str">
        <f aca="false">IF(ET51&lt;&gt;"Y","N",IF(COUNTIFS($AP$2:$AP$1000,AP51,$ET$2:$ET$1000,"Y",$J$2:$J$1000,"&gt;"&amp;J51)+COUNTIFS($AP$2:$AP$1000,AP51,$ET$2:$ET$1000,"Y",$J$2:$J$1000,J51,$EW$2:$EW$1000,"&lt;"&amp;EW51)=0,"Y","N"))</f>
        <v>N</v>
      </c>
      <c r="EV51" s="0" t="str">
        <f aca="false">IF(Y51="","N",IF(Y51&lt;=10,"Y","N"))</f>
        <v>N</v>
      </c>
      <c r="EW51" s="6" t="n">
        <f aca="false">ROW()-1</f>
        <v>50</v>
      </c>
    </row>
    <row r="52" customFormat="false" ht="15" hidden="false" customHeight="false" outlineLevel="0" collapsed="false">
      <c r="A52" s="0" t="s">
        <v>1487</v>
      </c>
      <c r="B52" s="0" t="s">
        <v>1488</v>
      </c>
      <c r="H52" s="5" t="s">
        <v>158</v>
      </c>
      <c r="I52" s="5" t="s">
        <v>159</v>
      </c>
      <c r="J52" s="6" t="n">
        <f aca="false">IF(AX52="pass",ROUND(CU52+CV52+CW52+CX52+CY52+CZ52,1),0)</f>
        <v>46.1</v>
      </c>
      <c r="K52" s="6" t="s">
        <v>1489</v>
      </c>
      <c r="L52" s="6" t="s">
        <v>395</v>
      </c>
      <c r="O52" s="6" t="s">
        <v>1490</v>
      </c>
      <c r="P52" s="6" t="s">
        <v>1491</v>
      </c>
      <c r="Q52" s="6" t="s">
        <v>1492</v>
      </c>
      <c r="R52" s="5" t="s">
        <v>162</v>
      </c>
      <c r="S52" s="6" t="s">
        <v>163</v>
      </c>
      <c r="T52" s="5" t="s">
        <v>162</v>
      </c>
      <c r="U52" s="5" t="s">
        <v>228</v>
      </c>
      <c r="V52" s="6" t="s">
        <v>1491</v>
      </c>
      <c r="W52" s="6" t="s">
        <v>166</v>
      </c>
      <c r="X52" s="6" t="s">
        <v>167</v>
      </c>
      <c r="Y52" s="0" t="str">
        <f aca="false">IF(EU52&lt;&gt;"Y","",COUNTIFS($EU$2:$EU$1000,"Y",$J$2:$J$1000,"&gt;"&amp;J52)+COUNTIFS($EU$2:$EU$1000,"Y",$J$2:$J$1000,J52,$EW$2:$EW$1000,"&lt;"&amp;EW52)+1)</f>
        <v/>
      </c>
      <c r="Z52" s="0" t="n">
        <v>51</v>
      </c>
      <c r="AA52" s="6" t="s">
        <v>162</v>
      </c>
      <c r="AD52" s="6" t="s">
        <v>158</v>
      </c>
      <c r="AH52" s="5" t="s">
        <v>158</v>
      </c>
      <c r="AI52" s="6" t="s">
        <v>1493</v>
      </c>
      <c r="AJ52" s="6" t="s">
        <v>234</v>
      </c>
      <c r="AK52" s="6" t="s">
        <v>890</v>
      </c>
      <c r="AL52" s="0" t="n">
        <v>15</v>
      </c>
      <c r="AM52" s="0" t="n">
        <v>314</v>
      </c>
      <c r="AN52" s="6" t="s">
        <v>179</v>
      </c>
      <c r="AO52" s="6" t="s">
        <v>180</v>
      </c>
      <c r="AP52" s="6" t="s">
        <v>1487</v>
      </c>
      <c r="AQ52" s="5" t="s">
        <v>168</v>
      </c>
      <c r="AR52" s="6" t="s">
        <v>891</v>
      </c>
      <c r="AT52" s="0" t="str">
        <f aca="false">IF(AND(AX52="pass",AQ52&lt;&gt;"Y",C52&lt;&gt;"",OR(AW52&lt;&gt;"Y",AV52="Y")),"Y","N")</f>
        <v>N</v>
      </c>
      <c r="AU52" s="0" t="str">
        <f aca="false">_xlfn.TEXTJOIN("; ",TRUE(),IF(AX52&lt;&gt;"pass","gated out",""),IF(AQ52="Y","on hold: "&amp;AR52,""),IF(C52="","no contact named on an opened page",""),IF(AND(AW52="Y",AV52&lt;&gt;"Y"),"Tuesday estimate band "&amp;L52&amp;": founder's call",""))</f>
        <v>on hold: lease signed, move not confirmed: check the lobby directory before outreach (B); no contact named on an opened page</v>
      </c>
      <c r="AW52" s="6" t="s">
        <v>162</v>
      </c>
      <c r="AX52" s="6" t="s">
        <v>181</v>
      </c>
      <c r="AY52" s="6" t="s">
        <v>182</v>
      </c>
      <c r="AZ52" s="6" t="s">
        <v>1</v>
      </c>
      <c r="BA52" s="6" t="s">
        <v>1494</v>
      </c>
      <c r="BB52" s="6" t="s">
        <v>1495</v>
      </c>
      <c r="BC52" s="6" t="s">
        <v>1496</v>
      </c>
      <c r="BD52" s="6" t="s">
        <v>1497</v>
      </c>
      <c r="BE52" s="6" t="s">
        <v>1498</v>
      </c>
      <c r="BF52" s="6" t="s">
        <v>240</v>
      </c>
      <c r="BG52" s="6" t="s">
        <v>188</v>
      </c>
      <c r="BH52" s="6" t="s">
        <v>241</v>
      </c>
      <c r="BI52" s="6" t="s">
        <v>1499</v>
      </c>
      <c r="BJ52" s="6" t="s">
        <v>1500</v>
      </c>
      <c r="BK52" s="6" t="s">
        <v>191</v>
      </c>
      <c r="BL52" s="6" t="s">
        <v>656</v>
      </c>
      <c r="BM52" s="6" t="s">
        <v>162</v>
      </c>
      <c r="BN52" s="6" t="s">
        <v>1501</v>
      </c>
      <c r="BO52" s="6" t="s">
        <v>163</v>
      </c>
      <c r="BP52" s="6" t="s">
        <v>378</v>
      </c>
      <c r="BQ52" s="0" t="n">
        <v>40.736981</v>
      </c>
      <c r="BR52" s="0" t="n">
        <v>-73.993144</v>
      </c>
      <c r="BS52" s="6" t="s">
        <v>168</v>
      </c>
      <c r="BT52" s="0" t="n">
        <v>0</v>
      </c>
      <c r="BU52" s="6" t="s">
        <v>1502</v>
      </c>
      <c r="BV52" s="6" t="s">
        <v>1503</v>
      </c>
      <c r="BW52" s="6" t="s">
        <v>1491</v>
      </c>
      <c r="BX52" s="6" t="s">
        <v>1492</v>
      </c>
      <c r="BY52" s="6" t="s">
        <v>248</v>
      </c>
      <c r="CC52" s="6" t="s">
        <v>739</v>
      </c>
      <c r="CD52" s="6" t="s">
        <v>163</v>
      </c>
      <c r="CE52" s="6" t="s">
        <v>162</v>
      </c>
      <c r="CH52" s="6" t="s">
        <v>163</v>
      </c>
      <c r="CJ52" s="6" t="s">
        <v>163</v>
      </c>
      <c r="CK52" s="6" t="s">
        <v>162</v>
      </c>
      <c r="CL52" s="6" t="s">
        <v>1504</v>
      </c>
      <c r="CM52" s="6" t="s">
        <v>1505</v>
      </c>
      <c r="CN52" s="6" t="s">
        <v>174</v>
      </c>
      <c r="CO52" s="0" t="n">
        <v>69</v>
      </c>
      <c r="CP52" s="6" t="s">
        <v>768</v>
      </c>
      <c r="CQ52" s="6" t="s">
        <v>1506</v>
      </c>
      <c r="CR52" s="6" t="s">
        <v>206</v>
      </c>
      <c r="CS52" s="0" t="n">
        <v>0.6</v>
      </c>
      <c r="CT52" s="0" t="n">
        <v>46.1</v>
      </c>
      <c r="CU52" s="0" t="n">
        <v>15.1</v>
      </c>
      <c r="CV52" s="0" t="n">
        <v>11</v>
      </c>
      <c r="CW52" s="0" t="n">
        <v>15</v>
      </c>
      <c r="CX52" s="0" t="n">
        <v>5</v>
      </c>
      <c r="CY52" s="6" t="n">
        <f aca="false">IF(AH52="exact",10,IF(AH52="adjacent",5,0))</f>
        <v>0</v>
      </c>
      <c r="CZ52" s="6" t="n">
        <f aca="false">IF(R52="Y",15,0)</f>
        <v>0</v>
      </c>
      <c r="DF52" s="6" t="s">
        <v>158</v>
      </c>
      <c r="DG52" s="6" t="s">
        <v>211</v>
      </c>
      <c r="DJ52" s="6" t="s">
        <v>1507</v>
      </c>
      <c r="DK52" s="6" t="s">
        <v>1508</v>
      </c>
      <c r="DS52" s="6" t="s">
        <v>158</v>
      </c>
      <c r="DX52" s="6" t="s">
        <v>162</v>
      </c>
      <c r="ER52" s="0" t="str">
        <f aca="false">IF(ISNUMBER(MATCH(U52,{"queued","contacted","replied","call_booked","call_done","yes_in_principle","materials_sent"},0)),"Y","N")</f>
        <v>N</v>
      </c>
      <c r="ES52" s="0" t="str">
        <f aca="false">IF(COUNTIFS($AP$2:$AP$1000,AP52,$ER$2:$ER$1000,"Y")+COUNTIFS($AP$2:$AP$1000,AP52,$T$2:$T$1000,"Y")&gt;0,"Y","N")</f>
        <v>N</v>
      </c>
      <c r="ET52" s="0" t="str">
        <f aca="false">IF(AND(U52="new",T52="N",AT52="Y",AS52="",ES52="N"),"Y","N")</f>
        <v>N</v>
      </c>
      <c r="EU52" s="0" t="str">
        <f aca="false">IF(ET52&lt;&gt;"Y","N",IF(COUNTIFS($AP$2:$AP$1000,AP52,$ET$2:$ET$1000,"Y",$J$2:$J$1000,"&gt;"&amp;J52)+COUNTIFS($AP$2:$AP$1000,AP52,$ET$2:$ET$1000,"Y",$J$2:$J$1000,J52,$EW$2:$EW$1000,"&lt;"&amp;EW52)=0,"Y","N"))</f>
        <v>N</v>
      </c>
      <c r="EV52" s="0" t="str">
        <f aca="false">IF(Y52="","N",IF(Y52&lt;=10,"Y","N"))</f>
        <v>N</v>
      </c>
      <c r="EW52" s="6" t="n">
        <f aca="false">ROW()-1</f>
        <v>51</v>
      </c>
    </row>
    <row r="53" customFormat="false" ht="15" hidden="false" customHeight="false" outlineLevel="0" collapsed="false">
      <c r="A53" s="0" t="s">
        <v>1509</v>
      </c>
      <c r="B53" s="0" t="s">
        <v>1510</v>
      </c>
      <c r="H53" s="5" t="s">
        <v>158</v>
      </c>
      <c r="I53" s="5" t="s">
        <v>159</v>
      </c>
      <c r="J53" s="6" t="n">
        <f aca="false">IF(AX53="pass",ROUND(CU53+CV53+CW53+CX53+CY53+CZ53,1),0)</f>
        <v>45.9</v>
      </c>
      <c r="K53" s="6" t="s">
        <v>1511</v>
      </c>
      <c r="L53" s="6" t="s">
        <v>395</v>
      </c>
      <c r="R53" s="5" t="s">
        <v>162</v>
      </c>
      <c r="S53" s="6" t="s">
        <v>163</v>
      </c>
      <c r="T53" s="5" t="s">
        <v>162</v>
      </c>
      <c r="U53" s="5" t="s">
        <v>228</v>
      </c>
      <c r="V53" s="6" t="s">
        <v>1512</v>
      </c>
      <c r="W53" s="6" t="s">
        <v>166</v>
      </c>
      <c r="X53" s="6" t="s">
        <v>167</v>
      </c>
      <c r="Y53" s="0" t="str">
        <f aca="false">IF(EU53&lt;&gt;"Y","",COUNTIFS($EU$2:$EU$1000,"Y",$J$2:$J$1000,"&gt;"&amp;J53)+COUNTIFS($EU$2:$EU$1000,"Y",$J$2:$J$1000,J53,$EW$2:$EW$1000,"&lt;"&amp;EW53)+1)</f>
        <v/>
      </c>
      <c r="Z53" s="0" t="n">
        <v>52</v>
      </c>
      <c r="AA53" s="6" t="s">
        <v>162</v>
      </c>
      <c r="AD53" s="6" t="s">
        <v>158</v>
      </c>
      <c r="AH53" s="5" t="s">
        <v>158</v>
      </c>
      <c r="AI53" s="6" t="s">
        <v>1513</v>
      </c>
      <c r="AJ53" s="6" t="s">
        <v>1258</v>
      </c>
      <c r="AK53" s="6" t="s">
        <v>178</v>
      </c>
      <c r="AL53" s="0" t="n">
        <v>8</v>
      </c>
      <c r="AM53" s="0" t="n">
        <v>224</v>
      </c>
      <c r="AN53" s="6" t="s">
        <v>179</v>
      </c>
      <c r="AO53" s="6" t="s">
        <v>862</v>
      </c>
      <c r="AP53" s="6" t="s">
        <v>1509</v>
      </c>
      <c r="AQ53" s="5" t="s">
        <v>162</v>
      </c>
      <c r="AT53" s="0" t="str">
        <f aca="false">IF(AND(AX53="pass",AQ53&lt;&gt;"Y",C53&lt;&gt;"",OR(AW53&lt;&gt;"Y",AV53="Y")),"Y","N")</f>
        <v>N</v>
      </c>
      <c r="AU53" s="0" t="str">
        <f aca="false">_xlfn.TEXTJOIN("; ",TRUE(),IF(AX53&lt;&gt;"pass","gated out",""),IF(AQ53="Y","on hold: "&amp;AR53,""),IF(C53="","no contact named on an opened page",""),IF(AND(AW53="Y",AV53&lt;&gt;"Y"),"Tuesday estimate band "&amp;L53&amp;": founder's call",""))</f>
        <v>no contact named on an opened page</v>
      </c>
      <c r="AW53" s="6" t="s">
        <v>162</v>
      </c>
      <c r="AX53" s="6" t="s">
        <v>181</v>
      </c>
      <c r="AY53" s="6" t="s">
        <v>182</v>
      </c>
      <c r="AZ53" s="6" t="s">
        <v>1</v>
      </c>
      <c r="BA53" s="6" t="s">
        <v>1514</v>
      </c>
      <c r="BB53" s="6" t="s">
        <v>1515</v>
      </c>
      <c r="BC53" s="6" t="s">
        <v>1516</v>
      </c>
      <c r="BD53" s="6" t="s">
        <v>1415</v>
      </c>
      <c r="BE53" s="6" t="s">
        <v>866</v>
      </c>
      <c r="BF53" s="6" t="s">
        <v>163</v>
      </c>
      <c r="BG53" s="6" t="s">
        <v>163</v>
      </c>
      <c r="BH53" s="6" t="s">
        <v>280</v>
      </c>
      <c r="BI53" s="6" t="s">
        <v>1517</v>
      </c>
      <c r="BJ53" s="6" t="s">
        <v>1518</v>
      </c>
      <c r="BK53" s="6" t="s">
        <v>191</v>
      </c>
      <c r="BL53" s="6" t="s">
        <v>1441</v>
      </c>
      <c r="BM53" s="6" t="s">
        <v>162</v>
      </c>
      <c r="BN53" s="6" t="s">
        <v>163</v>
      </c>
      <c r="BO53" s="6" t="s">
        <v>163</v>
      </c>
      <c r="BP53" s="6" t="s">
        <v>712</v>
      </c>
      <c r="BQ53" s="0" t="n">
        <v>40.743655</v>
      </c>
      <c r="BR53" s="0" t="n">
        <v>-73.988282</v>
      </c>
      <c r="BS53" s="6" t="s">
        <v>168</v>
      </c>
      <c r="BT53" s="0" t="n">
        <v>0</v>
      </c>
      <c r="BU53" s="6" t="s">
        <v>1519</v>
      </c>
      <c r="BV53" s="6" t="s">
        <v>1513</v>
      </c>
      <c r="BW53" s="6" t="s">
        <v>1512</v>
      </c>
      <c r="BX53" s="6" t="s">
        <v>174</v>
      </c>
      <c r="BY53" s="6" t="s">
        <v>196</v>
      </c>
      <c r="CC53" s="6" t="s">
        <v>739</v>
      </c>
      <c r="CE53" s="6" t="s">
        <v>162</v>
      </c>
      <c r="CH53" s="6" t="s">
        <v>163</v>
      </c>
      <c r="CJ53" s="6" t="s">
        <v>163</v>
      </c>
      <c r="CK53" s="6" t="s">
        <v>162</v>
      </c>
      <c r="CL53" s="6" t="s">
        <v>1520</v>
      </c>
      <c r="CM53" s="6" t="s">
        <v>1517</v>
      </c>
      <c r="CN53" s="6" t="s">
        <v>174</v>
      </c>
      <c r="CO53" s="0" t="n">
        <v>42</v>
      </c>
      <c r="CP53" s="6" t="s">
        <v>969</v>
      </c>
      <c r="CQ53" s="6" t="s">
        <v>1521</v>
      </c>
      <c r="CR53" s="6" t="s">
        <v>206</v>
      </c>
      <c r="CS53" s="0" t="n">
        <v>0.52</v>
      </c>
      <c r="CT53" s="0" t="n">
        <v>45.9</v>
      </c>
      <c r="CU53" s="0" t="n">
        <v>12.9</v>
      </c>
      <c r="CV53" s="0" t="n">
        <v>15</v>
      </c>
      <c r="CW53" s="0" t="n">
        <v>5</v>
      </c>
      <c r="CX53" s="0" t="n">
        <v>13</v>
      </c>
      <c r="CY53" s="6" t="n">
        <f aca="false">IF(AH53="exact",10,IF(AH53="adjacent",5,0))</f>
        <v>0</v>
      </c>
      <c r="CZ53" s="6" t="n">
        <f aca="false">IF(R53="Y",15,0)</f>
        <v>0</v>
      </c>
      <c r="DF53" s="6" t="s">
        <v>158</v>
      </c>
      <c r="DG53" s="6" t="s">
        <v>211</v>
      </c>
      <c r="DK53" s="6" t="s">
        <v>1522</v>
      </c>
      <c r="DS53" s="6" t="s">
        <v>158</v>
      </c>
      <c r="DX53" s="6" t="s">
        <v>162</v>
      </c>
      <c r="ER53" s="0" t="str">
        <f aca="false">IF(ISNUMBER(MATCH(U53,{"queued","contacted","replied","call_booked","call_done","yes_in_principle","materials_sent"},0)),"Y","N")</f>
        <v>N</v>
      </c>
      <c r="ES53" s="0" t="str">
        <f aca="false">IF(COUNTIFS($AP$2:$AP$1000,AP53,$ER$2:$ER$1000,"Y")+COUNTIFS($AP$2:$AP$1000,AP53,$T$2:$T$1000,"Y")&gt;0,"Y","N")</f>
        <v>N</v>
      </c>
      <c r="ET53" s="0" t="str">
        <f aca="false">IF(AND(U53="new",T53="N",AT53="Y",AS53="",ES53="N"),"Y","N")</f>
        <v>N</v>
      </c>
      <c r="EU53" s="0" t="str">
        <f aca="false">IF(ET53&lt;&gt;"Y","N",IF(COUNTIFS($AP$2:$AP$1000,AP53,$ET$2:$ET$1000,"Y",$J$2:$J$1000,"&gt;"&amp;J53)+COUNTIFS($AP$2:$AP$1000,AP53,$ET$2:$ET$1000,"Y",$J$2:$J$1000,J53,$EW$2:$EW$1000,"&lt;"&amp;EW53)=0,"Y","N"))</f>
        <v>N</v>
      </c>
      <c r="EV53" s="0" t="str">
        <f aca="false">IF(Y53="","N",IF(Y53&lt;=10,"Y","N"))</f>
        <v>N</v>
      </c>
      <c r="EW53" s="6" t="n">
        <f aca="false">ROW()-1</f>
        <v>52</v>
      </c>
    </row>
    <row r="54" customFormat="false" ht="15" hidden="false" customHeight="false" outlineLevel="0" collapsed="false">
      <c r="A54" s="0" t="s">
        <v>1523</v>
      </c>
      <c r="B54" s="0" t="s">
        <v>1524</v>
      </c>
      <c r="H54" s="5" t="s">
        <v>158</v>
      </c>
      <c r="I54" s="5" t="s">
        <v>159</v>
      </c>
      <c r="J54" s="6" t="n">
        <f aca="false">IF(AX54="pass",ROUND(CU54+CV54+CW54+CX54+CY54+CZ54,1),0)</f>
        <v>45.2</v>
      </c>
      <c r="K54" s="6" t="s">
        <v>1525</v>
      </c>
      <c r="L54" s="6" t="s">
        <v>187</v>
      </c>
      <c r="R54" s="5" t="s">
        <v>162</v>
      </c>
      <c r="S54" s="6" t="s">
        <v>163</v>
      </c>
      <c r="T54" s="5" t="s">
        <v>162</v>
      </c>
      <c r="U54" s="5" t="s">
        <v>228</v>
      </c>
      <c r="V54" s="6" t="s">
        <v>1526</v>
      </c>
      <c r="W54" s="6" t="s">
        <v>166</v>
      </c>
      <c r="X54" s="6" t="s">
        <v>167</v>
      </c>
      <c r="Y54" s="0" t="str">
        <f aca="false">IF(EU54&lt;&gt;"Y","",COUNTIFS($EU$2:$EU$1000,"Y",$J$2:$J$1000,"&gt;"&amp;J54)+COUNTIFS($EU$2:$EU$1000,"Y",$J$2:$J$1000,J54,$EW$2:$EW$1000,"&lt;"&amp;EW54)+1)</f>
        <v/>
      </c>
      <c r="Z54" s="0" t="n">
        <v>53</v>
      </c>
      <c r="AA54" s="6" t="s">
        <v>162</v>
      </c>
      <c r="AD54" s="6" t="s">
        <v>158</v>
      </c>
      <c r="AH54" s="5" t="s">
        <v>158</v>
      </c>
      <c r="AI54" s="6" t="s">
        <v>1527</v>
      </c>
      <c r="AJ54" s="6" t="s">
        <v>1528</v>
      </c>
      <c r="AK54" s="6" t="s">
        <v>178</v>
      </c>
      <c r="AL54" s="0" t="n">
        <v>39</v>
      </c>
      <c r="AM54" s="0" t="n">
        <v>789</v>
      </c>
      <c r="AN54" s="6" t="s">
        <v>179</v>
      </c>
      <c r="AO54" s="6" t="s">
        <v>180</v>
      </c>
      <c r="AP54" s="6" t="s">
        <v>1523</v>
      </c>
      <c r="AQ54" s="5" t="s">
        <v>162</v>
      </c>
      <c r="AT54" s="0" t="str">
        <f aca="false">IF(AND(AX54="pass",AQ54&lt;&gt;"Y",C54&lt;&gt;"",OR(AW54&lt;&gt;"Y",AV54="Y")),"Y","N")</f>
        <v>N</v>
      </c>
      <c r="AU54" s="0" t="str">
        <f aca="false">_xlfn.TEXTJOIN("; ",TRUE(),IF(AX54&lt;&gt;"pass","gated out",""),IF(AQ54="Y","on hold: "&amp;AR54,""),IF(C54="","no contact named on an opened page",""),IF(AND(AW54="Y",AV54&lt;&gt;"Y"),"Tuesday estimate band "&amp;L54&amp;": founder's call",""))</f>
        <v>no contact named on an opened page</v>
      </c>
      <c r="AW54" s="6" t="s">
        <v>162</v>
      </c>
      <c r="AX54" s="6" t="s">
        <v>181</v>
      </c>
      <c r="AY54" s="6" t="s">
        <v>182</v>
      </c>
      <c r="AZ54" s="6" t="s">
        <v>1</v>
      </c>
      <c r="BA54" s="6" t="s">
        <v>1529</v>
      </c>
      <c r="BB54" s="6" t="s">
        <v>1530</v>
      </c>
      <c r="BC54" s="6" t="s">
        <v>1531</v>
      </c>
      <c r="BD54" s="6" t="s">
        <v>1532</v>
      </c>
      <c r="BF54" s="6" t="s">
        <v>1323</v>
      </c>
      <c r="BG54" s="6" t="s">
        <v>188</v>
      </c>
      <c r="BH54" s="6" t="s">
        <v>189</v>
      </c>
      <c r="BI54" s="6" t="s">
        <v>1533</v>
      </c>
      <c r="BK54" s="6" t="s">
        <v>1440</v>
      </c>
      <c r="BL54" s="6" t="s">
        <v>163</v>
      </c>
      <c r="BM54" s="6" t="s">
        <v>163</v>
      </c>
      <c r="BN54" s="6" t="s">
        <v>163</v>
      </c>
      <c r="BO54" s="6" t="s">
        <v>163</v>
      </c>
      <c r="BP54" s="6" t="s">
        <v>244</v>
      </c>
      <c r="BQ54" s="0" t="n">
        <v>40.745027</v>
      </c>
      <c r="BR54" s="0" t="n">
        <v>-73.986825</v>
      </c>
      <c r="BS54" s="6" t="s">
        <v>168</v>
      </c>
      <c r="BT54" s="0" t="n">
        <v>0</v>
      </c>
      <c r="BU54" s="6" t="s">
        <v>1534</v>
      </c>
      <c r="BV54" s="6" t="s">
        <v>1535</v>
      </c>
      <c r="BW54" s="6" t="s">
        <v>1526</v>
      </c>
      <c r="BX54" s="6" t="s">
        <v>1536</v>
      </c>
      <c r="BY54" s="6" t="s">
        <v>248</v>
      </c>
      <c r="CC54" s="6" t="s">
        <v>739</v>
      </c>
      <c r="CE54" s="6" t="s">
        <v>162</v>
      </c>
      <c r="CH54" s="6" t="s">
        <v>201</v>
      </c>
      <c r="CI54" s="6" t="s">
        <v>1537</v>
      </c>
      <c r="CJ54" s="6" t="s">
        <v>163</v>
      </c>
      <c r="CK54" s="6" t="s">
        <v>162</v>
      </c>
      <c r="CL54" s="6" t="s">
        <v>1538</v>
      </c>
      <c r="CM54" s="6" t="s">
        <v>1533</v>
      </c>
      <c r="CN54" s="6" t="s">
        <v>174</v>
      </c>
      <c r="CO54" s="0" t="n">
        <v>175</v>
      </c>
      <c r="CP54" s="6" t="s">
        <v>251</v>
      </c>
      <c r="CQ54" s="6" t="s">
        <v>1539</v>
      </c>
      <c r="CR54" s="6" t="s">
        <v>206</v>
      </c>
      <c r="CS54" s="0" t="n">
        <v>0.61</v>
      </c>
      <c r="CT54" s="0" t="n">
        <v>45.2</v>
      </c>
      <c r="CU54" s="0" t="n">
        <v>15.2</v>
      </c>
      <c r="CV54" s="0" t="n">
        <v>2</v>
      </c>
      <c r="CW54" s="0" t="n">
        <v>15</v>
      </c>
      <c r="CX54" s="0" t="n">
        <v>13</v>
      </c>
      <c r="CY54" s="6" t="n">
        <f aca="false">IF(AH54="exact",10,IF(AH54="adjacent",5,0))</f>
        <v>0</v>
      </c>
      <c r="CZ54" s="6" t="n">
        <f aca="false">IF(R54="Y",15,0)</f>
        <v>0</v>
      </c>
      <c r="DF54" s="6" t="s">
        <v>158</v>
      </c>
      <c r="DG54" s="6" t="s">
        <v>1336</v>
      </c>
      <c r="DH54" s="6" t="s">
        <v>1447</v>
      </c>
      <c r="DI54" s="6" t="s">
        <v>162</v>
      </c>
      <c r="DJ54" s="6" t="s">
        <v>1540</v>
      </c>
      <c r="DK54" s="6" t="s">
        <v>1541</v>
      </c>
      <c r="DS54" s="6" t="s">
        <v>158</v>
      </c>
      <c r="DX54" s="6" t="s">
        <v>162</v>
      </c>
      <c r="ER54" s="0" t="str">
        <f aca="false">IF(ISNUMBER(MATCH(U54,{"queued","contacted","replied","call_booked","call_done","yes_in_principle","materials_sent"},0)),"Y","N")</f>
        <v>N</v>
      </c>
      <c r="ES54" s="0" t="str">
        <f aca="false">IF(COUNTIFS($AP$2:$AP$1000,AP54,$ER$2:$ER$1000,"Y")+COUNTIFS($AP$2:$AP$1000,AP54,$T$2:$T$1000,"Y")&gt;0,"Y","N")</f>
        <v>N</v>
      </c>
      <c r="ET54" s="0" t="str">
        <f aca="false">IF(AND(U54="new",T54="N",AT54="Y",AS54="",ES54="N"),"Y","N")</f>
        <v>N</v>
      </c>
      <c r="EU54" s="0" t="str">
        <f aca="false">IF(ET54&lt;&gt;"Y","N",IF(COUNTIFS($AP$2:$AP$1000,AP54,$ET$2:$ET$1000,"Y",$J$2:$J$1000,"&gt;"&amp;J54)+COUNTIFS($AP$2:$AP$1000,AP54,$ET$2:$ET$1000,"Y",$J$2:$J$1000,J54,$EW$2:$EW$1000,"&lt;"&amp;EW54)=0,"Y","N"))</f>
        <v>N</v>
      </c>
      <c r="EV54" s="0" t="str">
        <f aca="false">IF(Y54="","N",IF(Y54&lt;=10,"Y","N"))</f>
        <v>N</v>
      </c>
      <c r="EW54" s="6" t="n">
        <f aca="false">ROW()-1</f>
        <v>53</v>
      </c>
    </row>
    <row r="55" customFormat="false" ht="15" hidden="false" customHeight="false" outlineLevel="0" collapsed="false">
      <c r="A55" s="0" t="s">
        <v>1542</v>
      </c>
      <c r="B55" s="0" t="s">
        <v>1543</v>
      </c>
      <c r="H55" s="5" t="s">
        <v>158</v>
      </c>
      <c r="I55" s="5" t="s">
        <v>159</v>
      </c>
      <c r="J55" s="6" t="n">
        <f aca="false">IF(AX55="pass",ROUND(CU55+CV55+CW55+CX55+CY55+CZ55,1),0)</f>
        <v>45.1</v>
      </c>
      <c r="K55" s="6" t="s">
        <v>1544</v>
      </c>
      <c r="L55" s="6" t="s">
        <v>395</v>
      </c>
      <c r="R55" s="5" t="s">
        <v>162</v>
      </c>
      <c r="S55" s="6" t="s">
        <v>163</v>
      </c>
      <c r="T55" s="5" t="s">
        <v>162</v>
      </c>
      <c r="U55" s="5" t="s">
        <v>228</v>
      </c>
      <c r="V55" s="6" t="s">
        <v>1545</v>
      </c>
      <c r="W55" s="6" t="s">
        <v>166</v>
      </c>
      <c r="X55" s="6" t="s">
        <v>167</v>
      </c>
      <c r="Y55" s="0" t="str">
        <f aca="false">IF(EU55&lt;&gt;"Y","",COUNTIFS($EU$2:$EU$1000,"Y",$J$2:$J$1000,"&gt;"&amp;J55)+COUNTIFS($EU$2:$EU$1000,"Y",$J$2:$J$1000,J55,$EW$2:$EW$1000,"&lt;"&amp;EW55)+1)</f>
        <v/>
      </c>
      <c r="Z55" s="0" t="n">
        <v>54</v>
      </c>
      <c r="AA55" s="6" t="s">
        <v>162</v>
      </c>
      <c r="AD55" s="6" t="s">
        <v>158</v>
      </c>
      <c r="AH55" s="5" t="s">
        <v>158</v>
      </c>
      <c r="AI55" s="6" t="s">
        <v>1546</v>
      </c>
      <c r="AJ55" s="6" t="s">
        <v>163</v>
      </c>
      <c r="AK55" s="6" t="s">
        <v>435</v>
      </c>
      <c r="AL55" s="0" t="n">
        <v>12</v>
      </c>
      <c r="AM55" s="0" t="n">
        <v>249</v>
      </c>
      <c r="AN55" s="6" t="s">
        <v>179</v>
      </c>
      <c r="AO55" s="6" t="s">
        <v>274</v>
      </c>
      <c r="AP55" s="6" t="s">
        <v>1542</v>
      </c>
      <c r="AQ55" s="5" t="s">
        <v>162</v>
      </c>
      <c r="AT55" s="0" t="str">
        <f aca="false">IF(AND(AX55="pass",AQ55&lt;&gt;"Y",C55&lt;&gt;"",OR(AW55&lt;&gt;"Y",AV55="Y")),"Y","N")</f>
        <v>N</v>
      </c>
      <c r="AU55" s="0" t="str">
        <f aca="false">_xlfn.TEXTJOIN("; ",TRUE(),IF(AX55&lt;&gt;"pass","gated out",""),IF(AQ55="Y","on hold: "&amp;AR55,""),IF(C55="","no contact named on an opened page",""),IF(AND(AW55="Y",AV55&lt;&gt;"Y"),"Tuesday estimate band "&amp;L55&amp;": founder's call",""))</f>
        <v>no contact named on an opened page</v>
      </c>
      <c r="AW55" s="6" t="s">
        <v>162</v>
      </c>
      <c r="AX55" s="6" t="s">
        <v>181</v>
      </c>
      <c r="AY55" s="6" t="s">
        <v>182</v>
      </c>
      <c r="AZ55" s="6" t="s">
        <v>1</v>
      </c>
      <c r="BA55" s="6" t="s">
        <v>1547</v>
      </c>
      <c r="BB55" s="6" t="s">
        <v>1548</v>
      </c>
      <c r="BC55" s="6" t="s">
        <v>1549</v>
      </c>
      <c r="BD55" s="6" t="s">
        <v>1069</v>
      </c>
      <c r="BE55" s="6" t="s">
        <v>1550</v>
      </c>
      <c r="BF55" s="6" t="s">
        <v>240</v>
      </c>
      <c r="BG55" s="6" t="s">
        <v>188</v>
      </c>
      <c r="BH55" s="6" t="s">
        <v>241</v>
      </c>
      <c r="BI55" s="6" t="s">
        <v>1551</v>
      </c>
      <c r="BJ55" s="6" t="s">
        <v>1552</v>
      </c>
      <c r="BK55" s="6" t="s">
        <v>191</v>
      </c>
      <c r="BL55" s="6" t="s">
        <v>656</v>
      </c>
      <c r="BM55" s="6" t="s">
        <v>162</v>
      </c>
      <c r="BN55" s="6" t="s">
        <v>163</v>
      </c>
      <c r="BO55" s="6" t="s">
        <v>163</v>
      </c>
      <c r="BP55" s="6" t="s">
        <v>347</v>
      </c>
      <c r="BQ55" s="0" t="n">
        <v>40.739695</v>
      </c>
      <c r="BR55" s="0" t="n">
        <v>-73.989816</v>
      </c>
      <c r="BS55" s="6" t="s">
        <v>168</v>
      </c>
      <c r="BT55" s="0" t="n">
        <v>0</v>
      </c>
      <c r="BU55" s="6" t="s">
        <v>1553</v>
      </c>
      <c r="BV55" s="6" t="s">
        <v>1554</v>
      </c>
      <c r="BW55" s="6" t="s">
        <v>1545</v>
      </c>
      <c r="BX55" s="6" t="s">
        <v>166</v>
      </c>
      <c r="BY55" s="6" t="s">
        <v>445</v>
      </c>
      <c r="CC55" s="6" t="s">
        <v>179</v>
      </c>
      <c r="CE55" s="6" t="s">
        <v>162</v>
      </c>
      <c r="CH55" s="6" t="s">
        <v>201</v>
      </c>
      <c r="CI55" s="6" t="s">
        <v>1555</v>
      </c>
      <c r="CJ55" s="6" t="s">
        <v>163</v>
      </c>
      <c r="CK55" s="6" t="s">
        <v>162</v>
      </c>
      <c r="CL55" s="6" t="s">
        <v>286</v>
      </c>
      <c r="CM55" s="6" t="s">
        <v>1545</v>
      </c>
      <c r="CN55" s="6" t="s">
        <v>174</v>
      </c>
      <c r="CO55" s="0" t="n">
        <v>55</v>
      </c>
      <c r="CP55" s="6" t="s">
        <v>969</v>
      </c>
      <c r="CQ55" s="6" t="s">
        <v>1556</v>
      </c>
      <c r="CR55" s="6" t="s">
        <v>206</v>
      </c>
      <c r="CS55" s="0" t="n">
        <v>0.6</v>
      </c>
      <c r="CT55" s="0" t="n">
        <v>45.1</v>
      </c>
      <c r="CU55" s="0" t="n">
        <v>15.1</v>
      </c>
      <c r="CV55" s="0" t="n">
        <v>15</v>
      </c>
      <c r="CW55" s="0" t="n">
        <v>10</v>
      </c>
      <c r="CX55" s="0" t="n">
        <v>5</v>
      </c>
      <c r="CY55" s="6" t="n">
        <f aca="false">IF(AH55="exact",10,IF(AH55="adjacent",5,0))</f>
        <v>0</v>
      </c>
      <c r="CZ55" s="6" t="n">
        <f aca="false">IF(R55="Y",15,0)</f>
        <v>0</v>
      </c>
      <c r="DF55" s="6" t="s">
        <v>158</v>
      </c>
      <c r="DG55" s="6" t="s">
        <v>211</v>
      </c>
      <c r="DK55" s="6" t="s">
        <v>1557</v>
      </c>
      <c r="DS55" s="6" t="s">
        <v>158</v>
      </c>
      <c r="DX55" s="6" t="s">
        <v>162</v>
      </c>
      <c r="ER55" s="0" t="str">
        <f aca="false">IF(ISNUMBER(MATCH(U55,{"queued","contacted","replied","call_booked","call_done","yes_in_principle","materials_sent"},0)),"Y","N")</f>
        <v>N</v>
      </c>
      <c r="ES55" s="0" t="str">
        <f aca="false">IF(COUNTIFS($AP$2:$AP$1000,AP55,$ER$2:$ER$1000,"Y")+COUNTIFS($AP$2:$AP$1000,AP55,$T$2:$T$1000,"Y")&gt;0,"Y","N")</f>
        <v>N</v>
      </c>
      <c r="ET55" s="0" t="str">
        <f aca="false">IF(AND(U55="new",T55="N",AT55="Y",AS55="",ES55="N"),"Y","N")</f>
        <v>N</v>
      </c>
      <c r="EU55" s="0" t="str">
        <f aca="false">IF(ET55&lt;&gt;"Y","N",IF(COUNTIFS($AP$2:$AP$1000,AP55,$ET$2:$ET$1000,"Y",$J$2:$J$1000,"&gt;"&amp;J55)+COUNTIFS($AP$2:$AP$1000,AP55,$ET$2:$ET$1000,"Y",$J$2:$J$1000,J55,$EW$2:$EW$1000,"&lt;"&amp;EW55)=0,"Y","N"))</f>
        <v>N</v>
      </c>
      <c r="EV55" s="0" t="str">
        <f aca="false">IF(Y55="","N",IF(Y55&lt;=10,"Y","N"))</f>
        <v>N</v>
      </c>
      <c r="EW55" s="6" t="n">
        <f aca="false">ROW()-1</f>
        <v>54</v>
      </c>
    </row>
    <row r="56" customFormat="false" ht="15" hidden="false" customHeight="false" outlineLevel="0" collapsed="false">
      <c r="A56" s="0" t="s">
        <v>1558</v>
      </c>
      <c r="B56" s="0" t="s">
        <v>1559</v>
      </c>
      <c r="H56" s="5" t="s">
        <v>158</v>
      </c>
      <c r="I56" s="5" t="s">
        <v>159</v>
      </c>
      <c r="J56" s="6" t="n">
        <f aca="false">IF(AX56="pass",ROUND(CU56+CV56+CW56+CX56+CY56+CZ56,1),0)</f>
        <v>45.1</v>
      </c>
      <c r="K56" s="6" t="s">
        <v>1560</v>
      </c>
      <c r="L56" s="6" t="s">
        <v>561</v>
      </c>
      <c r="R56" s="5" t="s">
        <v>162</v>
      </c>
      <c r="S56" s="6" t="s">
        <v>163</v>
      </c>
      <c r="T56" s="5" t="s">
        <v>162</v>
      </c>
      <c r="U56" s="5" t="s">
        <v>228</v>
      </c>
      <c r="V56" s="6" t="s">
        <v>1561</v>
      </c>
      <c r="W56" s="6" t="s">
        <v>166</v>
      </c>
      <c r="X56" s="6" t="s">
        <v>167</v>
      </c>
      <c r="Y56" s="0" t="str">
        <f aca="false">IF(EU56&lt;&gt;"Y","",COUNTIFS($EU$2:$EU$1000,"Y",$J$2:$J$1000,"&gt;"&amp;J56)+COUNTIFS($EU$2:$EU$1000,"Y",$J$2:$J$1000,J56,$EW$2:$EW$1000,"&lt;"&amp;EW56)+1)</f>
        <v/>
      </c>
      <c r="Z56" s="0" t="n">
        <v>55</v>
      </c>
      <c r="AA56" s="6" t="s">
        <v>162</v>
      </c>
      <c r="AB56" s="6" t="s">
        <v>1562</v>
      </c>
      <c r="AD56" s="6" t="s">
        <v>158</v>
      </c>
      <c r="AH56" s="5" t="s">
        <v>158</v>
      </c>
      <c r="AI56" s="6" t="s">
        <v>1563</v>
      </c>
      <c r="AJ56" s="6" t="s">
        <v>163</v>
      </c>
      <c r="AK56" s="6" t="s">
        <v>435</v>
      </c>
      <c r="AL56" s="0" t="n">
        <v>13</v>
      </c>
      <c r="AM56" s="0" t="n">
        <v>86</v>
      </c>
      <c r="AN56" s="6" t="s">
        <v>179</v>
      </c>
      <c r="AO56" s="6" t="s">
        <v>180</v>
      </c>
      <c r="AP56" s="6" t="s">
        <v>1558</v>
      </c>
      <c r="AQ56" s="5" t="s">
        <v>162</v>
      </c>
      <c r="AT56" s="0" t="str">
        <f aca="false">IF(AND(AX56="pass",AQ56&lt;&gt;"Y",C56&lt;&gt;"",OR(AW56&lt;&gt;"Y",AV56="Y")),"Y","N")</f>
        <v>N</v>
      </c>
      <c r="AU56" s="0" t="str">
        <f aca="false">_xlfn.TEXTJOIN("; ",TRUE(),IF(AX56&lt;&gt;"pass","gated out",""),IF(AQ56="Y","on hold: "&amp;AR56,""),IF(C56="","no contact named on an opened page",""),IF(AND(AW56="Y",AV56&lt;&gt;"Y"),"Tuesday estimate band "&amp;L56&amp;": founder's call",""))</f>
        <v>no contact named on an opened page; Tuesday estimate band under-40: founder's call</v>
      </c>
      <c r="AW56" s="6" t="s">
        <v>168</v>
      </c>
      <c r="AX56" s="6" t="s">
        <v>181</v>
      </c>
      <c r="AY56" s="6" t="s">
        <v>182</v>
      </c>
      <c r="AZ56" s="6" t="s">
        <v>1</v>
      </c>
      <c r="BA56" s="6" t="s">
        <v>1564</v>
      </c>
      <c r="BB56" s="6" t="s">
        <v>1565</v>
      </c>
      <c r="BC56" s="6" t="s">
        <v>1566</v>
      </c>
      <c r="BD56" s="6" t="s">
        <v>1567</v>
      </c>
      <c r="BE56" s="6" t="s">
        <v>1568</v>
      </c>
      <c r="BF56" s="6" t="s">
        <v>163</v>
      </c>
      <c r="BG56" s="6" t="s">
        <v>163</v>
      </c>
      <c r="BH56" s="6" t="s">
        <v>280</v>
      </c>
      <c r="BI56" s="6" t="s">
        <v>1561</v>
      </c>
      <c r="BJ56" s="6" t="s">
        <v>1569</v>
      </c>
      <c r="BK56" s="6" t="s">
        <v>191</v>
      </c>
      <c r="BL56" s="6" t="s">
        <v>192</v>
      </c>
      <c r="BM56" s="6" t="s">
        <v>168</v>
      </c>
      <c r="BN56" s="6" t="s">
        <v>163</v>
      </c>
      <c r="BO56" s="6" t="s">
        <v>163</v>
      </c>
      <c r="BP56" s="6" t="s">
        <v>347</v>
      </c>
      <c r="BQ56" s="0" t="n">
        <v>40.743751</v>
      </c>
      <c r="BR56" s="0" t="n">
        <v>-73.991374</v>
      </c>
      <c r="BS56" s="6" t="s">
        <v>168</v>
      </c>
      <c r="BT56" s="0" t="n">
        <v>0</v>
      </c>
      <c r="BU56" s="6" t="s">
        <v>1570</v>
      </c>
      <c r="BV56" s="6" t="s">
        <v>1571</v>
      </c>
      <c r="BW56" s="6" t="s">
        <v>1561</v>
      </c>
      <c r="BX56" s="6" t="s">
        <v>174</v>
      </c>
      <c r="BY56" s="6" t="s">
        <v>445</v>
      </c>
      <c r="CC56" s="6" t="s">
        <v>179</v>
      </c>
      <c r="CE56" s="6" t="s">
        <v>162</v>
      </c>
      <c r="CH56" s="6" t="s">
        <v>163</v>
      </c>
      <c r="CJ56" s="6" t="s">
        <v>163</v>
      </c>
      <c r="CK56" s="6" t="s">
        <v>162</v>
      </c>
      <c r="CL56" s="6" t="s">
        <v>577</v>
      </c>
      <c r="CM56" s="6" t="s">
        <v>1561</v>
      </c>
      <c r="CN56" s="6" t="s">
        <v>174</v>
      </c>
      <c r="CO56" s="0" t="n">
        <v>33</v>
      </c>
      <c r="CP56" s="6" t="s">
        <v>578</v>
      </c>
      <c r="CQ56" s="6" t="s">
        <v>1572</v>
      </c>
      <c r="CR56" s="6" t="s">
        <v>206</v>
      </c>
      <c r="CS56" s="0" t="n">
        <v>0.41</v>
      </c>
      <c r="CT56" s="0" t="n">
        <v>45.1</v>
      </c>
      <c r="CU56" s="0" t="n">
        <v>10.1</v>
      </c>
      <c r="CV56" s="0" t="n">
        <v>15</v>
      </c>
      <c r="CW56" s="0" t="n">
        <v>15</v>
      </c>
      <c r="CX56" s="0" t="n">
        <v>5</v>
      </c>
      <c r="CY56" s="6" t="n">
        <f aca="false">IF(AH56="exact",10,IF(AH56="adjacent",5,0))</f>
        <v>0</v>
      </c>
      <c r="CZ56" s="6" t="n">
        <f aca="false">IF(R56="Y",15,0)</f>
        <v>0</v>
      </c>
      <c r="DF56" s="6" t="s">
        <v>158</v>
      </c>
      <c r="DG56" s="6" t="s">
        <v>211</v>
      </c>
      <c r="DK56" s="6" t="s">
        <v>1573</v>
      </c>
      <c r="DS56" s="6" t="s">
        <v>158</v>
      </c>
      <c r="DX56" s="6" t="s">
        <v>162</v>
      </c>
      <c r="ER56" s="0" t="str">
        <f aca="false">IF(ISNUMBER(MATCH(U56,{"queued","contacted","replied","call_booked","call_done","yes_in_principle","materials_sent"},0)),"Y","N")</f>
        <v>N</v>
      </c>
      <c r="ES56" s="0" t="str">
        <f aca="false">IF(COUNTIFS($AP$2:$AP$1000,AP56,$ER$2:$ER$1000,"Y")+COUNTIFS($AP$2:$AP$1000,AP56,$T$2:$T$1000,"Y")&gt;0,"Y","N")</f>
        <v>N</v>
      </c>
      <c r="ET56" s="0" t="str">
        <f aca="false">IF(AND(U56="new",T56="N",AT56="Y",AS56="",ES56="N"),"Y","N")</f>
        <v>N</v>
      </c>
      <c r="EU56" s="0" t="str">
        <f aca="false">IF(ET56&lt;&gt;"Y","N",IF(COUNTIFS($AP$2:$AP$1000,AP56,$ET$2:$ET$1000,"Y",$J$2:$J$1000,"&gt;"&amp;J56)+COUNTIFS($AP$2:$AP$1000,AP56,$ET$2:$ET$1000,"Y",$J$2:$J$1000,J56,$EW$2:$EW$1000,"&lt;"&amp;EW56)=0,"Y","N"))</f>
        <v>N</v>
      </c>
      <c r="EV56" s="0" t="str">
        <f aca="false">IF(Y56="","N",IF(Y56&lt;=10,"Y","N"))</f>
        <v>N</v>
      </c>
      <c r="EW56" s="6" t="n">
        <f aca="false">ROW()-1</f>
        <v>55</v>
      </c>
    </row>
    <row r="57" customFormat="false" ht="15" hidden="false" customHeight="false" outlineLevel="0" collapsed="false">
      <c r="A57" s="0" t="s">
        <v>1574</v>
      </c>
      <c r="B57" s="0" t="s">
        <v>1575</v>
      </c>
      <c r="H57" s="5" t="s">
        <v>158</v>
      </c>
      <c r="I57" s="5" t="s">
        <v>159</v>
      </c>
      <c r="J57" s="6" t="n">
        <f aca="false">IF(AX57="pass",ROUND(CU57+CV57+CW57+CX57+CY57+CZ57,1),0)</f>
        <v>45</v>
      </c>
      <c r="K57" s="6" t="s">
        <v>1576</v>
      </c>
      <c r="L57" s="6" t="s">
        <v>161</v>
      </c>
      <c r="R57" s="5" t="s">
        <v>162</v>
      </c>
      <c r="S57" s="6" t="s">
        <v>163</v>
      </c>
      <c r="T57" s="5" t="s">
        <v>162</v>
      </c>
      <c r="U57" s="5" t="s">
        <v>228</v>
      </c>
      <c r="V57" s="6" t="s">
        <v>1577</v>
      </c>
      <c r="W57" s="6" t="s">
        <v>166</v>
      </c>
      <c r="X57" s="6" t="s">
        <v>167</v>
      </c>
      <c r="Y57" s="0" t="str">
        <f aca="false">IF(EU57&lt;&gt;"Y","",COUNTIFS($EU$2:$EU$1000,"Y",$J$2:$J$1000,"&gt;"&amp;J57)+COUNTIFS($EU$2:$EU$1000,"Y",$J$2:$J$1000,J57,$EW$2:$EW$1000,"&lt;"&amp;EW57)+1)</f>
        <v/>
      </c>
      <c r="Z57" s="0" t="n">
        <v>56</v>
      </c>
      <c r="AA57" s="6" t="s">
        <v>162</v>
      </c>
      <c r="AD57" s="6" t="s">
        <v>158</v>
      </c>
      <c r="AH57" s="5" t="s">
        <v>158</v>
      </c>
      <c r="AI57" s="6" t="s">
        <v>1578</v>
      </c>
      <c r="AJ57" s="6" t="s">
        <v>163</v>
      </c>
      <c r="AK57" s="6" t="s">
        <v>435</v>
      </c>
      <c r="AL57" s="0" t="n">
        <v>59</v>
      </c>
      <c r="AM57" s="0" t="n">
        <v>117</v>
      </c>
      <c r="AN57" s="6" t="s">
        <v>179</v>
      </c>
      <c r="AO57" s="6" t="s">
        <v>862</v>
      </c>
      <c r="AP57" s="6" t="s">
        <v>1574</v>
      </c>
      <c r="AQ57" s="5" t="s">
        <v>168</v>
      </c>
      <c r="AR57" s="6" t="s">
        <v>1579</v>
      </c>
      <c r="AT57" s="0" t="str">
        <f aca="false">IF(AND(AX57="pass",AQ57&lt;&gt;"Y",C57&lt;&gt;"",OR(AW57&lt;&gt;"Y",AV57="Y")),"Y","N")</f>
        <v>N</v>
      </c>
      <c r="AU57" s="0" t="str">
        <f aca="false">_xlfn.TEXTJOIN("; ",TRUE(),IF(AX57&lt;&gt;"pass","gated out",""),IF(AQ57="Y","on hold: "&amp;AR57,""),IF(C57="","no contact named on an opened page",""),IF(AND(AW57="Y",AV57&lt;&gt;"Y"),"Tuesday estimate band "&amp;L57&amp;": founder's call",""))</f>
        <v>on hold: address conflict in B's sources: check the lobby directory before outreach (B); no contact named on an opened page</v>
      </c>
      <c r="AW57" s="6" t="s">
        <v>162</v>
      </c>
      <c r="AX57" s="6" t="s">
        <v>181</v>
      </c>
      <c r="AY57" s="6" t="s">
        <v>182</v>
      </c>
      <c r="AZ57" s="6" t="s">
        <v>1</v>
      </c>
      <c r="BA57" s="6" t="s">
        <v>1580</v>
      </c>
      <c r="BB57" s="6" t="s">
        <v>1581</v>
      </c>
      <c r="BC57" s="6" t="s">
        <v>1582</v>
      </c>
      <c r="BD57" s="6" t="s">
        <v>1583</v>
      </c>
      <c r="BF57" s="6" t="s">
        <v>187</v>
      </c>
      <c r="BG57" s="6" t="s">
        <v>188</v>
      </c>
      <c r="BH57" s="6" t="s">
        <v>189</v>
      </c>
      <c r="BI57" s="6" t="s">
        <v>1577</v>
      </c>
      <c r="BK57" s="6" t="s">
        <v>191</v>
      </c>
      <c r="BL57" s="6" t="s">
        <v>192</v>
      </c>
      <c r="BM57" s="6" t="s">
        <v>168</v>
      </c>
      <c r="BN57" s="6" t="s">
        <v>163</v>
      </c>
      <c r="BO57" s="6" t="s">
        <v>163</v>
      </c>
      <c r="BP57" s="6" t="s">
        <v>244</v>
      </c>
      <c r="BQ57" s="0" t="n">
        <v>40.744255</v>
      </c>
      <c r="BR57" s="0" t="n">
        <v>-73.983762</v>
      </c>
      <c r="BS57" s="6" t="s">
        <v>168</v>
      </c>
      <c r="BT57" s="0" t="n">
        <v>0</v>
      </c>
      <c r="BU57" s="6" t="s">
        <v>1584</v>
      </c>
      <c r="BV57" s="6" t="s">
        <v>1585</v>
      </c>
      <c r="BW57" s="6" t="s">
        <v>1577</v>
      </c>
      <c r="BX57" s="6" t="s">
        <v>166</v>
      </c>
      <c r="BY57" s="6" t="s">
        <v>445</v>
      </c>
      <c r="BZ57" s="6" t="s">
        <v>1586</v>
      </c>
      <c r="CA57" s="6" t="s">
        <v>1587</v>
      </c>
      <c r="CC57" s="6" t="s">
        <v>179</v>
      </c>
      <c r="CE57" s="6" t="s">
        <v>162</v>
      </c>
      <c r="CH57" s="6" t="s">
        <v>163</v>
      </c>
      <c r="CJ57" s="6" t="s">
        <v>163</v>
      </c>
      <c r="CK57" s="6" t="s">
        <v>162</v>
      </c>
      <c r="CL57" s="6" t="s">
        <v>1588</v>
      </c>
      <c r="CM57" s="6" t="s">
        <v>1577</v>
      </c>
      <c r="CN57" s="6" t="s">
        <v>174</v>
      </c>
      <c r="CO57" s="0" t="n">
        <v>83</v>
      </c>
      <c r="CQ57" s="6" t="s">
        <v>1589</v>
      </c>
      <c r="CR57" s="6" t="s">
        <v>206</v>
      </c>
      <c r="CS57" s="0" t="n">
        <v>1</v>
      </c>
      <c r="CT57" s="0" t="n">
        <v>45</v>
      </c>
      <c r="CU57" s="0" t="n">
        <v>25</v>
      </c>
      <c r="CV57" s="0" t="n">
        <v>15</v>
      </c>
      <c r="CW57" s="0" t="n">
        <v>5</v>
      </c>
      <c r="CX57" s="0" t="n">
        <v>0</v>
      </c>
      <c r="CY57" s="6" t="n">
        <f aca="false">IF(AH57="exact",10,IF(AH57="adjacent",5,0))</f>
        <v>0</v>
      </c>
      <c r="CZ57" s="6" t="n">
        <f aca="false">IF(R57="Y",15,0)</f>
        <v>0</v>
      </c>
      <c r="DF57" s="6" t="s">
        <v>158</v>
      </c>
      <c r="DG57" s="6" t="s">
        <v>211</v>
      </c>
      <c r="DJ57" s="6" t="s">
        <v>1590</v>
      </c>
      <c r="DK57" s="6" t="s">
        <v>1591</v>
      </c>
      <c r="DS57" s="6" t="s">
        <v>158</v>
      </c>
      <c r="DX57" s="6" t="s">
        <v>162</v>
      </c>
      <c r="ER57" s="0" t="str">
        <f aca="false">IF(ISNUMBER(MATCH(U57,{"queued","contacted","replied","call_booked","call_done","yes_in_principle","materials_sent"},0)),"Y","N")</f>
        <v>N</v>
      </c>
      <c r="ES57" s="0" t="str">
        <f aca="false">IF(COUNTIFS($AP$2:$AP$1000,AP57,$ER$2:$ER$1000,"Y")+COUNTIFS($AP$2:$AP$1000,AP57,$T$2:$T$1000,"Y")&gt;0,"Y","N")</f>
        <v>N</v>
      </c>
      <c r="ET57" s="0" t="str">
        <f aca="false">IF(AND(U57="new",T57="N",AT57="Y",AS57="",ES57="N"),"Y","N")</f>
        <v>N</v>
      </c>
      <c r="EU57" s="0" t="str">
        <f aca="false">IF(ET57&lt;&gt;"Y","N",IF(COUNTIFS($AP$2:$AP$1000,AP57,$ET$2:$ET$1000,"Y",$J$2:$J$1000,"&gt;"&amp;J57)+COUNTIFS($AP$2:$AP$1000,AP57,$ET$2:$ET$1000,"Y",$J$2:$J$1000,J57,$EW$2:$EW$1000,"&lt;"&amp;EW57)=0,"Y","N"))</f>
        <v>N</v>
      </c>
      <c r="EV57" s="0" t="str">
        <f aca="false">IF(Y57="","N",IF(Y57&lt;=10,"Y","N"))</f>
        <v>N</v>
      </c>
      <c r="EW57" s="6" t="n">
        <f aca="false">ROW()-1</f>
        <v>56</v>
      </c>
    </row>
    <row r="58" customFormat="false" ht="15" hidden="false" customHeight="false" outlineLevel="0" collapsed="false">
      <c r="A58" s="0" t="s">
        <v>1592</v>
      </c>
      <c r="B58" s="0" t="s">
        <v>1593</v>
      </c>
      <c r="H58" s="5" t="s">
        <v>158</v>
      </c>
      <c r="I58" s="5" t="s">
        <v>159</v>
      </c>
      <c r="J58" s="6" t="n">
        <f aca="false">IF(AX58="pass",ROUND(CU58+CV58+CW58+CX58+CY58+CZ58,1),0)</f>
        <v>44.9</v>
      </c>
      <c r="K58" s="6" t="s">
        <v>1594</v>
      </c>
      <c r="L58" s="6" t="s">
        <v>187</v>
      </c>
      <c r="R58" s="5" t="s">
        <v>162</v>
      </c>
      <c r="S58" s="6" t="s">
        <v>163</v>
      </c>
      <c r="T58" s="5" t="s">
        <v>162</v>
      </c>
      <c r="U58" s="5" t="s">
        <v>228</v>
      </c>
      <c r="V58" s="6" t="s">
        <v>1595</v>
      </c>
      <c r="W58" s="6" t="s">
        <v>166</v>
      </c>
      <c r="X58" s="6" t="s">
        <v>167</v>
      </c>
      <c r="Y58" s="0" t="str">
        <f aca="false">IF(EU58&lt;&gt;"Y","",COUNTIFS($EU$2:$EU$1000,"Y",$J$2:$J$1000,"&gt;"&amp;J58)+COUNTIFS($EU$2:$EU$1000,"Y",$J$2:$J$1000,J58,$EW$2:$EW$1000,"&lt;"&amp;EW58)+1)</f>
        <v/>
      </c>
      <c r="Z58" s="0" t="n">
        <v>57</v>
      </c>
      <c r="AA58" s="6" t="s">
        <v>162</v>
      </c>
      <c r="AD58" s="6" t="s">
        <v>158</v>
      </c>
      <c r="AH58" s="5" t="s">
        <v>158</v>
      </c>
      <c r="AI58" s="6" t="s">
        <v>1596</v>
      </c>
      <c r="AJ58" s="6" t="s">
        <v>177</v>
      </c>
      <c r="AK58" s="6" t="s">
        <v>178</v>
      </c>
      <c r="AL58" s="0" t="n">
        <v>156</v>
      </c>
      <c r="AM58" s="0" t="n">
        <v>313</v>
      </c>
      <c r="AN58" s="6" t="s">
        <v>179</v>
      </c>
      <c r="AO58" s="6" t="s">
        <v>370</v>
      </c>
      <c r="AP58" s="6" t="s">
        <v>1592</v>
      </c>
      <c r="AQ58" s="5" t="s">
        <v>162</v>
      </c>
      <c r="AT58" s="0" t="str">
        <f aca="false">IF(AND(AX58="pass",AQ58&lt;&gt;"Y",C58&lt;&gt;"",OR(AW58&lt;&gt;"Y",AV58="Y")),"Y","N")</f>
        <v>N</v>
      </c>
      <c r="AU58" s="0" t="str">
        <f aca="false">_xlfn.TEXTJOIN("; ",TRUE(),IF(AX58&lt;&gt;"pass","gated out",""),IF(AQ58="Y","on hold: "&amp;AR58,""),IF(C58="","no contact named on an opened page",""),IF(AND(AW58="Y",AV58&lt;&gt;"Y"),"Tuesday estimate band "&amp;L58&amp;": founder's call",""))</f>
        <v>no contact named on an opened page</v>
      </c>
      <c r="AW58" s="6" t="s">
        <v>162</v>
      </c>
      <c r="AX58" s="6" t="s">
        <v>181</v>
      </c>
      <c r="AY58" s="6" t="s">
        <v>182</v>
      </c>
      <c r="AZ58" s="6" t="s">
        <v>1</v>
      </c>
      <c r="BA58" s="6" t="s">
        <v>1597</v>
      </c>
      <c r="BB58" s="6" t="s">
        <v>1598</v>
      </c>
      <c r="BC58" s="6" t="s">
        <v>1599</v>
      </c>
      <c r="BD58" s="6" t="s">
        <v>1600</v>
      </c>
      <c r="BF58" s="6" t="s">
        <v>1323</v>
      </c>
      <c r="BG58" s="6" t="s">
        <v>188</v>
      </c>
      <c r="BH58" s="6" t="s">
        <v>189</v>
      </c>
      <c r="BI58" s="6" t="s">
        <v>1601</v>
      </c>
      <c r="BK58" s="6" t="s">
        <v>1264</v>
      </c>
      <c r="BL58" s="6" t="s">
        <v>192</v>
      </c>
      <c r="BM58" s="6" t="s">
        <v>168</v>
      </c>
      <c r="BN58" s="6" t="s">
        <v>163</v>
      </c>
      <c r="BO58" s="6" t="s">
        <v>163</v>
      </c>
      <c r="BP58" s="6" t="s">
        <v>244</v>
      </c>
      <c r="BQ58" s="0" t="n">
        <v>40.743594</v>
      </c>
      <c r="BR58" s="0" t="n">
        <v>-73.985251</v>
      </c>
      <c r="BS58" s="6" t="s">
        <v>168</v>
      </c>
      <c r="BT58" s="0" t="n">
        <v>0</v>
      </c>
      <c r="BV58" s="6" t="s">
        <v>163</v>
      </c>
      <c r="BW58" s="6" t="s">
        <v>1595</v>
      </c>
      <c r="BX58" s="6" t="s">
        <v>166</v>
      </c>
      <c r="BY58" s="6" t="s">
        <v>196</v>
      </c>
      <c r="BZ58" s="6" t="s">
        <v>1602</v>
      </c>
      <c r="CA58" s="6" t="s">
        <v>1603</v>
      </c>
      <c r="CC58" s="6" t="s">
        <v>200</v>
      </c>
      <c r="CE58" s="6" t="s">
        <v>162</v>
      </c>
      <c r="CH58" s="6" t="s">
        <v>201</v>
      </c>
      <c r="CJ58" s="6" t="s">
        <v>163</v>
      </c>
      <c r="CK58" s="6" t="s">
        <v>162</v>
      </c>
      <c r="CL58" s="6" t="s">
        <v>1604</v>
      </c>
      <c r="CM58" s="6" t="s">
        <v>1601</v>
      </c>
      <c r="CN58" s="6" t="s">
        <v>174</v>
      </c>
      <c r="CO58" s="0" t="n">
        <v>221</v>
      </c>
      <c r="CP58" s="6" t="s">
        <v>251</v>
      </c>
      <c r="CQ58" s="6" t="s">
        <v>1605</v>
      </c>
      <c r="CR58" s="6" t="s">
        <v>206</v>
      </c>
      <c r="CS58" s="0" t="n">
        <v>0.68</v>
      </c>
      <c r="CT58" s="0" t="n">
        <v>44.9</v>
      </c>
      <c r="CU58" s="0" t="n">
        <v>16.9</v>
      </c>
      <c r="CV58" s="0" t="n">
        <v>6</v>
      </c>
      <c r="CW58" s="0" t="n">
        <v>7</v>
      </c>
      <c r="CX58" s="0" t="n">
        <v>15</v>
      </c>
      <c r="CY58" s="6" t="n">
        <f aca="false">IF(AH58="exact",10,IF(AH58="adjacent",5,0))</f>
        <v>0</v>
      </c>
      <c r="CZ58" s="6" t="n">
        <f aca="false">IF(R58="Y",15,0)</f>
        <v>0</v>
      </c>
      <c r="DF58" s="6" t="s">
        <v>158</v>
      </c>
      <c r="DG58" s="6" t="s">
        <v>1336</v>
      </c>
      <c r="DH58" s="6" t="s">
        <v>1337</v>
      </c>
      <c r="DI58" s="6" t="s">
        <v>162</v>
      </c>
      <c r="DJ58" s="6" t="s">
        <v>1606</v>
      </c>
      <c r="DK58" s="6" t="s">
        <v>1607</v>
      </c>
      <c r="DS58" s="6" t="s">
        <v>158</v>
      </c>
      <c r="DX58" s="6" t="s">
        <v>162</v>
      </c>
      <c r="ER58" s="0" t="str">
        <f aca="false">IF(ISNUMBER(MATCH(U58,{"queued","contacted","replied","call_booked","call_done","yes_in_principle","materials_sent"},0)),"Y","N")</f>
        <v>N</v>
      </c>
      <c r="ES58" s="0" t="str">
        <f aca="false">IF(COUNTIFS($AP$2:$AP$1000,AP58,$ER$2:$ER$1000,"Y")+COUNTIFS($AP$2:$AP$1000,AP58,$T$2:$T$1000,"Y")&gt;0,"Y","N")</f>
        <v>N</v>
      </c>
      <c r="ET58" s="0" t="str">
        <f aca="false">IF(AND(U58="new",T58="N",AT58="Y",AS58="",ES58="N"),"Y","N")</f>
        <v>N</v>
      </c>
      <c r="EU58" s="0" t="str">
        <f aca="false">IF(ET58&lt;&gt;"Y","N",IF(COUNTIFS($AP$2:$AP$1000,AP58,$ET$2:$ET$1000,"Y",$J$2:$J$1000,"&gt;"&amp;J58)+COUNTIFS($AP$2:$AP$1000,AP58,$ET$2:$ET$1000,"Y",$J$2:$J$1000,J58,$EW$2:$EW$1000,"&lt;"&amp;EW58)=0,"Y","N"))</f>
        <v>N</v>
      </c>
      <c r="EV58" s="0" t="str">
        <f aca="false">IF(Y58="","N",IF(Y58&lt;=10,"Y","N"))</f>
        <v>N</v>
      </c>
      <c r="EW58" s="6" t="n">
        <f aca="false">ROW()-1</f>
        <v>57</v>
      </c>
    </row>
    <row r="59" customFormat="false" ht="15" hidden="false" customHeight="false" outlineLevel="0" collapsed="false">
      <c r="A59" s="0" t="s">
        <v>1608</v>
      </c>
      <c r="B59" s="0" t="s">
        <v>1609</v>
      </c>
      <c r="H59" s="5" t="s">
        <v>158</v>
      </c>
      <c r="I59" s="5" t="s">
        <v>159</v>
      </c>
      <c r="J59" s="6" t="n">
        <f aca="false">IF(AX59="pass",ROUND(CU59+CV59+CW59+CX59+CY59+CZ59,1),0)</f>
        <v>44.4</v>
      </c>
      <c r="K59" s="6" t="s">
        <v>1610</v>
      </c>
      <c r="L59" s="6" t="s">
        <v>395</v>
      </c>
      <c r="R59" s="5" t="s">
        <v>162</v>
      </c>
      <c r="S59" s="6" t="s">
        <v>163</v>
      </c>
      <c r="T59" s="5" t="s">
        <v>162</v>
      </c>
      <c r="U59" s="5" t="s">
        <v>228</v>
      </c>
      <c r="V59" s="6" t="s">
        <v>1611</v>
      </c>
      <c r="W59" s="6" t="s">
        <v>166</v>
      </c>
      <c r="X59" s="6" t="s">
        <v>167</v>
      </c>
      <c r="Y59" s="0" t="str">
        <f aca="false">IF(EU59&lt;&gt;"Y","",COUNTIFS($EU$2:$EU$1000,"Y",$J$2:$J$1000,"&gt;"&amp;J59)+COUNTIFS($EU$2:$EU$1000,"Y",$J$2:$J$1000,J59,$EW$2:$EW$1000,"&lt;"&amp;EW59)+1)</f>
        <v/>
      </c>
      <c r="Z59" s="0" t="n">
        <v>58</v>
      </c>
      <c r="AA59" s="6" t="s">
        <v>162</v>
      </c>
      <c r="AD59" s="6" t="s">
        <v>158</v>
      </c>
      <c r="AH59" s="5" t="s">
        <v>158</v>
      </c>
      <c r="AI59" s="6" t="s">
        <v>1612</v>
      </c>
      <c r="AJ59" s="6" t="s">
        <v>1276</v>
      </c>
      <c r="AK59" s="6" t="s">
        <v>435</v>
      </c>
      <c r="AL59" s="0" t="n">
        <v>15</v>
      </c>
      <c r="AM59" s="0" t="n">
        <v>295</v>
      </c>
      <c r="AN59" s="6" t="s">
        <v>179</v>
      </c>
      <c r="AO59" s="6" t="s">
        <v>180</v>
      </c>
      <c r="AP59" s="6" t="s">
        <v>1608</v>
      </c>
      <c r="AQ59" s="5" t="s">
        <v>162</v>
      </c>
      <c r="AT59" s="0" t="str">
        <f aca="false">IF(AND(AX59="pass",AQ59&lt;&gt;"Y",C59&lt;&gt;"",OR(AW59&lt;&gt;"Y",AV59="Y")),"Y","N")</f>
        <v>N</v>
      </c>
      <c r="AU59" s="0" t="str">
        <f aca="false">_xlfn.TEXTJOIN("; ",TRUE(),IF(AX59&lt;&gt;"pass","gated out",""),IF(AQ59="Y","on hold: "&amp;AR59,""),IF(C59="","no contact named on an opened page",""),IF(AND(AW59="Y",AV59&lt;&gt;"Y"),"Tuesday estimate band "&amp;L59&amp;": founder's call",""))</f>
        <v>no contact named on an opened page</v>
      </c>
      <c r="AW59" s="6" t="s">
        <v>162</v>
      </c>
      <c r="AX59" s="6" t="s">
        <v>181</v>
      </c>
      <c r="AY59" s="6" t="s">
        <v>182</v>
      </c>
      <c r="AZ59" s="6" t="s">
        <v>1</v>
      </c>
      <c r="BA59" s="6" t="s">
        <v>1613</v>
      </c>
      <c r="BB59" s="6" t="s">
        <v>1614</v>
      </c>
      <c r="BC59" s="6" t="s">
        <v>1615</v>
      </c>
      <c r="BD59" s="6" t="s">
        <v>1616</v>
      </c>
      <c r="BF59" s="6" t="s">
        <v>1323</v>
      </c>
      <c r="BG59" s="6" t="s">
        <v>188</v>
      </c>
      <c r="BH59" s="6" t="s">
        <v>189</v>
      </c>
      <c r="BI59" s="6" t="s">
        <v>1617</v>
      </c>
      <c r="BK59" s="6" t="s">
        <v>1264</v>
      </c>
      <c r="BL59" s="6" t="s">
        <v>656</v>
      </c>
      <c r="BM59" s="6" t="s">
        <v>162</v>
      </c>
      <c r="BN59" s="6" t="s">
        <v>163</v>
      </c>
      <c r="BO59" s="6" t="s">
        <v>163</v>
      </c>
      <c r="BP59" s="6" t="s">
        <v>347</v>
      </c>
      <c r="BQ59" s="0" t="n">
        <v>40.738577</v>
      </c>
      <c r="BR59" s="0" t="n">
        <v>-73.987151</v>
      </c>
      <c r="BS59" s="6" t="s">
        <v>168</v>
      </c>
      <c r="BT59" s="0" t="n">
        <v>0</v>
      </c>
      <c r="BU59" s="6" t="s">
        <v>1618</v>
      </c>
      <c r="BV59" s="6" t="s">
        <v>1619</v>
      </c>
      <c r="BW59" s="6" t="s">
        <v>1611</v>
      </c>
      <c r="BX59" s="6" t="s">
        <v>1620</v>
      </c>
      <c r="BY59" s="6" t="s">
        <v>248</v>
      </c>
      <c r="CC59" s="6" t="s">
        <v>739</v>
      </c>
      <c r="CE59" s="6" t="s">
        <v>162</v>
      </c>
      <c r="CH59" s="6" t="s">
        <v>163</v>
      </c>
      <c r="CJ59" s="6" t="s">
        <v>163</v>
      </c>
      <c r="CK59" s="6" t="s">
        <v>162</v>
      </c>
      <c r="CL59" s="6" t="s">
        <v>901</v>
      </c>
      <c r="CM59" s="6" t="s">
        <v>1621</v>
      </c>
      <c r="CN59" s="6" t="s">
        <v>174</v>
      </c>
      <c r="CO59" s="0" t="n">
        <v>67</v>
      </c>
      <c r="CP59" s="6" t="s">
        <v>768</v>
      </c>
      <c r="CQ59" s="6" t="s">
        <v>1622</v>
      </c>
      <c r="CR59" s="6" t="s">
        <v>206</v>
      </c>
      <c r="CS59" s="0" t="n">
        <v>0.62</v>
      </c>
      <c r="CT59" s="0" t="n">
        <v>44.4</v>
      </c>
      <c r="CU59" s="0" t="n">
        <v>15.4</v>
      </c>
      <c r="CV59" s="0" t="n">
        <v>6</v>
      </c>
      <c r="CW59" s="0" t="n">
        <v>15</v>
      </c>
      <c r="CX59" s="0" t="n">
        <v>8</v>
      </c>
      <c r="CY59" s="6" t="n">
        <f aca="false">IF(AH59="exact",10,IF(AH59="adjacent",5,0))</f>
        <v>0</v>
      </c>
      <c r="CZ59" s="6" t="n">
        <f aca="false">IF(R59="Y",15,0)</f>
        <v>0</v>
      </c>
      <c r="DF59" s="6" t="s">
        <v>158</v>
      </c>
      <c r="DG59" s="6" t="s">
        <v>1336</v>
      </c>
      <c r="DH59" s="6" t="s">
        <v>1337</v>
      </c>
      <c r="DI59" s="6" t="s">
        <v>162</v>
      </c>
      <c r="DJ59" s="6" t="s">
        <v>1623</v>
      </c>
      <c r="DK59" s="6" t="s">
        <v>1624</v>
      </c>
      <c r="DS59" s="6" t="s">
        <v>158</v>
      </c>
      <c r="DX59" s="6" t="s">
        <v>162</v>
      </c>
      <c r="ER59" s="0" t="str">
        <f aca="false">IF(ISNUMBER(MATCH(U59,{"queued","contacted","replied","call_booked","call_done","yes_in_principle","materials_sent"},0)),"Y","N")</f>
        <v>N</v>
      </c>
      <c r="ES59" s="0" t="str">
        <f aca="false">IF(COUNTIFS($AP$2:$AP$1000,AP59,$ER$2:$ER$1000,"Y")+COUNTIFS($AP$2:$AP$1000,AP59,$T$2:$T$1000,"Y")&gt;0,"Y","N")</f>
        <v>N</v>
      </c>
      <c r="ET59" s="0" t="str">
        <f aca="false">IF(AND(U59="new",T59="N",AT59="Y",AS59="",ES59="N"),"Y","N")</f>
        <v>N</v>
      </c>
      <c r="EU59" s="0" t="str">
        <f aca="false">IF(ET59&lt;&gt;"Y","N",IF(COUNTIFS($AP$2:$AP$1000,AP59,$ET$2:$ET$1000,"Y",$J$2:$J$1000,"&gt;"&amp;J59)+COUNTIFS($AP$2:$AP$1000,AP59,$ET$2:$ET$1000,"Y",$J$2:$J$1000,J59,$EW$2:$EW$1000,"&lt;"&amp;EW59)=0,"Y","N"))</f>
        <v>N</v>
      </c>
      <c r="EV59" s="0" t="str">
        <f aca="false">IF(Y59="","N",IF(Y59&lt;=10,"Y","N"))</f>
        <v>N</v>
      </c>
      <c r="EW59" s="6" t="n">
        <f aca="false">ROW()-1</f>
        <v>58</v>
      </c>
    </row>
    <row r="60" customFormat="false" ht="15" hidden="false" customHeight="false" outlineLevel="0" collapsed="false">
      <c r="A60" s="0" t="s">
        <v>1625</v>
      </c>
      <c r="B60" s="0" t="s">
        <v>1626</v>
      </c>
      <c r="H60" s="5" t="s">
        <v>158</v>
      </c>
      <c r="I60" s="5" t="s">
        <v>159</v>
      </c>
      <c r="J60" s="6" t="n">
        <f aca="false">IF(AX60="pass",ROUND(CU60+CV60+CW60+CX60+CY60+CZ60,1),0)</f>
        <v>44.3</v>
      </c>
      <c r="K60" s="6" t="s">
        <v>1627</v>
      </c>
      <c r="L60" s="6" t="s">
        <v>561</v>
      </c>
      <c r="R60" s="5" t="s">
        <v>162</v>
      </c>
      <c r="S60" s="6" t="s">
        <v>163</v>
      </c>
      <c r="T60" s="5" t="s">
        <v>162</v>
      </c>
      <c r="U60" s="5" t="s">
        <v>228</v>
      </c>
      <c r="V60" s="6" t="s">
        <v>1628</v>
      </c>
      <c r="W60" s="6" t="s">
        <v>166</v>
      </c>
      <c r="X60" s="6" t="s">
        <v>167</v>
      </c>
      <c r="Y60" s="0" t="str">
        <f aca="false">IF(EU60&lt;&gt;"Y","",COUNTIFS($EU$2:$EU$1000,"Y",$J$2:$J$1000,"&gt;"&amp;J60)+COUNTIFS($EU$2:$EU$1000,"Y",$J$2:$J$1000,J60,$EW$2:$EW$1000,"&lt;"&amp;EW60)+1)</f>
        <v/>
      </c>
      <c r="Z60" s="0" t="n">
        <v>59</v>
      </c>
      <c r="AA60" s="6" t="s">
        <v>162</v>
      </c>
      <c r="AB60" s="6" t="s">
        <v>1562</v>
      </c>
      <c r="AD60" s="6" t="s">
        <v>158</v>
      </c>
      <c r="AH60" s="5" t="s">
        <v>158</v>
      </c>
      <c r="AI60" s="6" t="s">
        <v>728</v>
      </c>
      <c r="AJ60" s="6" t="s">
        <v>472</v>
      </c>
      <c r="AK60" s="6" t="s">
        <v>435</v>
      </c>
      <c r="AL60" s="0" t="n">
        <v>11</v>
      </c>
      <c r="AM60" s="0" t="n">
        <v>86</v>
      </c>
      <c r="AN60" s="6" t="s">
        <v>179</v>
      </c>
      <c r="AO60" s="6" t="s">
        <v>180</v>
      </c>
      <c r="AP60" s="6" t="s">
        <v>1625</v>
      </c>
      <c r="AQ60" s="5" t="s">
        <v>162</v>
      </c>
      <c r="AT60" s="0" t="str">
        <f aca="false">IF(AND(AX60="pass",AQ60&lt;&gt;"Y",C60&lt;&gt;"",OR(AW60&lt;&gt;"Y",AV60="Y")),"Y","N")</f>
        <v>N</v>
      </c>
      <c r="AU60" s="0" t="str">
        <f aca="false">_xlfn.TEXTJOIN("; ",TRUE(),IF(AX60&lt;&gt;"pass","gated out",""),IF(AQ60="Y","on hold: "&amp;AR60,""),IF(C60="","no contact named on an opened page",""),IF(AND(AW60="Y",AV60&lt;&gt;"Y"),"Tuesday estimate band "&amp;L60&amp;": founder's call",""))</f>
        <v>no contact named on an opened page; Tuesday estimate band under-40: founder's call</v>
      </c>
      <c r="AW60" s="6" t="s">
        <v>168</v>
      </c>
      <c r="AX60" s="6" t="s">
        <v>181</v>
      </c>
      <c r="AY60" s="6" t="s">
        <v>182</v>
      </c>
      <c r="AZ60" s="6" t="s">
        <v>1</v>
      </c>
      <c r="BA60" s="6" t="s">
        <v>1629</v>
      </c>
      <c r="BB60" s="6" t="s">
        <v>163</v>
      </c>
      <c r="BC60" s="6" t="s">
        <v>1630</v>
      </c>
      <c r="BD60" s="6" t="s">
        <v>1567</v>
      </c>
      <c r="BE60" s="6" t="s">
        <v>1631</v>
      </c>
      <c r="BF60" s="6" t="s">
        <v>163</v>
      </c>
      <c r="BG60" s="6" t="s">
        <v>163</v>
      </c>
      <c r="BH60" s="6" t="s">
        <v>280</v>
      </c>
      <c r="BI60" s="6" t="s">
        <v>1632</v>
      </c>
      <c r="BJ60" s="6" t="s">
        <v>1633</v>
      </c>
      <c r="BK60" s="6" t="s">
        <v>191</v>
      </c>
      <c r="BL60" s="6" t="s">
        <v>192</v>
      </c>
      <c r="BM60" s="6" t="s">
        <v>168</v>
      </c>
      <c r="BN60" s="6" t="s">
        <v>163</v>
      </c>
      <c r="BO60" s="6" t="s">
        <v>163</v>
      </c>
      <c r="BP60" s="6" t="s">
        <v>193</v>
      </c>
      <c r="BQ60" s="0" t="n">
        <v>40.734626</v>
      </c>
      <c r="BR60" s="0" t="n">
        <v>-73.9911</v>
      </c>
      <c r="BS60" s="6" t="s">
        <v>168</v>
      </c>
      <c r="BT60" s="0" t="n">
        <v>0</v>
      </c>
      <c r="BU60" s="6" t="s">
        <v>736</v>
      </c>
      <c r="BV60" s="6" t="s">
        <v>737</v>
      </c>
      <c r="BW60" s="6" t="s">
        <v>1628</v>
      </c>
      <c r="BX60" s="6" t="s">
        <v>1634</v>
      </c>
      <c r="BY60" s="6" t="s">
        <v>248</v>
      </c>
      <c r="CC60" s="6" t="s">
        <v>179</v>
      </c>
      <c r="CE60" s="6" t="s">
        <v>162</v>
      </c>
      <c r="CH60" s="6" t="s">
        <v>201</v>
      </c>
      <c r="CI60" s="6" t="s">
        <v>740</v>
      </c>
      <c r="CJ60" s="6" t="s">
        <v>163</v>
      </c>
      <c r="CK60" s="6" t="s">
        <v>162</v>
      </c>
      <c r="CL60" s="6" t="s">
        <v>577</v>
      </c>
      <c r="CM60" s="6" t="s">
        <v>1635</v>
      </c>
      <c r="CN60" s="6" t="s">
        <v>174</v>
      </c>
      <c r="CO60" s="0" t="n">
        <v>31</v>
      </c>
      <c r="CP60" s="6" t="s">
        <v>578</v>
      </c>
      <c r="CQ60" s="6" t="s">
        <v>1636</v>
      </c>
      <c r="CR60" s="6" t="s">
        <v>206</v>
      </c>
      <c r="CS60" s="0" t="n">
        <v>0.37</v>
      </c>
      <c r="CT60" s="0" t="n">
        <v>44.3</v>
      </c>
      <c r="CU60" s="0" t="n">
        <v>9.3</v>
      </c>
      <c r="CV60" s="0" t="n">
        <v>15</v>
      </c>
      <c r="CW60" s="0" t="n">
        <v>15</v>
      </c>
      <c r="CX60" s="0" t="n">
        <v>5</v>
      </c>
      <c r="CY60" s="6" t="n">
        <f aca="false">IF(AH60="exact",10,IF(AH60="adjacent",5,0))</f>
        <v>0</v>
      </c>
      <c r="CZ60" s="6" t="n">
        <f aca="false">IF(R60="Y",15,0)</f>
        <v>0</v>
      </c>
      <c r="DF60" s="6" t="s">
        <v>158</v>
      </c>
      <c r="DG60" s="6" t="s">
        <v>211</v>
      </c>
      <c r="DJ60" s="6" t="s">
        <v>1637</v>
      </c>
      <c r="DK60" s="6" t="s">
        <v>1638</v>
      </c>
      <c r="DS60" s="6" t="s">
        <v>158</v>
      </c>
      <c r="DX60" s="6" t="s">
        <v>162</v>
      </c>
      <c r="ER60" s="0" t="str">
        <f aca="false">IF(ISNUMBER(MATCH(U60,{"queued","contacted","replied","call_booked","call_done","yes_in_principle","materials_sent"},0)),"Y","N")</f>
        <v>N</v>
      </c>
      <c r="ES60" s="0" t="str">
        <f aca="false">IF(COUNTIFS($AP$2:$AP$1000,AP60,$ER$2:$ER$1000,"Y")+COUNTIFS($AP$2:$AP$1000,AP60,$T$2:$T$1000,"Y")&gt;0,"Y","N")</f>
        <v>N</v>
      </c>
      <c r="ET60" s="0" t="str">
        <f aca="false">IF(AND(U60="new",T60="N",AT60="Y",AS60="",ES60="N"),"Y","N")</f>
        <v>N</v>
      </c>
      <c r="EU60" s="0" t="str">
        <f aca="false">IF(ET60&lt;&gt;"Y","N",IF(COUNTIFS($AP$2:$AP$1000,AP60,$ET$2:$ET$1000,"Y",$J$2:$J$1000,"&gt;"&amp;J60)+COUNTIFS($AP$2:$AP$1000,AP60,$ET$2:$ET$1000,"Y",$J$2:$J$1000,J60,$EW$2:$EW$1000,"&lt;"&amp;EW60)=0,"Y","N"))</f>
        <v>N</v>
      </c>
      <c r="EV60" s="0" t="str">
        <f aca="false">IF(Y60="","N",IF(Y60&lt;=10,"Y","N"))</f>
        <v>N</v>
      </c>
      <c r="EW60" s="6" t="n">
        <f aca="false">ROW()-1</f>
        <v>59</v>
      </c>
    </row>
    <row r="61" customFormat="false" ht="15" hidden="false" customHeight="false" outlineLevel="0" collapsed="false">
      <c r="A61" s="0" t="s">
        <v>1639</v>
      </c>
      <c r="B61" s="0" t="s">
        <v>1640</v>
      </c>
      <c r="H61" s="5" t="s">
        <v>158</v>
      </c>
      <c r="I61" s="5" t="s">
        <v>159</v>
      </c>
      <c r="J61" s="6" t="n">
        <f aca="false">IF(AX61="pass",ROUND(CU61+CV61+CW61+CX61+CY61+CZ61,1),0)</f>
        <v>43.8</v>
      </c>
      <c r="K61" s="6" t="s">
        <v>1641</v>
      </c>
      <c r="L61" s="6" t="s">
        <v>561</v>
      </c>
      <c r="O61" s="6" t="s">
        <v>1642</v>
      </c>
      <c r="P61" s="6" t="s">
        <v>1643</v>
      </c>
      <c r="Q61" s="6" t="s">
        <v>1644</v>
      </c>
      <c r="R61" s="5" t="s">
        <v>162</v>
      </c>
      <c r="S61" s="6" t="s">
        <v>163</v>
      </c>
      <c r="T61" s="5" t="s">
        <v>162</v>
      </c>
      <c r="U61" s="5" t="s">
        <v>228</v>
      </c>
      <c r="V61" s="6" t="s">
        <v>1643</v>
      </c>
      <c r="W61" s="6" t="s">
        <v>166</v>
      </c>
      <c r="X61" s="6" t="s">
        <v>167</v>
      </c>
      <c r="Y61" s="0" t="str">
        <f aca="false">IF(EU61&lt;&gt;"Y","",COUNTIFS($EU$2:$EU$1000,"Y",$J$2:$J$1000,"&gt;"&amp;J61)+COUNTIFS($EU$2:$EU$1000,"Y",$J$2:$J$1000,J61,$EW$2:$EW$1000,"&lt;"&amp;EW61)+1)</f>
        <v/>
      </c>
      <c r="Z61" s="0" t="n">
        <v>60</v>
      </c>
      <c r="AA61" s="6" t="s">
        <v>162</v>
      </c>
      <c r="AB61" s="6" t="s">
        <v>1562</v>
      </c>
      <c r="AD61" s="6" t="s">
        <v>158</v>
      </c>
      <c r="AH61" s="5" t="s">
        <v>158</v>
      </c>
      <c r="AI61" s="6" t="s">
        <v>1645</v>
      </c>
      <c r="AJ61" s="6" t="s">
        <v>1646</v>
      </c>
      <c r="AK61" s="6" t="s">
        <v>435</v>
      </c>
      <c r="AL61" s="0" t="n">
        <v>22</v>
      </c>
      <c r="AM61" s="0" t="n">
        <v>48</v>
      </c>
      <c r="AN61" s="6" t="s">
        <v>179</v>
      </c>
      <c r="AO61" s="6" t="s">
        <v>180</v>
      </c>
      <c r="AP61" s="6" t="s">
        <v>1639</v>
      </c>
      <c r="AQ61" s="5" t="s">
        <v>168</v>
      </c>
      <c r="AR61" s="6" t="s">
        <v>1647</v>
      </c>
      <c r="AT61" s="0" t="str">
        <f aca="false">IF(AND(AX61="pass",AQ61&lt;&gt;"Y",C61&lt;&gt;"",OR(AW61&lt;&gt;"Y",AV61="Y")),"Y","N")</f>
        <v>N</v>
      </c>
      <c r="AU61" s="0" t="str">
        <f aca="false">_xlfn.TEXTJOIN("; ",TRUE(),IF(AX61&lt;&gt;"pass","gated out",""),IF(AQ61="Y","on hold: "&amp;AR61,""),IF(C61="","no contact named on an opened page",""),IF(AND(AW61="Y",AV61&lt;&gt;"Y"),"Tuesday estimate band "&amp;L61&amp;": founder's call",""))</f>
        <v>on hold: still in a coworking space until the move; no contact named on an opened page; Tuesday estimate band under-40: founder's call</v>
      </c>
      <c r="AW61" s="6" t="s">
        <v>168</v>
      </c>
      <c r="AX61" s="6" t="s">
        <v>181</v>
      </c>
      <c r="AY61" s="6" t="s">
        <v>182</v>
      </c>
      <c r="AZ61" s="6" t="s">
        <v>1</v>
      </c>
      <c r="BA61" s="6" t="s">
        <v>1648</v>
      </c>
      <c r="BB61" s="6" t="s">
        <v>163</v>
      </c>
      <c r="BC61" s="6" t="s">
        <v>1649</v>
      </c>
      <c r="BD61" s="6" t="s">
        <v>1220</v>
      </c>
      <c r="BE61" s="6" t="s">
        <v>1650</v>
      </c>
      <c r="BF61" s="6" t="s">
        <v>395</v>
      </c>
      <c r="BG61" s="6" t="s">
        <v>188</v>
      </c>
      <c r="BH61" s="6" t="s">
        <v>241</v>
      </c>
      <c r="BI61" s="6" t="s">
        <v>1651</v>
      </c>
      <c r="BJ61" s="6" t="s">
        <v>1652</v>
      </c>
      <c r="BK61" s="6" t="s">
        <v>191</v>
      </c>
      <c r="BL61" s="6" t="s">
        <v>192</v>
      </c>
      <c r="BM61" s="6" t="s">
        <v>168</v>
      </c>
      <c r="BN61" s="6" t="s">
        <v>163</v>
      </c>
      <c r="BO61" s="6" t="s">
        <v>163</v>
      </c>
      <c r="BP61" s="6" t="s">
        <v>244</v>
      </c>
      <c r="BQ61" s="0" t="n">
        <v>40.746186</v>
      </c>
      <c r="BR61" s="0" t="n">
        <v>-73.985981</v>
      </c>
      <c r="BS61" s="6" t="s">
        <v>168</v>
      </c>
      <c r="BT61" s="0" t="n">
        <v>0</v>
      </c>
      <c r="BU61" s="6" t="s">
        <v>1653</v>
      </c>
      <c r="BV61" s="6" t="s">
        <v>1654</v>
      </c>
      <c r="BW61" s="6" t="s">
        <v>1643</v>
      </c>
      <c r="BX61" s="6" t="s">
        <v>1644</v>
      </c>
      <c r="BY61" s="6" t="s">
        <v>248</v>
      </c>
      <c r="BZ61" s="6" t="s">
        <v>1651</v>
      </c>
      <c r="CA61" s="6" t="s">
        <v>166</v>
      </c>
      <c r="CC61" s="6" t="s">
        <v>739</v>
      </c>
      <c r="CE61" s="6" t="s">
        <v>162</v>
      </c>
      <c r="CH61" s="6" t="s">
        <v>163</v>
      </c>
      <c r="CJ61" s="6" t="s">
        <v>163</v>
      </c>
      <c r="CK61" s="6" t="s">
        <v>162</v>
      </c>
      <c r="CL61" s="6" t="s">
        <v>449</v>
      </c>
      <c r="CM61" s="6" t="s">
        <v>1651</v>
      </c>
      <c r="CN61" s="6" t="s">
        <v>174</v>
      </c>
      <c r="CO61" s="0" t="n">
        <v>32</v>
      </c>
      <c r="CP61" s="6" t="s">
        <v>578</v>
      </c>
      <c r="CQ61" s="6" t="s">
        <v>1655</v>
      </c>
      <c r="CR61" s="6" t="s">
        <v>206</v>
      </c>
      <c r="CS61" s="0" t="n">
        <v>0.23</v>
      </c>
      <c r="CT61" s="0" t="n">
        <v>43.8</v>
      </c>
      <c r="CU61" s="0" t="n">
        <v>5.8</v>
      </c>
      <c r="CV61" s="0" t="n">
        <v>15</v>
      </c>
      <c r="CW61" s="0" t="n">
        <v>15</v>
      </c>
      <c r="CX61" s="0" t="n">
        <v>8</v>
      </c>
      <c r="CY61" s="6" t="n">
        <f aca="false">IF(AH61="exact",10,IF(AH61="adjacent",5,0))</f>
        <v>0</v>
      </c>
      <c r="CZ61" s="6" t="n">
        <f aca="false">IF(R61="Y",15,0)</f>
        <v>0</v>
      </c>
      <c r="DF61" s="6" t="s">
        <v>158</v>
      </c>
      <c r="DG61" s="6" t="s">
        <v>211</v>
      </c>
      <c r="DJ61" s="6" t="s">
        <v>1656</v>
      </c>
      <c r="DK61" s="6" t="s">
        <v>1657</v>
      </c>
      <c r="DS61" s="6" t="s">
        <v>158</v>
      </c>
      <c r="DX61" s="6" t="s">
        <v>162</v>
      </c>
      <c r="ER61" s="0" t="str">
        <f aca="false">IF(ISNUMBER(MATCH(U61,{"queued","contacted","replied","call_booked","call_done","yes_in_principle","materials_sent"},0)),"Y","N")</f>
        <v>N</v>
      </c>
      <c r="ES61" s="0" t="str">
        <f aca="false">IF(COUNTIFS($AP$2:$AP$1000,AP61,$ER$2:$ER$1000,"Y")+COUNTIFS($AP$2:$AP$1000,AP61,$T$2:$T$1000,"Y")&gt;0,"Y","N")</f>
        <v>N</v>
      </c>
      <c r="ET61" s="0" t="str">
        <f aca="false">IF(AND(U61="new",T61="N",AT61="Y",AS61="",ES61="N"),"Y","N")</f>
        <v>N</v>
      </c>
      <c r="EU61" s="0" t="str">
        <f aca="false">IF(ET61&lt;&gt;"Y","N",IF(COUNTIFS($AP$2:$AP$1000,AP61,$ET$2:$ET$1000,"Y",$J$2:$J$1000,"&gt;"&amp;J61)+COUNTIFS($AP$2:$AP$1000,AP61,$ET$2:$ET$1000,"Y",$J$2:$J$1000,J61,$EW$2:$EW$1000,"&lt;"&amp;EW61)=0,"Y","N"))</f>
        <v>N</v>
      </c>
      <c r="EV61" s="0" t="str">
        <f aca="false">IF(Y61="","N",IF(Y61&lt;=10,"Y","N"))</f>
        <v>N</v>
      </c>
      <c r="EW61" s="6" t="n">
        <f aca="false">ROW()-1</f>
        <v>60</v>
      </c>
    </row>
    <row r="62" customFormat="false" ht="15" hidden="false" customHeight="false" outlineLevel="0" collapsed="false">
      <c r="A62" s="0" t="s">
        <v>1658</v>
      </c>
      <c r="B62" s="0" t="s">
        <v>1659</v>
      </c>
      <c r="H62" s="5" t="s">
        <v>158</v>
      </c>
      <c r="I62" s="5" t="s">
        <v>159</v>
      </c>
      <c r="J62" s="6" t="n">
        <f aca="false">IF(AX62="pass",ROUND(CU62+CV62+CW62+CX62+CY62+CZ62,1),0)</f>
        <v>43.5</v>
      </c>
      <c r="K62" s="6" t="s">
        <v>1660</v>
      </c>
      <c r="L62" s="6" t="s">
        <v>240</v>
      </c>
      <c r="R62" s="5" t="s">
        <v>162</v>
      </c>
      <c r="S62" s="6" t="s">
        <v>163</v>
      </c>
      <c r="T62" s="5" t="s">
        <v>162</v>
      </c>
      <c r="U62" s="5" t="s">
        <v>228</v>
      </c>
      <c r="V62" s="6" t="s">
        <v>1661</v>
      </c>
      <c r="W62" s="6" t="s">
        <v>166</v>
      </c>
      <c r="X62" s="6" t="s">
        <v>167</v>
      </c>
      <c r="Y62" s="0" t="str">
        <f aca="false">IF(EU62&lt;&gt;"Y","",COUNTIFS($EU$2:$EU$1000,"Y",$J$2:$J$1000,"&gt;"&amp;J62)+COUNTIFS($EU$2:$EU$1000,"Y",$J$2:$J$1000,J62,$EW$2:$EW$1000,"&lt;"&amp;EW62)+1)</f>
        <v/>
      </c>
      <c r="Z62" s="0" t="n">
        <v>61</v>
      </c>
      <c r="AA62" s="6" t="s">
        <v>162</v>
      </c>
      <c r="AB62" s="6" t="s">
        <v>1662</v>
      </c>
      <c r="AD62" s="6" t="s">
        <v>158</v>
      </c>
      <c r="AH62" s="5" t="s">
        <v>158</v>
      </c>
      <c r="AI62" s="6" t="s">
        <v>1663</v>
      </c>
      <c r="AJ62" s="6" t="s">
        <v>163</v>
      </c>
      <c r="AK62" s="6" t="s">
        <v>178</v>
      </c>
      <c r="AL62" s="0" t="n">
        <v>63</v>
      </c>
      <c r="AM62" s="0" t="n">
        <v>1256</v>
      </c>
      <c r="AN62" s="6" t="s">
        <v>179</v>
      </c>
      <c r="AO62" s="6" t="s">
        <v>180</v>
      </c>
      <c r="AP62" s="6" t="s">
        <v>1658</v>
      </c>
      <c r="AQ62" s="5" t="s">
        <v>162</v>
      </c>
      <c r="AT62" s="0" t="str">
        <f aca="false">IF(AND(AX62="pass",AQ62&lt;&gt;"Y",C62&lt;&gt;"",OR(AW62&lt;&gt;"Y",AV62="Y")),"Y","N")</f>
        <v>N</v>
      </c>
      <c r="AU62" s="0" t="str">
        <f aca="false">_xlfn.TEXTJOIN("; ",TRUE(),IF(AX62&lt;&gt;"pass","gated out",""),IF(AQ62="Y","on hold: "&amp;AR62,""),IF(C62="","no contact named on an opened page",""),IF(AND(AW62="Y",AV62&lt;&gt;"Y"),"Tuesday estimate band "&amp;L62&amp;": founder's call",""))</f>
        <v>no contact named on an opened page; Tuesday estimate band 251-500: founder's call</v>
      </c>
      <c r="AW62" s="6" t="s">
        <v>168</v>
      </c>
      <c r="AX62" s="6" t="s">
        <v>181</v>
      </c>
      <c r="AY62" s="6" t="s">
        <v>182</v>
      </c>
      <c r="AZ62" s="6" t="s">
        <v>1</v>
      </c>
      <c r="BA62" s="6" t="s">
        <v>1664</v>
      </c>
      <c r="BB62" s="6" t="s">
        <v>1665</v>
      </c>
      <c r="BC62" s="6" t="s">
        <v>1666</v>
      </c>
      <c r="BD62" s="6" t="s">
        <v>1667</v>
      </c>
      <c r="BF62" s="6" t="s">
        <v>1323</v>
      </c>
      <c r="BG62" s="6" t="s">
        <v>188</v>
      </c>
      <c r="BH62" s="6" t="s">
        <v>189</v>
      </c>
      <c r="BI62" s="6" t="s">
        <v>1668</v>
      </c>
      <c r="BK62" s="6" t="s">
        <v>1440</v>
      </c>
      <c r="BL62" s="6" t="s">
        <v>1669</v>
      </c>
      <c r="BM62" s="6" t="s">
        <v>162</v>
      </c>
      <c r="BN62" s="6" t="s">
        <v>163</v>
      </c>
      <c r="BO62" s="6" t="s">
        <v>163</v>
      </c>
      <c r="BP62" s="6" t="s">
        <v>347</v>
      </c>
      <c r="BQ62" s="0" t="n">
        <v>40.740567</v>
      </c>
      <c r="BR62" s="0" t="n">
        <v>-73.985832</v>
      </c>
      <c r="BS62" s="6" t="s">
        <v>168</v>
      </c>
      <c r="BT62" s="0" t="n">
        <v>0</v>
      </c>
      <c r="BV62" s="6" t="s">
        <v>163</v>
      </c>
      <c r="BW62" s="6" t="s">
        <v>1661</v>
      </c>
      <c r="BX62" s="6" t="s">
        <v>198</v>
      </c>
      <c r="BY62" s="6" t="s">
        <v>248</v>
      </c>
      <c r="BZ62" s="6" t="s">
        <v>1668</v>
      </c>
      <c r="CA62" s="6" t="s">
        <v>166</v>
      </c>
      <c r="CC62" s="6" t="s">
        <v>200</v>
      </c>
      <c r="CE62" s="6" t="s">
        <v>162</v>
      </c>
      <c r="CH62" s="6" t="s">
        <v>201</v>
      </c>
      <c r="CJ62" s="6" t="s">
        <v>163</v>
      </c>
      <c r="CK62" s="6" t="s">
        <v>162</v>
      </c>
      <c r="CL62" s="6" t="s">
        <v>449</v>
      </c>
      <c r="CM62" s="6" t="s">
        <v>1668</v>
      </c>
      <c r="CN62" s="6" t="s">
        <v>174</v>
      </c>
      <c r="CO62" s="0" t="n">
        <v>281</v>
      </c>
      <c r="CP62" s="6" t="s">
        <v>251</v>
      </c>
      <c r="CQ62" s="6" t="s">
        <v>1670</v>
      </c>
      <c r="CR62" s="6" t="s">
        <v>206</v>
      </c>
      <c r="CS62" s="0" t="n">
        <v>0.46</v>
      </c>
      <c r="CT62" s="0" t="n">
        <v>43.5</v>
      </c>
      <c r="CU62" s="0" t="n">
        <v>11.5</v>
      </c>
      <c r="CV62" s="0" t="n">
        <v>2</v>
      </c>
      <c r="CW62" s="0" t="n">
        <v>15</v>
      </c>
      <c r="CX62" s="0" t="n">
        <v>15</v>
      </c>
      <c r="CY62" s="6" t="n">
        <f aca="false">IF(AH62="exact",10,IF(AH62="adjacent",5,0))</f>
        <v>0</v>
      </c>
      <c r="CZ62" s="6" t="n">
        <f aca="false">IF(R62="Y",15,0)</f>
        <v>0</v>
      </c>
      <c r="DF62" s="6" t="s">
        <v>158</v>
      </c>
      <c r="DG62" s="6" t="s">
        <v>1336</v>
      </c>
      <c r="DH62" s="6" t="s">
        <v>1447</v>
      </c>
      <c r="DI62" s="6" t="s">
        <v>162</v>
      </c>
      <c r="DK62" s="6" t="s">
        <v>1671</v>
      </c>
      <c r="DS62" s="6" t="s">
        <v>158</v>
      </c>
      <c r="DX62" s="6" t="s">
        <v>162</v>
      </c>
      <c r="ER62" s="0" t="str">
        <f aca="false">IF(ISNUMBER(MATCH(U62,{"queued","contacted","replied","call_booked","call_done","yes_in_principle","materials_sent"},0)),"Y","N")</f>
        <v>N</v>
      </c>
      <c r="ES62" s="0" t="str">
        <f aca="false">IF(COUNTIFS($AP$2:$AP$1000,AP62,$ER$2:$ER$1000,"Y")+COUNTIFS($AP$2:$AP$1000,AP62,$T$2:$T$1000,"Y")&gt;0,"Y","N")</f>
        <v>N</v>
      </c>
      <c r="ET62" s="0" t="str">
        <f aca="false">IF(AND(U62="new",T62="N",AT62="Y",AS62="",ES62="N"),"Y","N")</f>
        <v>N</v>
      </c>
      <c r="EU62" s="0" t="str">
        <f aca="false">IF(ET62&lt;&gt;"Y","N",IF(COUNTIFS($AP$2:$AP$1000,AP62,$ET$2:$ET$1000,"Y",$J$2:$J$1000,"&gt;"&amp;J62)+COUNTIFS($AP$2:$AP$1000,AP62,$ET$2:$ET$1000,"Y",$J$2:$J$1000,J62,$EW$2:$EW$1000,"&lt;"&amp;EW62)=0,"Y","N"))</f>
        <v>N</v>
      </c>
      <c r="EV62" s="0" t="str">
        <f aca="false">IF(Y62="","N",IF(Y62&lt;=10,"Y","N"))</f>
        <v>N</v>
      </c>
      <c r="EW62" s="6" t="n">
        <f aca="false">ROW()-1</f>
        <v>61</v>
      </c>
    </row>
    <row r="63" customFormat="false" ht="15" hidden="false" customHeight="false" outlineLevel="0" collapsed="false">
      <c r="A63" s="0" t="s">
        <v>1672</v>
      </c>
      <c r="B63" s="0" t="s">
        <v>1673</v>
      </c>
      <c r="H63" s="5" t="s">
        <v>158</v>
      </c>
      <c r="I63" s="5" t="s">
        <v>159</v>
      </c>
      <c r="J63" s="6" t="n">
        <f aca="false">IF(AX63="pass",ROUND(CU63+CV63+CW63+CX63+CY63+CZ63,1),0)</f>
        <v>43.2</v>
      </c>
      <c r="K63" s="6" t="s">
        <v>1674</v>
      </c>
      <c r="L63" s="6" t="s">
        <v>395</v>
      </c>
      <c r="R63" s="5" t="s">
        <v>162</v>
      </c>
      <c r="S63" s="6" t="s">
        <v>163</v>
      </c>
      <c r="T63" s="5" t="s">
        <v>162</v>
      </c>
      <c r="U63" s="5" t="s">
        <v>228</v>
      </c>
      <c r="V63" s="6" t="s">
        <v>1675</v>
      </c>
      <c r="W63" s="6" t="s">
        <v>166</v>
      </c>
      <c r="X63" s="6" t="s">
        <v>167</v>
      </c>
      <c r="Y63" s="0" t="str">
        <f aca="false">IF(EU63&lt;&gt;"Y","",COUNTIFS($EU$2:$EU$1000,"Y",$J$2:$J$1000,"&gt;"&amp;J63)+COUNTIFS($EU$2:$EU$1000,"Y",$J$2:$J$1000,J63,$EW$2:$EW$1000,"&lt;"&amp;EW63)+1)</f>
        <v/>
      </c>
      <c r="Z63" s="0" t="n">
        <v>62</v>
      </c>
      <c r="AA63" s="6" t="s">
        <v>162</v>
      </c>
      <c r="AD63" s="6" t="s">
        <v>158</v>
      </c>
      <c r="AH63" s="5" t="s">
        <v>158</v>
      </c>
      <c r="AI63" s="6" t="s">
        <v>861</v>
      </c>
      <c r="AJ63" s="6" t="s">
        <v>1676</v>
      </c>
      <c r="AK63" s="6" t="s">
        <v>178</v>
      </c>
      <c r="AL63" s="0" t="n">
        <v>16</v>
      </c>
      <c r="AM63" s="0" t="n">
        <v>328</v>
      </c>
      <c r="AN63" s="6" t="s">
        <v>179</v>
      </c>
      <c r="AO63" s="6" t="s">
        <v>370</v>
      </c>
      <c r="AP63" s="6" t="s">
        <v>1672</v>
      </c>
      <c r="AQ63" s="5" t="s">
        <v>162</v>
      </c>
      <c r="AT63" s="0" t="str">
        <f aca="false">IF(AND(AX63="pass",AQ63&lt;&gt;"Y",C63&lt;&gt;"",OR(AW63&lt;&gt;"Y",AV63="Y")),"Y","N")</f>
        <v>N</v>
      </c>
      <c r="AU63" s="0" t="str">
        <f aca="false">_xlfn.TEXTJOIN("; ",TRUE(),IF(AX63&lt;&gt;"pass","gated out",""),IF(AQ63="Y","on hold: "&amp;AR63,""),IF(C63="","no contact named on an opened page",""),IF(AND(AW63="Y",AV63&lt;&gt;"Y"),"Tuesday estimate band "&amp;L63&amp;": founder's call",""))</f>
        <v>no contact named on an opened page</v>
      </c>
      <c r="AW63" s="6" t="s">
        <v>162</v>
      </c>
      <c r="AX63" s="6" t="s">
        <v>181</v>
      </c>
      <c r="AY63" s="6" t="s">
        <v>182</v>
      </c>
      <c r="AZ63" s="6" t="s">
        <v>1</v>
      </c>
      <c r="BA63" s="6" t="s">
        <v>1677</v>
      </c>
      <c r="BB63" s="6" t="s">
        <v>1678</v>
      </c>
      <c r="BC63" s="6" t="s">
        <v>1679</v>
      </c>
      <c r="BD63" s="6" t="s">
        <v>1680</v>
      </c>
      <c r="BF63" s="6" t="s">
        <v>1323</v>
      </c>
      <c r="BG63" s="6" t="s">
        <v>188</v>
      </c>
      <c r="BH63" s="6" t="s">
        <v>189</v>
      </c>
      <c r="BI63" s="6" t="s">
        <v>1681</v>
      </c>
      <c r="BK63" s="6" t="s">
        <v>1264</v>
      </c>
      <c r="BL63" s="6" t="s">
        <v>1682</v>
      </c>
      <c r="BM63" s="6" t="s">
        <v>162</v>
      </c>
      <c r="BN63" s="6" t="s">
        <v>163</v>
      </c>
      <c r="BO63" s="6" t="s">
        <v>163</v>
      </c>
      <c r="BP63" s="6" t="s">
        <v>347</v>
      </c>
      <c r="BQ63" s="0" t="n">
        <v>40.742654</v>
      </c>
      <c r="BR63" s="0" t="n">
        <v>-73.991559</v>
      </c>
      <c r="BS63" s="6" t="s">
        <v>168</v>
      </c>
      <c r="BT63" s="0" t="n">
        <v>0</v>
      </c>
      <c r="BU63" s="6" t="s">
        <v>870</v>
      </c>
      <c r="BV63" s="6" t="s">
        <v>871</v>
      </c>
      <c r="BW63" s="6" t="s">
        <v>1675</v>
      </c>
      <c r="BX63" s="6" t="s">
        <v>1683</v>
      </c>
      <c r="BY63" s="6" t="s">
        <v>248</v>
      </c>
      <c r="BZ63" s="6" t="s">
        <v>1684</v>
      </c>
      <c r="CA63" s="6" t="s">
        <v>1685</v>
      </c>
      <c r="CC63" s="6" t="s">
        <v>200</v>
      </c>
      <c r="CE63" s="6" t="s">
        <v>162</v>
      </c>
      <c r="CH63" s="6" t="s">
        <v>201</v>
      </c>
      <c r="CI63" s="6" t="s">
        <v>872</v>
      </c>
      <c r="CJ63" s="6" t="s">
        <v>163</v>
      </c>
      <c r="CK63" s="6" t="s">
        <v>162</v>
      </c>
      <c r="CL63" s="6" t="s">
        <v>1686</v>
      </c>
      <c r="CM63" s="6" t="s">
        <v>1681</v>
      </c>
      <c r="CN63" s="6" t="s">
        <v>174</v>
      </c>
      <c r="CO63" s="0" t="n">
        <v>72</v>
      </c>
      <c r="CP63" s="6" t="s">
        <v>768</v>
      </c>
      <c r="CQ63" s="6" t="s">
        <v>1687</v>
      </c>
      <c r="CR63" s="6" t="s">
        <v>206</v>
      </c>
      <c r="CS63" s="0" t="n">
        <v>0.61</v>
      </c>
      <c r="CT63" s="0" t="n">
        <v>43.2</v>
      </c>
      <c r="CU63" s="0" t="n">
        <v>15.2</v>
      </c>
      <c r="CV63" s="0" t="n">
        <v>6</v>
      </c>
      <c r="CW63" s="0" t="n">
        <v>7</v>
      </c>
      <c r="CX63" s="0" t="n">
        <v>15</v>
      </c>
      <c r="CY63" s="6" t="n">
        <f aca="false">IF(AH63="exact",10,IF(AH63="adjacent",5,0))</f>
        <v>0</v>
      </c>
      <c r="CZ63" s="6" t="n">
        <f aca="false">IF(R63="Y",15,0)</f>
        <v>0</v>
      </c>
      <c r="DF63" s="6" t="s">
        <v>158</v>
      </c>
      <c r="DG63" s="6" t="s">
        <v>1336</v>
      </c>
      <c r="DH63" s="6" t="s">
        <v>1337</v>
      </c>
      <c r="DI63" s="6" t="s">
        <v>162</v>
      </c>
      <c r="DJ63" s="6" t="s">
        <v>1606</v>
      </c>
      <c r="DK63" s="6" t="s">
        <v>1688</v>
      </c>
      <c r="DS63" s="6" t="s">
        <v>158</v>
      </c>
      <c r="DX63" s="6" t="s">
        <v>162</v>
      </c>
      <c r="ER63" s="0" t="str">
        <f aca="false">IF(ISNUMBER(MATCH(U63,{"queued","contacted","replied","call_booked","call_done","yes_in_principle","materials_sent"},0)),"Y","N")</f>
        <v>N</v>
      </c>
      <c r="ES63" s="0" t="str">
        <f aca="false">IF(COUNTIFS($AP$2:$AP$1000,AP63,$ER$2:$ER$1000,"Y")+COUNTIFS($AP$2:$AP$1000,AP63,$T$2:$T$1000,"Y")&gt;0,"Y","N")</f>
        <v>N</v>
      </c>
      <c r="ET63" s="0" t="str">
        <f aca="false">IF(AND(U63="new",T63="N",AT63="Y",AS63="",ES63="N"),"Y","N")</f>
        <v>N</v>
      </c>
      <c r="EU63" s="0" t="str">
        <f aca="false">IF(ET63&lt;&gt;"Y","N",IF(COUNTIFS($AP$2:$AP$1000,AP63,$ET$2:$ET$1000,"Y",$J$2:$J$1000,"&gt;"&amp;J63)+COUNTIFS($AP$2:$AP$1000,AP63,$ET$2:$ET$1000,"Y",$J$2:$J$1000,J63,$EW$2:$EW$1000,"&lt;"&amp;EW63)=0,"Y","N"))</f>
        <v>N</v>
      </c>
      <c r="EV63" s="0" t="str">
        <f aca="false">IF(Y63="","N",IF(Y63&lt;=10,"Y","N"))</f>
        <v>N</v>
      </c>
      <c r="EW63" s="6" t="n">
        <f aca="false">ROW()-1</f>
        <v>62</v>
      </c>
    </row>
    <row r="64" customFormat="false" ht="15" hidden="false" customHeight="false" outlineLevel="0" collapsed="false">
      <c r="A64" s="0" t="s">
        <v>1689</v>
      </c>
      <c r="B64" s="0" t="s">
        <v>1690</v>
      </c>
      <c r="H64" s="5" t="s">
        <v>158</v>
      </c>
      <c r="I64" s="5" t="s">
        <v>159</v>
      </c>
      <c r="J64" s="6" t="n">
        <f aca="false">IF(AX64="pass",ROUND(CU64+CV64+CW64+CX64+CY64+CZ64,1),0)</f>
        <v>42.9</v>
      </c>
      <c r="K64" s="6" t="s">
        <v>1691</v>
      </c>
      <c r="L64" s="6" t="s">
        <v>161</v>
      </c>
      <c r="O64" s="6" t="s">
        <v>1692</v>
      </c>
      <c r="P64" s="6" t="s">
        <v>1693</v>
      </c>
      <c r="Q64" s="6" t="s">
        <v>523</v>
      </c>
      <c r="R64" s="5" t="s">
        <v>162</v>
      </c>
      <c r="S64" s="6" t="s">
        <v>163</v>
      </c>
      <c r="T64" s="5" t="s">
        <v>162</v>
      </c>
      <c r="U64" s="5" t="s">
        <v>228</v>
      </c>
      <c r="V64" s="6" t="s">
        <v>1693</v>
      </c>
      <c r="W64" s="6" t="s">
        <v>166</v>
      </c>
      <c r="X64" s="6" t="s">
        <v>167</v>
      </c>
      <c r="Y64" s="0" t="str">
        <f aca="false">IF(EU64&lt;&gt;"Y","",COUNTIFS($EU$2:$EU$1000,"Y",$J$2:$J$1000,"&gt;"&amp;J64)+COUNTIFS($EU$2:$EU$1000,"Y",$J$2:$J$1000,J64,$EW$2:$EW$1000,"&lt;"&amp;EW64)+1)</f>
        <v/>
      </c>
      <c r="Z64" s="0" t="n">
        <v>63</v>
      </c>
      <c r="AA64" s="6" t="s">
        <v>162</v>
      </c>
      <c r="AD64" s="6" t="s">
        <v>158</v>
      </c>
      <c r="AH64" s="5" t="s">
        <v>158</v>
      </c>
      <c r="AI64" s="6" t="s">
        <v>1694</v>
      </c>
      <c r="AJ64" s="6" t="s">
        <v>1695</v>
      </c>
      <c r="AK64" s="6" t="s">
        <v>890</v>
      </c>
      <c r="AL64" s="0" t="n">
        <v>27</v>
      </c>
      <c r="AM64" s="0" t="n">
        <v>405</v>
      </c>
      <c r="AN64" s="6" t="s">
        <v>179</v>
      </c>
      <c r="AO64" s="6" t="s">
        <v>180</v>
      </c>
      <c r="AP64" s="6" t="s">
        <v>1689</v>
      </c>
      <c r="AQ64" s="5" t="s">
        <v>168</v>
      </c>
      <c r="AR64" s="6" t="s">
        <v>891</v>
      </c>
      <c r="AT64" s="0" t="str">
        <f aca="false">IF(AND(AX64="pass",AQ64&lt;&gt;"Y",C64&lt;&gt;"",OR(AW64&lt;&gt;"Y",AV64="Y")),"Y","N")</f>
        <v>N</v>
      </c>
      <c r="AU64" s="0" t="str">
        <f aca="false">_xlfn.TEXTJOIN("; ",TRUE(),IF(AX64&lt;&gt;"pass","gated out",""),IF(AQ64="Y","on hold: "&amp;AR64,""),IF(C64="","no contact named on an opened page",""),IF(AND(AW64="Y",AV64&lt;&gt;"Y"),"Tuesday estimate band "&amp;L64&amp;": founder's call",""))</f>
        <v>on hold: lease signed, move not confirmed: check the lobby directory before outreach (B); no contact named on an opened page</v>
      </c>
      <c r="AW64" s="6" t="s">
        <v>162</v>
      </c>
      <c r="AX64" s="6" t="s">
        <v>181</v>
      </c>
      <c r="AY64" s="6" t="s">
        <v>182</v>
      </c>
      <c r="AZ64" s="6" t="s">
        <v>1</v>
      </c>
      <c r="BA64" s="6" t="s">
        <v>1696</v>
      </c>
      <c r="BB64" s="6" t="s">
        <v>1697</v>
      </c>
      <c r="BC64" s="6" t="s">
        <v>1698</v>
      </c>
      <c r="BD64" s="6" t="s">
        <v>1699</v>
      </c>
      <c r="BE64" s="6" t="s">
        <v>1700</v>
      </c>
      <c r="BF64" s="6" t="s">
        <v>1323</v>
      </c>
      <c r="BG64" s="6" t="s">
        <v>188</v>
      </c>
      <c r="BH64" s="6" t="s">
        <v>1324</v>
      </c>
      <c r="BI64" s="6" t="s">
        <v>1701</v>
      </c>
      <c r="BJ64" s="6" t="s">
        <v>1702</v>
      </c>
      <c r="BK64" s="6" t="s">
        <v>1264</v>
      </c>
      <c r="BL64" s="6" t="s">
        <v>192</v>
      </c>
      <c r="BM64" s="6" t="s">
        <v>168</v>
      </c>
      <c r="BN64" s="6" t="s">
        <v>163</v>
      </c>
      <c r="BO64" s="6" t="s">
        <v>163</v>
      </c>
      <c r="BP64" s="6" t="s">
        <v>347</v>
      </c>
      <c r="BQ64" s="0" t="n">
        <v>40.741761</v>
      </c>
      <c r="BR64" s="0" t="n">
        <v>-73.987033</v>
      </c>
      <c r="BS64" s="6" t="s">
        <v>168</v>
      </c>
      <c r="BT64" s="0" t="n">
        <v>0</v>
      </c>
      <c r="BU64" s="6" t="s">
        <v>1703</v>
      </c>
      <c r="BV64" s="6" t="s">
        <v>1704</v>
      </c>
      <c r="BW64" s="6" t="s">
        <v>1693</v>
      </c>
      <c r="BX64" s="6" t="s">
        <v>523</v>
      </c>
      <c r="BY64" s="6" t="s">
        <v>248</v>
      </c>
      <c r="BZ64" s="6" t="s">
        <v>1705</v>
      </c>
      <c r="CA64" s="6" t="s">
        <v>1706</v>
      </c>
      <c r="CC64" s="6" t="s">
        <v>739</v>
      </c>
      <c r="CD64" s="6" t="s">
        <v>163</v>
      </c>
      <c r="CE64" s="6" t="s">
        <v>162</v>
      </c>
      <c r="CH64" s="6" t="s">
        <v>1707</v>
      </c>
      <c r="CI64" s="6" t="s">
        <v>1708</v>
      </c>
      <c r="CJ64" s="6" t="s">
        <v>163</v>
      </c>
      <c r="CK64" s="6" t="s">
        <v>162</v>
      </c>
      <c r="CL64" s="6" t="s">
        <v>577</v>
      </c>
      <c r="CM64" s="6" t="s">
        <v>1702</v>
      </c>
      <c r="CN64" s="6" t="s">
        <v>174</v>
      </c>
      <c r="CO64" s="0" t="n">
        <v>105</v>
      </c>
      <c r="CP64" s="6" t="s">
        <v>768</v>
      </c>
      <c r="CQ64" s="6" t="s">
        <v>1709</v>
      </c>
      <c r="CR64" s="6" t="s">
        <v>206</v>
      </c>
      <c r="CS64" s="0" t="n">
        <v>0.68</v>
      </c>
      <c r="CT64" s="0" t="n">
        <v>42.9</v>
      </c>
      <c r="CU64" s="0" t="n">
        <v>16.9</v>
      </c>
      <c r="CV64" s="0" t="n">
        <v>6</v>
      </c>
      <c r="CW64" s="0" t="n">
        <v>15</v>
      </c>
      <c r="CX64" s="0" t="n">
        <v>5</v>
      </c>
      <c r="CY64" s="6" t="n">
        <f aca="false">IF(AH64="exact",10,IF(AH64="adjacent",5,0))</f>
        <v>0</v>
      </c>
      <c r="CZ64" s="6" t="n">
        <f aca="false">IF(R64="Y",15,0)</f>
        <v>0</v>
      </c>
      <c r="DF64" s="6" t="s">
        <v>158</v>
      </c>
      <c r="DG64" s="6" t="s">
        <v>1336</v>
      </c>
      <c r="DH64" s="6" t="s">
        <v>1337</v>
      </c>
      <c r="DI64" s="6" t="s">
        <v>162</v>
      </c>
      <c r="DJ64" s="6" t="s">
        <v>1710</v>
      </c>
      <c r="DK64" s="6" t="s">
        <v>1711</v>
      </c>
      <c r="DS64" s="6" t="s">
        <v>158</v>
      </c>
      <c r="DX64" s="6" t="s">
        <v>162</v>
      </c>
      <c r="ER64" s="0" t="str">
        <f aca="false">IF(ISNUMBER(MATCH(U64,{"queued","contacted","replied","call_booked","call_done","yes_in_principle","materials_sent"},0)),"Y","N")</f>
        <v>N</v>
      </c>
      <c r="ES64" s="0" t="str">
        <f aca="false">IF(COUNTIFS($AP$2:$AP$1000,AP64,$ER$2:$ER$1000,"Y")+COUNTIFS($AP$2:$AP$1000,AP64,$T$2:$T$1000,"Y")&gt;0,"Y","N")</f>
        <v>N</v>
      </c>
      <c r="ET64" s="0" t="str">
        <f aca="false">IF(AND(U64="new",T64="N",AT64="Y",AS64="",ES64="N"),"Y","N")</f>
        <v>N</v>
      </c>
      <c r="EU64" s="0" t="str">
        <f aca="false">IF(ET64&lt;&gt;"Y","N",IF(COUNTIFS($AP$2:$AP$1000,AP64,$ET$2:$ET$1000,"Y",$J$2:$J$1000,"&gt;"&amp;J64)+COUNTIFS($AP$2:$AP$1000,AP64,$ET$2:$ET$1000,"Y",$J$2:$J$1000,J64,$EW$2:$EW$1000,"&lt;"&amp;EW64)=0,"Y","N"))</f>
        <v>N</v>
      </c>
      <c r="EV64" s="0" t="str">
        <f aca="false">IF(Y64="","N",IF(Y64&lt;=10,"Y","N"))</f>
        <v>N</v>
      </c>
      <c r="EW64" s="6" t="n">
        <f aca="false">ROW()-1</f>
        <v>63</v>
      </c>
    </row>
    <row r="65" customFormat="false" ht="15" hidden="false" customHeight="false" outlineLevel="0" collapsed="false">
      <c r="A65" s="0" t="s">
        <v>1712</v>
      </c>
      <c r="B65" s="0" t="s">
        <v>1713</v>
      </c>
      <c r="H65" s="5" t="s">
        <v>158</v>
      </c>
      <c r="I65" s="5" t="s">
        <v>159</v>
      </c>
      <c r="J65" s="6" t="n">
        <f aca="false">IF(AX65="pass",ROUND(CU65+CV65+CW65+CX65+CY65+CZ65,1),0)</f>
        <v>42.4</v>
      </c>
      <c r="K65" s="6" t="s">
        <v>1714</v>
      </c>
      <c r="L65" s="6" t="s">
        <v>561</v>
      </c>
      <c r="R65" s="5" t="s">
        <v>162</v>
      </c>
      <c r="S65" s="6" t="s">
        <v>163</v>
      </c>
      <c r="T65" s="5" t="s">
        <v>162</v>
      </c>
      <c r="U65" s="5" t="s">
        <v>228</v>
      </c>
      <c r="V65" s="6" t="s">
        <v>1715</v>
      </c>
      <c r="W65" s="6" t="s">
        <v>166</v>
      </c>
      <c r="X65" s="6" t="s">
        <v>167</v>
      </c>
      <c r="Y65" s="0" t="str">
        <f aca="false">IF(EU65&lt;&gt;"Y","",COUNTIFS($EU$2:$EU$1000,"Y",$J$2:$J$1000,"&gt;"&amp;J65)+COUNTIFS($EU$2:$EU$1000,"Y",$J$2:$J$1000,J65,$EW$2:$EW$1000,"&lt;"&amp;EW65)+1)</f>
        <v/>
      </c>
      <c r="Z65" s="0" t="n">
        <v>64</v>
      </c>
      <c r="AA65" s="6" t="s">
        <v>162</v>
      </c>
      <c r="AB65" s="6" t="s">
        <v>1562</v>
      </c>
      <c r="AD65" s="6" t="s">
        <v>158</v>
      </c>
      <c r="AH65" s="5" t="s">
        <v>158</v>
      </c>
      <c r="AI65" s="6" t="s">
        <v>1716</v>
      </c>
      <c r="AJ65" s="6" t="s">
        <v>163</v>
      </c>
      <c r="AK65" s="6" t="s">
        <v>435</v>
      </c>
      <c r="AL65" s="0" t="n">
        <v>1</v>
      </c>
      <c r="AM65" s="0" t="n">
        <v>88</v>
      </c>
      <c r="AN65" s="6" t="s">
        <v>179</v>
      </c>
      <c r="AO65" s="6" t="s">
        <v>180</v>
      </c>
      <c r="AP65" s="6" t="s">
        <v>1712</v>
      </c>
      <c r="AQ65" s="5" t="s">
        <v>162</v>
      </c>
      <c r="AT65" s="0" t="str">
        <f aca="false">IF(AND(AX65="pass",AQ65&lt;&gt;"Y",C65&lt;&gt;"",OR(AW65&lt;&gt;"Y",AV65="Y")),"Y","N")</f>
        <v>N</v>
      </c>
      <c r="AU65" s="0" t="str">
        <f aca="false">_xlfn.TEXTJOIN("; ",TRUE(),IF(AX65&lt;&gt;"pass","gated out",""),IF(AQ65="Y","on hold: "&amp;AR65,""),IF(C65="","no contact named on an opened page",""),IF(AND(AW65="Y",AV65&lt;&gt;"Y"),"Tuesday estimate band "&amp;L65&amp;": founder's call",""))</f>
        <v>no contact named on an opened page; Tuesday estimate band under-40: founder's call</v>
      </c>
      <c r="AW65" s="6" t="s">
        <v>168</v>
      </c>
      <c r="AX65" s="6" t="s">
        <v>181</v>
      </c>
      <c r="AY65" s="6" t="s">
        <v>182</v>
      </c>
      <c r="AZ65" s="6" t="s">
        <v>1</v>
      </c>
      <c r="BA65" s="6" t="s">
        <v>1717</v>
      </c>
      <c r="BB65" s="6" t="s">
        <v>1718</v>
      </c>
      <c r="BC65" s="6" t="s">
        <v>1719</v>
      </c>
      <c r="BD65" s="6" t="s">
        <v>1720</v>
      </c>
      <c r="BE65" s="6" t="s">
        <v>1721</v>
      </c>
      <c r="BF65" s="6" t="s">
        <v>163</v>
      </c>
      <c r="BG65" s="6" t="s">
        <v>163</v>
      </c>
      <c r="BH65" s="6" t="s">
        <v>280</v>
      </c>
      <c r="BI65" s="6" t="s">
        <v>1722</v>
      </c>
      <c r="BJ65" s="6" t="s">
        <v>1723</v>
      </c>
      <c r="BK65" s="6" t="s">
        <v>191</v>
      </c>
      <c r="BL65" s="6" t="s">
        <v>656</v>
      </c>
      <c r="BM65" s="6" t="s">
        <v>162</v>
      </c>
      <c r="BN65" s="6" t="s">
        <v>163</v>
      </c>
      <c r="BO65" s="6" t="s">
        <v>163</v>
      </c>
      <c r="BP65" s="6" t="s">
        <v>378</v>
      </c>
      <c r="BQ65" s="0" t="n">
        <v>40.738754</v>
      </c>
      <c r="BR65" s="0" t="n">
        <v>-73.992922</v>
      </c>
      <c r="BS65" s="6" t="s">
        <v>168</v>
      </c>
      <c r="BT65" s="0" t="n">
        <v>0</v>
      </c>
      <c r="BU65" s="6" t="s">
        <v>1724</v>
      </c>
      <c r="BV65" s="6" t="s">
        <v>1716</v>
      </c>
      <c r="BW65" s="6" t="s">
        <v>1715</v>
      </c>
      <c r="BX65" s="6" t="s">
        <v>1725</v>
      </c>
      <c r="BY65" s="6" t="s">
        <v>248</v>
      </c>
      <c r="CC65" s="6" t="s">
        <v>739</v>
      </c>
      <c r="CE65" s="6" t="s">
        <v>162</v>
      </c>
      <c r="CH65" s="6" t="s">
        <v>163</v>
      </c>
      <c r="CJ65" s="6" t="s">
        <v>163</v>
      </c>
      <c r="CK65" s="6" t="s">
        <v>162</v>
      </c>
      <c r="CL65" s="6" t="s">
        <v>847</v>
      </c>
      <c r="CM65" s="6" t="s">
        <v>1726</v>
      </c>
      <c r="CN65" s="6" t="s">
        <v>174</v>
      </c>
      <c r="CO65" s="0" t="n">
        <v>9</v>
      </c>
      <c r="CP65" s="6" t="s">
        <v>1727</v>
      </c>
      <c r="CQ65" s="6" t="s">
        <v>1728</v>
      </c>
      <c r="CR65" s="6" t="s">
        <v>206</v>
      </c>
      <c r="CS65" s="0" t="n">
        <v>0.18</v>
      </c>
      <c r="CT65" s="0" t="n">
        <v>42.4</v>
      </c>
      <c r="CU65" s="0" t="n">
        <v>4.4</v>
      </c>
      <c r="CV65" s="0" t="n">
        <v>15</v>
      </c>
      <c r="CW65" s="0" t="n">
        <v>15</v>
      </c>
      <c r="CX65" s="0" t="n">
        <v>8</v>
      </c>
      <c r="CY65" s="6" t="n">
        <f aca="false">IF(AH65="exact",10,IF(AH65="adjacent",5,0))</f>
        <v>0</v>
      </c>
      <c r="CZ65" s="6" t="n">
        <f aca="false">IF(R65="Y",15,0)</f>
        <v>0</v>
      </c>
      <c r="DF65" s="6" t="s">
        <v>158</v>
      </c>
      <c r="DG65" s="6" t="s">
        <v>211</v>
      </c>
      <c r="DK65" s="6" t="s">
        <v>1729</v>
      </c>
      <c r="DS65" s="6" t="s">
        <v>158</v>
      </c>
      <c r="DX65" s="6" t="s">
        <v>162</v>
      </c>
      <c r="ER65" s="0" t="str">
        <f aca="false">IF(ISNUMBER(MATCH(U65,{"queued","contacted","replied","call_booked","call_done","yes_in_principle","materials_sent"},0)),"Y","N")</f>
        <v>N</v>
      </c>
      <c r="ES65" s="0" t="str">
        <f aca="false">IF(COUNTIFS($AP$2:$AP$1000,AP65,$ER$2:$ER$1000,"Y")+COUNTIFS($AP$2:$AP$1000,AP65,$T$2:$T$1000,"Y")&gt;0,"Y","N")</f>
        <v>N</v>
      </c>
      <c r="ET65" s="0" t="str">
        <f aca="false">IF(AND(U65="new",T65="N",AT65="Y",AS65="",ES65="N"),"Y","N")</f>
        <v>N</v>
      </c>
      <c r="EU65" s="0" t="str">
        <f aca="false">IF(ET65&lt;&gt;"Y","N",IF(COUNTIFS($AP$2:$AP$1000,AP65,$ET$2:$ET$1000,"Y",$J$2:$J$1000,"&gt;"&amp;J65)+COUNTIFS($AP$2:$AP$1000,AP65,$ET$2:$ET$1000,"Y",$J$2:$J$1000,J65,$EW$2:$EW$1000,"&lt;"&amp;EW65)=0,"Y","N"))</f>
        <v>N</v>
      </c>
      <c r="EV65" s="0" t="str">
        <f aca="false">IF(Y65="","N",IF(Y65&lt;=10,"Y","N"))</f>
        <v>N</v>
      </c>
      <c r="EW65" s="6" t="n">
        <f aca="false">ROW()-1</f>
        <v>64</v>
      </c>
    </row>
    <row r="66" customFormat="false" ht="15" hidden="false" customHeight="false" outlineLevel="0" collapsed="false">
      <c r="A66" s="0" t="s">
        <v>1730</v>
      </c>
      <c r="B66" s="0" t="s">
        <v>1731</v>
      </c>
      <c r="H66" s="5" t="s">
        <v>158</v>
      </c>
      <c r="I66" s="5" t="s">
        <v>159</v>
      </c>
      <c r="J66" s="6" t="n">
        <f aca="false">IF(AX66="pass",ROUND(CU66+CV66+CW66+CX66+CY66+CZ66,1),0)</f>
        <v>42.3</v>
      </c>
      <c r="K66" s="6" t="s">
        <v>1732</v>
      </c>
      <c r="L66" s="6" t="s">
        <v>161</v>
      </c>
      <c r="R66" s="5" t="s">
        <v>162</v>
      </c>
      <c r="S66" s="6" t="s">
        <v>163</v>
      </c>
      <c r="T66" s="5" t="s">
        <v>162</v>
      </c>
      <c r="U66" s="5" t="s">
        <v>228</v>
      </c>
      <c r="V66" s="6" t="s">
        <v>1733</v>
      </c>
      <c r="W66" s="6" t="s">
        <v>166</v>
      </c>
      <c r="X66" s="6" t="s">
        <v>167</v>
      </c>
      <c r="Y66" s="0" t="str">
        <f aca="false">IF(EU66&lt;&gt;"Y","",COUNTIFS($EU$2:$EU$1000,"Y",$J$2:$J$1000,"&gt;"&amp;J66)+COUNTIFS($EU$2:$EU$1000,"Y",$J$2:$J$1000,J66,$EW$2:$EW$1000,"&lt;"&amp;EW66)+1)</f>
        <v/>
      </c>
      <c r="Z66" s="0" t="n">
        <v>65</v>
      </c>
      <c r="AA66" s="6" t="s">
        <v>162</v>
      </c>
      <c r="AD66" s="6" t="s">
        <v>158</v>
      </c>
      <c r="AH66" s="5" t="s">
        <v>158</v>
      </c>
      <c r="AI66" s="6" t="s">
        <v>1734</v>
      </c>
      <c r="AJ66" s="6" t="s">
        <v>273</v>
      </c>
      <c r="AK66" s="6" t="s">
        <v>178</v>
      </c>
      <c r="AL66" s="0" t="n">
        <v>17</v>
      </c>
      <c r="AM66" s="0" t="n">
        <v>342</v>
      </c>
      <c r="AN66" s="6" t="s">
        <v>179</v>
      </c>
      <c r="AO66" s="6" t="s">
        <v>163</v>
      </c>
      <c r="AP66" s="6" t="s">
        <v>1730</v>
      </c>
      <c r="AQ66" s="5" t="s">
        <v>162</v>
      </c>
      <c r="AT66" s="0" t="str">
        <f aca="false">IF(AND(AX66="pass",AQ66&lt;&gt;"Y",C66&lt;&gt;"",OR(AW66&lt;&gt;"Y",AV66="Y")),"Y","N")</f>
        <v>N</v>
      </c>
      <c r="AU66" s="0" t="str">
        <f aca="false">_xlfn.TEXTJOIN("; ",TRUE(),IF(AX66&lt;&gt;"pass","gated out",""),IF(AQ66="Y","on hold: "&amp;AR66,""),IF(C66="","no contact named on an opened page",""),IF(AND(AW66="Y",AV66&lt;&gt;"Y"),"Tuesday estimate band "&amp;L66&amp;": founder's call",""))</f>
        <v>no contact named on an opened page</v>
      </c>
      <c r="AW66" s="6" t="s">
        <v>162</v>
      </c>
      <c r="AX66" s="6" t="s">
        <v>181</v>
      </c>
      <c r="AY66" s="6" t="s">
        <v>182</v>
      </c>
      <c r="AZ66" s="6" t="s">
        <v>1</v>
      </c>
      <c r="BA66" s="6" t="s">
        <v>1735</v>
      </c>
      <c r="BB66" s="6" t="s">
        <v>1736</v>
      </c>
      <c r="BC66" s="6" t="s">
        <v>1737</v>
      </c>
      <c r="BD66" s="6" t="s">
        <v>1738</v>
      </c>
      <c r="BF66" s="6" t="s">
        <v>1323</v>
      </c>
      <c r="BG66" s="6" t="s">
        <v>188</v>
      </c>
      <c r="BH66" s="6" t="s">
        <v>189</v>
      </c>
      <c r="BI66" s="6" t="s">
        <v>1739</v>
      </c>
      <c r="BK66" s="6" t="s">
        <v>1264</v>
      </c>
      <c r="BL66" s="6" t="s">
        <v>163</v>
      </c>
      <c r="BM66" s="6" t="s">
        <v>163</v>
      </c>
      <c r="BN66" s="6" t="s">
        <v>163</v>
      </c>
      <c r="BO66" s="6" t="s">
        <v>163</v>
      </c>
      <c r="BP66" s="6" t="s">
        <v>347</v>
      </c>
      <c r="BQ66" s="0" t="n">
        <v>40.743288</v>
      </c>
      <c r="BR66" s="0" t="n">
        <v>-73.986627</v>
      </c>
      <c r="BS66" s="6" t="s">
        <v>168</v>
      </c>
      <c r="BT66" s="0" t="n">
        <v>0</v>
      </c>
      <c r="BU66" s="6" t="s">
        <v>1740</v>
      </c>
      <c r="BV66" s="6" t="s">
        <v>1741</v>
      </c>
      <c r="BW66" s="6" t="s">
        <v>1733</v>
      </c>
      <c r="BX66" s="6" t="s">
        <v>166</v>
      </c>
      <c r="BY66" s="6" t="s">
        <v>196</v>
      </c>
      <c r="BZ66" s="6" t="s">
        <v>1742</v>
      </c>
      <c r="CA66" s="6" t="s">
        <v>1743</v>
      </c>
      <c r="CC66" s="6" t="s">
        <v>200</v>
      </c>
      <c r="CE66" s="6" t="s">
        <v>162</v>
      </c>
      <c r="CH66" s="6" t="s">
        <v>163</v>
      </c>
      <c r="CJ66" s="6" t="s">
        <v>163</v>
      </c>
      <c r="CK66" s="6" t="s">
        <v>162</v>
      </c>
      <c r="CL66" s="6" t="s">
        <v>163</v>
      </c>
      <c r="CO66" s="0" t="n">
        <v>76</v>
      </c>
      <c r="CP66" s="6" t="s">
        <v>768</v>
      </c>
      <c r="CQ66" s="6" t="s">
        <v>1744</v>
      </c>
      <c r="CR66" s="6" t="s">
        <v>206</v>
      </c>
      <c r="CS66" s="0" t="n">
        <v>0.61</v>
      </c>
      <c r="CT66" s="0" t="n">
        <v>42.3</v>
      </c>
      <c r="CU66" s="0" t="n">
        <v>15.3</v>
      </c>
      <c r="CV66" s="0" t="n">
        <v>6</v>
      </c>
      <c r="CW66" s="0" t="n">
        <v>6</v>
      </c>
      <c r="CX66" s="0" t="n">
        <v>15</v>
      </c>
      <c r="CY66" s="6" t="n">
        <f aca="false">IF(AH66="exact",10,IF(AH66="adjacent",5,0))</f>
        <v>0</v>
      </c>
      <c r="CZ66" s="6" t="n">
        <f aca="false">IF(R66="Y",15,0)</f>
        <v>0</v>
      </c>
      <c r="DF66" s="6" t="s">
        <v>158</v>
      </c>
      <c r="DG66" s="6" t="s">
        <v>1336</v>
      </c>
      <c r="DH66" s="6" t="s">
        <v>1337</v>
      </c>
      <c r="DI66" s="6" t="s">
        <v>162</v>
      </c>
      <c r="DJ66" s="6" t="s">
        <v>1745</v>
      </c>
      <c r="DK66" s="6" t="s">
        <v>1746</v>
      </c>
      <c r="DS66" s="6" t="s">
        <v>158</v>
      </c>
      <c r="DX66" s="6" t="s">
        <v>162</v>
      </c>
      <c r="ER66" s="0" t="str">
        <f aca="false">IF(ISNUMBER(MATCH(U66,{"queued","contacted","replied","call_booked","call_done","yes_in_principle","materials_sent"},0)),"Y","N")</f>
        <v>N</v>
      </c>
      <c r="ES66" s="0" t="str">
        <f aca="false">IF(COUNTIFS($AP$2:$AP$1000,AP66,$ER$2:$ER$1000,"Y")+COUNTIFS($AP$2:$AP$1000,AP66,$T$2:$T$1000,"Y")&gt;0,"Y","N")</f>
        <v>N</v>
      </c>
      <c r="ET66" s="0" t="str">
        <f aca="false">IF(AND(U66="new",T66="N",AT66="Y",AS66="",ES66="N"),"Y","N")</f>
        <v>N</v>
      </c>
      <c r="EU66" s="0" t="str">
        <f aca="false">IF(ET66&lt;&gt;"Y","N",IF(COUNTIFS($AP$2:$AP$1000,AP66,$ET$2:$ET$1000,"Y",$J$2:$J$1000,"&gt;"&amp;J66)+COUNTIFS($AP$2:$AP$1000,AP66,$ET$2:$ET$1000,"Y",$J$2:$J$1000,J66,$EW$2:$EW$1000,"&lt;"&amp;EW66)=0,"Y","N"))</f>
        <v>N</v>
      </c>
      <c r="EV66" s="0" t="str">
        <f aca="false">IF(Y66="","N",IF(Y66&lt;=10,"Y","N"))</f>
        <v>N</v>
      </c>
      <c r="EW66" s="6" t="n">
        <f aca="false">ROW()-1</f>
        <v>65</v>
      </c>
    </row>
    <row r="67" customFormat="false" ht="15" hidden="false" customHeight="false" outlineLevel="0" collapsed="false">
      <c r="A67" s="0" t="s">
        <v>1747</v>
      </c>
      <c r="B67" s="0" t="s">
        <v>1748</v>
      </c>
      <c r="H67" s="5" t="s">
        <v>158</v>
      </c>
      <c r="I67" s="5" t="s">
        <v>159</v>
      </c>
      <c r="J67" s="6" t="n">
        <f aca="false">IF(AX67="pass",ROUND(CU67+CV67+CW67+CX67+CY67+CZ67,1),0)</f>
        <v>41.8</v>
      </c>
      <c r="K67" s="6" t="s">
        <v>1749</v>
      </c>
      <c r="L67" s="6" t="s">
        <v>561</v>
      </c>
      <c r="R67" s="5" t="s">
        <v>162</v>
      </c>
      <c r="S67" s="6" t="s">
        <v>163</v>
      </c>
      <c r="T67" s="5" t="s">
        <v>162</v>
      </c>
      <c r="U67" s="5" t="s">
        <v>228</v>
      </c>
      <c r="V67" s="6" t="s">
        <v>1750</v>
      </c>
      <c r="W67" s="6" t="s">
        <v>166</v>
      </c>
      <c r="X67" s="6" t="s">
        <v>167</v>
      </c>
      <c r="Y67" s="0" t="str">
        <f aca="false">IF(EU67&lt;&gt;"Y","",COUNTIFS($EU$2:$EU$1000,"Y",$J$2:$J$1000,"&gt;"&amp;J67)+COUNTIFS($EU$2:$EU$1000,"Y",$J$2:$J$1000,J67,$EW$2:$EW$1000,"&lt;"&amp;EW67)+1)</f>
        <v/>
      </c>
      <c r="Z67" s="0" t="n">
        <v>66</v>
      </c>
      <c r="AA67" s="6" t="s">
        <v>162</v>
      </c>
      <c r="AB67" s="6" t="s">
        <v>1562</v>
      </c>
      <c r="AD67" s="6" t="s">
        <v>158</v>
      </c>
      <c r="AH67" s="5" t="s">
        <v>158</v>
      </c>
      <c r="AI67" s="6" t="s">
        <v>1751</v>
      </c>
      <c r="AJ67" s="6" t="s">
        <v>1752</v>
      </c>
      <c r="AK67" s="6" t="s">
        <v>435</v>
      </c>
      <c r="AL67" s="0" t="n">
        <v>3</v>
      </c>
      <c r="AM67" s="0" t="n">
        <v>64</v>
      </c>
      <c r="AN67" s="6" t="s">
        <v>179</v>
      </c>
      <c r="AO67" s="6" t="s">
        <v>180</v>
      </c>
      <c r="AP67" s="6" t="s">
        <v>1747</v>
      </c>
      <c r="AQ67" s="5" t="s">
        <v>162</v>
      </c>
      <c r="AT67" s="0" t="str">
        <f aca="false">IF(AND(AX67="pass",AQ67&lt;&gt;"Y",C67&lt;&gt;"",OR(AW67&lt;&gt;"Y",AV67="Y")),"Y","N")</f>
        <v>N</v>
      </c>
      <c r="AU67" s="0" t="str">
        <f aca="false">_xlfn.TEXTJOIN("; ",TRUE(),IF(AX67&lt;&gt;"pass","gated out",""),IF(AQ67="Y","on hold: "&amp;AR67,""),IF(C67="","no contact named on an opened page",""),IF(AND(AW67="Y",AV67&lt;&gt;"Y"),"Tuesday estimate band "&amp;L67&amp;": founder's call",""))</f>
        <v>no contact named on an opened page; Tuesday estimate band under-40: founder's call</v>
      </c>
      <c r="AW67" s="6" t="s">
        <v>168</v>
      </c>
      <c r="AX67" s="6" t="s">
        <v>181</v>
      </c>
      <c r="AY67" s="6" t="s">
        <v>182</v>
      </c>
      <c r="AZ67" s="6" t="s">
        <v>1</v>
      </c>
      <c r="BA67" s="6" t="s">
        <v>1753</v>
      </c>
      <c r="BB67" s="6" t="s">
        <v>1754</v>
      </c>
      <c r="BC67" s="6" t="s">
        <v>1755</v>
      </c>
      <c r="BD67" s="6" t="s">
        <v>1013</v>
      </c>
      <c r="BF67" s="6" t="s">
        <v>161</v>
      </c>
      <c r="BG67" s="6" t="s">
        <v>188</v>
      </c>
      <c r="BH67" s="6" t="s">
        <v>189</v>
      </c>
      <c r="BI67" s="6" t="s">
        <v>1756</v>
      </c>
      <c r="BK67" s="6" t="s">
        <v>191</v>
      </c>
      <c r="BL67" s="6" t="s">
        <v>1757</v>
      </c>
      <c r="BM67" s="6" t="s">
        <v>162</v>
      </c>
      <c r="BN67" s="6" t="s">
        <v>163</v>
      </c>
      <c r="BO67" s="6" t="s">
        <v>163</v>
      </c>
      <c r="BP67" s="6" t="s">
        <v>378</v>
      </c>
      <c r="BQ67" s="0" t="n">
        <v>40.738405</v>
      </c>
      <c r="BR67" s="0" t="n">
        <v>-73.99394</v>
      </c>
      <c r="BS67" s="6" t="s">
        <v>168</v>
      </c>
      <c r="BT67" s="0" t="n">
        <v>0</v>
      </c>
      <c r="BU67" s="6" t="s">
        <v>1758</v>
      </c>
      <c r="BV67" s="6" t="s">
        <v>1751</v>
      </c>
      <c r="BW67" s="6" t="s">
        <v>1750</v>
      </c>
      <c r="BX67" s="6" t="s">
        <v>1759</v>
      </c>
      <c r="BY67" s="6" t="s">
        <v>248</v>
      </c>
      <c r="BZ67" s="6" t="s">
        <v>1760</v>
      </c>
      <c r="CA67" s="6" t="s">
        <v>166</v>
      </c>
      <c r="CC67" s="6" t="s">
        <v>739</v>
      </c>
      <c r="CE67" s="6" t="s">
        <v>162</v>
      </c>
      <c r="CH67" s="6" t="s">
        <v>163</v>
      </c>
      <c r="CJ67" s="6" t="s">
        <v>163</v>
      </c>
      <c r="CK67" s="6" t="s">
        <v>162</v>
      </c>
      <c r="CL67" s="6" t="s">
        <v>847</v>
      </c>
      <c r="CM67" s="6" t="s">
        <v>1761</v>
      </c>
      <c r="CN67" s="6" t="s">
        <v>174</v>
      </c>
      <c r="CO67" s="0" t="n">
        <v>14</v>
      </c>
      <c r="CP67" s="6" t="s">
        <v>1727</v>
      </c>
      <c r="CQ67" s="6" t="s">
        <v>1762</v>
      </c>
      <c r="CR67" s="6" t="s">
        <v>206</v>
      </c>
      <c r="CS67" s="0" t="n">
        <v>0.15</v>
      </c>
      <c r="CT67" s="0" t="n">
        <v>41.8</v>
      </c>
      <c r="CU67" s="0" t="n">
        <v>3.8</v>
      </c>
      <c r="CV67" s="0" t="n">
        <v>15</v>
      </c>
      <c r="CW67" s="0" t="n">
        <v>15</v>
      </c>
      <c r="CX67" s="0" t="n">
        <v>8</v>
      </c>
      <c r="CY67" s="6" t="n">
        <f aca="false">IF(AH67="exact",10,IF(AH67="adjacent",5,0))</f>
        <v>0</v>
      </c>
      <c r="CZ67" s="6" t="n">
        <f aca="false">IF(R67="Y",15,0)</f>
        <v>0</v>
      </c>
      <c r="DF67" s="6" t="s">
        <v>158</v>
      </c>
      <c r="DG67" s="6" t="s">
        <v>211</v>
      </c>
      <c r="DJ67" s="6" t="s">
        <v>1590</v>
      </c>
      <c r="DK67" s="6" t="s">
        <v>1763</v>
      </c>
      <c r="DS67" s="6" t="s">
        <v>158</v>
      </c>
      <c r="DX67" s="6" t="s">
        <v>162</v>
      </c>
      <c r="ER67" s="0" t="str">
        <f aca="false">IF(ISNUMBER(MATCH(U67,{"queued","contacted","replied","call_booked","call_done","yes_in_principle","materials_sent"},0)),"Y","N")</f>
        <v>N</v>
      </c>
      <c r="ES67" s="0" t="str">
        <f aca="false">IF(COUNTIFS($AP$2:$AP$1000,AP67,$ER$2:$ER$1000,"Y")+COUNTIFS($AP$2:$AP$1000,AP67,$T$2:$T$1000,"Y")&gt;0,"Y","N")</f>
        <v>N</v>
      </c>
      <c r="ET67" s="0" t="str">
        <f aca="false">IF(AND(U67="new",T67="N",AT67="Y",AS67="",ES67="N"),"Y","N")</f>
        <v>N</v>
      </c>
      <c r="EU67" s="0" t="str">
        <f aca="false">IF(ET67&lt;&gt;"Y","N",IF(COUNTIFS($AP$2:$AP$1000,AP67,$ET$2:$ET$1000,"Y",$J$2:$J$1000,"&gt;"&amp;J67)+COUNTIFS($AP$2:$AP$1000,AP67,$ET$2:$ET$1000,"Y",$J$2:$J$1000,J67,$EW$2:$EW$1000,"&lt;"&amp;EW67)=0,"Y","N"))</f>
        <v>N</v>
      </c>
      <c r="EV67" s="0" t="str">
        <f aca="false">IF(Y67="","N",IF(Y67&lt;=10,"Y","N"))</f>
        <v>N</v>
      </c>
      <c r="EW67" s="6" t="n">
        <f aca="false">ROW()-1</f>
        <v>66</v>
      </c>
    </row>
    <row r="68" customFormat="false" ht="15" hidden="false" customHeight="false" outlineLevel="0" collapsed="false">
      <c r="A68" s="0" t="s">
        <v>1764</v>
      </c>
      <c r="B68" s="0" t="s">
        <v>1765</v>
      </c>
      <c r="H68" s="5" t="s">
        <v>158</v>
      </c>
      <c r="I68" s="5" t="s">
        <v>159</v>
      </c>
      <c r="J68" s="6" t="n">
        <f aca="false">IF(AX68="pass",ROUND(CU68+CV68+CW68+CX68+CY68+CZ68,1),0)</f>
        <v>41.7</v>
      </c>
      <c r="K68" s="6" t="s">
        <v>1766</v>
      </c>
      <c r="L68" s="6" t="s">
        <v>187</v>
      </c>
      <c r="R68" s="5" t="s">
        <v>162</v>
      </c>
      <c r="S68" s="6" t="s">
        <v>163</v>
      </c>
      <c r="T68" s="5" t="s">
        <v>162</v>
      </c>
      <c r="U68" s="5" t="s">
        <v>228</v>
      </c>
      <c r="V68" s="6" t="s">
        <v>1767</v>
      </c>
      <c r="W68" s="6" t="s">
        <v>166</v>
      </c>
      <c r="X68" s="6" t="s">
        <v>167</v>
      </c>
      <c r="Y68" s="0" t="str">
        <f aca="false">IF(EU68&lt;&gt;"Y","",COUNTIFS($EU$2:$EU$1000,"Y",$J$2:$J$1000,"&gt;"&amp;J68)+COUNTIFS($EU$2:$EU$1000,"Y",$J$2:$J$1000,J68,$EW$2:$EW$1000,"&lt;"&amp;EW68)+1)</f>
        <v/>
      </c>
      <c r="Z68" s="0" t="n">
        <v>67</v>
      </c>
      <c r="AA68" s="6" t="s">
        <v>162</v>
      </c>
      <c r="AD68" s="6" t="s">
        <v>158</v>
      </c>
      <c r="AH68" s="5" t="s">
        <v>158</v>
      </c>
      <c r="AI68" s="6" t="s">
        <v>1768</v>
      </c>
      <c r="AJ68" s="6" t="s">
        <v>163</v>
      </c>
      <c r="AK68" s="6" t="s">
        <v>178</v>
      </c>
      <c r="AL68" s="0" t="n">
        <v>43</v>
      </c>
      <c r="AM68" s="0" t="n">
        <v>855</v>
      </c>
      <c r="AN68" s="6" t="s">
        <v>179</v>
      </c>
      <c r="AO68" s="6" t="s">
        <v>1394</v>
      </c>
      <c r="AP68" s="6" t="s">
        <v>1764</v>
      </c>
      <c r="AQ68" s="5" t="s">
        <v>162</v>
      </c>
      <c r="AT68" s="0" t="str">
        <f aca="false">IF(AND(AX68="pass",AQ68&lt;&gt;"Y",C68&lt;&gt;"",OR(AW68&lt;&gt;"Y",AV68="Y")),"Y","N")</f>
        <v>N</v>
      </c>
      <c r="AU68" s="0" t="str">
        <f aca="false">_xlfn.TEXTJOIN("; ",TRUE(),IF(AX68&lt;&gt;"pass","gated out",""),IF(AQ68="Y","on hold: "&amp;AR68,""),IF(C68="","no contact named on an opened page",""),IF(AND(AW68="Y",AV68&lt;&gt;"Y"),"Tuesday estimate band "&amp;L68&amp;": founder's call",""))</f>
        <v>no contact named on an opened page</v>
      </c>
      <c r="AW68" s="6" t="s">
        <v>162</v>
      </c>
      <c r="AX68" s="6" t="s">
        <v>181</v>
      </c>
      <c r="AY68" s="6" t="s">
        <v>182</v>
      </c>
      <c r="AZ68" s="6" t="s">
        <v>1</v>
      </c>
      <c r="BA68" s="6" t="s">
        <v>1769</v>
      </c>
      <c r="BB68" s="6" t="s">
        <v>1770</v>
      </c>
      <c r="BC68" s="6" t="s">
        <v>1771</v>
      </c>
      <c r="BD68" s="6" t="s">
        <v>1772</v>
      </c>
      <c r="BF68" s="6" t="s">
        <v>1323</v>
      </c>
      <c r="BG68" s="6" t="s">
        <v>188</v>
      </c>
      <c r="BH68" s="6" t="s">
        <v>189</v>
      </c>
      <c r="BI68" s="6" t="s">
        <v>1773</v>
      </c>
      <c r="BK68" s="6" t="s">
        <v>1440</v>
      </c>
      <c r="BL68" s="6" t="s">
        <v>656</v>
      </c>
      <c r="BM68" s="6" t="s">
        <v>162</v>
      </c>
      <c r="BN68" s="6" t="s">
        <v>163</v>
      </c>
      <c r="BO68" s="6" t="s">
        <v>163</v>
      </c>
      <c r="BP68" s="6" t="s">
        <v>378</v>
      </c>
      <c r="BQ68" s="0" t="n">
        <v>40.738461</v>
      </c>
      <c r="BR68" s="0" t="n">
        <v>-73.992523</v>
      </c>
      <c r="BS68" s="6" t="s">
        <v>168</v>
      </c>
      <c r="BT68" s="0" t="n">
        <v>0</v>
      </c>
      <c r="BV68" s="6" t="s">
        <v>163</v>
      </c>
      <c r="BW68" s="6" t="s">
        <v>1767</v>
      </c>
      <c r="BX68" s="6" t="s">
        <v>1774</v>
      </c>
      <c r="BY68" s="6" t="s">
        <v>248</v>
      </c>
      <c r="BZ68" s="6" t="s">
        <v>1775</v>
      </c>
      <c r="CA68" s="6" t="s">
        <v>1776</v>
      </c>
      <c r="CC68" s="6" t="s">
        <v>739</v>
      </c>
      <c r="CE68" s="6" t="s">
        <v>162</v>
      </c>
      <c r="CH68" s="6" t="s">
        <v>163</v>
      </c>
      <c r="CJ68" s="6" t="s">
        <v>163</v>
      </c>
      <c r="CK68" s="6" t="s">
        <v>162</v>
      </c>
      <c r="CL68" s="6" t="s">
        <v>1777</v>
      </c>
      <c r="CM68" s="6" t="s">
        <v>1778</v>
      </c>
      <c r="CN68" s="6" t="s">
        <v>174</v>
      </c>
      <c r="CO68" s="0" t="n">
        <v>192</v>
      </c>
      <c r="CP68" s="6" t="s">
        <v>251</v>
      </c>
      <c r="CQ68" s="6" t="s">
        <v>1779</v>
      </c>
      <c r="CR68" s="6" t="s">
        <v>206</v>
      </c>
      <c r="CS68" s="0" t="n">
        <v>0.59</v>
      </c>
      <c r="CT68" s="0" t="n">
        <v>41.7</v>
      </c>
      <c r="CU68" s="0" t="n">
        <v>14.7</v>
      </c>
      <c r="CV68" s="0" t="n">
        <v>2</v>
      </c>
      <c r="CW68" s="0" t="n">
        <v>12</v>
      </c>
      <c r="CX68" s="0" t="n">
        <v>13</v>
      </c>
      <c r="CY68" s="6" t="n">
        <f aca="false">IF(AH68="exact",10,IF(AH68="adjacent",5,0))</f>
        <v>0</v>
      </c>
      <c r="CZ68" s="6" t="n">
        <f aca="false">IF(R68="Y",15,0)</f>
        <v>0</v>
      </c>
      <c r="DF68" s="6" t="s">
        <v>158</v>
      </c>
      <c r="DG68" s="6" t="s">
        <v>1336</v>
      </c>
      <c r="DH68" s="6" t="s">
        <v>1447</v>
      </c>
      <c r="DI68" s="6" t="s">
        <v>162</v>
      </c>
      <c r="DJ68" s="6" t="s">
        <v>1780</v>
      </c>
      <c r="DK68" s="6" t="s">
        <v>1781</v>
      </c>
      <c r="DS68" s="6" t="s">
        <v>158</v>
      </c>
      <c r="DX68" s="6" t="s">
        <v>162</v>
      </c>
      <c r="ER68" s="0" t="str">
        <f aca="false">IF(ISNUMBER(MATCH(U68,{"queued","contacted","replied","call_booked","call_done","yes_in_principle","materials_sent"},0)),"Y","N")</f>
        <v>N</v>
      </c>
      <c r="ES68" s="0" t="str">
        <f aca="false">IF(COUNTIFS($AP$2:$AP$1000,AP68,$ER$2:$ER$1000,"Y")+COUNTIFS($AP$2:$AP$1000,AP68,$T$2:$T$1000,"Y")&gt;0,"Y","N")</f>
        <v>N</v>
      </c>
      <c r="ET68" s="0" t="str">
        <f aca="false">IF(AND(U68="new",T68="N",AT68="Y",AS68="",ES68="N"),"Y","N")</f>
        <v>N</v>
      </c>
      <c r="EU68" s="0" t="str">
        <f aca="false">IF(ET68&lt;&gt;"Y","N",IF(COUNTIFS($AP$2:$AP$1000,AP68,$ET$2:$ET$1000,"Y",$J$2:$J$1000,"&gt;"&amp;J68)+COUNTIFS($AP$2:$AP$1000,AP68,$ET$2:$ET$1000,"Y",$J$2:$J$1000,J68,$EW$2:$EW$1000,"&lt;"&amp;EW68)=0,"Y","N"))</f>
        <v>N</v>
      </c>
      <c r="EV68" s="0" t="str">
        <f aca="false">IF(Y68="","N",IF(Y68&lt;=10,"Y","N"))</f>
        <v>N</v>
      </c>
      <c r="EW68" s="6" t="n">
        <f aca="false">ROW()-1</f>
        <v>67</v>
      </c>
    </row>
    <row r="69" customFormat="false" ht="15" hidden="false" customHeight="false" outlineLevel="0" collapsed="false">
      <c r="A69" s="0" t="s">
        <v>1782</v>
      </c>
      <c r="B69" s="0" t="s">
        <v>1783</v>
      </c>
      <c r="H69" s="5" t="s">
        <v>158</v>
      </c>
      <c r="I69" s="5" t="s">
        <v>159</v>
      </c>
      <c r="J69" s="6" t="n">
        <f aca="false">IF(AX69="pass",ROUND(CU69+CV69+CW69+CX69+CY69+CZ69,1),0)</f>
        <v>41.7</v>
      </c>
      <c r="K69" s="6" t="s">
        <v>1784</v>
      </c>
      <c r="L69" s="6" t="s">
        <v>561</v>
      </c>
      <c r="O69" s="6" t="s">
        <v>1785</v>
      </c>
      <c r="P69" s="6" t="s">
        <v>1786</v>
      </c>
      <c r="Q69" s="6" t="s">
        <v>1492</v>
      </c>
      <c r="R69" s="5" t="s">
        <v>162</v>
      </c>
      <c r="S69" s="6" t="s">
        <v>163</v>
      </c>
      <c r="T69" s="5" t="s">
        <v>162</v>
      </c>
      <c r="U69" s="5" t="s">
        <v>228</v>
      </c>
      <c r="V69" s="6" t="s">
        <v>1786</v>
      </c>
      <c r="W69" s="6" t="s">
        <v>166</v>
      </c>
      <c r="X69" s="6" t="s">
        <v>167</v>
      </c>
      <c r="Y69" s="0" t="str">
        <f aca="false">IF(EU69&lt;&gt;"Y","",COUNTIFS($EU$2:$EU$1000,"Y",$J$2:$J$1000,"&gt;"&amp;J69)+COUNTIFS($EU$2:$EU$1000,"Y",$J$2:$J$1000,J69,$EW$2:$EW$1000,"&lt;"&amp;EW69)+1)</f>
        <v/>
      </c>
      <c r="Z69" s="0" t="n">
        <v>68</v>
      </c>
      <c r="AA69" s="6" t="s">
        <v>162</v>
      </c>
      <c r="AB69" s="6" t="s">
        <v>1562</v>
      </c>
      <c r="AD69" s="6" t="s">
        <v>158</v>
      </c>
      <c r="AH69" s="5" t="s">
        <v>158</v>
      </c>
      <c r="AI69" s="6" t="s">
        <v>1787</v>
      </c>
      <c r="AJ69" s="6" t="s">
        <v>273</v>
      </c>
      <c r="AK69" s="6" t="s">
        <v>890</v>
      </c>
      <c r="AL69" s="0" t="n">
        <v>3</v>
      </c>
      <c r="AM69" s="0" t="n">
        <v>103</v>
      </c>
      <c r="AN69" s="6" t="s">
        <v>179</v>
      </c>
      <c r="AO69" s="6" t="s">
        <v>180</v>
      </c>
      <c r="AP69" s="6" t="s">
        <v>1782</v>
      </c>
      <c r="AQ69" s="5" t="s">
        <v>168</v>
      </c>
      <c r="AR69" s="6" t="s">
        <v>891</v>
      </c>
      <c r="AT69" s="0" t="str">
        <f aca="false">IF(AND(AX69="pass",AQ69&lt;&gt;"Y",C69&lt;&gt;"",OR(AW69&lt;&gt;"Y",AV69="Y")),"Y","N")</f>
        <v>N</v>
      </c>
      <c r="AU69" s="0" t="str">
        <f aca="false">_xlfn.TEXTJOIN("; ",TRUE(),IF(AX69&lt;&gt;"pass","gated out",""),IF(AQ69="Y","on hold: "&amp;AR69,""),IF(C69="","no contact named on an opened page",""),IF(AND(AW69="Y",AV69&lt;&gt;"Y"),"Tuesday estimate band "&amp;L69&amp;": founder's call",""))</f>
        <v>on hold: lease signed, move not confirmed: check the lobby directory before outreach (B); no contact named on an opened page; Tuesday estimate band under-40: founder's call</v>
      </c>
      <c r="AW69" s="6" t="s">
        <v>168</v>
      </c>
      <c r="AX69" s="6" t="s">
        <v>181</v>
      </c>
      <c r="AY69" s="6" t="s">
        <v>182</v>
      </c>
      <c r="AZ69" s="6" t="s">
        <v>1</v>
      </c>
      <c r="BA69" s="6" t="s">
        <v>1788</v>
      </c>
      <c r="BB69" s="6" t="s">
        <v>1789</v>
      </c>
      <c r="BC69" s="6" t="s">
        <v>1790</v>
      </c>
      <c r="BD69" s="6" t="s">
        <v>1791</v>
      </c>
      <c r="BE69" s="6" t="s">
        <v>1792</v>
      </c>
      <c r="BF69" s="6" t="s">
        <v>163</v>
      </c>
      <c r="BG69" s="6" t="s">
        <v>163</v>
      </c>
      <c r="BH69" s="6" t="s">
        <v>280</v>
      </c>
      <c r="BI69" s="6" t="s">
        <v>1793</v>
      </c>
      <c r="BJ69" s="6" t="s">
        <v>1794</v>
      </c>
      <c r="BK69" s="6" t="s">
        <v>191</v>
      </c>
      <c r="BL69" s="6" t="s">
        <v>656</v>
      </c>
      <c r="BM69" s="6" t="s">
        <v>162</v>
      </c>
      <c r="BN69" s="6" t="s">
        <v>163</v>
      </c>
      <c r="BO69" s="6" t="s">
        <v>163</v>
      </c>
      <c r="BP69" s="6" t="s">
        <v>193</v>
      </c>
      <c r="BQ69" s="0" t="n">
        <v>40.737054</v>
      </c>
      <c r="BR69" s="0" t="n">
        <v>-73.992635</v>
      </c>
      <c r="BS69" s="6" t="s">
        <v>168</v>
      </c>
      <c r="BT69" s="0" t="n">
        <v>0</v>
      </c>
      <c r="BU69" s="6" t="s">
        <v>1795</v>
      </c>
      <c r="BV69" s="6" t="s">
        <v>1787</v>
      </c>
      <c r="BW69" s="6" t="s">
        <v>1786</v>
      </c>
      <c r="BX69" s="6" t="s">
        <v>1492</v>
      </c>
      <c r="BY69" s="6" t="s">
        <v>248</v>
      </c>
      <c r="CC69" s="6" t="s">
        <v>739</v>
      </c>
      <c r="CD69" s="6" t="s">
        <v>163</v>
      </c>
      <c r="CE69" s="6" t="s">
        <v>162</v>
      </c>
      <c r="CH69" s="6" t="s">
        <v>163</v>
      </c>
      <c r="CJ69" s="6" t="s">
        <v>163</v>
      </c>
      <c r="CK69" s="6" t="s">
        <v>162</v>
      </c>
      <c r="CL69" s="6" t="s">
        <v>449</v>
      </c>
      <c r="CM69" s="6" t="s">
        <v>1796</v>
      </c>
      <c r="CN69" s="6" t="s">
        <v>174</v>
      </c>
      <c r="CO69" s="0" t="n">
        <v>18</v>
      </c>
      <c r="CP69" s="6" t="s">
        <v>1727</v>
      </c>
      <c r="CQ69" s="6" t="s">
        <v>1797</v>
      </c>
      <c r="CR69" s="6" t="s">
        <v>206</v>
      </c>
      <c r="CS69" s="0" t="n">
        <v>0.27</v>
      </c>
      <c r="CT69" s="0" t="n">
        <v>41.7</v>
      </c>
      <c r="CU69" s="0" t="n">
        <v>6.7</v>
      </c>
      <c r="CV69" s="0" t="n">
        <v>15</v>
      </c>
      <c r="CW69" s="0" t="n">
        <v>15</v>
      </c>
      <c r="CX69" s="0" t="n">
        <v>5</v>
      </c>
      <c r="CY69" s="6" t="n">
        <f aca="false">IF(AH69="exact",10,IF(AH69="adjacent",5,0))</f>
        <v>0</v>
      </c>
      <c r="CZ69" s="6" t="n">
        <f aca="false">IF(R69="Y",15,0)</f>
        <v>0</v>
      </c>
      <c r="DF69" s="6" t="s">
        <v>158</v>
      </c>
      <c r="DG69" s="6" t="s">
        <v>211</v>
      </c>
      <c r="DJ69" s="6" t="s">
        <v>1798</v>
      </c>
      <c r="DK69" s="6" t="s">
        <v>1799</v>
      </c>
      <c r="DS69" s="6" t="s">
        <v>158</v>
      </c>
      <c r="DX69" s="6" t="s">
        <v>162</v>
      </c>
      <c r="ER69" s="0" t="str">
        <f aca="false">IF(ISNUMBER(MATCH(U69,{"queued","contacted","replied","call_booked","call_done","yes_in_principle","materials_sent"},0)),"Y","N")</f>
        <v>N</v>
      </c>
      <c r="ES69" s="0" t="str">
        <f aca="false">IF(COUNTIFS($AP$2:$AP$1000,AP69,$ER$2:$ER$1000,"Y")+COUNTIFS($AP$2:$AP$1000,AP69,$T$2:$T$1000,"Y")&gt;0,"Y","N")</f>
        <v>N</v>
      </c>
      <c r="ET69" s="0" t="str">
        <f aca="false">IF(AND(U69="new",T69="N",AT69="Y",AS69="",ES69="N"),"Y","N")</f>
        <v>N</v>
      </c>
      <c r="EU69" s="0" t="str">
        <f aca="false">IF(ET69&lt;&gt;"Y","N",IF(COUNTIFS($AP$2:$AP$1000,AP69,$ET$2:$ET$1000,"Y",$J$2:$J$1000,"&gt;"&amp;J69)+COUNTIFS($AP$2:$AP$1000,AP69,$ET$2:$ET$1000,"Y",$J$2:$J$1000,J69,$EW$2:$EW$1000,"&lt;"&amp;EW69)=0,"Y","N"))</f>
        <v>N</v>
      </c>
      <c r="EV69" s="0" t="str">
        <f aca="false">IF(Y69="","N",IF(Y69&lt;=10,"Y","N"))</f>
        <v>N</v>
      </c>
      <c r="EW69" s="6" t="n">
        <f aca="false">ROW()-1</f>
        <v>68</v>
      </c>
    </row>
    <row r="70" customFormat="false" ht="15" hidden="false" customHeight="false" outlineLevel="0" collapsed="false">
      <c r="A70" s="0" t="s">
        <v>1800</v>
      </c>
      <c r="B70" s="0" t="s">
        <v>1801</v>
      </c>
      <c r="H70" s="5" t="s">
        <v>158</v>
      </c>
      <c r="I70" s="5" t="s">
        <v>159</v>
      </c>
      <c r="J70" s="6" t="n">
        <f aca="false">IF(AX70="pass",ROUND(CU70+CV70+CW70+CX70+CY70+CZ70,1),0)</f>
        <v>41.4</v>
      </c>
      <c r="K70" s="6" t="s">
        <v>1802</v>
      </c>
      <c r="L70" s="6" t="s">
        <v>161</v>
      </c>
      <c r="R70" s="5" t="s">
        <v>162</v>
      </c>
      <c r="S70" s="6" t="s">
        <v>163</v>
      </c>
      <c r="T70" s="5" t="s">
        <v>162</v>
      </c>
      <c r="U70" s="5" t="s">
        <v>228</v>
      </c>
      <c r="V70" s="6" t="s">
        <v>1803</v>
      </c>
      <c r="W70" s="6" t="s">
        <v>166</v>
      </c>
      <c r="X70" s="6" t="s">
        <v>167</v>
      </c>
      <c r="Y70" s="0" t="str">
        <f aca="false">IF(EU70&lt;&gt;"Y","",COUNTIFS($EU$2:$EU$1000,"Y",$J$2:$J$1000,"&gt;"&amp;J70)+COUNTIFS($EU$2:$EU$1000,"Y",$J$2:$J$1000,J70,$EW$2:$EW$1000,"&lt;"&amp;EW70)+1)</f>
        <v/>
      </c>
      <c r="Z70" s="0" t="n">
        <v>69</v>
      </c>
      <c r="AA70" s="6" t="s">
        <v>162</v>
      </c>
      <c r="AD70" s="6" t="s">
        <v>158</v>
      </c>
      <c r="AH70" s="5" t="s">
        <v>158</v>
      </c>
      <c r="AI70" s="6" t="s">
        <v>1804</v>
      </c>
      <c r="AJ70" s="6" t="s">
        <v>163</v>
      </c>
      <c r="AK70" s="6" t="s">
        <v>435</v>
      </c>
      <c r="AL70" s="0" t="n">
        <v>26</v>
      </c>
      <c r="AM70" s="0" t="n">
        <v>513</v>
      </c>
      <c r="AN70" s="6" t="s">
        <v>179</v>
      </c>
      <c r="AO70" s="6" t="s">
        <v>180</v>
      </c>
      <c r="AP70" s="6" t="s">
        <v>1800</v>
      </c>
      <c r="AQ70" s="5" t="s">
        <v>162</v>
      </c>
      <c r="AT70" s="0" t="str">
        <f aca="false">IF(AND(AX70="pass",AQ70&lt;&gt;"Y",C70&lt;&gt;"",OR(AW70&lt;&gt;"Y",AV70="Y")),"Y","N")</f>
        <v>N</v>
      </c>
      <c r="AU70" s="0" t="str">
        <f aca="false">_xlfn.TEXTJOIN("; ",TRUE(),IF(AX70&lt;&gt;"pass","gated out",""),IF(AQ70="Y","on hold: "&amp;AR70,""),IF(C70="","no contact named on an opened page",""),IF(AND(AW70="Y",AV70&lt;&gt;"Y"),"Tuesday estimate band "&amp;L70&amp;": founder's call",""))</f>
        <v>no contact named on an opened page</v>
      </c>
      <c r="AW70" s="6" t="s">
        <v>162</v>
      </c>
      <c r="AX70" s="6" t="s">
        <v>181</v>
      </c>
      <c r="AY70" s="6" t="s">
        <v>182</v>
      </c>
      <c r="AZ70" s="6" t="s">
        <v>1</v>
      </c>
      <c r="BA70" s="6" t="s">
        <v>1805</v>
      </c>
      <c r="BB70" s="6" t="s">
        <v>1806</v>
      </c>
      <c r="BC70" s="6" t="s">
        <v>1807</v>
      </c>
      <c r="BD70" s="6" t="s">
        <v>1808</v>
      </c>
      <c r="BF70" s="6" t="s">
        <v>1323</v>
      </c>
      <c r="BG70" s="6" t="s">
        <v>188</v>
      </c>
      <c r="BH70" s="6" t="s">
        <v>189</v>
      </c>
      <c r="BI70" s="6" t="s">
        <v>1809</v>
      </c>
      <c r="BK70" s="6" t="s">
        <v>1264</v>
      </c>
      <c r="BL70" s="6" t="s">
        <v>656</v>
      </c>
      <c r="BM70" s="6" t="s">
        <v>162</v>
      </c>
      <c r="BN70" s="6" t="s">
        <v>163</v>
      </c>
      <c r="BO70" s="6" t="s">
        <v>163</v>
      </c>
      <c r="BQ70" s="0" t="n">
        <v>40.739614</v>
      </c>
      <c r="BR70" s="0" t="n">
        <v>-73.988361</v>
      </c>
      <c r="BS70" s="6" t="s">
        <v>168</v>
      </c>
      <c r="BT70" s="0" t="n">
        <v>0</v>
      </c>
      <c r="BV70" s="6" t="s">
        <v>163</v>
      </c>
      <c r="BW70" s="6" t="s">
        <v>1803</v>
      </c>
      <c r="BX70" s="6" t="s">
        <v>166</v>
      </c>
      <c r="BY70" s="6" t="s">
        <v>445</v>
      </c>
      <c r="CC70" s="6" t="s">
        <v>179</v>
      </c>
      <c r="CE70" s="6" t="s">
        <v>162</v>
      </c>
      <c r="CH70" s="6" t="s">
        <v>163</v>
      </c>
      <c r="CJ70" s="6" t="s">
        <v>163</v>
      </c>
      <c r="CK70" s="6" t="s">
        <v>162</v>
      </c>
      <c r="CL70" s="6" t="s">
        <v>1810</v>
      </c>
      <c r="CM70" s="6" t="s">
        <v>1803</v>
      </c>
      <c r="CN70" s="6" t="s">
        <v>174</v>
      </c>
      <c r="CO70" s="0" t="n">
        <v>115</v>
      </c>
      <c r="CP70" s="6" t="s">
        <v>768</v>
      </c>
      <c r="CQ70" s="6" t="s">
        <v>1811</v>
      </c>
      <c r="CR70" s="6" t="s">
        <v>206</v>
      </c>
      <c r="CS70" s="0" t="n">
        <v>0.61</v>
      </c>
      <c r="CT70" s="0" t="n">
        <v>41.4</v>
      </c>
      <c r="CU70" s="0" t="n">
        <v>15.4</v>
      </c>
      <c r="CV70" s="0" t="n">
        <v>6</v>
      </c>
      <c r="CW70" s="0" t="n">
        <v>15</v>
      </c>
      <c r="CX70" s="0" t="n">
        <v>5</v>
      </c>
      <c r="CY70" s="6" t="n">
        <f aca="false">IF(AH70="exact",10,IF(AH70="adjacent",5,0))</f>
        <v>0</v>
      </c>
      <c r="CZ70" s="6" t="n">
        <f aca="false">IF(R70="Y",15,0)</f>
        <v>0</v>
      </c>
      <c r="DF70" s="6" t="s">
        <v>158</v>
      </c>
      <c r="DG70" s="6" t="s">
        <v>1336</v>
      </c>
      <c r="DH70" s="6" t="s">
        <v>1337</v>
      </c>
      <c r="DI70" s="6" t="s">
        <v>162</v>
      </c>
      <c r="DK70" s="6" t="s">
        <v>1812</v>
      </c>
      <c r="DS70" s="6" t="s">
        <v>158</v>
      </c>
      <c r="DX70" s="6" t="s">
        <v>162</v>
      </c>
      <c r="ER70" s="0" t="str">
        <f aca="false">IF(ISNUMBER(MATCH(U70,{"queued","contacted","replied","call_booked","call_done","yes_in_principle","materials_sent"},0)),"Y","N")</f>
        <v>N</v>
      </c>
      <c r="ES70" s="0" t="str">
        <f aca="false">IF(COUNTIFS($AP$2:$AP$1000,AP70,$ER$2:$ER$1000,"Y")+COUNTIFS($AP$2:$AP$1000,AP70,$T$2:$T$1000,"Y")&gt;0,"Y","N")</f>
        <v>N</v>
      </c>
      <c r="ET70" s="0" t="str">
        <f aca="false">IF(AND(U70="new",T70="N",AT70="Y",AS70="",ES70="N"),"Y","N")</f>
        <v>N</v>
      </c>
      <c r="EU70" s="0" t="str">
        <f aca="false">IF(ET70&lt;&gt;"Y","N",IF(COUNTIFS($AP$2:$AP$1000,AP70,$ET$2:$ET$1000,"Y",$J$2:$J$1000,"&gt;"&amp;J70)+COUNTIFS($AP$2:$AP$1000,AP70,$ET$2:$ET$1000,"Y",$J$2:$J$1000,J70,$EW$2:$EW$1000,"&lt;"&amp;EW70)=0,"Y","N"))</f>
        <v>N</v>
      </c>
      <c r="EV70" s="0" t="str">
        <f aca="false">IF(Y70="","N",IF(Y70&lt;=10,"Y","N"))</f>
        <v>N</v>
      </c>
      <c r="EW70" s="6" t="n">
        <f aca="false">ROW()-1</f>
        <v>69</v>
      </c>
    </row>
    <row r="71" customFormat="false" ht="15" hidden="false" customHeight="false" outlineLevel="0" collapsed="false">
      <c r="A71" s="0" t="s">
        <v>1813</v>
      </c>
      <c r="B71" s="0" t="s">
        <v>1814</v>
      </c>
      <c r="H71" s="5" t="s">
        <v>158</v>
      </c>
      <c r="I71" s="5" t="s">
        <v>159</v>
      </c>
      <c r="J71" s="6" t="n">
        <f aca="false">IF(AX71="pass",ROUND(CU71+CV71+CW71+CX71+CY71+CZ71,1),0)</f>
        <v>41.3</v>
      </c>
      <c r="K71" s="6" t="s">
        <v>1815</v>
      </c>
      <c r="L71" s="6" t="s">
        <v>240</v>
      </c>
      <c r="R71" s="5" t="s">
        <v>162</v>
      </c>
      <c r="S71" s="6" t="s">
        <v>163</v>
      </c>
      <c r="T71" s="5" t="s">
        <v>162</v>
      </c>
      <c r="U71" s="5" t="s">
        <v>228</v>
      </c>
      <c r="V71" s="6" t="s">
        <v>1816</v>
      </c>
      <c r="W71" s="6" t="s">
        <v>166</v>
      </c>
      <c r="X71" s="6" t="s">
        <v>167</v>
      </c>
      <c r="Y71" s="0" t="str">
        <f aca="false">IF(EU71&lt;&gt;"Y","",COUNTIFS($EU$2:$EU$1000,"Y",$J$2:$J$1000,"&gt;"&amp;J71)+COUNTIFS($EU$2:$EU$1000,"Y",$J$2:$J$1000,J71,$EW$2:$EW$1000,"&lt;"&amp;EW71)+1)</f>
        <v/>
      </c>
      <c r="Z71" s="0" t="n">
        <v>70</v>
      </c>
      <c r="AA71" s="6" t="s">
        <v>162</v>
      </c>
      <c r="AB71" s="6" t="s">
        <v>1662</v>
      </c>
      <c r="AD71" s="6" t="s">
        <v>158</v>
      </c>
      <c r="AH71" s="5" t="s">
        <v>158</v>
      </c>
      <c r="AI71" s="6" t="s">
        <v>233</v>
      </c>
      <c r="AJ71" s="6" t="s">
        <v>1817</v>
      </c>
      <c r="AK71" s="6" t="s">
        <v>178</v>
      </c>
      <c r="AL71" s="0" t="n">
        <v>82</v>
      </c>
      <c r="AM71" s="0" t="n">
        <v>1635</v>
      </c>
      <c r="AN71" s="6" t="s">
        <v>179</v>
      </c>
      <c r="AO71" s="6" t="s">
        <v>180</v>
      </c>
      <c r="AP71" s="6" t="s">
        <v>1813</v>
      </c>
      <c r="AQ71" s="5" t="s">
        <v>162</v>
      </c>
      <c r="AT71" s="0" t="str">
        <f aca="false">IF(AND(AX71="pass",AQ71&lt;&gt;"Y",C71&lt;&gt;"",OR(AW71&lt;&gt;"Y",AV71="Y")),"Y","N")</f>
        <v>N</v>
      </c>
      <c r="AU71" s="0" t="str">
        <f aca="false">_xlfn.TEXTJOIN("; ",TRUE(),IF(AX71&lt;&gt;"pass","gated out",""),IF(AQ71="Y","on hold: "&amp;AR71,""),IF(C71="","no contact named on an opened page",""),IF(AND(AW71="Y",AV71&lt;&gt;"Y"),"Tuesday estimate band "&amp;L71&amp;": founder's call",""))</f>
        <v>no contact named on an opened page; Tuesday estimate band 251-500: founder's call</v>
      </c>
      <c r="AW71" s="6" t="s">
        <v>168</v>
      </c>
      <c r="AX71" s="6" t="s">
        <v>181</v>
      </c>
      <c r="AY71" s="6" t="s">
        <v>182</v>
      </c>
      <c r="AZ71" s="6" t="s">
        <v>1</v>
      </c>
      <c r="BA71" s="6" t="s">
        <v>1818</v>
      </c>
      <c r="BB71" s="6" t="s">
        <v>1819</v>
      </c>
      <c r="BC71" s="6" t="s">
        <v>1820</v>
      </c>
      <c r="BD71" s="6" t="s">
        <v>1821</v>
      </c>
      <c r="BF71" s="6" t="s">
        <v>1323</v>
      </c>
      <c r="BG71" s="6" t="s">
        <v>188</v>
      </c>
      <c r="BH71" s="6" t="s">
        <v>189</v>
      </c>
      <c r="BI71" s="6" t="s">
        <v>1822</v>
      </c>
      <c r="BK71" s="6" t="s">
        <v>1440</v>
      </c>
      <c r="BL71" s="6" t="s">
        <v>163</v>
      </c>
      <c r="BM71" s="6" t="s">
        <v>163</v>
      </c>
      <c r="BN71" s="6" t="s">
        <v>163</v>
      </c>
      <c r="BO71" s="6" t="s">
        <v>163</v>
      </c>
      <c r="BP71" s="6" t="s">
        <v>244</v>
      </c>
      <c r="BQ71" s="0" t="n">
        <v>40.742833</v>
      </c>
      <c r="BR71" s="0" t="n">
        <v>-73.984174</v>
      </c>
      <c r="BS71" s="6" t="s">
        <v>168</v>
      </c>
      <c r="BT71" s="0" t="n">
        <v>0</v>
      </c>
      <c r="BU71" s="6" t="s">
        <v>245</v>
      </c>
      <c r="BV71" s="6" t="s">
        <v>246</v>
      </c>
      <c r="BW71" s="6" t="s">
        <v>1816</v>
      </c>
      <c r="BX71" s="6" t="s">
        <v>1823</v>
      </c>
      <c r="BY71" s="6" t="s">
        <v>248</v>
      </c>
      <c r="BZ71" s="6" t="s">
        <v>1822</v>
      </c>
      <c r="CA71" s="6" t="s">
        <v>166</v>
      </c>
      <c r="CC71" s="6" t="s">
        <v>200</v>
      </c>
      <c r="CE71" s="6" t="s">
        <v>162</v>
      </c>
      <c r="CH71" s="6" t="s">
        <v>163</v>
      </c>
      <c r="CJ71" s="6" t="s">
        <v>163</v>
      </c>
      <c r="CK71" s="6" t="s">
        <v>162</v>
      </c>
      <c r="CL71" s="6" t="s">
        <v>449</v>
      </c>
      <c r="CM71" s="6" t="s">
        <v>1822</v>
      </c>
      <c r="CN71" s="6" t="s">
        <v>174</v>
      </c>
      <c r="CO71" s="0" t="n">
        <v>366</v>
      </c>
      <c r="CP71" s="6" t="s">
        <v>251</v>
      </c>
      <c r="CQ71" s="6" t="s">
        <v>1824</v>
      </c>
      <c r="CR71" s="6" t="s">
        <v>206</v>
      </c>
      <c r="CS71" s="0" t="n">
        <v>0.37</v>
      </c>
      <c r="CT71" s="0" t="n">
        <v>41.3</v>
      </c>
      <c r="CU71" s="0" t="n">
        <v>9.3</v>
      </c>
      <c r="CV71" s="0" t="n">
        <v>2</v>
      </c>
      <c r="CW71" s="0" t="n">
        <v>15</v>
      </c>
      <c r="CX71" s="0" t="n">
        <v>15</v>
      </c>
      <c r="CY71" s="6" t="n">
        <f aca="false">IF(AH71="exact",10,IF(AH71="adjacent",5,0))</f>
        <v>0</v>
      </c>
      <c r="CZ71" s="6" t="n">
        <f aca="false">IF(R71="Y",15,0)</f>
        <v>0</v>
      </c>
      <c r="DF71" s="6" t="s">
        <v>158</v>
      </c>
      <c r="DG71" s="6" t="s">
        <v>1336</v>
      </c>
      <c r="DH71" s="6" t="s">
        <v>1447</v>
      </c>
      <c r="DI71" s="6" t="s">
        <v>162</v>
      </c>
      <c r="DJ71" s="6" t="s">
        <v>1825</v>
      </c>
      <c r="DK71" s="6" t="s">
        <v>1826</v>
      </c>
      <c r="DS71" s="6" t="s">
        <v>158</v>
      </c>
      <c r="DX71" s="6" t="s">
        <v>162</v>
      </c>
      <c r="ER71" s="0" t="str">
        <f aca="false">IF(ISNUMBER(MATCH(U71,{"queued","contacted","replied","call_booked","call_done","yes_in_principle","materials_sent"},0)),"Y","N")</f>
        <v>N</v>
      </c>
      <c r="ES71" s="0" t="str">
        <f aca="false">IF(COUNTIFS($AP$2:$AP$1000,AP71,$ER$2:$ER$1000,"Y")+COUNTIFS($AP$2:$AP$1000,AP71,$T$2:$T$1000,"Y")&gt;0,"Y","N")</f>
        <v>N</v>
      </c>
      <c r="ET71" s="0" t="str">
        <f aca="false">IF(AND(U71="new",T71="N",AT71="Y",AS71="",ES71="N"),"Y","N")</f>
        <v>N</v>
      </c>
      <c r="EU71" s="0" t="str">
        <f aca="false">IF(ET71&lt;&gt;"Y","N",IF(COUNTIFS($AP$2:$AP$1000,AP71,$ET$2:$ET$1000,"Y",$J$2:$J$1000,"&gt;"&amp;J71)+COUNTIFS($AP$2:$AP$1000,AP71,$ET$2:$ET$1000,"Y",$J$2:$J$1000,J71,$EW$2:$EW$1000,"&lt;"&amp;EW71)=0,"Y","N"))</f>
        <v>N</v>
      </c>
      <c r="EV71" s="0" t="str">
        <f aca="false">IF(Y71="","N",IF(Y71&lt;=10,"Y","N"))</f>
        <v>N</v>
      </c>
      <c r="EW71" s="6" t="n">
        <f aca="false">ROW()-1</f>
        <v>70</v>
      </c>
    </row>
    <row r="72" customFormat="false" ht="15" hidden="false" customHeight="false" outlineLevel="0" collapsed="false">
      <c r="A72" s="0" t="s">
        <v>1827</v>
      </c>
      <c r="B72" s="0" t="s">
        <v>1828</v>
      </c>
      <c r="H72" s="5" t="s">
        <v>158</v>
      </c>
      <c r="I72" s="5" t="s">
        <v>159</v>
      </c>
      <c r="J72" s="6" t="n">
        <f aca="false">IF(AX72="pass",ROUND(CU72+CV72+CW72+CX72+CY72+CZ72,1),0)</f>
        <v>41.2</v>
      </c>
      <c r="K72" s="6" t="s">
        <v>1829</v>
      </c>
      <c r="L72" s="6" t="s">
        <v>161</v>
      </c>
      <c r="R72" s="5" t="s">
        <v>162</v>
      </c>
      <c r="S72" s="6" t="s">
        <v>163</v>
      </c>
      <c r="T72" s="5" t="s">
        <v>162</v>
      </c>
      <c r="U72" s="5" t="s">
        <v>228</v>
      </c>
      <c r="V72" s="6" t="s">
        <v>1393</v>
      </c>
      <c r="W72" s="6" t="s">
        <v>166</v>
      </c>
      <c r="X72" s="6" t="s">
        <v>167</v>
      </c>
      <c r="Y72" s="0" t="str">
        <f aca="false">IF(EU72&lt;&gt;"Y","",COUNTIFS($EU$2:$EU$1000,"Y",$J$2:$J$1000,"&gt;"&amp;J72)+COUNTIFS($EU$2:$EU$1000,"Y",$J$2:$J$1000,J72,$EW$2:$EW$1000,"&lt;"&amp;EW72)+1)</f>
        <v/>
      </c>
      <c r="Z72" s="0" t="n">
        <v>71</v>
      </c>
      <c r="AA72" s="6" t="s">
        <v>162</v>
      </c>
      <c r="AD72" s="6" t="s">
        <v>158</v>
      </c>
      <c r="AH72" s="5" t="s">
        <v>158</v>
      </c>
      <c r="AI72" s="6" t="s">
        <v>1830</v>
      </c>
      <c r="AJ72" s="6" t="s">
        <v>163</v>
      </c>
      <c r="AK72" s="6" t="s">
        <v>178</v>
      </c>
      <c r="AL72" s="0" t="n">
        <v>28</v>
      </c>
      <c r="AM72" s="0" t="n">
        <v>570</v>
      </c>
      <c r="AN72" s="6" t="s">
        <v>179</v>
      </c>
      <c r="AO72" s="6" t="s">
        <v>370</v>
      </c>
      <c r="AP72" s="6" t="s">
        <v>1827</v>
      </c>
      <c r="AQ72" s="5" t="s">
        <v>162</v>
      </c>
      <c r="AT72" s="0" t="str">
        <f aca="false">IF(AND(AX72="pass",AQ72&lt;&gt;"Y",C72&lt;&gt;"",OR(AW72&lt;&gt;"Y",AV72="Y")),"Y","N")</f>
        <v>N</v>
      </c>
      <c r="AU72" s="0" t="str">
        <f aca="false">_xlfn.TEXTJOIN("; ",TRUE(),IF(AX72&lt;&gt;"pass","gated out",""),IF(AQ72="Y","on hold: "&amp;AR72,""),IF(C72="","no contact named on an opened page",""),IF(AND(AW72="Y",AV72&lt;&gt;"Y"),"Tuesday estimate band "&amp;L72&amp;": founder's call",""))</f>
        <v>no contact named on an opened page</v>
      </c>
      <c r="AW72" s="6" t="s">
        <v>162</v>
      </c>
      <c r="AX72" s="6" t="s">
        <v>181</v>
      </c>
      <c r="AY72" s="6" t="s">
        <v>182</v>
      </c>
      <c r="AZ72" s="6" t="s">
        <v>1</v>
      </c>
      <c r="BA72" s="6" t="s">
        <v>1831</v>
      </c>
      <c r="BB72" s="6" t="s">
        <v>1832</v>
      </c>
      <c r="BC72" s="6" t="s">
        <v>1833</v>
      </c>
      <c r="BD72" s="6" t="s">
        <v>1369</v>
      </c>
      <c r="BF72" s="6" t="s">
        <v>1323</v>
      </c>
      <c r="BG72" s="6" t="s">
        <v>188</v>
      </c>
      <c r="BH72" s="6" t="s">
        <v>189</v>
      </c>
      <c r="BI72" s="6" t="s">
        <v>1834</v>
      </c>
      <c r="BK72" s="6" t="s">
        <v>1264</v>
      </c>
      <c r="BL72" s="6" t="s">
        <v>163</v>
      </c>
      <c r="BM72" s="6" t="s">
        <v>163</v>
      </c>
      <c r="BN72" s="6" t="s">
        <v>163</v>
      </c>
      <c r="BO72" s="6" t="s">
        <v>163</v>
      </c>
      <c r="BP72" s="6" t="s">
        <v>193</v>
      </c>
      <c r="BQ72" s="0" t="n">
        <v>40.738809</v>
      </c>
      <c r="BR72" s="0" t="n">
        <v>-73.991356</v>
      </c>
      <c r="BS72" s="6" t="s">
        <v>168</v>
      </c>
      <c r="BT72" s="0" t="n">
        <v>0</v>
      </c>
      <c r="BU72" s="6" t="s">
        <v>443</v>
      </c>
      <c r="BV72" s="6" t="s">
        <v>444</v>
      </c>
      <c r="BW72" s="6" t="s">
        <v>1393</v>
      </c>
      <c r="BX72" s="6" t="s">
        <v>1402</v>
      </c>
      <c r="BY72" s="6" t="s">
        <v>248</v>
      </c>
      <c r="CC72" s="6" t="s">
        <v>739</v>
      </c>
      <c r="CE72" s="6" t="s">
        <v>162</v>
      </c>
      <c r="CH72" s="6" t="s">
        <v>201</v>
      </c>
      <c r="CI72" s="6" t="s">
        <v>448</v>
      </c>
      <c r="CJ72" s="6" t="s">
        <v>163</v>
      </c>
      <c r="CK72" s="6" t="s">
        <v>162</v>
      </c>
      <c r="CL72" s="6" t="s">
        <v>1835</v>
      </c>
      <c r="CM72" s="6" t="s">
        <v>1836</v>
      </c>
      <c r="CN72" s="6" t="s">
        <v>174</v>
      </c>
      <c r="CO72" s="0" t="n">
        <v>126</v>
      </c>
      <c r="CP72" s="6" t="s">
        <v>768</v>
      </c>
      <c r="CQ72" s="6" t="s">
        <v>1837</v>
      </c>
      <c r="CR72" s="6" t="s">
        <v>206</v>
      </c>
      <c r="CS72" s="0" t="n">
        <v>0.61</v>
      </c>
      <c r="CT72" s="0" t="n">
        <v>41.2</v>
      </c>
      <c r="CU72" s="0" t="n">
        <v>15.2</v>
      </c>
      <c r="CV72" s="0" t="n">
        <v>6</v>
      </c>
      <c r="CW72" s="0" t="n">
        <v>7</v>
      </c>
      <c r="CX72" s="0" t="n">
        <v>13</v>
      </c>
      <c r="CY72" s="6" t="n">
        <f aca="false">IF(AH72="exact",10,IF(AH72="adjacent",5,0))</f>
        <v>0</v>
      </c>
      <c r="CZ72" s="6" t="n">
        <f aca="false">IF(R72="Y",15,0)</f>
        <v>0</v>
      </c>
      <c r="DF72" s="6" t="s">
        <v>158</v>
      </c>
      <c r="DG72" s="6" t="s">
        <v>1336</v>
      </c>
      <c r="DH72" s="6" t="s">
        <v>1337</v>
      </c>
      <c r="DI72" s="6" t="s">
        <v>168</v>
      </c>
      <c r="DK72" s="6" t="s">
        <v>1838</v>
      </c>
      <c r="DS72" s="6" t="s">
        <v>158</v>
      </c>
      <c r="DX72" s="6" t="s">
        <v>162</v>
      </c>
      <c r="ER72" s="0" t="str">
        <f aca="false">IF(ISNUMBER(MATCH(U72,{"queued","contacted","replied","call_booked","call_done","yes_in_principle","materials_sent"},0)),"Y","N")</f>
        <v>N</v>
      </c>
      <c r="ES72" s="0" t="str">
        <f aca="false">IF(COUNTIFS($AP$2:$AP$1000,AP72,$ER$2:$ER$1000,"Y")+COUNTIFS($AP$2:$AP$1000,AP72,$T$2:$T$1000,"Y")&gt;0,"Y","N")</f>
        <v>N</v>
      </c>
      <c r="ET72" s="0" t="str">
        <f aca="false">IF(AND(U72="new",T72="N",AT72="Y",AS72="",ES72="N"),"Y","N")</f>
        <v>N</v>
      </c>
      <c r="EU72" s="0" t="str">
        <f aca="false">IF(ET72&lt;&gt;"Y","N",IF(COUNTIFS($AP$2:$AP$1000,AP72,$ET$2:$ET$1000,"Y",$J$2:$J$1000,"&gt;"&amp;J72)+COUNTIFS($AP$2:$AP$1000,AP72,$ET$2:$ET$1000,"Y",$J$2:$J$1000,J72,$EW$2:$EW$1000,"&lt;"&amp;EW72)=0,"Y","N"))</f>
        <v>N</v>
      </c>
      <c r="EV72" s="0" t="str">
        <f aca="false">IF(Y72="","N",IF(Y72&lt;=10,"Y","N"))</f>
        <v>N</v>
      </c>
      <c r="EW72" s="6" t="n">
        <f aca="false">ROW()-1</f>
        <v>71</v>
      </c>
    </row>
    <row r="73" customFormat="false" ht="15" hidden="false" customHeight="false" outlineLevel="0" collapsed="false">
      <c r="A73" s="0" t="s">
        <v>1839</v>
      </c>
      <c r="B73" s="0" t="s">
        <v>1840</v>
      </c>
      <c r="H73" s="5" t="s">
        <v>158</v>
      </c>
      <c r="I73" s="5" t="s">
        <v>159</v>
      </c>
      <c r="J73" s="6" t="n">
        <f aca="false">IF(AX73="pass",ROUND(CU73+CV73+CW73+CX73+CY73+CZ73,1),0)</f>
        <v>41.2</v>
      </c>
      <c r="K73" s="6" t="s">
        <v>1841</v>
      </c>
      <c r="L73" s="6" t="s">
        <v>161</v>
      </c>
      <c r="R73" s="5" t="s">
        <v>162</v>
      </c>
      <c r="S73" s="6" t="s">
        <v>163</v>
      </c>
      <c r="T73" s="5" t="s">
        <v>162</v>
      </c>
      <c r="U73" s="5" t="s">
        <v>228</v>
      </c>
      <c r="V73" s="6" t="s">
        <v>1842</v>
      </c>
      <c r="W73" s="6" t="s">
        <v>166</v>
      </c>
      <c r="X73" s="6" t="s">
        <v>167</v>
      </c>
      <c r="Y73" s="0" t="str">
        <f aca="false">IF(EU73&lt;&gt;"Y","",COUNTIFS($EU$2:$EU$1000,"Y",$J$2:$J$1000,"&gt;"&amp;J73)+COUNTIFS($EU$2:$EU$1000,"Y",$J$2:$J$1000,J73,$EW$2:$EW$1000,"&lt;"&amp;EW73)+1)</f>
        <v/>
      </c>
      <c r="Z73" s="0" t="n">
        <v>72</v>
      </c>
      <c r="AA73" s="6" t="s">
        <v>162</v>
      </c>
      <c r="AD73" s="6" t="s">
        <v>158</v>
      </c>
      <c r="AH73" s="5" t="s">
        <v>158</v>
      </c>
      <c r="AI73" s="6" t="s">
        <v>1843</v>
      </c>
      <c r="AJ73" s="6" t="s">
        <v>163</v>
      </c>
      <c r="AK73" s="6" t="s">
        <v>435</v>
      </c>
      <c r="AL73" s="0" t="n">
        <v>26</v>
      </c>
      <c r="AM73" s="0" t="n">
        <v>527</v>
      </c>
      <c r="AN73" s="6" t="s">
        <v>179</v>
      </c>
      <c r="AO73" s="6" t="s">
        <v>180</v>
      </c>
      <c r="AP73" s="6" t="s">
        <v>1839</v>
      </c>
      <c r="AQ73" s="5" t="s">
        <v>162</v>
      </c>
      <c r="AT73" s="0" t="str">
        <f aca="false">IF(AND(AX73="pass",AQ73&lt;&gt;"Y",C73&lt;&gt;"",OR(AW73&lt;&gt;"Y",AV73="Y")),"Y","N")</f>
        <v>N</v>
      </c>
      <c r="AU73" s="0" t="str">
        <f aca="false">_xlfn.TEXTJOIN("; ",TRUE(),IF(AX73&lt;&gt;"pass","gated out",""),IF(AQ73="Y","on hold: "&amp;AR73,""),IF(C73="","no contact named on an opened page",""),IF(AND(AW73="Y",AV73&lt;&gt;"Y"),"Tuesday estimate band "&amp;L73&amp;": founder's call",""))</f>
        <v>no contact named on an opened page</v>
      </c>
      <c r="AW73" s="6" t="s">
        <v>162</v>
      </c>
      <c r="AX73" s="6" t="s">
        <v>181</v>
      </c>
      <c r="AY73" s="6" t="s">
        <v>182</v>
      </c>
      <c r="AZ73" s="6" t="s">
        <v>1</v>
      </c>
      <c r="BA73" s="6" t="s">
        <v>1844</v>
      </c>
      <c r="BB73" s="6" t="s">
        <v>1845</v>
      </c>
      <c r="BC73" s="6" t="s">
        <v>1846</v>
      </c>
      <c r="BD73" s="6" t="s">
        <v>1847</v>
      </c>
      <c r="BF73" s="6" t="s">
        <v>1323</v>
      </c>
      <c r="BG73" s="6" t="s">
        <v>188</v>
      </c>
      <c r="BH73" s="6" t="s">
        <v>189</v>
      </c>
      <c r="BI73" s="6" t="s">
        <v>1848</v>
      </c>
      <c r="BK73" s="6" t="s">
        <v>1264</v>
      </c>
      <c r="BL73" s="6" t="s">
        <v>163</v>
      </c>
      <c r="BM73" s="6" t="s">
        <v>163</v>
      </c>
      <c r="BN73" s="6" t="s">
        <v>163</v>
      </c>
      <c r="BO73" s="6" t="s">
        <v>163</v>
      </c>
      <c r="BQ73" s="0" t="n">
        <v>40.738765</v>
      </c>
      <c r="BR73" s="0" t="n">
        <v>-73.994763</v>
      </c>
      <c r="BS73" s="6" t="s">
        <v>168</v>
      </c>
      <c r="BT73" s="0" t="n">
        <v>0</v>
      </c>
      <c r="BV73" s="6" t="s">
        <v>163</v>
      </c>
      <c r="BW73" s="6" t="s">
        <v>1842</v>
      </c>
      <c r="BX73" s="6" t="s">
        <v>174</v>
      </c>
      <c r="BY73" s="6" t="s">
        <v>445</v>
      </c>
      <c r="CC73" s="6" t="s">
        <v>179</v>
      </c>
      <c r="CE73" s="6" t="s">
        <v>162</v>
      </c>
      <c r="CH73" s="6" t="s">
        <v>163</v>
      </c>
      <c r="CJ73" s="6" t="s">
        <v>163</v>
      </c>
      <c r="CK73" s="6" t="s">
        <v>162</v>
      </c>
      <c r="CL73" s="6" t="s">
        <v>901</v>
      </c>
      <c r="CM73" s="6" t="s">
        <v>1842</v>
      </c>
      <c r="CN73" s="6" t="s">
        <v>174</v>
      </c>
      <c r="CO73" s="0" t="n">
        <v>117</v>
      </c>
      <c r="CP73" s="6" t="s">
        <v>768</v>
      </c>
      <c r="CQ73" s="6" t="s">
        <v>1849</v>
      </c>
      <c r="CR73" s="6" t="s">
        <v>206</v>
      </c>
      <c r="CS73" s="0" t="n">
        <v>0.61</v>
      </c>
      <c r="CT73" s="0" t="n">
        <v>41.2</v>
      </c>
      <c r="CU73" s="0" t="n">
        <v>15.2</v>
      </c>
      <c r="CV73" s="0" t="n">
        <v>6</v>
      </c>
      <c r="CW73" s="0" t="n">
        <v>15</v>
      </c>
      <c r="CX73" s="0" t="n">
        <v>5</v>
      </c>
      <c r="CY73" s="6" t="n">
        <f aca="false">IF(AH73="exact",10,IF(AH73="adjacent",5,0))</f>
        <v>0</v>
      </c>
      <c r="CZ73" s="6" t="n">
        <f aca="false">IF(R73="Y",15,0)</f>
        <v>0</v>
      </c>
      <c r="DF73" s="6" t="s">
        <v>158</v>
      </c>
      <c r="DG73" s="6" t="s">
        <v>1336</v>
      </c>
      <c r="DH73" s="6" t="s">
        <v>1337</v>
      </c>
      <c r="DI73" s="6" t="s">
        <v>162</v>
      </c>
      <c r="DK73" s="6" t="s">
        <v>1850</v>
      </c>
      <c r="DS73" s="6" t="s">
        <v>158</v>
      </c>
      <c r="DX73" s="6" t="s">
        <v>162</v>
      </c>
      <c r="ER73" s="0" t="str">
        <f aca="false">IF(ISNUMBER(MATCH(U73,{"queued","contacted","replied","call_booked","call_done","yes_in_principle","materials_sent"},0)),"Y","N")</f>
        <v>N</v>
      </c>
      <c r="ES73" s="0" t="str">
        <f aca="false">IF(COUNTIFS($AP$2:$AP$1000,AP73,$ER$2:$ER$1000,"Y")+COUNTIFS($AP$2:$AP$1000,AP73,$T$2:$T$1000,"Y")&gt;0,"Y","N")</f>
        <v>N</v>
      </c>
      <c r="ET73" s="0" t="str">
        <f aca="false">IF(AND(U73="new",T73="N",AT73="Y",AS73="",ES73="N"),"Y","N")</f>
        <v>N</v>
      </c>
      <c r="EU73" s="0" t="str">
        <f aca="false">IF(ET73&lt;&gt;"Y","N",IF(COUNTIFS($AP$2:$AP$1000,AP73,$ET$2:$ET$1000,"Y",$J$2:$J$1000,"&gt;"&amp;J73)+COUNTIFS($AP$2:$AP$1000,AP73,$ET$2:$ET$1000,"Y",$J$2:$J$1000,J73,$EW$2:$EW$1000,"&lt;"&amp;EW73)=0,"Y","N"))</f>
        <v>N</v>
      </c>
      <c r="EV73" s="0" t="str">
        <f aca="false">IF(Y73="","N",IF(Y73&lt;=10,"Y","N"))</f>
        <v>N</v>
      </c>
      <c r="EW73" s="6" t="n">
        <f aca="false">ROW()-1</f>
        <v>72</v>
      </c>
    </row>
    <row r="74" customFormat="false" ht="15" hidden="false" customHeight="false" outlineLevel="0" collapsed="false">
      <c r="A74" s="0" t="s">
        <v>1851</v>
      </c>
      <c r="B74" s="0" t="s">
        <v>1852</v>
      </c>
      <c r="H74" s="5" t="s">
        <v>158</v>
      </c>
      <c r="I74" s="5" t="s">
        <v>159</v>
      </c>
      <c r="J74" s="6" t="n">
        <f aca="false">IF(AX74="pass",ROUND(CU74+CV74+CW74+CX74+CY74+CZ74,1),0)</f>
        <v>40.2</v>
      </c>
      <c r="K74" s="6" t="s">
        <v>1853</v>
      </c>
      <c r="L74" s="6" t="s">
        <v>161</v>
      </c>
      <c r="R74" s="5" t="s">
        <v>162</v>
      </c>
      <c r="S74" s="6" t="s">
        <v>163</v>
      </c>
      <c r="T74" s="5" t="s">
        <v>162</v>
      </c>
      <c r="U74" s="5" t="s">
        <v>228</v>
      </c>
      <c r="V74" s="6" t="s">
        <v>1854</v>
      </c>
      <c r="W74" s="6" t="s">
        <v>166</v>
      </c>
      <c r="X74" s="6" t="s">
        <v>167</v>
      </c>
      <c r="Y74" s="0" t="str">
        <f aca="false">IF(EU74&lt;&gt;"Y","",COUNTIFS($EU$2:$EU$1000,"Y",$J$2:$J$1000,"&gt;"&amp;J74)+COUNTIFS($EU$2:$EU$1000,"Y",$J$2:$J$1000,J74,$EW$2:$EW$1000,"&lt;"&amp;EW74)+1)</f>
        <v/>
      </c>
      <c r="Z74" s="0" t="n">
        <v>73</v>
      </c>
      <c r="AA74" s="6" t="s">
        <v>162</v>
      </c>
      <c r="AD74" s="6" t="s">
        <v>158</v>
      </c>
      <c r="AH74" s="5" t="s">
        <v>158</v>
      </c>
      <c r="AI74" s="6" t="s">
        <v>1855</v>
      </c>
      <c r="AJ74" s="6" t="s">
        <v>650</v>
      </c>
      <c r="AK74" s="6" t="s">
        <v>178</v>
      </c>
      <c r="AL74" s="0" t="n">
        <v>21</v>
      </c>
      <c r="AM74" s="0" t="n">
        <v>427</v>
      </c>
      <c r="AN74" s="6" t="s">
        <v>179</v>
      </c>
      <c r="AO74" s="6" t="s">
        <v>163</v>
      </c>
      <c r="AP74" s="6" t="s">
        <v>1851</v>
      </c>
      <c r="AQ74" s="5" t="s">
        <v>162</v>
      </c>
      <c r="AT74" s="0" t="str">
        <f aca="false">IF(AND(AX74="pass",AQ74&lt;&gt;"Y",C74&lt;&gt;"",OR(AW74&lt;&gt;"Y",AV74="Y")),"Y","N")</f>
        <v>N</v>
      </c>
      <c r="AU74" s="0" t="str">
        <f aca="false">_xlfn.TEXTJOIN("; ",TRUE(),IF(AX74&lt;&gt;"pass","gated out",""),IF(AQ74="Y","on hold: "&amp;AR74,""),IF(C74="","no contact named on an opened page",""),IF(AND(AW74="Y",AV74&lt;&gt;"Y"),"Tuesday estimate band "&amp;L74&amp;": founder's call",""))</f>
        <v>no contact named on an opened page</v>
      </c>
      <c r="AW74" s="6" t="s">
        <v>162</v>
      </c>
      <c r="AX74" s="6" t="s">
        <v>181</v>
      </c>
      <c r="AY74" s="6" t="s">
        <v>182</v>
      </c>
      <c r="AZ74" s="6" t="s">
        <v>1</v>
      </c>
      <c r="BA74" s="6" t="s">
        <v>1856</v>
      </c>
      <c r="BB74" s="6" t="s">
        <v>1857</v>
      </c>
      <c r="BC74" s="6" t="s">
        <v>1737</v>
      </c>
      <c r="BD74" s="6" t="s">
        <v>1858</v>
      </c>
      <c r="BF74" s="6" t="s">
        <v>1323</v>
      </c>
      <c r="BG74" s="6" t="s">
        <v>188</v>
      </c>
      <c r="BH74" s="6" t="s">
        <v>189</v>
      </c>
      <c r="BI74" s="6" t="s">
        <v>1859</v>
      </c>
      <c r="BK74" s="6" t="s">
        <v>1264</v>
      </c>
      <c r="BL74" s="6" t="s">
        <v>163</v>
      </c>
      <c r="BM74" s="6" t="s">
        <v>163</v>
      </c>
      <c r="BN74" s="6" t="s">
        <v>163</v>
      </c>
      <c r="BO74" s="6" t="s">
        <v>163</v>
      </c>
      <c r="BP74" s="6" t="s">
        <v>378</v>
      </c>
      <c r="BQ74" s="0" t="n">
        <v>40.740157</v>
      </c>
      <c r="BR74" s="0" t="n">
        <v>-73.993377</v>
      </c>
      <c r="BS74" s="6" t="s">
        <v>168</v>
      </c>
      <c r="BT74" s="0" t="n">
        <v>0</v>
      </c>
      <c r="BU74" s="6" t="s">
        <v>1860</v>
      </c>
      <c r="BV74" s="6" t="s">
        <v>1861</v>
      </c>
      <c r="BW74" s="6" t="s">
        <v>1854</v>
      </c>
      <c r="BX74" s="6" t="s">
        <v>166</v>
      </c>
      <c r="BY74" s="6" t="s">
        <v>196</v>
      </c>
      <c r="BZ74" s="6" t="s">
        <v>1862</v>
      </c>
      <c r="CA74" s="6" t="s">
        <v>1863</v>
      </c>
      <c r="CC74" s="6" t="s">
        <v>739</v>
      </c>
      <c r="CE74" s="6" t="s">
        <v>162</v>
      </c>
      <c r="CH74" s="6" t="s">
        <v>163</v>
      </c>
      <c r="CJ74" s="6" t="s">
        <v>163</v>
      </c>
      <c r="CK74" s="6" t="s">
        <v>162</v>
      </c>
      <c r="CL74" s="6" t="s">
        <v>163</v>
      </c>
      <c r="CO74" s="0" t="n">
        <v>95</v>
      </c>
      <c r="CP74" s="6" t="s">
        <v>768</v>
      </c>
      <c r="CQ74" s="6" t="s">
        <v>1864</v>
      </c>
      <c r="CR74" s="6" t="s">
        <v>206</v>
      </c>
      <c r="CS74" s="0" t="n">
        <v>0.61</v>
      </c>
      <c r="CT74" s="0" t="n">
        <v>40.2</v>
      </c>
      <c r="CU74" s="0" t="n">
        <v>15.2</v>
      </c>
      <c r="CV74" s="0" t="n">
        <v>6</v>
      </c>
      <c r="CW74" s="0" t="n">
        <v>6</v>
      </c>
      <c r="CX74" s="0" t="n">
        <v>13</v>
      </c>
      <c r="CY74" s="6" t="n">
        <f aca="false">IF(AH74="exact",10,IF(AH74="adjacent",5,0))</f>
        <v>0</v>
      </c>
      <c r="CZ74" s="6" t="n">
        <f aca="false">IF(R74="Y",15,0)</f>
        <v>0</v>
      </c>
      <c r="DF74" s="6" t="s">
        <v>158</v>
      </c>
      <c r="DG74" s="6" t="s">
        <v>1336</v>
      </c>
      <c r="DH74" s="6" t="s">
        <v>1337</v>
      </c>
      <c r="DI74" s="6" t="s">
        <v>162</v>
      </c>
      <c r="DJ74" s="6" t="s">
        <v>1865</v>
      </c>
      <c r="DK74" s="6" t="s">
        <v>1866</v>
      </c>
      <c r="DS74" s="6" t="s">
        <v>158</v>
      </c>
      <c r="DX74" s="6" t="s">
        <v>162</v>
      </c>
      <c r="ER74" s="0" t="str">
        <f aca="false">IF(ISNUMBER(MATCH(U74,{"queued","contacted","replied","call_booked","call_done","yes_in_principle","materials_sent"},0)),"Y","N")</f>
        <v>N</v>
      </c>
      <c r="ES74" s="0" t="str">
        <f aca="false">IF(COUNTIFS($AP$2:$AP$1000,AP74,$ER$2:$ER$1000,"Y")+COUNTIFS($AP$2:$AP$1000,AP74,$T$2:$T$1000,"Y")&gt;0,"Y","N")</f>
        <v>N</v>
      </c>
      <c r="ET74" s="0" t="str">
        <f aca="false">IF(AND(U74="new",T74="N",AT74="Y",AS74="",ES74="N"),"Y","N")</f>
        <v>N</v>
      </c>
      <c r="EU74" s="0" t="str">
        <f aca="false">IF(ET74&lt;&gt;"Y","N",IF(COUNTIFS($AP$2:$AP$1000,AP74,$ET$2:$ET$1000,"Y",$J$2:$J$1000,"&gt;"&amp;J74)+COUNTIFS($AP$2:$AP$1000,AP74,$ET$2:$ET$1000,"Y",$J$2:$J$1000,J74,$EW$2:$EW$1000,"&lt;"&amp;EW74)=0,"Y","N"))</f>
        <v>N</v>
      </c>
      <c r="EV74" s="0" t="str">
        <f aca="false">IF(Y74="","N",IF(Y74&lt;=10,"Y","N"))</f>
        <v>N</v>
      </c>
      <c r="EW74" s="6" t="n">
        <f aca="false">ROW()-1</f>
        <v>73</v>
      </c>
    </row>
    <row r="75" customFormat="false" ht="15" hidden="false" customHeight="false" outlineLevel="0" collapsed="false">
      <c r="A75" s="0" t="s">
        <v>1867</v>
      </c>
      <c r="B75" s="0" t="s">
        <v>1868</v>
      </c>
      <c r="H75" s="5" t="s">
        <v>158</v>
      </c>
      <c r="I75" s="5" t="s">
        <v>159</v>
      </c>
      <c r="J75" s="6" t="n">
        <f aca="false">IF(AX75="pass",ROUND(CU75+CV75+CW75+CX75+CY75+CZ75,1),0)</f>
        <v>40.1</v>
      </c>
      <c r="K75" s="6" t="s">
        <v>1869</v>
      </c>
      <c r="L75" s="6" t="s">
        <v>561</v>
      </c>
      <c r="R75" s="5" t="s">
        <v>162</v>
      </c>
      <c r="S75" s="6" t="s">
        <v>163</v>
      </c>
      <c r="T75" s="5" t="s">
        <v>162</v>
      </c>
      <c r="U75" s="5" t="s">
        <v>228</v>
      </c>
      <c r="V75" s="6" t="s">
        <v>1870</v>
      </c>
      <c r="W75" s="6" t="s">
        <v>166</v>
      </c>
      <c r="X75" s="6" t="s">
        <v>167</v>
      </c>
      <c r="Y75" s="0" t="str">
        <f aca="false">IF(EU75&lt;&gt;"Y","",COUNTIFS($EU$2:$EU$1000,"Y",$J$2:$J$1000,"&gt;"&amp;J75)+COUNTIFS($EU$2:$EU$1000,"Y",$J$2:$J$1000,J75,$EW$2:$EW$1000,"&lt;"&amp;EW75)+1)</f>
        <v/>
      </c>
      <c r="Z75" s="0" t="n">
        <v>74</v>
      </c>
      <c r="AA75" s="6" t="s">
        <v>162</v>
      </c>
      <c r="AB75" s="6" t="s">
        <v>1562</v>
      </c>
      <c r="AD75" s="6" t="s">
        <v>158</v>
      </c>
      <c r="AH75" s="5" t="s">
        <v>158</v>
      </c>
      <c r="AI75" s="6" t="s">
        <v>1871</v>
      </c>
      <c r="AJ75" s="6" t="s">
        <v>163</v>
      </c>
      <c r="AK75" s="6" t="s">
        <v>435</v>
      </c>
      <c r="AL75" s="0" t="n">
        <v>22</v>
      </c>
      <c r="AM75" s="0" t="n">
        <v>60</v>
      </c>
      <c r="AN75" s="6" t="s">
        <v>179</v>
      </c>
      <c r="AO75" s="6" t="s">
        <v>370</v>
      </c>
      <c r="AP75" s="6" t="s">
        <v>1867</v>
      </c>
      <c r="AQ75" s="5" t="s">
        <v>162</v>
      </c>
      <c r="AT75" s="0" t="str">
        <f aca="false">IF(AND(AX75="pass",AQ75&lt;&gt;"Y",C75&lt;&gt;"",OR(AW75&lt;&gt;"Y",AV75="Y")),"Y","N")</f>
        <v>N</v>
      </c>
      <c r="AU75" s="0" t="str">
        <f aca="false">_xlfn.TEXTJOIN("; ",TRUE(),IF(AX75&lt;&gt;"pass","gated out",""),IF(AQ75="Y","on hold: "&amp;AR75,""),IF(C75="","no contact named on an opened page",""),IF(AND(AW75="Y",AV75&lt;&gt;"Y"),"Tuesday estimate band "&amp;L75&amp;": founder's call",""))</f>
        <v>no contact named on an opened page; Tuesday estimate band under-40: founder's call</v>
      </c>
      <c r="AW75" s="6" t="s">
        <v>168</v>
      </c>
      <c r="AX75" s="6" t="s">
        <v>181</v>
      </c>
      <c r="AY75" s="6" t="s">
        <v>182</v>
      </c>
      <c r="AZ75" s="6" t="s">
        <v>1</v>
      </c>
      <c r="BA75" s="6" t="s">
        <v>1872</v>
      </c>
      <c r="BB75" s="6" t="s">
        <v>1873</v>
      </c>
      <c r="BC75" s="6" t="s">
        <v>1874</v>
      </c>
      <c r="BD75" s="6" t="s">
        <v>1875</v>
      </c>
      <c r="BE75" s="6" t="s">
        <v>1876</v>
      </c>
      <c r="BF75" s="6" t="s">
        <v>163</v>
      </c>
      <c r="BG75" s="6" t="s">
        <v>163</v>
      </c>
      <c r="BH75" s="6" t="s">
        <v>280</v>
      </c>
      <c r="BI75" s="6" t="s">
        <v>1877</v>
      </c>
      <c r="BJ75" s="6" t="s">
        <v>1878</v>
      </c>
      <c r="BK75" s="6" t="s">
        <v>191</v>
      </c>
      <c r="BL75" s="6" t="s">
        <v>192</v>
      </c>
      <c r="BM75" s="6" t="s">
        <v>168</v>
      </c>
      <c r="BN75" s="6" t="s">
        <v>163</v>
      </c>
      <c r="BO75" s="6" t="s">
        <v>163</v>
      </c>
      <c r="BP75" s="6" t="s">
        <v>378</v>
      </c>
      <c r="BQ75" s="0" t="n">
        <v>40.738793</v>
      </c>
      <c r="BR75" s="0" t="n">
        <v>-73.991823</v>
      </c>
      <c r="BS75" s="6" t="s">
        <v>168</v>
      </c>
      <c r="BT75" s="0" t="n">
        <v>0</v>
      </c>
      <c r="BU75" s="6" t="s">
        <v>1879</v>
      </c>
      <c r="BV75" s="6" t="s">
        <v>1880</v>
      </c>
      <c r="BW75" s="6" t="s">
        <v>1870</v>
      </c>
      <c r="BX75" s="6" t="s">
        <v>1881</v>
      </c>
      <c r="BY75" s="6" t="s">
        <v>248</v>
      </c>
      <c r="CC75" s="6" t="s">
        <v>179</v>
      </c>
      <c r="CE75" s="6" t="s">
        <v>162</v>
      </c>
      <c r="CH75" s="6" t="s">
        <v>163</v>
      </c>
      <c r="CJ75" s="6" t="s">
        <v>163</v>
      </c>
      <c r="CK75" s="6" t="s">
        <v>168</v>
      </c>
      <c r="CL75" s="6" t="s">
        <v>1882</v>
      </c>
      <c r="CM75" s="6" t="s">
        <v>1883</v>
      </c>
      <c r="CN75" s="6" t="s">
        <v>174</v>
      </c>
      <c r="CO75" s="0" t="n">
        <v>36</v>
      </c>
      <c r="CP75" s="6" t="s">
        <v>578</v>
      </c>
      <c r="CQ75" s="6" t="s">
        <v>1884</v>
      </c>
      <c r="CR75" s="6" t="s">
        <v>206</v>
      </c>
      <c r="CS75" s="0" t="n">
        <v>0.4</v>
      </c>
      <c r="CT75" s="0" t="n">
        <v>40.1</v>
      </c>
      <c r="CU75" s="0" t="n">
        <v>10.1</v>
      </c>
      <c r="CV75" s="0" t="n">
        <v>15</v>
      </c>
      <c r="CW75" s="0" t="n">
        <v>10</v>
      </c>
      <c r="CX75" s="0" t="n">
        <v>5</v>
      </c>
      <c r="CY75" s="6" t="n">
        <f aca="false">IF(AH75="exact",10,IF(AH75="adjacent",5,0))</f>
        <v>0</v>
      </c>
      <c r="CZ75" s="6" t="n">
        <f aca="false">IF(R75="Y",15,0)</f>
        <v>0</v>
      </c>
      <c r="DF75" s="6" t="s">
        <v>158</v>
      </c>
      <c r="DG75" s="6" t="s">
        <v>211</v>
      </c>
      <c r="DK75" s="6" t="s">
        <v>1885</v>
      </c>
      <c r="DS75" s="6" t="s">
        <v>158</v>
      </c>
      <c r="DX75" s="6" t="s">
        <v>162</v>
      </c>
      <c r="ER75" s="0" t="str">
        <f aca="false">IF(ISNUMBER(MATCH(U75,{"queued","contacted","replied","call_booked","call_done","yes_in_principle","materials_sent"},0)),"Y","N")</f>
        <v>N</v>
      </c>
      <c r="ES75" s="0" t="str">
        <f aca="false">IF(COUNTIFS($AP$2:$AP$1000,AP75,$ER$2:$ER$1000,"Y")+COUNTIFS($AP$2:$AP$1000,AP75,$T$2:$T$1000,"Y")&gt;0,"Y","N")</f>
        <v>N</v>
      </c>
      <c r="ET75" s="0" t="str">
        <f aca="false">IF(AND(U75="new",T75="N",AT75="Y",AS75="",ES75="N"),"Y","N")</f>
        <v>N</v>
      </c>
      <c r="EU75" s="0" t="str">
        <f aca="false">IF(ET75&lt;&gt;"Y","N",IF(COUNTIFS($AP$2:$AP$1000,AP75,$ET$2:$ET$1000,"Y",$J$2:$J$1000,"&gt;"&amp;J75)+COUNTIFS($AP$2:$AP$1000,AP75,$ET$2:$ET$1000,"Y",$J$2:$J$1000,J75,$EW$2:$EW$1000,"&lt;"&amp;EW75)=0,"Y","N"))</f>
        <v>N</v>
      </c>
      <c r="EV75" s="0" t="str">
        <f aca="false">IF(Y75="","N",IF(Y75&lt;=10,"Y","N"))</f>
        <v>N</v>
      </c>
      <c r="EW75" s="6" t="n">
        <f aca="false">ROW()-1</f>
        <v>74</v>
      </c>
    </row>
    <row r="76" customFormat="false" ht="15" hidden="false" customHeight="false" outlineLevel="0" collapsed="false">
      <c r="A76" s="0" t="s">
        <v>1886</v>
      </c>
      <c r="B76" s="0" t="s">
        <v>1887</v>
      </c>
      <c r="H76" s="5" t="s">
        <v>158</v>
      </c>
      <c r="I76" s="5" t="s">
        <v>159</v>
      </c>
      <c r="J76" s="6" t="n">
        <f aca="false">IF(AX76="pass",ROUND(CU76+CV76+CW76+CX76+CY76+CZ76,1),0)</f>
        <v>40</v>
      </c>
      <c r="K76" s="6" t="s">
        <v>1888</v>
      </c>
      <c r="L76" s="6" t="s">
        <v>161</v>
      </c>
      <c r="R76" s="5" t="s">
        <v>162</v>
      </c>
      <c r="S76" s="6" t="s">
        <v>163</v>
      </c>
      <c r="T76" s="5" t="s">
        <v>162</v>
      </c>
      <c r="U76" s="5" t="s">
        <v>228</v>
      </c>
      <c r="V76" s="6" t="s">
        <v>1889</v>
      </c>
      <c r="W76" s="6" t="s">
        <v>166</v>
      </c>
      <c r="X76" s="6" t="s">
        <v>167</v>
      </c>
      <c r="Y76" s="0" t="str">
        <f aca="false">IF(EU76&lt;&gt;"Y","",COUNTIFS($EU$2:$EU$1000,"Y",$J$2:$J$1000,"&gt;"&amp;J76)+COUNTIFS($EU$2:$EU$1000,"Y",$J$2:$J$1000,J76,$EW$2:$EW$1000,"&lt;"&amp;EW76)+1)</f>
        <v/>
      </c>
      <c r="Z76" s="0" t="n">
        <v>75</v>
      </c>
      <c r="AA76" s="6" t="s">
        <v>162</v>
      </c>
      <c r="AD76" s="6" t="s">
        <v>158</v>
      </c>
      <c r="AH76" s="5" t="s">
        <v>158</v>
      </c>
      <c r="AI76" s="6" t="s">
        <v>1890</v>
      </c>
      <c r="AJ76" s="6" t="s">
        <v>889</v>
      </c>
      <c r="AK76" s="6" t="s">
        <v>435</v>
      </c>
      <c r="AL76" s="0" t="n">
        <v>67</v>
      </c>
      <c r="AM76" s="0" t="n">
        <v>218</v>
      </c>
      <c r="AN76" s="6" t="s">
        <v>179</v>
      </c>
      <c r="AO76" s="6" t="s">
        <v>1033</v>
      </c>
      <c r="AP76" s="6" t="s">
        <v>1886</v>
      </c>
      <c r="AQ76" s="5" t="s">
        <v>162</v>
      </c>
      <c r="AT76" s="0" t="str">
        <f aca="false">IF(AND(AX76="pass",AQ76&lt;&gt;"Y",C76&lt;&gt;"",OR(AW76&lt;&gt;"Y",AV76="Y")),"Y","N")</f>
        <v>N</v>
      </c>
      <c r="AU76" s="0" t="str">
        <f aca="false">_xlfn.TEXTJOIN("; ",TRUE(),IF(AX76&lt;&gt;"pass","gated out",""),IF(AQ76="Y","on hold: "&amp;AR76,""),IF(C76="","no contact named on an opened page",""),IF(AND(AW76="Y",AV76&lt;&gt;"Y"),"Tuesday estimate band "&amp;L76&amp;": founder's call",""))</f>
        <v>no contact named on an opened page</v>
      </c>
      <c r="AW76" s="6" t="s">
        <v>162</v>
      </c>
      <c r="AX76" s="6" t="s">
        <v>181</v>
      </c>
      <c r="AY76" s="6" t="s">
        <v>182</v>
      </c>
      <c r="AZ76" s="6" t="s">
        <v>1</v>
      </c>
      <c r="BA76" s="6" t="s">
        <v>1891</v>
      </c>
      <c r="BB76" s="6" t="s">
        <v>1892</v>
      </c>
      <c r="BC76" s="6" t="s">
        <v>1893</v>
      </c>
      <c r="BD76" s="6" t="s">
        <v>279</v>
      </c>
      <c r="BE76" s="6" t="s">
        <v>1894</v>
      </c>
      <c r="BF76" s="6" t="s">
        <v>163</v>
      </c>
      <c r="BG76" s="6" t="s">
        <v>163</v>
      </c>
      <c r="BH76" s="6" t="s">
        <v>280</v>
      </c>
      <c r="BI76" s="6" t="s">
        <v>1895</v>
      </c>
      <c r="BJ76" s="6" t="s">
        <v>1896</v>
      </c>
      <c r="BK76" s="6" t="s">
        <v>191</v>
      </c>
      <c r="BL76" s="6" t="s">
        <v>192</v>
      </c>
      <c r="BM76" s="6" t="s">
        <v>168</v>
      </c>
      <c r="BN76" s="6" t="s">
        <v>163</v>
      </c>
      <c r="BO76" s="6" t="s">
        <v>163</v>
      </c>
      <c r="BP76" s="6" t="s">
        <v>347</v>
      </c>
      <c r="BQ76" s="0" t="n">
        <v>40.741355</v>
      </c>
      <c r="BR76" s="0" t="n">
        <v>-73.990598</v>
      </c>
      <c r="BS76" s="6" t="s">
        <v>168</v>
      </c>
      <c r="BT76" s="0" t="n">
        <v>0</v>
      </c>
      <c r="BU76" s="6" t="s">
        <v>1897</v>
      </c>
      <c r="BV76" s="6" t="s">
        <v>1890</v>
      </c>
      <c r="BW76" s="6" t="s">
        <v>1889</v>
      </c>
      <c r="BX76" s="6" t="s">
        <v>1898</v>
      </c>
      <c r="BY76" s="6" t="s">
        <v>248</v>
      </c>
      <c r="CC76" s="6" t="s">
        <v>179</v>
      </c>
      <c r="CE76" s="6" t="s">
        <v>162</v>
      </c>
      <c r="CH76" s="6" t="s">
        <v>163</v>
      </c>
      <c r="CJ76" s="6" t="s">
        <v>163</v>
      </c>
      <c r="CK76" s="6" t="s">
        <v>162</v>
      </c>
      <c r="CL76" s="6" t="s">
        <v>1899</v>
      </c>
      <c r="CM76" s="6" t="s">
        <v>1900</v>
      </c>
      <c r="CN76" s="6" t="s">
        <v>174</v>
      </c>
      <c r="CO76" s="0" t="n">
        <v>121</v>
      </c>
      <c r="CQ76" s="6" t="s">
        <v>1901</v>
      </c>
      <c r="CR76" s="6" t="s">
        <v>206</v>
      </c>
      <c r="CS76" s="0" t="n">
        <v>1</v>
      </c>
      <c r="CT76" s="0" t="n">
        <v>40</v>
      </c>
      <c r="CU76" s="0" t="n">
        <v>25</v>
      </c>
      <c r="CV76" s="0" t="n">
        <v>15</v>
      </c>
      <c r="CW76" s="0" t="n">
        <v>-5</v>
      </c>
      <c r="CX76" s="0" t="n">
        <v>5</v>
      </c>
      <c r="CY76" s="6" t="n">
        <f aca="false">IF(AH76="exact",10,IF(AH76="adjacent",5,0))</f>
        <v>0</v>
      </c>
      <c r="CZ76" s="6" t="n">
        <f aca="false">IF(R76="Y",15,0)</f>
        <v>0</v>
      </c>
      <c r="DF76" s="6" t="s">
        <v>158</v>
      </c>
      <c r="DG76" s="6" t="s">
        <v>211</v>
      </c>
      <c r="DJ76" s="6" t="s">
        <v>1590</v>
      </c>
      <c r="DK76" s="6" t="s">
        <v>1902</v>
      </c>
      <c r="DS76" s="6" t="s">
        <v>158</v>
      </c>
      <c r="DX76" s="6" t="s">
        <v>162</v>
      </c>
      <c r="ER76" s="0" t="str">
        <f aca="false">IF(ISNUMBER(MATCH(U76,{"queued","contacted","replied","call_booked","call_done","yes_in_principle","materials_sent"},0)),"Y","N")</f>
        <v>N</v>
      </c>
      <c r="ES76" s="0" t="str">
        <f aca="false">IF(COUNTIFS($AP$2:$AP$1000,AP76,$ER$2:$ER$1000,"Y")+COUNTIFS($AP$2:$AP$1000,AP76,$T$2:$T$1000,"Y")&gt;0,"Y","N")</f>
        <v>N</v>
      </c>
      <c r="ET76" s="0" t="str">
        <f aca="false">IF(AND(U76="new",T76="N",AT76="Y",AS76="",ES76="N"),"Y","N")</f>
        <v>N</v>
      </c>
      <c r="EU76" s="0" t="str">
        <f aca="false">IF(ET76&lt;&gt;"Y","N",IF(COUNTIFS($AP$2:$AP$1000,AP76,$ET$2:$ET$1000,"Y",$J$2:$J$1000,"&gt;"&amp;J76)+COUNTIFS($AP$2:$AP$1000,AP76,$ET$2:$ET$1000,"Y",$J$2:$J$1000,J76,$EW$2:$EW$1000,"&lt;"&amp;EW76)=0,"Y","N"))</f>
        <v>N</v>
      </c>
      <c r="EV76" s="0" t="str">
        <f aca="false">IF(Y76="","N",IF(Y76&lt;=10,"Y","N"))</f>
        <v>N</v>
      </c>
      <c r="EW76" s="6" t="n">
        <f aca="false">ROW()-1</f>
        <v>75</v>
      </c>
    </row>
    <row r="77" customFormat="false" ht="15" hidden="false" customHeight="false" outlineLevel="0" collapsed="false">
      <c r="A77" s="0" t="s">
        <v>1903</v>
      </c>
      <c r="B77" s="0" t="s">
        <v>1904</v>
      </c>
      <c r="H77" s="5" t="s">
        <v>158</v>
      </c>
      <c r="I77" s="5" t="s">
        <v>159</v>
      </c>
      <c r="J77" s="6" t="n">
        <f aca="false">IF(AX77="pass",ROUND(CU77+CV77+CW77+CX77+CY77+CZ77,1),0)</f>
        <v>39.3</v>
      </c>
      <c r="K77" s="6" t="s">
        <v>1905</v>
      </c>
      <c r="L77" s="6" t="s">
        <v>161</v>
      </c>
      <c r="R77" s="5" t="s">
        <v>162</v>
      </c>
      <c r="S77" s="6" t="s">
        <v>163</v>
      </c>
      <c r="T77" s="5" t="s">
        <v>162</v>
      </c>
      <c r="U77" s="5" t="s">
        <v>228</v>
      </c>
      <c r="V77" s="6" t="s">
        <v>1075</v>
      </c>
      <c r="W77" s="6" t="s">
        <v>166</v>
      </c>
      <c r="X77" s="6" t="s">
        <v>167</v>
      </c>
      <c r="Y77" s="0" t="str">
        <f aca="false">IF(EU77&lt;&gt;"Y","",COUNTIFS($EU$2:$EU$1000,"Y",$J$2:$J$1000,"&gt;"&amp;J77)+COUNTIFS($EU$2:$EU$1000,"Y",$J$2:$J$1000,J77,$EW$2:$EW$1000,"&lt;"&amp;EW77)+1)</f>
        <v/>
      </c>
      <c r="Z77" s="0" t="n">
        <v>76</v>
      </c>
      <c r="AA77" s="6" t="s">
        <v>162</v>
      </c>
      <c r="AD77" s="6" t="s">
        <v>158</v>
      </c>
      <c r="AH77" s="5" t="s">
        <v>158</v>
      </c>
      <c r="AI77" s="6" t="s">
        <v>1065</v>
      </c>
      <c r="AJ77" s="6" t="s">
        <v>163</v>
      </c>
      <c r="AK77" s="6" t="s">
        <v>178</v>
      </c>
      <c r="AL77" s="0" t="n">
        <v>27</v>
      </c>
      <c r="AM77" s="0" t="n">
        <v>542</v>
      </c>
      <c r="AN77" s="6" t="s">
        <v>179</v>
      </c>
      <c r="AO77" s="6" t="s">
        <v>862</v>
      </c>
      <c r="AP77" s="6" t="s">
        <v>1903</v>
      </c>
      <c r="AQ77" s="5" t="s">
        <v>162</v>
      </c>
      <c r="AT77" s="0" t="str">
        <f aca="false">IF(AND(AX77="pass",AQ77&lt;&gt;"Y",C77&lt;&gt;"",OR(AW77&lt;&gt;"Y",AV77="Y")),"Y","N")</f>
        <v>N</v>
      </c>
      <c r="AU77" s="0" t="str">
        <f aca="false">_xlfn.TEXTJOIN("; ",TRUE(),IF(AX77&lt;&gt;"pass","gated out",""),IF(AQ77="Y","on hold: "&amp;AR77,""),IF(C77="","no contact named on an opened page",""),IF(AND(AW77="Y",AV77&lt;&gt;"Y"),"Tuesday estimate band "&amp;L77&amp;": founder's call",""))</f>
        <v>no contact named on an opened page</v>
      </c>
      <c r="AW77" s="6" t="s">
        <v>162</v>
      </c>
      <c r="AX77" s="6" t="s">
        <v>181</v>
      </c>
      <c r="AY77" s="6" t="s">
        <v>182</v>
      </c>
      <c r="AZ77" s="6" t="s">
        <v>1</v>
      </c>
      <c r="BA77" s="6" t="s">
        <v>1906</v>
      </c>
      <c r="BB77" s="6" t="s">
        <v>1907</v>
      </c>
      <c r="BC77" s="6" t="s">
        <v>1908</v>
      </c>
      <c r="BD77" s="6" t="s">
        <v>1909</v>
      </c>
      <c r="BF77" s="6" t="s">
        <v>1323</v>
      </c>
      <c r="BG77" s="6" t="s">
        <v>188</v>
      </c>
      <c r="BH77" s="6" t="s">
        <v>189</v>
      </c>
      <c r="BI77" s="6" t="s">
        <v>1910</v>
      </c>
      <c r="BK77" s="6" t="s">
        <v>1264</v>
      </c>
      <c r="BL77" s="6" t="s">
        <v>163</v>
      </c>
      <c r="BM77" s="6" t="s">
        <v>163</v>
      </c>
      <c r="BN77" s="6" t="s">
        <v>163</v>
      </c>
      <c r="BO77" s="6" t="s">
        <v>163</v>
      </c>
      <c r="BP77" s="6" t="s">
        <v>347</v>
      </c>
      <c r="BQ77" s="0" t="n">
        <v>40.742199</v>
      </c>
      <c r="BR77" s="0" t="n">
        <v>-73.99172</v>
      </c>
      <c r="BS77" s="6" t="s">
        <v>168</v>
      </c>
      <c r="BT77" s="0" t="n">
        <v>0</v>
      </c>
      <c r="BU77" s="6" t="s">
        <v>1073</v>
      </c>
      <c r="BV77" s="6" t="s">
        <v>1074</v>
      </c>
      <c r="BW77" s="6" t="s">
        <v>1075</v>
      </c>
      <c r="BX77" s="6" t="s">
        <v>1076</v>
      </c>
      <c r="BY77" s="6" t="s">
        <v>248</v>
      </c>
      <c r="BZ77" s="6" t="s">
        <v>1910</v>
      </c>
      <c r="CA77" s="6" t="s">
        <v>166</v>
      </c>
      <c r="CC77" s="6" t="s">
        <v>739</v>
      </c>
      <c r="CE77" s="6" t="s">
        <v>162</v>
      </c>
      <c r="CH77" s="6" t="s">
        <v>201</v>
      </c>
      <c r="CI77" s="6" t="s">
        <v>1075</v>
      </c>
      <c r="CJ77" s="6" t="s">
        <v>163</v>
      </c>
      <c r="CK77" s="6" t="s">
        <v>162</v>
      </c>
      <c r="CL77" s="6" t="s">
        <v>1911</v>
      </c>
      <c r="CM77" s="6" t="s">
        <v>1910</v>
      </c>
      <c r="CN77" s="6" t="s">
        <v>174</v>
      </c>
      <c r="CO77" s="0" t="n">
        <v>121</v>
      </c>
      <c r="CP77" s="6" t="s">
        <v>768</v>
      </c>
      <c r="CQ77" s="6" t="s">
        <v>1912</v>
      </c>
      <c r="CR77" s="6" t="s">
        <v>206</v>
      </c>
      <c r="CS77" s="0" t="n">
        <v>0.61</v>
      </c>
      <c r="CT77" s="0" t="n">
        <v>39.3</v>
      </c>
      <c r="CU77" s="0" t="n">
        <v>15.3</v>
      </c>
      <c r="CV77" s="0" t="n">
        <v>6</v>
      </c>
      <c r="CW77" s="0" t="n">
        <v>5</v>
      </c>
      <c r="CX77" s="0" t="n">
        <v>13</v>
      </c>
      <c r="CY77" s="6" t="n">
        <f aca="false">IF(AH77="exact",10,IF(AH77="adjacent",5,0))</f>
        <v>0</v>
      </c>
      <c r="CZ77" s="6" t="n">
        <f aca="false">IF(R77="Y",15,0)</f>
        <v>0</v>
      </c>
      <c r="DF77" s="6" t="s">
        <v>158</v>
      </c>
      <c r="DG77" s="6" t="s">
        <v>1336</v>
      </c>
      <c r="DH77" s="6" t="s">
        <v>1337</v>
      </c>
      <c r="DI77" s="6" t="s">
        <v>162</v>
      </c>
      <c r="DK77" s="6" t="s">
        <v>1913</v>
      </c>
      <c r="DS77" s="6" t="s">
        <v>158</v>
      </c>
      <c r="DX77" s="6" t="s">
        <v>162</v>
      </c>
      <c r="ER77" s="0" t="str">
        <f aca="false">IF(ISNUMBER(MATCH(U77,{"queued","contacted","replied","call_booked","call_done","yes_in_principle","materials_sent"},0)),"Y","N")</f>
        <v>N</v>
      </c>
      <c r="ES77" s="0" t="str">
        <f aca="false">IF(COUNTIFS($AP$2:$AP$1000,AP77,$ER$2:$ER$1000,"Y")+COUNTIFS($AP$2:$AP$1000,AP77,$T$2:$T$1000,"Y")&gt;0,"Y","N")</f>
        <v>N</v>
      </c>
      <c r="ET77" s="0" t="str">
        <f aca="false">IF(AND(U77="new",T77="N",AT77="Y",AS77="",ES77="N"),"Y","N")</f>
        <v>N</v>
      </c>
      <c r="EU77" s="0" t="str">
        <f aca="false">IF(ET77&lt;&gt;"Y","N",IF(COUNTIFS($AP$2:$AP$1000,AP77,$ET$2:$ET$1000,"Y",$J$2:$J$1000,"&gt;"&amp;J77)+COUNTIFS($AP$2:$AP$1000,AP77,$ET$2:$ET$1000,"Y",$J$2:$J$1000,J77,$EW$2:$EW$1000,"&lt;"&amp;EW77)=0,"Y","N"))</f>
        <v>N</v>
      </c>
      <c r="EV77" s="0" t="str">
        <f aca="false">IF(Y77="","N",IF(Y77&lt;=10,"Y","N"))</f>
        <v>N</v>
      </c>
      <c r="EW77" s="6" t="n">
        <f aca="false">ROW()-1</f>
        <v>76</v>
      </c>
    </row>
    <row r="78" customFormat="false" ht="15" hidden="false" customHeight="false" outlineLevel="0" collapsed="false">
      <c r="A78" s="0" t="s">
        <v>1914</v>
      </c>
      <c r="B78" s="0" t="s">
        <v>1915</v>
      </c>
      <c r="H78" s="5" t="s">
        <v>158</v>
      </c>
      <c r="I78" s="5" t="s">
        <v>159</v>
      </c>
      <c r="J78" s="6" t="n">
        <f aca="false">IF(AX78="pass",ROUND(CU78+CV78+CW78+CX78+CY78+CZ78,1),0)</f>
        <v>39.3</v>
      </c>
      <c r="K78" s="6" t="s">
        <v>1916</v>
      </c>
      <c r="L78" s="6" t="s">
        <v>161</v>
      </c>
      <c r="R78" s="5" t="s">
        <v>162</v>
      </c>
      <c r="S78" s="6" t="s">
        <v>163</v>
      </c>
      <c r="T78" s="5" t="s">
        <v>162</v>
      </c>
      <c r="U78" s="5" t="s">
        <v>228</v>
      </c>
      <c r="V78" s="6" t="s">
        <v>1917</v>
      </c>
      <c r="W78" s="6" t="s">
        <v>166</v>
      </c>
      <c r="X78" s="6" t="s">
        <v>167</v>
      </c>
      <c r="Y78" s="0" t="str">
        <f aca="false">IF(EU78&lt;&gt;"Y","",COUNTIFS($EU$2:$EU$1000,"Y",$J$2:$J$1000,"&gt;"&amp;J78)+COUNTIFS($EU$2:$EU$1000,"Y",$J$2:$J$1000,J78,$EW$2:$EW$1000,"&lt;"&amp;EW78)+1)</f>
        <v/>
      </c>
      <c r="Z78" s="0" t="n">
        <v>77</v>
      </c>
      <c r="AA78" s="6" t="s">
        <v>162</v>
      </c>
      <c r="AD78" s="6" t="s">
        <v>158</v>
      </c>
      <c r="AH78" s="5" t="s">
        <v>158</v>
      </c>
      <c r="AI78" s="6" t="s">
        <v>1918</v>
      </c>
      <c r="AJ78" s="6" t="s">
        <v>434</v>
      </c>
      <c r="AK78" s="6" t="s">
        <v>435</v>
      </c>
      <c r="AL78" s="0" t="n">
        <v>17</v>
      </c>
      <c r="AM78" s="0" t="n">
        <v>342</v>
      </c>
      <c r="AN78" s="6" t="s">
        <v>179</v>
      </c>
      <c r="AO78" s="6" t="s">
        <v>274</v>
      </c>
      <c r="AP78" s="6" t="s">
        <v>1914</v>
      </c>
      <c r="AQ78" s="5" t="s">
        <v>162</v>
      </c>
      <c r="AT78" s="0" t="str">
        <f aca="false">IF(AND(AX78="pass",AQ78&lt;&gt;"Y",C78&lt;&gt;"",OR(AW78&lt;&gt;"Y",AV78="Y")),"Y","N")</f>
        <v>N</v>
      </c>
      <c r="AU78" s="0" t="str">
        <f aca="false">_xlfn.TEXTJOIN("; ",TRUE(),IF(AX78&lt;&gt;"pass","gated out",""),IF(AQ78="Y","on hold: "&amp;AR78,""),IF(C78="","no contact named on an opened page",""),IF(AND(AW78="Y",AV78&lt;&gt;"Y"),"Tuesday estimate band "&amp;L78&amp;": founder's call",""))</f>
        <v>no contact named on an opened page</v>
      </c>
      <c r="AW78" s="6" t="s">
        <v>162</v>
      </c>
      <c r="AX78" s="6" t="s">
        <v>181</v>
      </c>
      <c r="AY78" s="6" t="s">
        <v>182</v>
      </c>
      <c r="AZ78" s="6" t="s">
        <v>1</v>
      </c>
      <c r="BA78" s="6" t="s">
        <v>1919</v>
      </c>
      <c r="BB78" s="6" t="s">
        <v>1920</v>
      </c>
      <c r="BC78" s="6" t="s">
        <v>1921</v>
      </c>
      <c r="BD78" s="6" t="s">
        <v>1738</v>
      </c>
      <c r="BF78" s="6" t="s">
        <v>1323</v>
      </c>
      <c r="BG78" s="6" t="s">
        <v>188</v>
      </c>
      <c r="BH78" s="6" t="s">
        <v>189</v>
      </c>
      <c r="BI78" s="6" t="s">
        <v>1917</v>
      </c>
      <c r="BK78" s="6" t="s">
        <v>1264</v>
      </c>
      <c r="BL78" s="6" t="s">
        <v>656</v>
      </c>
      <c r="BM78" s="6" t="s">
        <v>162</v>
      </c>
      <c r="BN78" s="6" t="s">
        <v>163</v>
      </c>
      <c r="BO78" s="6" t="s">
        <v>163</v>
      </c>
      <c r="BP78" s="6" t="s">
        <v>347</v>
      </c>
      <c r="BQ78" s="0" t="n">
        <v>40.743977</v>
      </c>
      <c r="BR78" s="0" t="n">
        <v>-73.99079</v>
      </c>
      <c r="BS78" s="6" t="s">
        <v>168</v>
      </c>
      <c r="BT78" s="0" t="n">
        <v>0</v>
      </c>
      <c r="BV78" s="6" t="s">
        <v>163</v>
      </c>
      <c r="BW78" s="6" t="s">
        <v>1917</v>
      </c>
      <c r="BX78" s="6" t="s">
        <v>174</v>
      </c>
      <c r="BY78" s="6" t="s">
        <v>445</v>
      </c>
      <c r="CC78" s="6" t="s">
        <v>179</v>
      </c>
      <c r="CE78" s="6" t="s">
        <v>162</v>
      </c>
      <c r="CH78" s="6" t="s">
        <v>163</v>
      </c>
      <c r="CJ78" s="6" t="s">
        <v>163</v>
      </c>
      <c r="CK78" s="6" t="s">
        <v>168</v>
      </c>
      <c r="CL78" s="6" t="s">
        <v>1922</v>
      </c>
      <c r="CM78" s="6" t="s">
        <v>1917</v>
      </c>
      <c r="CN78" s="6" t="s">
        <v>174</v>
      </c>
      <c r="CO78" s="0" t="n">
        <v>76</v>
      </c>
      <c r="CP78" s="6" t="s">
        <v>768</v>
      </c>
      <c r="CQ78" s="6" t="s">
        <v>1923</v>
      </c>
      <c r="CR78" s="6" t="s">
        <v>206</v>
      </c>
      <c r="CS78" s="0" t="n">
        <v>0.61</v>
      </c>
      <c r="CT78" s="0" t="n">
        <v>39.3</v>
      </c>
      <c r="CU78" s="0" t="n">
        <v>15.3</v>
      </c>
      <c r="CV78" s="0" t="n">
        <v>6</v>
      </c>
      <c r="CW78" s="0" t="n">
        <v>13</v>
      </c>
      <c r="CX78" s="0" t="n">
        <v>5</v>
      </c>
      <c r="CY78" s="6" t="n">
        <f aca="false">IF(AH78="exact",10,IF(AH78="adjacent",5,0))</f>
        <v>0</v>
      </c>
      <c r="CZ78" s="6" t="n">
        <f aca="false">IF(R78="Y",15,0)</f>
        <v>0</v>
      </c>
      <c r="DF78" s="6" t="s">
        <v>158</v>
      </c>
      <c r="DG78" s="6" t="s">
        <v>1336</v>
      </c>
      <c r="DH78" s="6" t="s">
        <v>1337</v>
      </c>
      <c r="DI78" s="6" t="s">
        <v>162</v>
      </c>
      <c r="DK78" s="6" t="s">
        <v>1924</v>
      </c>
      <c r="DS78" s="6" t="s">
        <v>158</v>
      </c>
      <c r="DX78" s="6" t="s">
        <v>162</v>
      </c>
      <c r="ER78" s="0" t="str">
        <f aca="false">IF(ISNUMBER(MATCH(U78,{"queued","contacted","replied","call_booked","call_done","yes_in_principle","materials_sent"},0)),"Y","N")</f>
        <v>N</v>
      </c>
      <c r="ES78" s="0" t="str">
        <f aca="false">IF(COUNTIFS($AP$2:$AP$1000,AP78,$ER$2:$ER$1000,"Y")+COUNTIFS($AP$2:$AP$1000,AP78,$T$2:$T$1000,"Y")&gt;0,"Y","N")</f>
        <v>N</v>
      </c>
      <c r="ET78" s="0" t="str">
        <f aca="false">IF(AND(U78="new",T78="N",AT78="Y",AS78="",ES78="N"),"Y","N")</f>
        <v>N</v>
      </c>
      <c r="EU78" s="0" t="str">
        <f aca="false">IF(ET78&lt;&gt;"Y","N",IF(COUNTIFS($AP$2:$AP$1000,AP78,$ET$2:$ET$1000,"Y",$J$2:$J$1000,"&gt;"&amp;J78)+COUNTIFS($AP$2:$AP$1000,AP78,$ET$2:$ET$1000,"Y",$J$2:$J$1000,J78,$EW$2:$EW$1000,"&lt;"&amp;EW78)=0,"Y","N"))</f>
        <v>N</v>
      </c>
      <c r="EV78" s="0" t="str">
        <f aca="false">IF(Y78="","N",IF(Y78&lt;=10,"Y","N"))</f>
        <v>N</v>
      </c>
      <c r="EW78" s="6" t="n">
        <f aca="false">ROW()-1</f>
        <v>77</v>
      </c>
    </row>
    <row r="79" customFormat="false" ht="15" hidden="false" customHeight="false" outlineLevel="0" collapsed="false">
      <c r="A79" s="0" t="s">
        <v>1925</v>
      </c>
      <c r="B79" s="0" t="s">
        <v>1926</v>
      </c>
      <c r="H79" s="5" t="s">
        <v>158</v>
      </c>
      <c r="I79" s="5" t="s">
        <v>159</v>
      </c>
      <c r="J79" s="6" t="n">
        <f aca="false">IF(AX79="pass",ROUND(CU79+CV79+CW79+CX79+CY79+CZ79,1),0)</f>
        <v>39.2</v>
      </c>
      <c r="K79" s="6" t="s">
        <v>1927</v>
      </c>
      <c r="L79" s="6" t="s">
        <v>561</v>
      </c>
      <c r="O79" s="6" t="s">
        <v>1928</v>
      </c>
      <c r="P79" s="6" t="s">
        <v>1929</v>
      </c>
      <c r="Q79" s="6" t="s">
        <v>1930</v>
      </c>
      <c r="R79" s="5" t="s">
        <v>162</v>
      </c>
      <c r="S79" s="6" t="s">
        <v>163</v>
      </c>
      <c r="T79" s="5" t="s">
        <v>162</v>
      </c>
      <c r="U79" s="5" t="s">
        <v>228</v>
      </c>
      <c r="V79" s="6" t="s">
        <v>1929</v>
      </c>
      <c r="W79" s="6" t="s">
        <v>166</v>
      </c>
      <c r="X79" s="6" t="s">
        <v>167</v>
      </c>
      <c r="Y79" s="0" t="str">
        <f aca="false">IF(EU79&lt;&gt;"Y","",COUNTIFS($EU$2:$EU$1000,"Y",$J$2:$J$1000,"&gt;"&amp;J79)+COUNTIFS($EU$2:$EU$1000,"Y",$J$2:$J$1000,J79,$EW$2:$EW$1000,"&lt;"&amp;EW79)+1)</f>
        <v/>
      </c>
      <c r="Z79" s="0" t="n">
        <v>78</v>
      </c>
      <c r="AA79" s="6" t="s">
        <v>162</v>
      </c>
      <c r="AB79" s="6" t="s">
        <v>1562</v>
      </c>
      <c r="AD79" s="6" t="s">
        <v>158</v>
      </c>
      <c r="AH79" s="5" t="s">
        <v>158</v>
      </c>
      <c r="AI79" s="6" t="s">
        <v>1931</v>
      </c>
      <c r="AJ79" s="6" t="s">
        <v>163</v>
      </c>
      <c r="AK79" s="6" t="s">
        <v>890</v>
      </c>
      <c r="AL79" s="0" t="n">
        <v>1</v>
      </c>
      <c r="AM79" s="0" t="n">
        <v>84</v>
      </c>
      <c r="AN79" s="6" t="s">
        <v>179</v>
      </c>
      <c r="AO79" s="6" t="s">
        <v>180</v>
      </c>
      <c r="AP79" s="6" t="s">
        <v>1925</v>
      </c>
      <c r="AQ79" s="5" t="s">
        <v>168</v>
      </c>
      <c r="AR79" s="6" t="s">
        <v>891</v>
      </c>
      <c r="AT79" s="0" t="str">
        <f aca="false">IF(AND(AX79="pass",AQ79&lt;&gt;"Y",C79&lt;&gt;"",OR(AW79&lt;&gt;"Y",AV79="Y")),"Y","N")</f>
        <v>N</v>
      </c>
      <c r="AU79" s="0" t="str">
        <f aca="false">_xlfn.TEXTJOIN("; ",TRUE(),IF(AX79&lt;&gt;"pass","gated out",""),IF(AQ79="Y","on hold: "&amp;AR79,""),IF(C79="","no contact named on an opened page",""),IF(AND(AW79="Y",AV79&lt;&gt;"Y"),"Tuesday estimate band "&amp;L79&amp;": founder's call",""))</f>
        <v>on hold: lease signed, move not confirmed: check the lobby directory before outreach (B); no contact named on an opened page; Tuesday estimate band under-40: founder's call</v>
      </c>
      <c r="AW79" s="6" t="s">
        <v>168</v>
      </c>
      <c r="AX79" s="6" t="s">
        <v>181</v>
      </c>
      <c r="AY79" s="6" t="s">
        <v>182</v>
      </c>
      <c r="AZ79" s="6" t="s">
        <v>1</v>
      </c>
      <c r="BA79" s="6" t="s">
        <v>1932</v>
      </c>
      <c r="BB79" s="6" t="s">
        <v>1933</v>
      </c>
      <c r="BC79" s="6" t="s">
        <v>1934</v>
      </c>
      <c r="BD79" s="6" t="s">
        <v>962</v>
      </c>
      <c r="BE79" s="6" t="s">
        <v>1935</v>
      </c>
      <c r="BF79" s="6" t="s">
        <v>163</v>
      </c>
      <c r="BG79" s="6" t="s">
        <v>163</v>
      </c>
      <c r="BH79" s="6" t="s">
        <v>280</v>
      </c>
      <c r="BI79" s="6" t="s">
        <v>1936</v>
      </c>
      <c r="BJ79" s="6" t="s">
        <v>1937</v>
      </c>
      <c r="BK79" s="6" t="s">
        <v>191</v>
      </c>
      <c r="BL79" s="6" t="s">
        <v>656</v>
      </c>
      <c r="BM79" s="6" t="s">
        <v>162</v>
      </c>
      <c r="BN79" s="6" t="s">
        <v>163</v>
      </c>
      <c r="BO79" s="6" t="s">
        <v>163</v>
      </c>
      <c r="BP79" s="6" t="s">
        <v>347</v>
      </c>
      <c r="BQ79" s="0" t="n">
        <v>40.742498</v>
      </c>
      <c r="BR79" s="0" t="n">
        <v>-73.991188</v>
      </c>
      <c r="BS79" s="6" t="s">
        <v>168</v>
      </c>
      <c r="BT79" s="0" t="n">
        <v>0</v>
      </c>
      <c r="BU79" s="6" t="s">
        <v>1938</v>
      </c>
      <c r="BV79" s="6" t="s">
        <v>1939</v>
      </c>
      <c r="BW79" s="6" t="s">
        <v>1929</v>
      </c>
      <c r="BX79" s="6" t="s">
        <v>1930</v>
      </c>
      <c r="BY79" s="6" t="s">
        <v>248</v>
      </c>
      <c r="CC79" s="6" t="s">
        <v>739</v>
      </c>
      <c r="CD79" s="6" t="s">
        <v>163</v>
      </c>
      <c r="CE79" s="6" t="s">
        <v>162</v>
      </c>
      <c r="CH79" s="6" t="s">
        <v>163</v>
      </c>
      <c r="CJ79" s="6" t="s">
        <v>163</v>
      </c>
      <c r="CK79" s="6" t="s">
        <v>162</v>
      </c>
      <c r="CL79" s="6" t="s">
        <v>577</v>
      </c>
      <c r="CM79" s="6" t="s">
        <v>1936</v>
      </c>
      <c r="CN79" s="6" t="s">
        <v>174</v>
      </c>
      <c r="CO79" s="0" t="n">
        <v>9</v>
      </c>
      <c r="CP79" s="6" t="s">
        <v>1727</v>
      </c>
      <c r="CQ79" s="6" t="s">
        <v>1940</v>
      </c>
      <c r="CR79" s="6" t="s">
        <v>206</v>
      </c>
      <c r="CS79" s="0" t="n">
        <v>0.17</v>
      </c>
      <c r="CT79" s="0" t="n">
        <v>39.2</v>
      </c>
      <c r="CU79" s="0" t="n">
        <v>4.2</v>
      </c>
      <c r="CV79" s="0" t="n">
        <v>15</v>
      </c>
      <c r="CW79" s="0" t="n">
        <v>15</v>
      </c>
      <c r="CX79" s="0" t="n">
        <v>5</v>
      </c>
      <c r="CY79" s="6" t="n">
        <f aca="false">IF(AH79="exact",10,IF(AH79="adjacent",5,0))</f>
        <v>0</v>
      </c>
      <c r="CZ79" s="6" t="n">
        <f aca="false">IF(R79="Y",15,0)</f>
        <v>0</v>
      </c>
      <c r="DF79" s="6" t="s">
        <v>158</v>
      </c>
      <c r="DG79" s="6" t="s">
        <v>211</v>
      </c>
      <c r="DJ79" s="6" t="s">
        <v>1941</v>
      </c>
      <c r="DK79" s="6" t="s">
        <v>1942</v>
      </c>
      <c r="DS79" s="6" t="s">
        <v>158</v>
      </c>
      <c r="DX79" s="6" t="s">
        <v>162</v>
      </c>
      <c r="ER79" s="0" t="str">
        <f aca="false">IF(ISNUMBER(MATCH(U79,{"queued","contacted","replied","call_booked","call_done","yes_in_principle","materials_sent"},0)),"Y","N")</f>
        <v>N</v>
      </c>
      <c r="ES79" s="0" t="str">
        <f aca="false">IF(COUNTIFS($AP$2:$AP$1000,AP79,$ER$2:$ER$1000,"Y")+COUNTIFS($AP$2:$AP$1000,AP79,$T$2:$T$1000,"Y")&gt;0,"Y","N")</f>
        <v>N</v>
      </c>
      <c r="ET79" s="0" t="str">
        <f aca="false">IF(AND(U79="new",T79="N",AT79="Y",AS79="",ES79="N"),"Y","N")</f>
        <v>N</v>
      </c>
      <c r="EU79" s="0" t="str">
        <f aca="false">IF(ET79&lt;&gt;"Y","N",IF(COUNTIFS($AP$2:$AP$1000,AP79,$ET$2:$ET$1000,"Y",$J$2:$J$1000,"&gt;"&amp;J79)+COUNTIFS($AP$2:$AP$1000,AP79,$ET$2:$ET$1000,"Y",$J$2:$J$1000,J79,$EW$2:$EW$1000,"&lt;"&amp;EW79)=0,"Y","N"))</f>
        <v>N</v>
      </c>
      <c r="EV79" s="0" t="str">
        <f aca="false">IF(Y79="","N",IF(Y79&lt;=10,"Y","N"))</f>
        <v>N</v>
      </c>
      <c r="EW79" s="6" t="n">
        <f aca="false">ROW()-1</f>
        <v>78</v>
      </c>
    </row>
    <row r="80" customFormat="false" ht="15" hidden="false" customHeight="false" outlineLevel="0" collapsed="false">
      <c r="A80" s="0" t="s">
        <v>1943</v>
      </c>
      <c r="B80" s="0" t="s">
        <v>1944</v>
      </c>
      <c r="H80" s="5" t="s">
        <v>158</v>
      </c>
      <c r="I80" s="5" t="s">
        <v>159</v>
      </c>
      <c r="J80" s="6" t="n">
        <f aca="false">IF(AX80="pass",ROUND(CU80+CV80+CW80+CX80+CY80+CZ80,1),0)</f>
        <v>38.7</v>
      </c>
      <c r="K80" s="6" t="s">
        <v>1945</v>
      </c>
      <c r="L80" s="6" t="s">
        <v>395</v>
      </c>
      <c r="O80" s="6" t="s">
        <v>1946</v>
      </c>
      <c r="P80" s="6" t="s">
        <v>1947</v>
      </c>
      <c r="Q80" s="6" t="s">
        <v>1948</v>
      </c>
      <c r="R80" s="5" t="s">
        <v>162</v>
      </c>
      <c r="S80" s="6" t="s">
        <v>163</v>
      </c>
      <c r="T80" s="5" t="s">
        <v>162</v>
      </c>
      <c r="U80" s="5" t="s">
        <v>228</v>
      </c>
      <c r="V80" s="6" t="s">
        <v>1947</v>
      </c>
      <c r="W80" s="6" t="s">
        <v>166</v>
      </c>
      <c r="X80" s="6" t="s">
        <v>167</v>
      </c>
      <c r="Y80" s="0" t="str">
        <f aca="false">IF(EU80&lt;&gt;"Y","",COUNTIFS($EU$2:$EU$1000,"Y",$J$2:$J$1000,"&gt;"&amp;J80)+COUNTIFS($EU$2:$EU$1000,"Y",$J$2:$J$1000,J80,$EW$2:$EW$1000,"&lt;"&amp;EW80)+1)</f>
        <v/>
      </c>
      <c r="Z80" s="0" t="n">
        <v>79</v>
      </c>
      <c r="AA80" s="6" t="s">
        <v>162</v>
      </c>
      <c r="AD80" s="6" t="s">
        <v>158</v>
      </c>
      <c r="AH80" s="5" t="s">
        <v>158</v>
      </c>
      <c r="AI80" s="6" t="s">
        <v>399</v>
      </c>
      <c r="AJ80" s="6" t="s">
        <v>163</v>
      </c>
      <c r="AK80" s="6" t="s">
        <v>890</v>
      </c>
      <c r="AL80" s="0" t="n">
        <v>12</v>
      </c>
      <c r="AM80" s="0" t="n">
        <v>441</v>
      </c>
      <c r="AN80" s="6" t="s">
        <v>179</v>
      </c>
      <c r="AO80" s="6" t="s">
        <v>180</v>
      </c>
      <c r="AP80" s="6" t="s">
        <v>1943</v>
      </c>
      <c r="AQ80" s="5" t="s">
        <v>168</v>
      </c>
      <c r="AR80" s="6" t="s">
        <v>891</v>
      </c>
      <c r="AT80" s="0" t="str">
        <f aca="false">IF(AND(AX80="pass",AQ80&lt;&gt;"Y",C80&lt;&gt;"",OR(AW80&lt;&gt;"Y",AV80="Y")),"Y","N")</f>
        <v>N</v>
      </c>
      <c r="AU80" s="0" t="str">
        <f aca="false">_xlfn.TEXTJOIN("; ",TRUE(),IF(AX80&lt;&gt;"pass","gated out",""),IF(AQ80="Y","on hold: "&amp;AR80,""),IF(C80="","no contact named on an opened page",""),IF(AND(AW80="Y",AV80&lt;&gt;"Y"),"Tuesday estimate band "&amp;L80&amp;": founder's call",""))</f>
        <v>on hold: lease signed, move not confirmed: check the lobby directory before outreach (B); no contact named on an opened page</v>
      </c>
      <c r="AW80" s="6" t="s">
        <v>162</v>
      </c>
      <c r="AX80" s="6" t="s">
        <v>181</v>
      </c>
      <c r="AY80" s="6" t="s">
        <v>182</v>
      </c>
      <c r="AZ80" s="6" t="s">
        <v>1</v>
      </c>
      <c r="BA80" s="6" t="s">
        <v>1949</v>
      </c>
      <c r="BB80" s="6" t="s">
        <v>1950</v>
      </c>
      <c r="BC80" s="6" t="s">
        <v>1951</v>
      </c>
      <c r="BD80" s="6" t="s">
        <v>1952</v>
      </c>
      <c r="BE80" s="6" t="s">
        <v>1953</v>
      </c>
      <c r="BF80" s="6" t="s">
        <v>1323</v>
      </c>
      <c r="BG80" s="6" t="s">
        <v>188</v>
      </c>
      <c r="BH80" s="6" t="s">
        <v>1324</v>
      </c>
      <c r="BI80" s="6" t="s">
        <v>1954</v>
      </c>
      <c r="BJ80" s="6" t="s">
        <v>1955</v>
      </c>
      <c r="BK80" s="6" t="s">
        <v>1264</v>
      </c>
      <c r="BL80" s="6" t="s">
        <v>572</v>
      </c>
      <c r="BM80" s="6" t="s">
        <v>162</v>
      </c>
      <c r="BN80" s="6" t="s">
        <v>163</v>
      </c>
      <c r="BO80" s="6" t="s">
        <v>163</v>
      </c>
      <c r="BP80" s="6" t="s">
        <v>347</v>
      </c>
      <c r="BQ80" s="0" t="n">
        <v>40.742014</v>
      </c>
      <c r="BR80" s="0" t="n">
        <v>-73.993705</v>
      </c>
      <c r="BS80" s="6" t="s">
        <v>168</v>
      </c>
      <c r="BT80" s="0" t="n">
        <v>0</v>
      </c>
      <c r="BU80" s="6" t="s">
        <v>406</v>
      </c>
      <c r="BV80" s="6" t="s">
        <v>407</v>
      </c>
      <c r="BW80" s="6" t="s">
        <v>1947</v>
      </c>
      <c r="BX80" s="6" t="s">
        <v>1948</v>
      </c>
      <c r="BY80" s="6" t="s">
        <v>248</v>
      </c>
      <c r="CC80" s="6" t="s">
        <v>739</v>
      </c>
      <c r="CD80" s="6" t="s">
        <v>163</v>
      </c>
      <c r="CE80" s="6" t="s">
        <v>162</v>
      </c>
      <c r="CH80" s="6" t="s">
        <v>163</v>
      </c>
      <c r="CJ80" s="6" t="s">
        <v>163</v>
      </c>
      <c r="CK80" s="6" t="s">
        <v>162</v>
      </c>
      <c r="CL80" s="6" t="s">
        <v>901</v>
      </c>
      <c r="CM80" s="6" t="s">
        <v>1956</v>
      </c>
      <c r="CN80" s="6" t="s">
        <v>174</v>
      </c>
      <c r="CO80" s="0" t="n">
        <v>73</v>
      </c>
      <c r="CP80" s="6" t="s">
        <v>768</v>
      </c>
      <c r="CQ80" s="6" t="s">
        <v>1957</v>
      </c>
      <c r="CR80" s="6" t="s">
        <v>206</v>
      </c>
      <c r="CS80" s="0" t="n">
        <v>0.51</v>
      </c>
      <c r="CT80" s="0" t="n">
        <v>38.7</v>
      </c>
      <c r="CU80" s="0" t="n">
        <v>12.7</v>
      </c>
      <c r="CV80" s="0" t="n">
        <v>6</v>
      </c>
      <c r="CW80" s="0" t="n">
        <v>15</v>
      </c>
      <c r="CX80" s="0" t="n">
        <v>5</v>
      </c>
      <c r="CY80" s="6" t="n">
        <f aca="false">IF(AH80="exact",10,IF(AH80="adjacent",5,0))</f>
        <v>0</v>
      </c>
      <c r="CZ80" s="6" t="n">
        <f aca="false">IF(R80="Y",15,0)</f>
        <v>0</v>
      </c>
      <c r="DF80" s="6" t="s">
        <v>158</v>
      </c>
      <c r="DG80" s="6" t="s">
        <v>1336</v>
      </c>
      <c r="DH80" s="6" t="s">
        <v>1337</v>
      </c>
      <c r="DI80" s="6" t="s">
        <v>168</v>
      </c>
      <c r="DJ80" s="6" t="s">
        <v>1958</v>
      </c>
      <c r="DK80" s="6" t="s">
        <v>1959</v>
      </c>
      <c r="DS80" s="6" t="s">
        <v>158</v>
      </c>
      <c r="DX80" s="6" t="s">
        <v>162</v>
      </c>
      <c r="ER80" s="0" t="str">
        <f aca="false">IF(ISNUMBER(MATCH(U80,{"queued","contacted","replied","call_booked","call_done","yes_in_principle","materials_sent"},0)),"Y","N")</f>
        <v>N</v>
      </c>
      <c r="ES80" s="0" t="str">
        <f aca="false">IF(COUNTIFS($AP$2:$AP$1000,AP80,$ER$2:$ER$1000,"Y")+COUNTIFS($AP$2:$AP$1000,AP80,$T$2:$T$1000,"Y")&gt;0,"Y","N")</f>
        <v>N</v>
      </c>
      <c r="ET80" s="0" t="str">
        <f aca="false">IF(AND(U80="new",T80="N",AT80="Y",AS80="",ES80="N"),"Y","N")</f>
        <v>N</v>
      </c>
      <c r="EU80" s="0" t="str">
        <f aca="false">IF(ET80&lt;&gt;"Y","N",IF(COUNTIFS($AP$2:$AP$1000,AP80,$ET$2:$ET$1000,"Y",$J$2:$J$1000,"&gt;"&amp;J80)+COUNTIFS($AP$2:$AP$1000,AP80,$ET$2:$ET$1000,"Y",$J$2:$J$1000,J80,$EW$2:$EW$1000,"&lt;"&amp;EW80)=0,"Y","N"))</f>
        <v>N</v>
      </c>
      <c r="EV80" s="0" t="str">
        <f aca="false">IF(Y80="","N",IF(Y80&lt;=10,"Y","N"))</f>
        <v>N</v>
      </c>
      <c r="EW80" s="6" t="n">
        <f aca="false">ROW()-1</f>
        <v>79</v>
      </c>
    </row>
    <row r="81" customFormat="false" ht="15" hidden="false" customHeight="false" outlineLevel="0" collapsed="false">
      <c r="A81" s="0" t="s">
        <v>1960</v>
      </c>
      <c r="B81" s="0" t="s">
        <v>1961</v>
      </c>
      <c r="H81" s="5" t="s">
        <v>158</v>
      </c>
      <c r="I81" s="5" t="s">
        <v>159</v>
      </c>
      <c r="J81" s="6" t="n">
        <f aca="false">IF(AX81="pass",ROUND(CU81+CV81+CW81+CX81+CY81+CZ81,1),0)</f>
        <v>38.6</v>
      </c>
      <c r="K81" s="6" t="s">
        <v>1962</v>
      </c>
      <c r="L81" s="6" t="s">
        <v>561</v>
      </c>
      <c r="R81" s="5" t="s">
        <v>162</v>
      </c>
      <c r="S81" s="6" t="s">
        <v>163</v>
      </c>
      <c r="T81" s="5" t="s">
        <v>162</v>
      </c>
      <c r="U81" s="5" t="s">
        <v>228</v>
      </c>
      <c r="V81" s="6" t="s">
        <v>1963</v>
      </c>
      <c r="W81" s="6" t="s">
        <v>166</v>
      </c>
      <c r="X81" s="6" t="s">
        <v>167</v>
      </c>
      <c r="Y81" s="0" t="str">
        <f aca="false">IF(EU81&lt;&gt;"Y","",COUNTIFS($EU$2:$EU$1000,"Y",$J$2:$J$1000,"&gt;"&amp;J81)+COUNTIFS($EU$2:$EU$1000,"Y",$J$2:$J$1000,J81,$EW$2:$EW$1000,"&lt;"&amp;EW81)+1)</f>
        <v/>
      </c>
      <c r="Z81" s="0" t="n">
        <v>80</v>
      </c>
      <c r="AA81" s="6" t="s">
        <v>162</v>
      </c>
      <c r="AB81" s="6" t="s">
        <v>1562</v>
      </c>
      <c r="AD81" s="6" t="s">
        <v>158</v>
      </c>
      <c r="AH81" s="5" t="s">
        <v>158</v>
      </c>
      <c r="AI81" s="6" t="s">
        <v>1065</v>
      </c>
      <c r="AJ81" s="6" t="s">
        <v>163</v>
      </c>
      <c r="AK81" s="6" t="s">
        <v>178</v>
      </c>
      <c r="AL81" s="0" t="n">
        <v>23</v>
      </c>
      <c r="AM81" s="0" t="n">
        <v>47</v>
      </c>
      <c r="AN81" s="6" t="s">
        <v>179</v>
      </c>
      <c r="AO81" s="6" t="s">
        <v>862</v>
      </c>
      <c r="AP81" s="6" t="s">
        <v>1960</v>
      </c>
      <c r="AQ81" s="5" t="s">
        <v>162</v>
      </c>
      <c r="AT81" s="0" t="str">
        <f aca="false">IF(AND(AX81="pass",AQ81&lt;&gt;"Y",C81&lt;&gt;"",OR(AW81&lt;&gt;"Y",AV81="Y")),"Y","N")</f>
        <v>N</v>
      </c>
      <c r="AU81" s="0" t="str">
        <f aca="false">_xlfn.TEXTJOIN("; ",TRUE(),IF(AX81&lt;&gt;"pass","gated out",""),IF(AQ81="Y","on hold: "&amp;AR81,""),IF(C81="","no contact named on an opened page",""),IF(AND(AW81="Y",AV81&lt;&gt;"Y"),"Tuesday estimate band "&amp;L81&amp;": founder's call",""))</f>
        <v>no contact named on an opened page; Tuesday estimate band under-40: founder's call</v>
      </c>
      <c r="AW81" s="6" t="s">
        <v>168</v>
      </c>
      <c r="AX81" s="6" t="s">
        <v>181</v>
      </c>
      <c r="AY81" s="6" t="s">
        <v>182</v>
      </c>
      <c r="AZ81" s="6" t="s">
        <v>1</v>
      </c>
      <c r="BA81" s="6" t="s">
        <v>1964</v>
      </c>
      <c r="BB81" s="6" t="s">
        <v>1965</v>
      </c>
      <c r="BC81" s="6" t="s">
        <v>1966</v>
      </c>
      <c r="BD81" s="6" t="s">
        <v>1967</v>
      </c>
      <c r="BF81" s="6" t="s">
        <v>395</v>
      </c>
      <c r="BG81" s="6" t="s">
        <v>188</v>
      </c>
      <c r="BH81" s="6" t="s">
        <v>189</v>
      </c>
      <c r="BI81" s="6" t="s">
        <v>1968</v>
      </c>
      <c r="BK81" s="6" t="s">
        <v>191</v>
      </c>
      <c r="BL81" s="6" t="s">
        <v>192</v>
      </c>
      <c r="BM81" s="6" t="s">
        <v>168</v>
      </c>
      <c r="BN81" s="6" t="s">
        <v>163</v>
      </c>
      <c r="BO81" s="6" t="s">
        <v>163</v>
      </c>
      <c r="BP81" s="6" t="s">
        <v>347</v>
      </c>
      <c r="BQ81" s="0" t="n">
        <v>40.742199</v>
      </c>
      <c r="BR81" s="0" t="n">
        <v>-73.99172</v>
      </c>
      <c r="BS81" s="6" t="s">
        <v>168</v>
      </c>
      <c r="BT81" s="0" t="n">
        <v>0</v>
      </c>
      <c r="BU81" s="6" t="s">
        <v>1073</v>
      </c>
      <c r="BV81" s="6" t="s">
        <v>1074</v>
      </c>
      <c r="BW81" s="6" t="s">
        <v>1963</v>
      </c>
      <c r="BX81" s="6" t="s">
        <v>1969</v>
      </c>
      <c r="BY81" s="6" t="s">
        <v>248</v>
      </c>
      <c r="BZ81" s="6" t="s">
        <v>1075</v>
      </c>
      <c r="CA81" s="6" t="s">
        <v>1076</v>
      </c>
      <c r="CC81" s="6" t="s">
        <v>739</v>
      </c>
      <c r="CE81" s="6" t="s">
        <v>162</v>
      </c>
      <c r="CH81" s="6" t="s">
        <v>201</v>
      </c>
      <c r="CI81" s="6" t="s">
        <v>1075</v>
      </c>
      <c r="CJ81" s="6" t="s">
        <v>163</v>
      </c>
      <c r="CK81" s="6" t="s">
        <v>162</v>
      </c>
      <c r="CL81" s="6" t="s">
        <v>1911</v>
      </c>
      <c r="CM81" s="6" t="s">
        <v>1968</v>
      </c>
      <c r="CN81" s="6" t="s">
        <v>174</v>
      </c>
      <c r="CO81" s="0" t="n">
        <v>33</v>
      </c>
      <c r="CP81" s="6" t="s">
        <v>578</v>
      </c>
      <c r="CQ81" s="6" t="s">
        <v>1970</v>
      </c>
      <c r="CR81" s="6" t="s">
        <v>206</v>
      </c>
      <c r="CS81" s="0" t="n">
        <v>0.23</v>
      </c>
      <c r="CT81" s="0" t="n">
        <v>38.6</v>
      </c>
      <c r="CU81" s="0" t="n">
        <v>5.6</v>
      </c>
      <c r="CV81" s="0" t="n">
        <v>15</v>
      </c>
      <c r="CW81" s="0" t="n">
        <v>5</v>
      </c>
      <c r="CX81" s="0" t="n">
        <v>13</v>
      </c>
      <c r="CY81" s="6" t="n">
        <f aca="false">IF(AH81="exact",10,IF(AH81="adjacent",5,0))</f>
        <v>0</v>
      </c>
      <c r="CZ81" s="6" t="n">
        <f aca="false">IF(R81="Y",15,0)</f>
        <v>0</v>
      </c>
      <c r="DF81" s="6" t="s">
        <v>158</v>
      </c>
      <c r="DG81" s="6" t="s">
        <v>211</v>
      </c>
      <c r="DK81" s="6" t="s">
        <v>1971</v>
      </c>
      <c r="DS81" s="6" t="s">
        <v>158</v>
      </c>
      <c r="DX81" s="6" t="s">
        <v>162</v>
      </c>
      <c r="ER81" s="0" t="str">
        <f aca="false">IF(ISNUMBER(MATCH(U81,{"queued","contacted","replied","call_booked","call_done","yes_in_principle","materials_sent"},0)),"Y","N")</f>
        <v>N</v>
      </c>
      <c r="ES81" s="0" t="str">
        <f aca="false">IF(COUNTIFS($AP$2:$AP$1000,AP81,$ER$2:$ER$1000,"Y")+COUNTIFS($AP$2:$AP$1000,AP81,$T$2:$T$1000,"Y")&gt;0,"Y","N")</f>
        <v>N</v>
      </c>
      <c r="ET81" s="0" t="str">
        <f aca="false">IF(AND(U81="new",T81="N",AT81="Y",AS81="",ES81="N"),"Y","N")</f>
        <v>N</v>
      </c>
      <c r="EU81" s="0" t="str">
        <f aca="false">IF(ET81&lt;&gt;"Y","N",IF(COUNTIFS($AP$2:$AP$1000,AP81,$ET$2:$ET$1000,"Y",$J$2:$J$1000,"&gt;"&amp;J81)+COUNTIFS($AP$2:$AP$1000,AP81,$ET$2:$ET$1000,"Y",$J$2:$J$1000,J81,$EW$2:$EW$1000,"&lt;"&amp;EW81)=0,"Y","N"))</f>
        <v>N</v>
      </c>
      <c r="EV81" s="0" t="str">
        <f aca="false">IF(Y81="","N",IF(Y81&lt;=10,"Y","N"))</f>
        <v>N</v>
      </c>
      <c r="EW81" s="6" t="n">
        <f aca="false">ROW()-1</f>
        <v>80</v>
      </c>
    </row>
    <row r="82" customFormat="false" ht="15" hidden="false" customHeight="false" outlineLevel="0" collapsed="false">
      <c r="A82" s="0" t="s">
        <v>1972</v>
      </c>
      <c r="B82" s="0" t="s">
        <v>1973</v>
      </c>
      <c r="H82" s="5" t="s">
        <v>158</v>
      </c>
      <c r="I82" s="5" t="s">
        <v>159</v>
      </c>
      <c r="J82" s="6" t="n">
        <f aca="false">IF(AX82="pass",ROUND(CU82+CV82+CW82+CX82+CY82+CZ82,1),0)</f>
        <v>38.3</v>
      </c>
      <c r="K82" s="6" t="s">
        <v>1974</v>
      </c>
      <c r="L82" s="6" t="s">
        <v>187</v>
      </c>
      <c r="R82" s="5" t="s">
        <v>162</v>
      </c>
      <c r="S82" s="6" t="s">
        <v>163</v>
      </c>
      <c r="T82" s="5" t="s">
        <v>162</v>
      </c>
      <c r="U82" s="5" t="s">
        <v>228</v>
      </c>
      <c r="V82" s="6" t="s">
        <v>1975</v>
      </c>
      <c r="W82" s="6" t="s">
        <v>166</v>
      </c>
      <c r="X82" s="6" t="s">
        <v>167</v>
      </c>
      <c r="Y82" s="0" t="str">
        <f aca="false">IF(EU82&lt;&gt;"Y","",COUNTIFS($EU$2:$EU$1000,"Y",$J$2:$J$1000,"&gt;"&amp;J82)+COUNTIFS($EU$2:$EU$1000,"Y",$J$2:$J$1000,J82,$EW$2:$EW$1000,"&lt;"&amp;EW82)+1)</f>
        <v/>
      </c>
      <c r="Z82" s="0" t="n">
        <v>81</v>
      </c>
      <c r="AA82" s="6" t="s">
        <v>162</v>
      </c>
      <c r="AD82" s="6" t="s">
        <v>158</v>
      </c>
      <c r="AH82" s="5" t="s">
        <v>158</v>
      </c>
      <c r="AI82" s="6" t="s">
        <v>1976</v>
      </c>
      <c r="AJ82" s="6" t="s">
        <v>1977</v>
      </c>
      <c r="AK82" s="6" t="s">
        <v>178</v>
      </c>
      <c r="AL82" s="0" t="n">
        <v>34</v>
      </c>
      <c r="AM82" s="0" t="n">
        <v>684</v>
      </c>
      <c r="AN82" s="6" t="s">
        <v>179</v>
      </c>
      <c r="AO82" s="6" t="s">
        <v>163</v>
      </c>
      <c r="AP82" s="6" t="s">
        <v>1972</v>
      </c>
      <c r="AQ82" s="5" t="s">
        <v>162</v>
      </c>
      <c r="AT82" s="0" t="str">
        <f aca="false">IF(AND(AX82="pass",AQ82&lt;&gt;"Y",C82&lt;&gt;"",OR(AW82&lt;&gt;"Y",AV82="Y")),"Y","N")</f>
        <v>N</v>
      </c>
      <c r="AU82" s="0" t="str">
        <f aca="false">_xlfn.TEXTJOIN("; ",TRUE(),IF(AX82&lt;&gt;"pass","gated out",""),IF(AQ82="Y","on hold: "&amp;AR82,""),IF(C82="","no contact named on an opened page",""),IF(AND(AW82="Y",AV82&lt;&gt;"Y"),"Tuesday estimate band "&amp;L82&amp;": founder's call",""))</f>
        <v>no contact named on an opened page</v>
      </c>
      <c r="AW82" s="6" t="s">
        <v>162</v>
      </c>
      <c r="AX82" s="6" t="s">
        <v>181</v>
      </c>
      <c r="AY82" s="6" t="s">
        <v>182</v>
      </c>
      <c r="AZ82" s="6" t="s">
        <v>1</v>
      </c>
      <c r="BA82" s="6" t="s">
        <v>1978</v>
      </c>
      <c r="BB82" s="6" t="s">
        <v>1979</v>
      </c>
      <c r="BC82" s="6" t="s">
        <v>1980</v>
      </c>
      <c r="BD82" s="6" t="s">
        <v>1981</v>
      </c>
      <c r="BF82" s="6" t="s">
        <v>1323</v>
      </c>
      <c r="BG82" s="6" t="s">
        <v>188</v>
      </c>
      <c r="BH82" s="6" t="s">
        <v>189</v>
      </c>
      <c r="BI82" s="6" t="s">
        <v>1982</v>
      </c>
      <c r="BK82" s="6" t="s">
        <v>1440</v>
      </c>
      <c r="BL82" s="6" t="s">
        <v>163</v>
      </c>
      <c r="BM82" s="6" t="s">
        <v>163</v>
      </c>
      <c r="BN82" s="6" t="s">
        <v>163</v>
      </c>
      <c r="BO82" s="6" t="s">
        <v>163</v>
      </c>
      <c r="BP82" s="6" t="s">
        <v>347</v>
      </c>
      <c r="BQ82" s="0" t="n">
        <v>40.741817</v>
      </c>
      <c r="BR82" s="0" t="n">
        <v>-73.990988</v>
      </c>
      <c r="BS82" s="6" t="s">
        <v>168</v>
      </c>
      <c r="BT82" s="0" t="n">
        <v>0</v>
      </c>
      <c r="BV82" s="6" t="s">
        <v>163</v>
      </c>
      <c r="BW82" s="6" t="s">
        <v>1975</v>
      </c>
      <c r="BX82" s="6" t="s">
        <v>1983</v>
      </c>
      <c r="BY82" s="6" t="s">
        <v>248</v>
      </c>
      <c r="BZ82" s="6" t="s">
        <v>1705</v>
      </c>
      <c r="CA82" s="6" t="s">
        <v>1706</v>
      </c>
      <c r="CC82" s="6" t="s">
        <v>200</v>
      </c>
      <c r="CE82" s="6" t="s">
        <v>162</v>
      </c>
      <c r="CH82" s="6" t="s">
        <v>201</v>
      </c>
      <c r="CJ82" s="6" t="s">
        <v>163</v>
      </c>
      <c r="CK82" s="6" t="s">
        <v>162</v>
      </c>
      <c r="CL82" s="6" t="s">
        <v>163</v>
      </c>
      <c r="CO82" s="0" t="n">
        <v>152</v>
      </c>
      <c r="CP82" s="6" t="s">
        <v>251</v>
      </c>
      <c r="CQ82" s="6" t="s">
        <v>1984</v>
      </c>
      <c r="CR82" s="6" t="s">
        <v>206</v>
      </c>
      <c r="CS82" s="0" t="n">
        <v>0.61</v>
      </c>
      <c r="CT82" s="0" t="n">
        <v>38.3</v>
      </c>
      <c r="CU82" s="0" t="n">
        <v>15.3</v>
      </c>
      <c r="CV82" s="0" t="n">
        <v>2</v>
      </c>
      <c r="CW82" s="0" t="n">
        <v>6</v>
      </c>
      <c r="CX82" s="0" t="n">
        <v>15</v>
      </c>
      <c r="CY82" s="6" t="n">
        <f aca="false">IF(AH82="exact",10,IF(AH82="adjacent",5,0))</f>
        <v>0</v>
      </c>
      <c r="CZ82" s="6" t="n">
        <f aca="false">IF(R82="Y",15,0)</f>
        <v>0</v>
      </c>
      <c r="DF82" s="6" t="s">
        <v>158</v>
      </c>
      <c r="DG82" s="6" t="s">
        <v>1336</v>
      </c>
      <c r="DH82" s="6" t="s">
        <v>1447</v>
      </c>
      <c r="DI82" s="6" t="s">
        <v>162</v>
      </c>
      <c r="DJ82" s="6" t="s">
        <v>1985</v>
      </c>
      <c r="DK82" s="6" t="s">
        <v>1986</v>
      </c>
      <c r="DS82" s="6" t="s">
        <v>158</v>
      </c>
      <c r="DX82" s="6" t="s">
        <v>162</v>
      </c>
      <c r="ER82" s="0" t="str">
        <f aca="false">IF(ISNUMBER(MATCH(U82,{"queued","contacted","replied","call_booked","call_done","yes_in_principle","materials_sent"},0)),"Y","N")</f>
        <v>N</v>
      </c>
      <c r="ES82" s="0" t="str">
        <f aca="false">IF(COUNTIFS($AP$2:$AP$1000,AP82,$ER$2:$ER$1000,"Y")+COUNTIFS($AP$2:$AP$1000,AP82,$T$2:$T$1000,"Y")&gt;0,"Y","N")</f>
        <v>N</v>
      </c>
      <c r="ET82" s="0" t="str">
        <f aca="false">IF(AND(U82="new",T82="N",AT82="Y",AS82="",ES82="N"),"Y","N")</f>
        <v>N</v>
      </c>
      <c r="EU82" s="0" t="str">
        <f aca="false">IF(ET82&lt;&gt;"Y","N",IF(COUNTIFS($AP$2:$AP$1000,AP82,$ET$2:$ET$1000,"Y",$J$2:$J$1000,"&gt;"&amp;J82)+COUNTIFS($AP$2:$AP$1000,AP82,$ET$2:$ET$1000,"Y",$J$2:$J$1000,J82,$EW$2:$EW$1000,"&lt;"&amp;EW82)=0,"Y","N"))</f>
        <v>N</v>
      </c>
      <c r="EV82" s="0" t="str">
        <f aca="false">IF(Y82="","N",IF(Y82&lt;=10,"Y","N"))</f>
        <v>N</v>
      </c>
      <c r="EW82" s="6" t="n">
        <f aca="false">ROW()-1</f>
        <v>81</v>
      </c>
    </row>
    <row r="83" customFormat="false" ht="15" hidden="false" customHeight="false" outlineLevel="0" collapsed="false">
      <c r="A83" s="0" t="s">
        <v>1987</v>
      </c>
      <c r="B83" s="0" t="s">
        <v>1988</v>
      </c>
      <c r="H83" s="5" t="s">
        <v>158</v>
      </c>
      <c r="I83" s="5" t="s">
        <v>159</v>
      </c>
      <c r="J83" s="6" t="n">
        <f aca="false">IF(AX83="pass",ROUND(CU83+CV83+CW83+CX83+CY83+CZ83,1),0)</f>
        <v>38.3</v>
      </c>
      <c r="K83" s="6" t="s">
        <v>1989</v>
      </c>
      <c r="L83" s="6" t="s">
        <v>161</v>
      </c>
      <c r="O83" s="6" t="s">
        <v>1990</v>
      </c>
      <c r="P83" s="6" t="s">
        <v>1991</v>
      </c>
      <c r="Q83" s="6" t="s">
        <v>523</v>
      </c>
      <c r="R83" s="5" t="s">
        <v>162</v>
      </c>
      <c r="S83" s="6" t="s">
        <v>163</v>
      </c>
      <c r="T83" s="5" t="s">
        <v>162</v>
      </c>
      <c r="U83" s="5" t="s">
        <v>228</v>
      </c>
      <c r="V83" s="6" t="s">
        <v>1991</v>
      </c>
      <c r="W83" s="6" t="s">
        <v>166</v>
      </c>
      <c r="X83" s="6" t="s">
        <v>167</v>
      </c>
      <c r="Y83" s="0" t="str">
        <f aca="false">IF(EU83&lt;&gt;"Y","",COUNTIFS($EU$2:$EU$1000,"Y",$J$2:$J$1000,"&gt;"&amp;J83)+COUNTIFS($EU$2:$EU$1000,"Y",$J$2:$J$1000,J83,$EW$2:$EW$1000,"&lt;"&amp;EW83)+1)</f>
        <v/>
      </c>
      <c r="Z83" s="0" t="n">
        <v>82</v>
      </c>
      <c r="AA83" s="6" t="s">
        <v>162</v>
      </c>
      <c r="AD83" s="6" t="s">
        <v>158</v>
      </c>
      <c r="AH83" s="5" t="s">
        <v>158</v>
      </c>
      <c r="AI83" s="6" t="s">
        <v>1992</v>
      </c>
      <c r="AJ83" s="6" t="s">
        <v>1993</v>
      </c>
      <c r="AK83" s="6" t="s">
        <v>435</v>
      </c>
      <c r="AL83" s="0" t="n">
        <v>11</v>
      </c>
      <c r="AM83" s="0" t="n">
        <v>644</v>
      </c>
      <c r="AN83" s="6" t="s">
        <v>179</v>
      </c>
      <c r="AO83" s="6" t="s">
        <v>180</v>
      </c>
      <c r="AP83" s="6" t="s">
        <v>1987</v>
      </c>
      <c r="AQ83" s="5" t="s">
        <v>162</v>
      </c>
      <c r="AT83" s="0" t="str">
        <f aca="false">IF(AND(AX83="pass",AQ83&lt;&gt;"Y",C83&lt;&gt;"",OR(AW83&lt;&gt;"Y",AV83="Y")),"Y","N")</f>
        <v>N</v>
      </c>
      <c r="AU83" s="0" t="str">
        <f aca="false">_xlfn.TEXTJOIN("; ",TRUE(),IF(AX83&lt;&gt;"pass","gated out",""),IF(AQ83="Y","on hold: "&amp;AR83,""),IF(C83="","no contact named on an opened page",""),IF(AND(AW83="Y",AV83&lt;&gt;"Y"),"Tuesday estimate band "&amp;L83&amp;": founder's call",""))</f>
        <v>no contact named on an opened page</v>
      </c>
      <c r="AW83" s="6" t="s">
        <v>162</v>
      </c>
      <c r="AX83" s="6" t="s">
        <v>181</v>
      </c>
      <c r="AY83" s="6" t="s">
        <v>182</v>
      </c>
      <c r="AZ83" s="6" t="s">
        <v>1</v>
      </c>
      <c r="BA83" s="6" t="s">
        <v>1994</v>
      </c>
      <c r="BB83" s="6" t="s">
        <v>1995</v>
      </c>
      <c r="BC83" s="6" t="s">
        <v>1996</v>
      </c>
      <c r="BD83" s="6" t="s">
        <v>1997</v>
      </c>
      <c r="BE83" s="6" t="s">
        <v>1998</v>
      </c>
      <c r="BF83" s="6" t="s">
        <v>1323</v>
      </c>
      <c r="BG83" s="6" t="s">
        <v>188</v>
      </c>
      <c r="BH83" s="6" t="s">
        <v>1324</v>
      </c>
      <c r="BI83" s="6" t="s">
        <v>1999</v>
      </c>
      <c r="BJ83" s="6" t="s">
        <v>2000</v>
      </c>
      <c r="BK83" s="6" t="s">
        <v>1440</v>
      </c>
      <c r="BL83" s="6" t="s">
        <v>656</v>
      </c>
      <c r="BM83" s="6" t="s">
        <v>162</v>
      </c>
      <c r="BN83" s="6" t="s">
        <v>163</v>
      </c>
      <c r="BO83" s="6" t="s">
        <v>163</v>
      </c>
      <c r="BP83" s="6" t="s">
        <v>347</v>
      </c>
      <c r="BQ83" s="0" t="n">
        <v>40.741141</v>
      </c>
      <c r="BR83" s="0" t="n">
        <v>-73.987489</v>
      </c>
      <c r="BS83" s="6" t="s">
        <v>168</v>
      </c>
      <c r="BT83" s="0" t="n">
        <v>0</v>
      </c>
      <c r="BV83" s="6" t="s">
        <v>163</v>
      </c>
      <c r="BW83" s="6" t="s">
        <v>1991</v>
      </c>
      <c r="BX83" s="6" t="s">
        <v>523</v>
      </c>
      <c r="BY83" s="6" t="s">
        <v>248</v>
      </c>
      <c r="BZ83" s="6" t="s">
        <v>2001</v>
      </c>
      <c r="CA83" s="6" t="s">
        <v>2002</v>
      </c>
      <c r="CC83" s="6" t="s">
        <v>200</v>
      </c>
      <c r="CE83" s="6" t="s">
        <v>162</v>
      </c>
      <c r="CH83" s="6" t="s">
        <v>163</v>
      </c>
      <c r="CJ83" s="6" t="s">
        <v>163</v>
      </c>
      <c r="CK83" s="6" t="s">
        <v>162</v>
      </c>
      <c r="CL83" s="6" t="s">
        <v>1129</v>
      </c>
      <c r="CM83" s="6" t="s">
        <v>2000</v>
      </c>
      <c r="CN83" s="6" t="s">
        <v>174</v>
      </c>
      <c r="CO83" s="0" t="n">
        <v>84</v>
      </c>
      <c r="CP83" s="6" t="s">
        <v>768</v>
      </c>
      <c r="CQ83" s="6" t="s">
        <v>2003</v>
      </c>
      <c r="CR83" s="6" t="s">
        <v>206</v>
      </c>
      <c r="CS83" s="0" t="n">
        <v>0.45</v>
      </c>
      <c r="CT83" s="0" t="n">
        <v>38.3</v>
      </c>
      <c r="CU83" s="0" t="n">
        <v>11.3</v>
      </c>
      <c r="CV83" s="0" t="n">
        <v>2</v>
      </c>
      <c r="CW83" s="0" t="n">
        <v>15</v>
      </c>
      <c r="CX83" s="0" t="n">
        <v>10</v>
      </c>
      <c r="CY83" s="6" t="n">
        <f aca="false">IF(AH83="exact",10,IF(AH83="adjacent",5,0))</f>
        <v>0</v>
      </c>
      <c r="CZ83" s="6" t="n">
        <f aca="false">IF(R83="Y",15,0)</f>
        <v>0</v>
      </c>
      <c r="DF83" s="6" t="s">
        <v>158</v>
      </c>
      <c r="DG83" s="6" t="s">
        <v>1336</v>
      </c>
      <c r="DH83" s="6" t="s">
        <v>1447</v>
      </c>
      <c r="DI83" s="6" t="s">
        <v>162</v>
      </c>
      <c r="DJ83" s="6" t="s">
        <v>2004</v>
      </c>
      <c r="DK83" s="6" t="s">
        <v>2005</v>
      </c>
      <c r="DS83" s="6" t="s">
        <v>158</v>
      </c>
      <c r="DX83" s="6" t="s">
        <v>162</v>
      </c>
      <c r="ER83" s="0" t="str">
        <f aca="false">IF(ISNUMBER(MATCH(U83,{"queued","contacted","replied","call_booked","call_done","yes_in_principle","materials_sent"},0)),"Y","N")</f>
        <v>N</v>
      </c>
      <c r="ES83" s="0" t="str">
        <f aca="false">IF(COUNTIFS($AP$2:$AP$1000,AP83,$ER$2:$ER$1000,"Y")+COUNTIFS($AP$2:$AP$1000,AP83,$T$2:$T$1000,"Y")&gt;0,"Y","N")</f>
        <v>N</v>
      </c>
      <c r="ET83" s="0" t="str">
        <f aca="false">IF(AND(U83="new",T83="N",AT83="Y",AS83="",ES83="N"),"Y","N")</f>
        <v>N</v>
      </c>
      <c r="EU83" s="0" t="str">
        <f aca="false">IF(ET83&lt;&gt;"Y","N",IF(COUNTIFS($AP$2:$AP$1000,AP83,$ET$2:$ET$1000,"Y",$J$2:$J$1000,"&gt;"&amp;J83)+COUNTIFS($AP$2:$AP$1000,AP83,$ET$2:$ET$1000,"Y",$J$2:$J$1000,J83,$EW$2:$EW$1000,"&lt;"&amp;EW83)=0,"Y","N"))</f>
        <v>N</v>
      </c>
      <c r="EV83" s="0" t="str">
        <f aca="false">IF(Y83="","N",IF(Y83&lt;=10,"Y","N"))</f>
        <v>N</v>
      </c>
      <c r="EW83" s="6" t="n">
        <f aca="false">ROW()-1</f>
        <v>82</v>
      </c>
    </row>
    <row r="84" customFormat="false" ht="15" hidden="false" customHeight="false" outlineLevel="0" collapsed="false">
      <c r="A84" s="0" t="s">
        <v>2006</v>
      </c>
      <c r="B84" s="0" t="s">
        <v>2007</v>
      </c>
      <c r="H84" s="5" t="s">
        <v>158</v>
      </c>
      <c r="I84" s="5" t="s">
        <v>159</v>
      </c>
      <c r="J84" s="6" t="n">
        <f aca="false">IF(AX84="pass",ROUND(CU84+CV84+CW84+CX84+CY84+CZ84,1),0)</f>
        <v>38.2</v>
      </c>
      <c r="K84" s="6" t="s">
        <v>2008</v>
      </c>
      <c r="L84" s="6" t="s">
        <v>561</v>
      </c>
      <c r="R84" s="5" t="s">
        <v>162</v>
      </c>
      <c r="S84" s="6" t="s">
        <v>163</v>
      </c>
      <c r="T84" s="5" t="s">
        <v>162</v>
      </c>
      <c r="U84" s="5" t="s">
        <v>228</v>
      </c>
      <c r="V84" s="6" t="s">
        <v>2009</v>
      </c>
      <c r="W84" s="6" t="s">
        <v>166</v>
      </c>
      <c r="X84" s="6" t="s">
        <v>167</v>
      </c>
      <c r="Y84" s="0" t="str">
        <f aca="false">IF(EU84&lt;&gt;"Y","",COUNTIFS($EU$2:$EU$1000,"Y",$J$2:$J$1000,"&gt;"&amp;J84)+COUNTIFS($EU$2:$EU$1000,"Y",$J$2:$J$1000,J84,$EW$2:$EW$1000,"&lt;"&amp;EW84)+1)</f>
        <v/>
      </c>
      <c r="Z84" s="0" t="n">
        <v>83</v>
      </c>
      <c r="AA84" s="6" t="s">
        <v>162</v>
      </c>
      <c r="AB84" s="6" t="s">
        <v>1562</v>
      </c>
      <c r="AD84" s="6" t="s">
        <v>158</v>
      </c>
      <c r="AH84" s="5" t="s">
        <v>158</v>
      </c>
      <c r="AI84" s="6" t="s">
        <v>1474</v>
      </c>
      <c r="AJ84" s="6" t="s">
        <v>163</v>
      </c>
      <c r="AK84" s="6" t="s">
        <v>890</v>
      </c>
      <c r="AL84" s="0" t="n">
        <v>2</v>
      </c>
      <c r="AM84" s="0" t="n">
        <v>228</v>
      </c>
      <c r="AN84" s="6" t="s">
        <v>179</v>
      </c>
      <c r="AO84" s="6" t="s">
        <v>370</v>
      </c>
      <c r="AP84" s="6" t="s">
        <v>2006</v>
      </c>
      <c r="AQ84" s="5" t="s">
        <v>168</v>
      </c>
      <c r="AR84" s="6" t="s">
        <v>891</v>
      </c>
      <c r="AT84" s="0" t="str">
        <f aca="false">IF(AND(AX84="pass",AQ84&lt;&gt;"Y",C84&lt;&gt;"",OR(AW84&lt;&gt;"Y",AV84="Y")),"Y","N")</f>
        <v>N</v>
      </c>
      <c r="AU84" s="0" t="str">
        <f aca="false">_xlfn.TEXTJOIN("; ",TRUE(),IF(AX84&lt;&gt;"pass","gated out",""),IF(AQ84="Y","on hold: "&amp;AR84,""),IF(C84="","no contact named on an opened page",""),IF(AND(AW84="Y",AV84&lt;&gt;"Y"),"Tuesday estimate band "&amp;L84&amp;": founder's call",""))</f>
        <v>on hold: lease signed, move not confirmed: check the lobby directory before outreach (B); no contact named on an opened page; Tuesday estimate band under-40: founder's call</v>
      </c>
      <c r="AW84" s="6" t="s">
        <v>168</v>
      </c>
      <c r="AX84" s="6" t="s">
        <v>181</v>
      </c>
      <c r="AY84" s="6" t="s">
        <v>182</v>
      </c>
      <c r="AZ84" s="6" t="s">
        <v>1</v>
      </c>
      <c r="BA84" s="6" t="s">
        <v>2010</v>
      </c>
      <c r="BB84" s="6" t="s">
        <v>2011</v>
      </c>
      <c r="BC84" s="6" t="s">
        <v>2012</v>
      </c>
      <c r="BD84" s="6" t="s">
        <v>1875</v>
      </c>
      <c r="BE84" s="6" t="s">
        <v>2013</v>
      </c>
      <c r="BF84" s="6" t="s">
        <v>163</v>
      </c>
      <c r="BG84" s="6" t="s">
        <v>163</v>
      </c>
      <c r="BH84" s="6" t="s">
        <v>280</v>
      </c>
      <c r="BI84" s="6" t="s">
        <v>2014</v>
      </c>
      <c r="BJ84" s="6" t="s">
        <v>2015</v>
      </c>
      <c r="BK84" s="6" t="s">
        <v>191</v>
      </c>
      <c r="BL84" s="6" t="s">
        <v>2016</v>
      </c>
      <c r="BM84" s="6" t="s">
        <v>162</v>
      </c>
      <c r="BN84" s="6" t="s">
        <v>163</v>
      </c>
      <c r="BO84" s="6" t="s">
        <v>163</v>
      </c>
      <c r="BP84" s="6" t="s">
        <v>347</v>
      </c>
      <c r="BQ84" s="0" t="n">
        <v>40.741968</v>
      </c>
      <c r="BR84" s="0" t="n">
        <v>-73.985327</v>
      </c>
      <c r="BS84" s="6" t="s">
        <v>168</v>
      </c>
      <c r="BT84" s="0" t="n">
        <v>0</v>
      </c>
      <c r="BU84" s="6" t="s">
        <v>1481</v>
      </c>
      <c r="BV84" s="6" t="s">
        <v>1482</v>
      </c>
      <c r="BW84" s="6" t="s">
        <v>2009</v>
      </c>
      <c r="BX84" s="6" t="s">
        <v>2017</v>
      </c>
      <c r="BY84" s="6" t="s">
        <v>248</v>
      </c>
      <c r="BZ84" s="6" t="s">
        <v>2018</v>
      </c>
      <c r="CA84" s="6" t="s">
        <v>2017</v>
      </c>
      <c r="CC84" s="6" t="s">
        <v>200</v>
      </c>
      <c r="CD84" s="6" t="s">
        <v>163</v>
      </c>
      <c r="CE84" s="6" t="s">
        <v>162</v>
      </c>
      <c r="CH84" s="6" t="s">
        <v>163</v>
      </c>
      <c r="CJ84" s="6" t="s">
        <v>163</v>
      </c>
      <c r="CK84" s="6" t="s">
        <v>162</v>
      </c>
      <c r="CL84" s="6" t="s">
        <v>2019</v>
      </c>
      <c r="CM84" s="6" t="s">
        <v>2014</v>
      </c>
      <c r="CN84" s="6" t="s">
        <v>174</v>
      </c>
      <c r="CO84" s="0" t="n">
        <v>21</v>
      </c>
      <c r="CP84" s="6" t="s">
        <v>1727</v>
      </c>
      <c r="CQ84" s="6" t="s">
        <v>2020</v>
      </c>
      <c r="CR84" s="6" t="s">
        <v>206</v>
      </c>
      <c r="CS84" s="0" t="n">
        <v>0.37</v>
      </c>
      <c r="CT84" s="0" t="n">
        <v>38.2</v>
      </c>
      <c r="CU84" s="0" t="n">
        <v>9.2</v>
      </c>
      <c r="CV84" s="0" t="n">
        <v>15</v>
      </c>
      <c r="CW84" s="0" t="n">
        <v>7</v>
      </c>
      <c r="CX84" s="0" t="n">
        <v>7</v>
      </c>
      <c r="CY84" s="6" t="n">
        <f aca="false">IF(AH84="exact",10,IF(AH84="adjacent",5,0))</f>
        <v>0</v>
      </c>
      <c r="CZ84" s="6" t="n">
        <f aca="false">IF(R84="Y",15,0)</f>
        <v>0</v>
      </c>
      <c r="DF84" s="6" t="s">
        <v>158</v>
      </c>
      <c r="DG84" s="6" t="s">
        <v>211</v>
      </c>
      <c r="DJ84" s="6" t="s">
        <v>2021</v>
      </c>
      <c r="DK84" s="6" t="s">
        <v>2022</v>
      </c>
      <c r="DS84" s="6" t="s">
        <v>158</v>
      </c>
      <c r="DX84" s="6" t="s">
        <v>162</v>
      </c>
      <c r="ER84" s="0" t="str">
        <f aca="false">IF(ISNUMBER(MATCH(U84,{"queued","contacted","replied","call_booked","call_done","yes_in_principle","materials_sent"},0)),"Y","N")</f>
        <v>N</v>
      </c>
      <c r="ES84" s="0" t="str">
        <f aca="false">IF(COUNTIFS($AP$2:$AP$1000,AP84,$ER$2:$ER$1000,"Y")+COUNTIFS($AP$2:$AP$1000,AP84,$T$2:$T$1000,"Y")&gt;0,"Y","N")</f>
        <v>N</v>
      </c>
      <c r="ET84" s="0" t="str">
        <f aca="false">IF(AND(U84="new",T84="N",AT84="Y",AS84="",ES84="N"),"Y","N")</f>
        <v>N</v>
      </c>
      <c r="EU84" s="0" t="str">
        <f aca="false">IF(ET84&lt;&gt;"Y","N",IF(COUNTIFS($AP$2:$AP$1000,AP84,$ET$2:$ET$1000,"Y",$J$2:$J$1000,"&gt;"&amp;J84)+COUNTIFS($AP$2:$AP$1000,AP84,$ET$2:$ET$1000,"Y",$J$2:$J$1000,J84,$EW$2:$EW$1000,"&lt;"&amp;EW84)=0,"Y","N"))</f>
        <v>N</v>
      </c>
      <c r="EV84" s="0" t="str">
        <f aca="false">IF(Y84="","N",IF(Y84&lt;=10,"Y","N"))</f>
        <v>N</v>
      </c>
      <c r="EW84" s="6" t="n">
        <f aca="false">ROW()-1</f>
        <v>83</v>
      </c>
    </row>
    <row r="85" customFormat="false" ht="15" hidden="false" customHeight="false" outlineLevel="0" collapsed="false">
      <c r="A85" s="0" t="s">
        <v>2023</v>
      </c>
      <c r="B85" s="0" t="s">
        <v>2024</v>
      </c>
      <c r="H85" s="5" t="s">
        <v>158</v>
      </c>
      <c r="I85" s="5" t="s">
        <v>159</v>
      </c>
      <c r="J85" s="6" t="n">
        <f aca="false">IF(AX85="pass",ROUND(CU85+CV85+CW85+CX85+CY85+CZ85,1),0)</f>
        <v>37.4</v>
      </c>
      <c r="K85" s="6" t="s">
        <v>2025</v>
      </c>
      <c r="L85" s="6" t="s">
        <v>395</v>
      </c>
      <c r="R85" s="5" t="s">
        <v>162</v>
      </c>
      <c r="S85" s="6" t="s">
        <v>163</v>
      </c>
      <c r="T85" s="5" t="s">
        <v>162</v>
      </c>
      <c r="U85" s="5" t="s">
        <v>228</v>
      </c>
      <c r="V85" s="6" t="s">
        <v>2009</v>
      </c>
      <c r="W85" s="6" t="s">
        <v>166</v>
      </c>
      <c r="X85" s="6" t="s">
        <v>167</v>
      </c>
      <c r="Y85" s="0" t="str">
        <f aca="false">IF(EU85&lt;&gt;"Y","",COUNTIFS($EU$2:$EU$1000,"Y",$J$2:$J$1000,"&gt;"&amp;J85)+COUNTIFS($EU$2:$EU$1000,"Y",$J$2:$J$1000,J85,$EW$2:$EW$1000,"&lt;"&amp;EW85)+1)</f>
        <v/>
      </c>
      <c r="Z85" s="0" t="n">
        <v>84</v>
      </c>
      <c r="AA85" s="6" t="s">
        <v>162</v>
      </c>
      <c r="AD85" s="6" t="s">
        <v>158</v>
      </c>
      <c r="AH85" s="5" t="s">
        <v>158</v>
      </c>
      <c r="AI85" s="6" t="s">
        <v>1474</v>
      </c>
      <c r="AJ85" s="6" t="s">
        <v>2026</v>
      </c>
      <c r="AK85" s="6" t="s">
        <v>435</v>
      </c>
      <c r="AL85" s="0" t="n">
        <v>16</v>
      </c>
      <c r="AM85" s="0" t="n">
        <v>314</v>
      </c>
      <c r="AN85" s="6" t="s">
        <v>179</v>
      </c>
      <c r="AO85" s="6" t="s">
        <v>163</v>
      </c>
      <c r="AP85" s="6" t="s">
        <v>2023</v>
      </c>
      <c r="AQ85" s="5" t="s">
        <v>162</v>
      </c>
      <c r="AT85" s="0" t="str">
        <f aca="false">IF(AND(AX85="pass",AQ85&lt;&gt;"Y",C85&lt;&gt;"",OR(AW85&lt;&gt;"Y",AV85="Y")),"Y","N")</f>
        <v>N</v>
      </c>
      <c r="AU85" s="0" t="str">
        <f aca="false">_xlfn.TEXTJOIN("; ",TRUE(),IF(AX85&lt;&gt;"pass","gated out",""),IF(AQ85="Y","on hold: "&amp;AR85,""),IF(C85="","no contact named on an opened page",""),IF(AND(AW85="Y",AV85&lt;&gt;"Y"),"Tuesday estimate band "&amp;L85&amp;": founder's call",""))</f>
        <v>no contact named on an opened page</v>
      </c>
      <c r="AW85" s="6" t="s">
        <v>162</v>
      </c>
      <c r="AX85" s="6" t="s">
        <v>181</v>
      </c>
      <c r="AY85" s="6" t="s">
        <v>182</v>
      </c>
      <c r="AZ85" s="6" t="s">
        <v>1</v>
      </c>
      <c r="BA85" s="6" t="s">
        <v>2027</v>
      </c>
      <c r="BB85" s="6" t="s">
        <v>2028</v>
      </c>
      <c r="BC85" s="6" t="s">
        <v>2029</v>
      </c>
      <c r="BD85" s="6" t="s">
        <v>2030</v>
      </c>
      <c r="BF85" s="6" t="s">
        <v>1323</v>
      </c>
      <c r="BG85" s="6" t="s">
        <v>188</v>
      </c>
      <c r="BH85" s="6" t="s">
        <v>189</v>
      </c>
      <c r="BI85" s="6" t="s">
        <v>2031</v>
      </c>
      <c r="BK85" s="6" t="s">
        <v>1264</v>
      </c>
      <c r="BL85" s="6" t="s">
        <v>163</v>
      </c>
      <c r="BM85" s="6" t="s">
        <v>163</v>
      </c>
      <c r="BN85" s="6" t="s">
        <v>163</v>
      </c>
      <c r="BO85" s="6" t="s">
        <v>163</v>
      </c>
      <c r="BP85" s="6" t="s">
        <v>347</v>
      </c>
      <c r="BQ85" s="0" t="n">
        <v>40.741968</v>
      </c>
      <c r="BR85" s="0" t="n">
        <v>-73.985327</v>
      </c>
      <c r="BS85" s="6" t="s">
        <v>168</v>
      </c>
      <c r="BT85" s="0" t="n">
        <v>0</v>
      </c>
      <c r="BU85" s="6" t="s">
        <v>1481</v>
      </c>
      <c r="BV85" s="6" t="s">
        <v>1482</v>
      </c>
      <c r="BW85" s="6" t="s">
        <v>2009</v>
      </c>
      <c r="BX85" s="6" t="s">
        <v>2017</v>
      </c>
      <c r="BY85" s="6" t="s">
        <v>248</v>
      </c>
      <c r="BZ85" s="6" t="s">
        <v>2032</v>
      </c>
      <c r="CA85" s="6" t="s">
        <v>2033</v>
      </c>
      <c r="CC85" s="6" t="s">
        <v>200</v>
      </c>
      <c r="CE85" s="6" t="s">
        <v>162</v>
      </c>
      <c r="CH85" s="6" t="s">
        <v>163</v>
      </c>
      <c r="CJ85" s="6" t="s">
        <v>163</v>
      </c>
      <c r="CK85" s="6" t="s">
        <v>162</v>
      </c>
      <c r="CL85" s="6" t="s">
        <v>163</v>
      </c>
      <c r="CO85" s="0" t="n">
        <v>71</v>
      </c>
      <c r="CP85" s="6" t="s">
        <v>768</v>
      </c>
      <c r="CQ85" s="6" t="s">
        <v>2034</v>
      </c>
      <c r="CR85" s="6" t="s">
        <v>206</v>
      </c>
      <c r="CS85" s="0" t="n">
        <v>0.62</v>
      </c>
      <c r="CT85" s="0" t="n">
        <v>37.4</v>
      </c>
      <c r="CU85" s="0" t="n">
        <v>15.4</v>
      </c>
      <c r="CV85" s="0" t="n">
        <v>6</v>
      </c>
      <c r="CW85" s="0" t="n">
        <v>6</v>
      </c>
      <c r="CX85" s="0" t="n">
        <v>10</v>
      </c>
      <c r="CY85" s="6" t="n">
        <f aca="false">IF(AH85="exact",10,IF(AH85="adjacent",5,0))</f>
        <v>0</v>
      </c>
      <c r="CZ85" s="6" t="n">
        <f aca="false">IF(R85="Y",15,0)</f>
        <v>0</v>
      </c>
      <c r="DF85" s="6" t="s">
        <v>158</v>
      </c>
      <c r="DG85" s="6" t="s">
        <v>1336</v>
      </c>
      <c r="DH85" s="6" t="s">
        <v>1337</v>
      </c>
      <c r="DI85" s="6" t="s">
        <v>162</v>
      </c>
      <c r="DJ85" s="6" t="s">
        <v>2035</v>
      </c>
      <c r="DK85" s="6" t="s">
        <v>2036</v>
      </c>
      <c r="DS85" s="6" t="s">
        <v>158</v>
      </c>
      <c r="DX85" s="6" t="s">
        <v>162</v>
      </c>
      <c r="ER85" s="0" t="str">
        <f aca="false">IF(ISNUMBER(MATCH(U85,{"queued","contacted","replied","call_booked","call_done","yes_in_principle","materials_sent"},0)),"Y","N")</f>
        <v>N</v>
      </c>
      <c r="ES85" s="0" t="str">
        <f aca="false">IF(COUNTIFS($AP$2:$AP$1000,AP85,$ER$2:$ER$1000,"Y")+COUNTIFS($AP$2:$AP$1000,AP85,$T$2:$T$1000,"Y")&gt;0,"Y","N")</f>
        <v>N</v>
      </c>
      <c r="ET85" s="0" t="str">
        <f aca="false">IF(AND(U85="new",T85="N",AT85="Y",AS85="",ES85="N"),"Y","N")</f>
        <v>N</v>
      </c>
      <c r="EU85" s="0" t="str">
        <f aca="false">IF(ET85&lt;&gt;"Y","N",IF(COUNTIFS($AP$2:$AP$1000,AP85,$ET$2:$ET$1000,"Y",$J$2:$J$1000,"&gt;"&amp;J85)+COUNTIFS($AP$2:$AP$1000,AP85,$ET$2:$ET$1000,"Y",$J$2:$J$1000,J85,$EW$2:$EW$1000,"&lt;"&amp;EW85)=0,"Y","N"))</f>
        <v>N</v>
      </c>
      <c r="EV85" s="0" t="str">
        <f aca="false">IF(Y85="","N",IF(Y85&lt;=10,"Y","N"))</f>
        <v>N</v>
      </c>
      <c r="EW85" s="6" t="n">
        <f aca="false">ROW()-1</f>
        <v>84</v>
      </c>
    </row>
    <row r="86" customFormat="false" ht="15" hidden="false" customHeight="false" outlineLevel="0" collapsed="false">
      <c r="A86" s="0" t="s">
        <v>2037</v>
      </c>
      <c r="B86" s="0" t="s">
        <v>2038</v>
      </c>
      <c r="H86" s="5" t="s">
        <v>158</v>
      </c>
      <c r="I86" s="5" t="s">
        <v>159</v>
      </c>
      <c r="J86" s="6" t="n">
        <f aca="false">IF(AX86="pass",ROUND(CU86+CV86+CW86+CX86+CY86+CZ86,1),0)</f>
        <v>37.4</v>
      </c>
      <c r="K86" s="6" t="s">
        <v>2039</v>
      </c>
      <c r="L86" s="6" t="s">
        <v>561</v>
      </c>
      <c r="O86" s="6" t="s">
        <v>2040</v>
      </c>
      <c r="P86" s="6" t="s">
        <v>1314</v>
      </c>
      <c r="Q86" s="6" t="s">
        <v>1328</v>
      </c>
      <c r="R86" s="5" t="s">
        <v>162</v>
      </c>
      <c r="S86" s="6" t="s">
        <v>163</v>
      </c>
      <c r="T86" s="5" t="s">
        <v>162</v>
      </c>
      <c r="U86" s="5" t="s">
        <v>228</v>
      </c>
      <c r="V86" s="6" t="s">
        <v>1314</v>
      </c>
      <c r="W86" s="6" t="s">
        <v>166</v>
      </c>
      <c r="X86" s="6" t="s">
        <v>167</v>
      </c>
      <c r="Y86" s="0" t="str">
        <f aca="false">IF(EU86&lt;&gt;"Y","",COUNTIFS($EU$2:$EU$1000,"Y",$J$2:$J$1000,"&gt;"&amp;J86)+COUNTIFS($EU$2:$EU$1000,"Y",$J$2:$J$1000,J86,$EW$2:$EW$1000,"&lt;"&amp;EW86)+1)</f>
        <v/>
      </c>
      <c r="Z86" s="0" t="n">
        <v>85</v>
      </c>
      <c r="AA86" s="6" t="s">
        <v>162</v>
      </c>
      <c r="AB86" s="6" t="s">
        <v>1562</v>
      </c>
      <c r="AD86" s="6" t="s">
        <v>158</v>
      </c>
      <c r="AH86" s="5" t="s">
        <v>158</v>
      </c>
      <c r="AI86" s="6" t="s">
        <v>1317</v>
      </c>
      <c r="AJ86" s="6" t="s">
        <v>163</v>
      </c>
      <c r="AK86" s="6" t="s">
        <v>178</v>
      </c>
      <c r="AL86" s="0" t="n">
        <v>22</v>
      </c>
      <c r="AM86" s="0" t="n">
        <v>44</v>
      </c>
      <c r="AN86" s="6" t="s">
        <v>179</v>
      </c>
      <c r="AO86" s="6" t="s">
        <v>163</v>
      </c>
      <c r="AP86" s="6" t="s">
        <v>2037</v>
      </c>
      <c r="AQ86" s="5" t="s">
        <v>162</v>
      </c>
      <c r="AT86" s="0" t="str">
        <f aca="false">IF(AND(AX86="pass",AQ86&lt;&gt;"Y",C86&lt;&gt;"",OR(AW86&lt;&gt;"Y",AV86="Y")),"Y","N")</f>
        <v>N</v>
      </c>
      <c r="AU86" s="0" t="str">
        <f aca="false">_xlfn.TEXTJOIN("; ",TRUE(),IF(AX86&lt;&gt;"pass","gated out",""),IF(AQ86="Y","on hold: "&amp;AR86,""),IF(C86="","no contact named on an opened page",""),IF(AND(AW86="Y",AV86&lt;&gt;"Y"),"Tuesday estimate band "&amp;L86&amp;": founder's call",""))</f>
        <v>no contact named on an opened page; Tuesday estimate band under-40: founder's call</v>
      </c>
      <c r="AW86" s="6" t="s">
        <v>168</v>
      </c>
      <c r="AX86" s="6" t="s">
        <v>181</v>
      </c>
      <c r="AY86" s="6" t="s">
        <v>182</v>
      </c>
      <c r="AZ86" s="6" t="s">
        <v>1</v>
      </c>
      <c r="BA86" s="6" t="s">
        <v>2041</v>
      </c>
      <c r="BB86" s="6" t="s">
        <v>2042</v>
      </c>
      <c r="BC86" s="6" t="s">
        <v>1737</v>
      </c>
      <c r="BD86" s="6" t="s">
        <v>1220</v>
      </c>
      <c r="BF86" s="6" t="s">
        <v>395</v>
      </c>
      <c r="BG86" s="6" t="s">
        <v>188</v>
      </c>
      <c r="BH86" s="6" t="s">
        <v>189</v>
      </c>
      <c r="BI86" s="6" t="s">
        <v>2043</v>
      </c>
      <c r="BK86" s="6" t="s">
        <v>191</v>
      </c>
      <c r="BL86" s="6" t="s">
        <v>192</v>
      </c>
      <c r="BM86" s="6" t="s">
        <v>168</v>
      </c>
      <c r="BN86" s="6" t="s">
        <v>163</v>
      </c>
      <c r="BO86" s="6" t="s">
        <v>163</v>
      </c>
      <c r="BP86" s="6" t="s">
        <v>193</v>
      </c>
      <c r="BQ86" s="0" t="n">
        <v>40.73716</v>
      </c>
      <c r="BR86" s="0" t="n">
        <v>-73.990073</v>
      </c>
      <c r="BS86" s="6" t="s">
        <v>168</v>
      </c>
      <c r="BT86" s="0" t="n">
        <v>0</v>
      </c>
      <c r="BU86" s="6" t="s">
        <v>1327</v>
      </c>
      <c r="BV86" s="6" t="s">
        <v>1317</v>
      </c>
      <c r="BW86" s="6" t="s">
        <v>1314</v>
      </c>
      <c r="BX86" s="6" t="s">
        <v>1328</v>
      </c>
      <c r="BY86" s="6" t="s">
        <v>248</v>
      </c>
      <c r="BZ86" s="6" t="s">
        <v>2044</v>
      </c>
      <c r="CA86" s="6" t="s">
        <v>1328</v>
      </c>
      <c r="CC86" s="6" t="s">
        <v>739</v>
      </c>
      <c r="CE86" s="6" t="s">
        <v>162</v>
      </c>
      <c r="CH86" s="6" t="s">
        <v>163</v>
      </c>
      <c r="CJ86" s="6" t="s">
        <v>163</v>
      </c>
      <c r="CK86" s="6" t="s">
        <v>162</v>
      </c>
      <c r="CL86" s="6" t="s">
        <v>163</v>
      </c>
      <c r="CO86" s="0" t="n">
        <v>31</v>
      </c>
      <c r="CP86" s="6" t="s">
        <v>578</v>
      </c>
      <c r="CQ86" s="6" t="s">
        <v>2045</v>
      </c>
      <c r="CR86" s="6" t="s">
        <v>206</v>
      </c>
      <c r="CS86" s="0" t="n">
        <v>0.14</v>
      </c>
      <c r="CT86" s="0" t="n">
        <v>37.4</v>
      </c>
      <c r="CU86" s="0" t="n">
        <v>3.4</v>
      </c>
      <c r="CV86" s="0" t="n">
        <v>15</v>
      </c>
      <c r="CW86" s="0" t="n">
        <v>6</v>
      </c>
      <c r="CX86" s="0" t="n">
        <v>13</v>
      </c>
      <c r="CY86" s="6" t="n">
        <f aca="false">IF(AH86="exact",10,IF(AH86="adjacent",5,0))</f>
        <v>0</v>
      </c>
      <c r="CZ86" s="6" t="n">
        <f aca="false">IF(R86="Y",15,0)</f>
        <v>0</v>
      </c>
      <c r="DF86" s="6" t="s">
        <v>158</v>
      </c>
      <c r="DG86" s="6" t="s">
        <v>211</v>
      </c>
      <c r="DJ86" s="6" t="s">
        <v>1338</v>
      </c>
      <c r="DK86" s="6" t="s">
        <v>2046</v>
      </c>
      <c r="DS86" s="6" t="s">
        <v>158</v>
      </c>
      <c r="DX86" s="6" t="s">
        <v>162</v>
      </c>
      <c r="ER86" s="0" t="str">
        <f aca="false">IF(ISNUMBER(MATCH(U86,{"queued","contacted","replied","call_booked","call_done","yes_in_principle","materials_sent"},0)),"Y","N")</f>
        <v>N</v>
      </c>
      <c r="ES86" s="0" t="str">
        <f aca="false">IF(COUNTIFS($AP$2:$AP$1000,AP86,$ER$2:$ER$1000,"Y")+COUNTIFS($AP$2:$AP$1000,AP86,$T$2:$T$1000,"Y")&gt;0,"Y","N")</f>
        <v>N</v>
      </c>
      <c r="ET86" s="0" t="str">
        <f aca="false">IF(AND(U86="new",T86="N",AT86="Y",AS86="",ES86="N"),"Y","N")</f>
        <v>N</v>
      </c>
      <c r="EU86" s="0" t="str">
        <f aca="false">IF(ET86&lt;&gt;"Y","N",IF(COUNTIFS($AP$2:$AP$1000,AP86,$ET$2:$ET$1000,"Y",$J$2:$J$1000,"&gt;"&amp;J86)+COUNTIFS($AP$2:$AP$1000,AP86,$ET$2:$ET$1000,"Y",$J$2:$J$1000,J86,$EW$2:$EW$1000,"&lt;"&amp;EW86)=0,"Y","N"))</f>
        <v>N</v>
      </c>
      <c r="EV86" s="0" t="str">
        <f aca="false">IF(Y86="","N",IF(Y86&lt;=10,"Y","N"))</f>
        <v>N</v>
      </c>
      <c r="EW86" s="6" t="n">
        <f aca="false">ROW()-1</f>
        <v>85</v>
      </c>
    </row>
    <row r="87" customFormat="false" ht="15" hidden="false" customHeight="false" outlineLevel="0" collapsed="false">
      <c r="A87" s="0" t="s">
        <v>2047</v>
      </c>
      <c r="B87" s="0" t="s">
        <v>2048</v>
      </c>
      <c r="H87" s="5" t="s">
        <v>158</v>
      </c>
      <c r="I87" s="5" t="s">
        <v>159</v>
      </c>
      <c r="J87" s="6" t="n">
        <f aca="false">IF(AX87="pass",ROUND(CU87+CV87+CW87+CX87+CY87+CZ87,1),0)</f>
        <v>37.3</v>
      </c>
      <c r="K87" s="6" t="s">
        <v>2049</v>
      </c>
      <c r="L87" s="6" t="s">
        <v>161</v>
      </c>
      <c r="R87" s="5" t="s">
        <v>162</v>
      </c>
      <c r="S87" s="6" t="s">
        <v>163</v>
      </c>
      <c r="T87" s="5" t="s">
        <v>162</v>
      </c>
      <c r="U87" s="5" t="s">
        <v>228</v>
      </c>
      <c r="V87" s="6" t="s">
        <v>2050</v>
      </c>
      <c r="W87" s="6" t="s">
        <v>166</v>
      </c>
      <c r="X87" s="6" t="s">
        <v>167</v>
      </c>
      <c r="Y87" s="0" t="str">
        <f aca="false">IF(EU87&lt;&gt;"Y","",COUNTIFS($EU$2:$EU$1000,"Y",$J$2:$J$1000,"&gt;"&amp;J87)+COUNTIFS($EU$2:$EU$1000,"Y",$J$2:$J$1000,J87,$EW$2:$EW$1000,"&lt;"&amp;EW87)+1)</f>
        <v/>
      </c>
      <c r="Z87" s="0" t="n">
        <v>86</v>
      </c>
      <c r="AA87" s="6" t="s">
        <v>162</v>
      </c>
      <c r="AD87" s="6" t="s">
        <v>158</v>
      </c>
      <c r="AH87" s="5" t="s">
        <v>158</v>
      </c>
      <c r="AI87" s="6" t="s">
        <v>2051</v>
      </c>
      <c r="AJ87" s="6" t="s">
        <v>163</v>
      </c>
      <c r="AK87" s="6" t="s">
        <v>435</v>
      </c>
      <c r="AL87" s="0" t="n">
        <v>31</v>
      </c>
      <c r="AM87" s="0" t="n">
        <v>625</v>
      </c>
      <c r="AN87" s="6" t="s">
        <v>179</v>
      </c>
      <c r="AO87" s="6" t="s">
        <v>180</v>
      </c>
      <c r="AP87" s="6" t="s">
        <v>2047</v>
      </c>
      <c r="AQ87" s="5" t="s">
        <v>162</v>
      </c>
      <c r="AT87" s="0" t="str">
        <f aca="false">IF(AND(AX87="pass",AQ87&lt;&gt;"Y",C87&lt;&gt;"",OR(AW87&lt;&gt;"Y",AV87="Y")),"Y","N")</f>
        <v>N</v>
      </c>
      <c r="AU87" s="0" t="str">
        <f aca="false">_xlfn.TEXTJOIN("; ",TRUE(),IF(AX87&lt;&gt;"pass","gated out",""),IF(AQ87="Y","on hold: "&amp;AR87,""),IF(C87="","no contact named on an opened page",""),IF(AND(AW87="Y",AV87&lt;&gt;"Y"),"Tuesday estimate band "&amp;L87&amp;": founder's call",""))</f>
        <v>no contact named on an opened page</v>
      </c>
      <c r="AW87" s="6" t="s">
        <v>162</v>
      </c>
      <c r="AX87" s="6" t="s">
        <v>181</v>
      </c>
      <c r="AY87" s="6" t="s">
        <v>182</v>
      </c>
      <c r="AZ87" s="6" t="s">
        <v>1</v>
      </c>
      <c r="BA87" s="6" t="s">
        <v>2052</v>
      </c>
      <c r="BB87" s="6" t="s">
        <v>2053</v>
      </c>
      <c r="BC87" s="6" t="s">
        <v>2054</v>
      </c>
      <c r="BD87" s="6" t="s">
        <v>2055</v>
      </c>
      <c r="BF87" s="6" t="s">
        <v>1323</v>
      </c>
      <c r="BG87" s="6" t="s">
        <v>188</v>
      </c>
      <c r="BH87" s="6" t="s">
        <v>189</v>
      </c>
      <c r="BI87" s="6" t="s">
        <v>2056</v>
      </c>
      <c r="BK87" s="6" t="s">
        <v>1440</v>
      </c>
      <c r="BL87" s="6" t="s">
        <v>2057</v>
      </c>
      <c r="BM87" s="6" t="s">
        <v>162</v>
      </c>
      <c r="BN87" s="6" t="s">
        <v>163</v>
      </c>
      <c r="BO87" s="6" t="s">
        <v>163</v>
      </c>
      <c r="BP87" s="6" t="s">
        <v>347</v>
      </c>
      <c r="BQ87" s="0" t="n">
        <v>40.74118</v>
      </c>
      <c r="BR87" s="0" t="n">
        <v>-73.99129</v>
      </c>
      <c r="BS87" s="6" t="s">
        <v>168</v>
      </c>
      <c r="BT87" s="0" t="n">
        <v>0</v>
      </c>
      <c r="BU87" s="6" t="s">
        <v>2058</v>
      </c>
      <c r="BV87" s="6" t="s">
        <v>2059</v>
      </c>
      <c r="BW87" s="6" t="s">
        <v>2050</v>
      </c>
      <c r="BX87" s="6" t="s">
        <v>845</v>
      </c>
      <c r="BY87" s="6" t="s">
        <v>248</v>
      </c>
      <c r="CC87" s="6" t="s">
        <v>179</v>
      </c>
      <c r="CE87" s="6" t="s">
        <v>162</v>
      </c>
      <c r="CH87" s="6" t="s">
        <v>163</v>
      </c>
      <c r="CJ87" s="6" t="s">
        <v>163</v>
      </c>
      <c r="CK87" s="6" t="s">
        <v>162</v>
      </c>
      <c r="CL87" s="6" t="s">
        <v>2060</v>
      </c>
      <c r="CM87" s="6" t="s">
        <v>2061</v>
      </c>
      <c r="CN87" s="6" t="s">
        <v>174</v>
      </c>
      <c r="CO87" s="0" t="n">
        <v>139</v>
      </c>
      <c r="CP87" s="6" t="s">
        <v>251</v>
      </c>
      <c r="CQ87" s="6" t="s">
        <v>2062</v>
      </c>
      <c r="CR87" s="6" t="s">
        <v>206</v>
      </c>
      <c r="CS87" s="0" t="n">
        <v>0.61</v>
      </c>
      <c r="CT87" s="0" t="n">
        <v>37.3</v>
      </c>
      <c r="CU87" s="0" t="n">
        <v>15.3</v>
      </c>
      <c r="CV87" s="0" t="n">
        <v>2</v>
      </c>
      <c r="CW87" s="0" t="n">
        <v>15</v>
      </c>
      <c r="CX87" s="0" t="n">
        <v>5</v>
      </c>
      <c r="CY87" s="6" t="n">
        <f aca="false">IF(AH87="exact",10,IF(AH87="adjacent",5,0))</f>
        <v>0</v>
      </c>
      <c r="CZ87" s="6" t="n">
        <f aca="false">IF(R87="Y",15,0)</f>
        <v>0</v>
      </c>
      <c r="DF87" s="6" t="s">
        <v>158</v>
      </c>
      <c r="DG87" s="6" t="s">
        <v>1336</v>
      </c>
      <c r="DH87" s="6" t="s">
        <v>1447</v>
      </c>
      <c r="DI87" s="6" t="s">
        <v>162</v>
      </c>
      <c r="DJ87" s="6" t="s">
        <v>2063</v>
      </c>
      <c r="DK87" s="6" t="s">
        <v>2064</v>
      </c>
      <c r="DS87" s="6" t="s">
        <v>158</v>
      </c>
      <c r="DX87" s="6" t="s">
        <v>162</v>
      </c>
      <c r="ER87" s="0" t="str">
        <f aca="false">IF(ISNUMBER(MATCH(U87,{"queued","contacted","replied","call_booked","call_done","yes_in_principle","materials_sent"},0)),"Y","N")</f>
        <v>N</v>
      </c>
      <c r="ES87" s="0" t="str">
        <f aca="false">IF(COUNTIFS($AP$2:$AP$1000,AP87,$ER$2:$ER$1000,"Y")+COUNTIFS($AP$2:$AP$1000,AP87,$T$2:$T$1000,"Y")&gt;0,"Y","N")</f>
        <v>N</v>
      </c>
      <c r="ET87" s="0" t="str">
        <f aca="false">IF(AND(U87="new",T87="N",AT87="Y",AS87="",ES87="N"),"Y","N")</f>
        <v>N</v>
      </c>
      <c r="EU87" s="0" t="str">
        <f aca="false">IF(ET87&lt;&gt;"Y","N",IF(COUNTIFS($AP$2:$AP$1000,AP87,$ET$2:$ET$1000,"Y",$J$2:$J$1000,"&gt;"&amp;J87)+COUNTIFS($AP$2:$AP$1000,AP87,$ET$2:$ET$1000,"Y",$J$2:$J$1000,J87,$EW$2:$EW$1000,"&lt;"&amp;EW87)=0,"Y","N"))</f>
        <v>N</v>
      </c>
      <c r="EV87" s="0" t="str">
        <f aca="false">IF(Y87="","N",IF(Y87&lt;=10,"Y","N"))</f>
        <v>N</v>
      </c>
      <c r="EW87" s="6" t="n">
        <f aca="false">ROW()-1</f>
        <v>86</v>
      </c>
    </row>
    <row r="88" customFormat="false" ht="15" hidden="false" customHeight="false" outlineLevel="0" collapsed="false">
      <c r="A88" s="0" t="s">
        <v>2065</v>
      </c>
      <c r="B88" s="0" t="s">
        <v>2066</v>
      </c>
      <c r="H88" s="5" t="s">
        <v>158</v>
      </c>
      <c r="I88" s="5" t="s">
        <v>159</v>
      </c>
      <c r="J88" s="6" t="n">
        <f aca="false">IF(AX88="pass",ROUND(CU88+CV88+CW88+CX88+CY88+CZ88,1),0)</f>
        <v>37.1</v>
      </c>
      <c r="K88" s="6" t="s">
        <v>2067</v>
      </c>
      <c r="L88" s="6" t="s">
        <v>240</v>
      </c>
      <c r="R88" s="5" t="s">
        <v>162</v>
      </c>
      <c r="S88" s="6" t="s">
        <v>163</v>
      </c>
      <c r="T88" s="5" t="s">
        <v>162</v>
      </c>
      <c r="U88" s="5" t="s">
        <v>228</v>
      </c>
      <c r="V88" s="6" t="s">
        <v>2068</v>
      </c>
      <c r="W88" s="6" t="s">
        <v>166</v>
      </c>
      <c r="X88" s="6" t="s">
        <v>167</v>
      </c>
      <c r="Y88" s="0" t="str">
        <f aca="false">IF(EU88&lt;&gt;"Y","",COUNTIFS($EU$2:$EU$1000,"Y",$J$2:$J$1000,"&gt;"&amp;J88)+COUNTIFS($EU$2:$EU$1000,"Y",$J$2:$J$1000,J88,$EW$2:$EW$1000,"&lt;"&amp;EW88)+1)</f>
        <v/>
      </c>
      <c r="Z88" s="0" t="n">
        <v>87</v>
      </c>
      <c r="AA88" s="6" t="s">
        <v>162</v>
      </c>
      <c r="AB88" s="6" t="s">
        <v>1662</v>
      </c>
      <c r="AD88" s="6" t="s">
        <v>158</v>
      </c>
      <c r="AH88" s="5" t="s">
        <v>158</v>
      </c>
      <c r="AI88" s="6" t="s">
        <v>754</v>
      </c>
      <c r="AJ88" s="6" t="s">
        <v>2069</v>
      </c>
      <c r="AK88" s="6" t="s">
        <v>435</v>
      </c>
      <c r="AL88" s="0" t="n">
        <v>59</v>
      </c>
      <c r="AM88" s="0" t="n">
        <v>1176</v>
      </c>
      <c r="AN88" s="6" t="s">
        <v>179</v>
      </c>
      <c r="AO88" s="6" t="s">
        <v>180</v>
      </c>
      <c r="AP88" s="6" t="s">
        <v>2065</v>
      </c>
      <c r="AQ88" s="5" t="s">
        <v>162</v>
      </c>
      <c r="AT88" s="0" t="str">
        <f aca="false">IF(AND(AX88="pass",AQ88&lt;&gt;"Y",C88&lt;&gt;"",OR(AW88&lt;&gt;"Y",AV88="Y")),"Y","N")</f>
        <v>N</v>
      </c>
      <c r="AU88" s="0" t="str">
        <f aca="false">_xlfn.TEXTJOIN("; ",TRUE(),IF(AX88&lt;&gt;"pass","gated out",""),IF(AQ88="Y","on hold: "&amp;AR88,""),IF(C88="","no contact named on an opened page",""),IF(AND(AW88="Y",AV88&lt;&gt;"Y"),"Tuesday estimate band "&amp;L88&amp;": founder's call",""))</f>
        <v>no contact named on an opened page; Tuesday estimate band 251-500: founder's call</v>
      </c>
      <c r="AW88" s="6" t="s">
        <v>168</v>
      </c>
      <c r="AX88" s="6" t="s">
        <v>181</v>
      </c>
      <c r="AY88" s="6" t="s">
        <v>182</v>
      </c>
      <c r="AZ88" s="6" t="s">
        <v>1</v>
      </c>
      <c r="BA88" s="6" t="s">
        <v>2070</v>
      </c>
      <c r="BB88" s="6" t="s">
        <v>2071</v>
      </c>
      <c r="BC88" s="6" t="s">
        <v>2072</v>
      </c>
      <c r="BD88" s="6" t="s">
        <v>2073</v>
      </c>
      <c r="BF88" s="6" t="s">
        <v>1323</v>
      </c>
      <c r="BG88" s="6" t="s">
        <v>188</v>
      </c>
      <c r="BH88" s="6" t="s">
        <v>189</v>
      </c>
      <c r="BI88" s="6" t="s">
        <v>2074</v>
      </c>
      <c r="BK88" s="6" t="s">
        <v>1440</v>
      </c>
      <c r="BL88" s="6" t="s">
        <v>2075</v>
      </c>
      <c r="BM88" s="6" t="s">
        <v>162</v>
      </c>
      <c r="BN88" s="6" t="s">
        <v>163</v>
      </c>
      <c r="BO88" s="6" t="s">
        <v>163</v>
      </c>
      <c r="BP88" s="6" t="s">
        <v>347</v>
      </c>
      <c r="BQ88" s="0" t="n">
        <v>40.743309</v>
      </c>
      <c r="BR88" s="0" t="n">
        <v>-73.987329</v>
      </c>
      <c r="BS88" s="6" t="s">
        <v>168</v>
      </c>
      <c r="BT88" s="0" t="n">
        <v>0</v>
      </c>
      <c r="BU88" s="6" t="s">
        <v>764</v>
      </c>
      <c r="BV88" s="6" t="s">
        <v>765</v>
      </c>
      <c r="BW88" s="6" t="s">
        <v>2068</v>
      </c>
      <c r="BX88" s="6" t="s">
        <v>2076</v>
      </c>
      <c r="BY88" s="6" t="s">
        <v>248</v>
      </c>
      <c r="CC88" s="6" t="s">
        <v>739</v>
      </c>
      <c r="CE88" s="6" t="s">
        <v>162</v>
      </c>
      <c r="CH88" s="6" t="s">
        <v>163</v>
      </c>
      <c r="CJ88" s="6" t="s">
        <v>163</v>
      </c>
      <c r="CK88" s="6" t="s">
        <v>162</v>
      </c>
      <c r="CL88" s="6" t="s">
        <v>577</v>
      </c>
      <c r="CM88" s="6" t="s">
        <v>2074</v>
      </c>
      <c r="CN88" s="6" t="s">
        <v>174</v>
      </c>
      <c r="CO88" s="0" t="n">
        <v>263</v>
      </c>
      <c r="CP88" s="6" t="s">
        <v>251</v>
      </c>
      <c r="CQ88" s="6" t="s">
        <v>2077</v>
      </c>
      <c r="CR88" s="6" t="s">
        <v>206</v>
      </c>
      <c r="CS88" s="0" t="n">
        <v>0.48</v>
      </c>
      <c r="CT88" s="0" t="n">
        <v>37.1</v>
      </c>
      <c r="CU88" s="0" t="n">
        <v>12.1</v>
      </c>
      <c r="CV88" s="0" t="n">
        <v>2</v>
      </c>
      <c r="CW88" s="0" t="n">
        <v>15</v>
      </c>
      <c r="CX88" s="0" t="n">
        <v>8</v>
      </c>
      <c r="CY88" s="6" t="n">
        <f aca="false">IF(AH88="exact",10,IF(AH88="adjacent",5,0))</f>
        <v>0</v>
      </c>
      <c r="CZ88" s="6" t="n">
        <f aca="false">IF(R88="Y",15,0)</f>
        <v>0</v>
      </c>
      <c r="DF88" s="6" t="s">
        <v>158</v>
      </c>
      <c r="DG88" s="6" t="s">
        <v>1336</v>
      </c>
      <c r="DH88" s="6" t="s">
        <v>1447</v>
      </c>
      <c r="DI88" s="6" t="s">
        <v>162</v>
      </c>
      <c r="DJ88" s="6" t="s">
        <v>2078</v>
      </c>
      <c r="DK88" s="6" t="s">
        <v>2079</v>
      </c>
      <c r="DS88" s="6" t="s">
        <v>158</v>
      </c>
      <c r="DX88" s="6" t="s">
        <v>162</v>
      </c>
      <c r="ER88" s="0" t="str">
        <f aca="false">IF(ISNUMBER(MATCH(U88,{"queued","contacted","replied","call_booked","call_done","yes_in_principle","materials_sent"},0)),"Y","N")</f>
        <v>N</v>
      </c>
      <c r="ES88" s="0" t="str">
        <f aca="false">IF(COUNTIFS($AP$2:$AP$1000,AP88,$ER$2:$ER$1000,"Y")+COUNTIFS($AP$2:$AP$1000,AP88,$T$2:$T$1000,"Y")&gt;0,"Y","N")</f>
        <v>N</v>
      </c>
      <c r="ET88" s="0" t="str">
        <f aca="false">IF(AND(U88="new",T88="N",AT88="Y",AS88="",ES88="N"),"Y","N")</f>
        <v>N</v>
      </c>
      <c r="EU88" s="0" t="str">
        <f aca="false">IF(ET88&lt;&gt;"Y","N",IF(COUNTIFS($AP$2:$AP$1000,AP88,$ET$2:$ET$1000,"Y",$J$2:$J$1000,"&gt;"&amp;J88)+COUNTIFS($AP$2:$AP$1000,AP88,$ET$2:$ET$1000,"Y",$J$2:$J$1000,J88,$EW$2:$EW$1000,"&lt;"&amp;EW88)=0,"Y","N"))</f>
        <v>N</v>
      </c>
      <c r="EV88" s="0" t="str">
        <f aca="false">IF(Y88="","N",IF(Y88&lt;=10,"Y","N"))</f>
        <v>N</v>
      </c>
      <c r="EW88" s="6" t="n">
        <f aca="false">ROW()-1</f>
        <v>87</v>
      </c>
    </row>
    <row r="89" customFormat="false" ht="15" hidden="false" customHeight="false" outlineLevel="0" collapsed="false">
      <c r="A89" s="0" t="s">
        <v>2080</v>
      </c>
      <c r="B89" s="0" t="s">
        <v>2081</v>
      </c>
      <c r="H89" s="5" t="s">
        <v>158</v>
      </c>
      <c r="I89" s="5" t="s">
        <v>159</v>
      </c>
      <c r="J89" s="6" t="n">
        <f aca="false">IF(AX89="pass",ROUND(CU89+CV89+CW89+CX89+CY89+CZ89,1),0)</f>
        <v>37.1</v>
      </c>
      <c r="K89" s="6" t="s">
        <v>2082</v>
      </c>
      <c r="L89" s="6" t="s">
        <v>395</v>
      </c>
      <c r="O89" s="6" t="s">
        <v>952</v>
      </c>
      <c r="P89" s="6" t="s">
        <v>953</v>
      </c>
      <c r="Q89" s="6" t="s">
        <v>954</v>
      </c>
      <c r="R89" s="5" t="s">
        <v>162</v>
      </c>
      <c r="S89" s="6" t="s">
        <v>163</v>
      </c>
      <c r="T89" s="5" t="s">
        <v>162</v>
      </c>
      <c r="U89" s="5" t="s">
        <v>228</v>
      </c>
      <c r="V89" s="6" t="s">
        <v>953</v>
      </c>
      <c r="W89" s="6" t="s">
        <v>166</v>
      </c>
      <c r="X89" s="6" t="s">
        <v>167</v>
      </c>
      <c r="Y89" s="0" t="str">
        <f aca="false">IF(EU89&lt;&gt;"Y","",COUNTIFS($EU$2:$EU$1000,"Y",$J$2:$J$1000,"&gt;"&amp;J89)+COUNTIFS($EU$2:$EU$1000,"Y",$J$2:$J$1000,J89,$EW$2:$EW$1000,"&lt;"&amp;EW89)+1)</f>
        <v/>
      </c>
      <c r="Z89" s="0" t="n">
        <v>88</v>
      </c>
      <c r="AA89" s="6" t="s">
        <v>162</v>
      </c>
      <c r="AD89" s="6" t="s">
        <v>158</v>
      </c>
      <c r="AH89" s="5" t="s">
        <v>158</v>
      </c>
      <c r="AI89" s="6" t="s">
        <v>957</v>
      </c>
      <c r="AJ89" s="6" t="s">
        <v>2083</v>
      </c>
      <c r="AK89" s="6" t="s">
        <v>890</v>
      </c>
      <c r="AL89" s="0" t="n">
        <v>9</v>
      </c>
      <c r="AM89" s="0" t="n">
        <v>549</v>
      </c>
      <c r="AN89" s="6" t="s">
        <v>179</v>
      </c>
      <c r="AO89" s="6" t="s">
        <v>180</v>
      </c>
      <c r="AP89" s="6" t="s">
        <v>2080</v>
      </c>
      <c r="AQ89" s="5" t="s">
        <v>168</v>
      </c>
      <c r="AR89" s="6" t="s">
        <v>891</v>
      </c>
      <c r="AT89" s="0" t="str">
        <f aca="false">IF(AND(AX89="pass",AQ89&lt;&gt;"Y",C89&lt;&gt;"",OR(AW89&lt;&gt;"Y",AV89="Y")),"Y","N")</f>
        <v>N</v>
      </c>
      <c r="AU89" s="0" t="str">
        <f aca="false">_xlfn.TEXTJOIN("; ",TRUE(),IF(AX89&lt;&gt;"pass","gated out",""),IF(AQ89="Y","on hold: "&amp;AR89,""),IF(C89="","no contact named on an opened page",""),IF(AND(AW89="Y",AV89&lt;&gt;"Y"),"Tuesday estimate band "&amp;L89&amp;": founder's call",""))</f>
        <v>on hold: lease signed, move not confirmed: check the lobby directory before outreach (B); no contact named on an opened page</v>
      </c>
      <c r="AW89" s="6" t="s">
        <v>162</v>
      </c>
      <c r="AX89" s="6" t="s">
        <v>181</v>
      </c>
      <c r="AY89" s="6" t="s">
        <v>182</v>
      </c>
      <c r="AZ89" s="6" t="s">
        <v>1</v>
      </c>
      <c r="BA89" s="6" t="s">
        <v>2084</v>
      </c>
      <c r="BB89" s="6" t="s">
        <v>2085</v>
      </c>
      <c r="BC89" s="6" t="s">
        <v>2086</v>
      </c>
      <c r="BD89" s="6" t="s">
        <v>2087</v>
      </c>
      <c r="BE89" s="6" t="s">
        <v>2088</v>
      </c>
      <c r="BF89" s="6" t="s">
        <v>1323</v>
      </c>
      <c r="BG89" s="6" t="s">
        <v>188</v>
      </c>
      <c r="BH89" s="6" t="s">
        <v>1324</v>
      </c>
      <c r="BI89" s="6" t="s">
        <v>2089</v>
      </c>
      <c r="BJ89" s="6" t="s">
        <v>2090</v>
      </c>
      <c r="BK89" s="6" t="s">
        <v>1264</v>
      </c>
      <c r="BL89" s="6" t="s">
        <v>656</v>
      </c>
      <c r="BM89" s="6" t="s">
        <v>162</v>
      </c>
      <c r="BN89" s="6" t="s">
        <v>163</v>
      </c>
      <c r="BO89" s="6" t="s">
        <v>163</v>
      </c>
      <c r="BP89" s="6" t="s">
        <v>244</v>
      </c>
      <c r="BQ89" s="0" t="n">
        <v>40.74291</v>
      </c>
      <c r="BR89" s="0" t="n">
        <v>-73.984627</v>
      </c>
      <c r="BS89" s="6" t="s">
        <v>168</v>
      </c>
      <c r="BT89" s="0" t="n">
        <v>0</v>
      </c>
      <c r="BU89" s="6" t="s">
        <v>966</v>
      </c>
      <c r="BV89" s="6" t="s">
        <v>967</v>
      </c>
      <c r="BW89" s="6" t="s">
        <v>953</v>
      </c>
      <c r="BX89" s="6" t="s">
        <v>954</v>
      </c>
      <c r="BY89" s="6" t="s">
        <v>248</v>
      </c>
      <c r="CC89" s="6" t="s">
        <v>739</v>
      </c>
      <c r="CD89" s="6" t="s">
        <v>163</v>
      </c>
      <c r="CE89" s="6" t="s">
        <v>162</v>
      </c>
      <c r="CH89" s="6" t="s">
        <v>163</v>
      </c>
      <c r="CJ89" s="6" t="s">
        <v>163</v>
      </c>
      <c r="CK89" s="6" t="s">
        <v>162</v>
      </c>
      <c r="CL89" s="6" t="s">
        <v>2091</v>
      </c>
      <c r="CM89" s="6" t="s">
        <v>2092</v>
      </c>
      <c r="CN89" s="6" t="s">
        <v>2093</v>
      </c>
      <c r="CO89" s="0" t="n">
        <v>70</v>
      </c>
      <c r="CP89" s="6" t="s">
        <v>768</v>
      </c>
      <c r="CQ89" s="6" t="s">
        <v>2094</v>
      </c>
      <c r="CR89" s="6" t="s">
        <v>206</v>
      </c>
      <c r="CS89" s="0" t="n">
        <v>0.45</v>
      </c>
      <c r="CT89" s="0" t="n">
        <v>37.1</v>
      </c>
      <c r="CU89" s="0" t="n">
        <v>11.1</v>
      </c>
      <c r="CV89" s="0" t="n">
        <v>6</v>
      </c>
      <c r="CW89" s="0" t="n">
        <v>15</v>
      </c>
      <c r="CX89" s="0" t="n">
        <v>5</v>
      </c>
      <c r="CY89" s="6" t="n">
        <f aca="false">IF(AH89="exact",10,IF(AH89="adjacent",5,0))</f>
        <v>0</v>
      </c>
      <c r="CZ89" s="6" t="n">
        <f aca="false">IF(R89="Y",15,0)</f>
        <v>0</v>
      </c>
      <c r="DF89" s="6" t="s">
        <v>158</v>
      </c>
      <c r="DG89" s="6" t="s">
        <v>1336</v>
      </c>
      <c r="DH89" s="6" t="s">
        <v>1337</v>
      </c>
      <c r="DI89" s="6" t="s">
        <v>168</v>
      </c>
      <c r="DJ89" s="6" t="s">
        <v>974</v>
      </c>
      <c r="DK89" s="6" t="s">
        <v>2095</v>
      </c>
      <c r="DS89" s="6" t="s">
        <v>158</v>
      </c>
      <c r="DX89" s="6" t="s">
        <v>162</v>
      </c>
      <c r="ER89" s="0" t="str">
        <f aca="false">IF(ISNUMBER(MATCH(U89,{"queued","contacted","replied","call_booked","call_done","yes_in_principle","materials_sent"},0)),"Y","N")</f>
        <v>N</v>
      </c>
      <c r="ES89" s="0" t="str">
        <f aca="false">IF(COUNTIFS($AP$2:$AP$1000,AP89,$ER$2:$ER$1000,"Y")+COUNTIFS($AP$2:$AP$1000,AP89,$T$2:$T$1000,"Y")&gt;0,"Y","N")</f>
        <v>N</v>
      </c>
      <c r="ET89" s="0" t="str">
        <f aca="false">IF(AND(U89="new",T89="N",AT89="Y",AS89="",ES89="N"),"Y","N")</f>
        <v>N</v>
      </c>
      <c r="EU89" s="0" t="str">
        <f aca="false">IF(ET89&lt;&gt;"Y","N",IF(COUNTIFS($AP$2:$AP$1000,AP89,$ET$2:$ET$1000,"Y",$J$2:$J$1000,"&gt;"&amp;J89)+COUNTIFS($AP$2:$AP$1000,AP89,$ET$2:$ET$1000,"Y",$J$2:$J$1000,J89,$EW$2:$EW$1000,"&lt;"&amp;EW89)=0,"Y","N"))</f>
        <v>N</v>
      </c>
      <c r="EV89" s="0" t="str">
        <f aca="false">IF(Y89="","N",IF(Y89&lt;=10,"Y","N"))</f>
        <v>N</v>
      </c>
      <c r="EW89" s="6" t="n">
        <f aca="false">ROW()-1</f>
        <v>88</v>
      </c>
    </row>
    <row r="90" customFormat="false" ht="15" hidden="false" customHeight="false" outlineLevel="0" collapsed="false">
      <c r="A90" s="0" t="s">
        <v>2096</v>
      </c>
      <c r="B90" s="0" t="s">
        <v>2097</v>
      </c>
      <c r="H90" s="5" t="s">
        <v>158</v>
      </c>
      <c r="I90" s="5" t="s">
        <v>159</v>
      </c>
      <c r="J90" s="6" t="n">
        <f aca="false">IF(AX90="pass",ROUND(CU90+CV90+CW90+CX90+CY90+CZ90,1),0)</f>
        <v>37</v>
      </c>
      <c r="K90" s="6" t="s">
        <v>2098</v>
      </c>
      <c r="L90" s="6" t="s">
        <v>561</v>
      </c>
      <c r="R90" s="5" t="s">
        <v>162</v>
      </c>
      <c r="S90" s="6" t="s">
        <v>163</v>
      </c>
      <c r="T90" s="5" t="s">
        <v>162</v>
      </c>
      <c r="U90" s="5" t="s">
        <v>228</v>
      </c>
      <c r="V90" s="6" t="s">
        <v>2099</v>
      </c>
      <c r="W90" s="6" t="s">
        <v>166</v>
      </c>
      <c r="X90" s="6" t="s">
        <v>167</v>
      </c>
      <c r="Y90" s="0" t="str">
        <f aca="false">IF(EU90&lt;&gt;"Y","",COUNTIFS($EU$2:$EU$1000,"Y",$J$2:$J$1000,"&gt;"&amp;J90)+COUNTIFS($EU$2:$EU$1000,"Y",$J$2:$J$1000,J90,$EW$2:$EW$1000,"&lt;"&amp;EW90)+1)</f>
        <v/>
      </c>
      <c r="Z90" s="0" t="n">
        <v>89</v>
      </c>
      <c r="AA90" s="6" t="s">
        <v>162</v>
      </c>
      <c r="AB90" s="6" t="s">
        <v>1562</v>
      </c>
      <c r="AD90" s="6" t="s">
        <v>158</v>
      </c>
      <c r="AH90" s="5" t="s">
        <v>158</v>
      </c>
      <c r="AI90" s="6" t="s">
        <v>2100</v>
      </c>
      <c r="AJ90" s="6" t="s">
        <v>889</v>
      </c>
      <c r="AK90" s="6" t="s">
        <v>435</v>
      </c>
      <c r="AL90" s="0" t="n">
        <v>3</v>
      </c>
      <c r="AM90" s="0" t="n">
        <v>50</v>
      </c>
      <c r="AN90" s="6" t="s">
        <v>179</v>
      </c>
      <c r="AO90" s="6" t="s">
        <v>180</v>
      </c>
      <c r="AP90" s="6" t="s">
        <v>2096</v>
      </c>
      <c r="AQ90" s="5" t="s">
        <v>162</v>
      </c>
      <c r="AT90" s="0" t="str">
        <f aca="false">IF(AND(AX90="pass",AQ90&lt;&gt;"Y",C90&lt;&gt;"",OR(AW90&lt;&gt;"Y",AV90="Y")),"Y","N")</f>
        <v>N</v>
      </c>
      <c r="AU90" s="0" t="str">
        <f aca="false">_xlfn.TEXTJOIN("; ",TRUE(),IF(AX90&lt;&gt;"pass","gated out",""),IF(AQ90="Y","on hold: "&amp;AR90,""),IF(C90="","no contact named on an opened page",""),IF(AND(AW90="Y",AV90&lt;&gt;"Y"),"Tuesday estimate band "&amp;L90&amp;": founder's call",""))</f>
        <v>no contact named on an opened page; Tuesday estimate band under-40: founder's call</v>
      </c>
      <c r="AW90" s="6" t="s">
        <v>168</v>
      </c>
      <c r="AX90" s="6" t="s">
        <v>181</v>
      </c>
      <c r="AY90" s="6" t="s">
        <v>182</v>
      </c>
      <c r="AZ90" s="6" t="s">
        <v>1</v>
      </c>
      <c r="BA90" s="6" t="s">
        <v>2101</v>
      </c>
      <c r="BB90" s="6" t="s">
        <v>2102</v>
      </c>
      <c r="BC90" s="6" t="s">
        <v>2103</v>
      </c>
      <c r="BD90" s="6" t="s">
        <v>1195</v>
      </c>
      <c r="BF90" s="6" t="s">
        <v>395</v>
      </c>
      <c r="BG90" s="6" t="s">
        <v>188</v>
      </c>
      <c r="BH90" s="6" t="s">
        <v>189</v>
      </c>
      <c r="BI90" s="6" t="s">
        <v>2104</v>
      </c>
      <c r="BK90" s="6" t="s">
        <v>191</v>
      </c>
      <c r="BL90" s="6" t="s">
        <v>163</v>
      </c>
      <c r="BM90" s="6" t="s">
        <v>163</v>
      </c>
      <c r="BN90" s="6" t="s">
        <v>163</v>
      </c>
      <c r="BO90" s="6" t="s">
        <v>163</v>
      </c>
      <c r="BP90" s="6" t="s">
        <v>193</v>
      </c>
      <c r="BQ90" s="0" t="n">
        <v>40.736419</v>
      </c>
      <c r="BR90" s="0" t="n">
        <v>-73.993096</v>
      </c>
      <c r="BS90" s="6" t="s">
        <v>168</v>
      </c>
      <c r="BT90" s="0" t="n">
        <v>0</v>
      </c>
      <c r="BU90" s="6" t="s">
        <v>2105</v>
      </c>
      <c r="BV90" s="6" t="s">
        <v>2100</v>
      </c>
      <c r="BW90" s="6" t="s">
        <v>2099</v>
      </c>
      <c r="BX90" s="6" t="s">
        <v>2106</v>
      </c>
      <c r="BY90" s="6" t="s">
        <v>248</v>
      </c>
      <c r="CC90" s="6" t="s">
        <v>179</v>
      </c>
      <c r="CE90" s="6" t="s">
        <v>162</v>
      </c>
      <c r="CH90" s="6" t="s">
        <v>163</v>
      </c>
      <c r="CJ90" s="6" t="s">
        <v>163</v>
      </c>
      <c r="CK90" s="6" t="s">
        <v>162</v>
      </c>
      <c r="CL90" s="6" t="s">
        <v>1538</v>
      </c>
      <c r="CM90" s="6" t="s">
        <v>2107</v>
      </c>
      <c r="CN90" s="6" t="s">
        <v>174</v>
      </c>
      <c r="CO90" s="0" t="n">
        <v>12</v>
      </c>
      <c r="CP90" s="6" t="s">
        <v>1727</v>
      </c>
      <c r="CQ90" s="6" t="s">
        <v>2108</v>
      </c>
      <c r="CR90" s="6" t="s">
        <v>206</v>
      </c>
      <c r="CS90" s="0" t="n">
        <v>0.08</v>
      </c>
      <c r="CT90" s="0" t="n">
        <v>37</v>
      </c>
      <c r="CU90" s="0" t="n">
        <v>2</v>
      </c>
      <c r="CV90" s="0" t="n">
        <v>15</v>
      </c>
      <c r="CW90" s="0" t="n">
        <v>15</v>
      </c>
      <c r="CX90" s="0" t="n">
        <v>5</v>
      </c>
      <c r="CY90" s="6" t="n">
        <f aca="false">IF(AH90="exact",10,IF(AH90="adjacent",5,0))</f>
        <v>0</v>
      </c>
      <c r="CZ90" s="6" t="n">
        <f aca="false">IF(R90="Y",15,0)</f>
        <v>0</v>
      </c>
      <c r="DF90" s="6" t="s">
        <v>158</v>
      </c>
      <c r="DG90" s="6" t="s">
        <v>211</v>
      </c>
      <c r="DJ90" s="6" t="s">
        <v>2109</v>
      </c>
      <c r="DK90" s="6" t="s">
        <v>2110</v>
      </c>
      <c r="DS90" s="6" t="s">
        <v>158</v>
      </c>
      <c r="DX90" s="6" t="s">
        <v>162</v>
      </c>
      <c r="ER90" s="0" t="str">
        <f aca="false">IF(ISNUMBER(MATCH(U90,{"queued","contacted","replied","call_booked","call_done","yes_in_principle","materials_sent"},0)),"Y","N")</f>
        <v>N</v>
      </c>
      <c r="ES90" s="0" t="str">
        <f aca="false">IF(COUNTIFS($AP$2:$AP$1000,AP90,$ER$2:$ER$1000,"Y")+COUNTIFS($AP$2:$AP$1000,AP90,$T$2:$T$1000,"Y")&gt;0,"Y","N")</f>
        <v>N</v>
      </c>
      <c r="ET90" s="0" t="str">
        <f aca="false">IF(AND(U90="new",T90="N",AT90="Y",AS90="",ES90="N"),"Y","N")</f>
        <v>N</v>
      </c>
      <c r="EU90" s="0" t="str">
        <f aca="false">IF(ET90&lt;&gt;"Y","N",IF(COUNTIFS($AP$2:$AP$1000,AP90,$ET$2:$ET$1000,"Y",$J$2:$J$1000,"&gt;"&amp;J90)+COUNTIFS($AP$2:$AP$1000,AP90,$ET$2:$ET$1000,"Y",$J$2:$J$1000,J90,$EW$2:$EW$1000,"&lt;"&amp;EW90)=0,"Y","N"))</f>
        <v>N</v>
      </c>
      <c r="EV90" s="0" t="str">
        <f aca="false">IF(Y90="","N",IF(Y90&lt;=10,"Y","N"))</f>
        <v>N</v>
      </c>
      <c r="EW90" s="6" t="n">
        <f aca="false">ROW()-1</f>
        <v>89</v>
      </c>
    </row>
    <row r="91" customFormat="false" ht="15" hidden="false" customHeight="false" outlineLevel="0" collapsed="false">
      <c r="A91" s="0" t="s">
        <v>2111</v>
      </c>
      <c r="B91" s="0" t="s">
        <v>2112</v>
      </c>
      <c r="H91" s="5" t="s">
        <v>158</v>
      </c>
      <c r="I91" s="5" t="s">
        <v>159</v>
      </c>
      <c r="J91" s="6" t="n">
        <f aca="false">IF(AX91="pass",ROUND(CU91+CV91+CW91+CX91+CY91+CZ91,1),0)</f>
        <v>36.6</v>
      </c>
      <c r="K91" s="6" t="s">
        <v>2113</v>
      </c>
      <c r="L91" s="6" t="s">
        <v>561</v>
      </c>
      <c r="R91" s="5" t="s">
        <v>162</v>
      </c>
      <c r="S91" s="6" t="s">
        <v>163</v>
      </c>
      <c r="T91" s="5" t="s">
        <v>162</v>
      </c>
      <c r="U91" s="5" t="s">
        <v>228</v>
      </c>
      <c r="V91" s="6" t="s">
        <v>1393</v>
      </c>
      <c r="W91" s="6" t="s">
        <v>166</v>
      </c>
      <c r="X91" s="6" t="s">
        <v>167</v>
      </c>
      <c r="Y91" s="0" t="str">
        <f aca="false">IF(EU91&lt;&gt;"Y","",COUNTIFS($EU$2:$EU$1000,"Y",$J$2:$J$1000,"&gt;"&amp;J91)+COUNTIFS($EU$2:$EU$1000,"Y",$J$2:$J$1000,J91,$EW$2:$EW$1000,"&lt;"&amp;EW91)+1)</f>
        <v/>
      </c>
      <c r="Z91" s="0" t="n">
        <v>90</v>
      </c>
      <c r="AA91" s="6" t="s">
        <v>162</v>
      </c>
      <c r="AB91" s="6" t="s">
        <v>1562</v>
      </c>
      <c r="AD91" s="6" t="s">
        <v>158</v>
      </c>
      <c r="AH91" s="5" t="s">
        <v>158</v>
      </c>
      <c r="AI91" s="6" t="s">
        <v>601</v>
      </c>
      <c r="AJ91" s="6" t="s">
        <v>624</v>
      </c>
      <c r="AK91" s="6" t="s">
        <v>890</v>
      </c>
      <c r="AL91" s="0" t="n">
        <v>2</v>
      </c>
      <c r="AM91" s="0" t="n">
        <v>49</v>
      </c>
      <c r="AN91" s="6" t="s">
        <v>179</v>
      </c>
      <c r="AO91" s="6" t="s">
        <v>180</v>
      </c>
      <c r="AP91" s="6" t="s">
        <v>2111</v>
      </c>
      <c r="AQ91" s="5" t="s">
        <v>168</v>
      </c>
      <c r="AR91" s="6" t="s">
        <v>891</v>
      </c>
      <c r="AT91" s="0" t="str">
        <f aca="false">IF(AND(AX91="pass",AQ91&lt;&gt;"Y",C91&lt;&gt;"",OR(AW91&lt;&gt;"Y",AV91="Y")),"Y","N")</f>
        <v>N</v>
      </c>
      <c r="AU91" s="0" t="str">
        <f aca="false">_xlfn.TEXTJOIN("; ",TRUE(),IF(AX91&lt;&gt;"pass","gated out",""),IF(AQ91="Y","on hold: "&amp;AR91,""),IF(C91="","no contact named on an opened page",""),IF(AND(AW91="Y",AV91&lt;&gt;"Y"),"Tuesday estimate band "&amp;L91&amp;": founder's call",""))</f>
        <v>on hold: lease signed, move not confirmed: check the lobby directory before outreach (B); no contact named on an opened page; Tuesday estimate band under-40: founder's call</v>
      </c>
      <c r="AW91" s="6" t="s">
        <v>168</v>
      </c>
      <c r="AX91" s="6" t="s">
        <v>181</v>
      </c>
      <c r="AY91" s="6" t="s">
        <v>182</v>
      </c>
      <c r="AZ91" s="6" t="s">
        <v>1</v>
      </c>
      <c r="BA91" s="6" t="s">
        <v>2114</v>
      </c>
      <c r="BB91" s="6" t="s">
        <v>2115</v>
      </c>
      <c r="BC91" s="6" t="s">
        <v>2116</v>
      </c>
      <c r="BD91" s="6" t="s">
        <v>2117</v>
      </c>
      <c r="BF91" s="6" t="s">
        <v>395</v>
      </c>
      <c r="BG91" s="6" t="s">
        <v>188</v>
      </c>
      <c r="BH91" s="6" t="s">
        <v>189</v>
      </c>
      <c r="BI91" s="6" t="s">
        <v>2118</v>
      </c>
      <c r="BK91" s="6" t="s">
        <v>191</v>
      </c>
      <c r="BL91" s="6" t="s">
        <v>656</v>
      </c>
      <c r="BM91" s="6" t="s">
        <v>162</v>
      </c>
      <c r="BN91" s="6" t="s">
        <v>163</v>
      </c>
      <c r="BO91" s="6" t="s">
        <v>163</v>
      </c>
      <c r="BP91" s="6" t="s">
        <v>193</v>
      </c>
      <c r="BQ91" s="0" t="n">
        <v>40.73865</v>
      </c>
      <c r="BR91" s="0" t="n">
        <v>-73.991471</v>
      </c>
      <c r="BS91" s="6" t="s">
        <v>168</v>
      </c>
      <c r="BT91" s="0" t="n">
        <v>0</v>
      </c>
      <c r="BU91" s="6" t="s">
        <v>608</v>
      </c>
      <c r="BV91" s="6" t="s">
        <v>609</v>
      </c>
      <c r="BW91" s="6" t="s">
        <v>1393</v>
      </c>
      <c r="BX91" s="6" t="s">
        <v>1402</v>
      </c>
      <c r="BY91" s="6" t="s">
        <v>248</v>
      </c>
      <c r="CC91" s="6" t="s">
        <v>739</v>
      </c>
      <c r="CD91" s="6" t="s">
        <v>163</v>
      </c>
      <c r="CE91" s="6" t="s">
        <v>162</v>
      </c>
      <c r="CH91" s="6" t="s">
        <v>163</v>
      </c>
      <c r="CJ91" s="6" t="s">
        <v>163</v>
      </c>
      <c r="CK91" s="6" t="s">
        <v>162</v>
      </c>
      <c r="CL91" s="6" t="s">
        <v>2119</v>
      </c>
      <c r="CM91" s="6" t="s">
        <v>2120</v>
      </c>
      <c r="CN91" s="6" t="s">
        <v>174</v>
      </c>
      <c r="CO91" s="0" t="n">
        <v>10</v>
      </c>
      <c r="CP91" s="6" t="s">
        <v>1727</v>
      </c>
      <c r="CQ91" s="6" t="s">
        <v>2121</v>
      </c>
      <c r="CR91" s="6" t="s">
        <v>206</v>
      </c>
      <c r="CS91" s="0" t="n">
        <v>0.06</v>
      </c>
      <c r="CT91" s="0" t="n">
        <v>36.6</v>
      </c>
      <c r="CU91" s="0" t="n">
        <v>1.6</v>
      </c>
      <c r="CV91" s="0" t="n">
        <v>15</v>
      </c>
      <c r="CW91" s="0" t="n">
        <v>15</v>
      </c>
      <c r="CX91" s="0" t="n">
        <v>5</v>
      </c>
      <c r="CY91" s="6" t="n">
        <f aca="false">IF(AH91="exact",10,IF(AH91="adjacent",5,0))</f>
        <v>0</v>
      </c>
      <c r="CZ91" s="6" t="n">
        <f aca="false">IF(R91="Y",15,0)</f>
        <v>0</v>
      </c>
      <c r="DF91" s="6" t="s">
        <v>158</v>
      </c>
      <c r="DG91" s="6" t="s">
        <v>211</v>
      </c>
      <c r="DJ91" s="6" t="s">
        <v>1656</v>
      </c>
      <c r="DK91" s="6" t="s">
        <v>2122</v>
      </c>
      <c r="DS91" s="6" t="s">
        <v>158</v>
      </c>
      <c r="DX91" s="6" t="s">
        <v>162</v>
      </c>
      <c r="ER91" s="0" t="str">
        <f aca="false">IF(ISNUMBER(MATCH(U91,{"queued","contacted","replied","call_booked","call_done","yes_in_principle","materials_sent"},0)),"Y","N")</f>
        <v>N</v>
      </c>
      <c r="ES91" s="0" t="str">
        <f aca="false">IF(COUNTIFS($AP$2:$AP$1000,AP91,$ER$2:$ER$1000,"Y")+COUNTIFS($AP$2:$AP$1000,AP91,$T$2:$T$1000,"Y")&gt;0,"Y","N")</f>
        <v>N</v>
      </c>
      <c r="ET91" s="0" t="str">
        <f aca="false">IF(AND(U91="new",T91="N",AT91="Y",AS91="",ES91="N"),"Y","N")</f>
        <v>N</v>
      </c>
      <c r="EU91" s="0" t="str">
        <f aca="false">IF(ET91&lt;&gt;"Y","N",IF(COUNTIFS($AP$2:$AP$1000,AP91,$ET$2:$ET$1000,"Y",$J$2:$J$1000,"&gt;"&amp;J91)+COUNTIFS($AP$2:$AP$1000,AP91,$ET$2:$ET$1000,"Y",$J$2:$J$1000,J91,$EW$2:$EW$1000,"&lt;"&amp;EW91)=0,"Y","N"))</f>
        <v>N</v>
      </c>
      <c r="EV91" s="0" t="str">
        <f aca="false">IF(Y91="","N",IF(Y91&lt;=10,"Y","N"))</f>
        <v>N</v>
      </c>
      <c r="EW91" s="6" t="n">
        <f aca="false">ROW()-1</f>
        <v>90</v>
      </c>
    </row>
    <row r="92" customFormat="false" ht="15" hidden="false" customHeight="false" outlineLevel="0" collapsed="false">
      <c r="A92" s="0" t="s">
        <v>2123</v>
      </c>
      <c r="B92" s="0" t="s">
        <v>2124</v>
      </c>
      <c r="H92" s="5" t="s">
        <v>158</v>
      </c>
      <c r="I92" s="5" t="s">
        <v>159</v>
      </c>
      <c r="J92" s="6" t="n">
        <f aca="false">IF(AX92="pass",ROUND(CU92+CV92+CW92+CX92+CY92+CZ92,1),0)</f>
        <v>36.3</v>
      </c>
      <c r="K92" s="6" t="s">
        <v>2125</v>
      </c>
      <c r="L92" s="6" t="s">
        <v>187</v>
      </c>
      <c r="R92" s="5" t="s">
        <v>162</v>
      </c>
      <c r="S92" s="6" t="s">
        <v>163</v>
      </c>
      <c r="T92" s="5" t="s">
        <v>162</v>
      </c>
      <c r="U92" s="5" t="s">
        <v>228</v>
      </c>
      <c r="V92" s="6" t="s">
        <v>2126</v>
      </c>
      <c r="W92" s="6" t="s">
        <v>166</v>
      </c>
      <c r="X92" s="6" t="s">
        <v>167</v>
      </c>
      <c r="Y92" s="0" t="str">
        <f aca="false">IF(EU92&lt;&gt;"Y","",COUNTIFS($EU$2:$EU$1000,"Y",$J$2:$J$1000,"&gt;"&amp;J92)+COUNTIFS($EU$2:$EU$1000,"Y",$J$2:$J$1000,J92,$EW$2:$EW$1000,"&lt;"&amp;EW92)+1)</f>
        <v/>
      </c>
      <c r="Z92" s="0" t="n">
        <v>91</v>
      </c>
      <c r="AA92" s="6" t="s">
        <v>162</v>
      </c>
      <c r="AD92" s="6" t="s">
        <v>158</v>
      </c>
      <c r="AH92" s="5" t="s">
        <v>158</v>
      </c>
      <c r="AI92" s="6" t="s">
        <v>1645</v>
      </c>
      <c r="AJ92" s="6" t="s">
        <v>163</v>
      </c>
      <c r="AK92" s="6" t="s">
        <v>435</v>
      </c>
      <c r="AL92" s="0" t="n">
        <v>45</v>
      </c>
      <c r="AM92" s="0" t="n">
        <v>910</v>
      </c>
      <c r="AN92" s="6" t="s">
        <v>179</v>
      </c>
      <c r="AO92" s="6" t="s">
        <v>180</v>
      </c>
      <c r="AP92" s="6" t="s">
        <v>2123</v>
      </c>
      <c r="AQ92" s="5" t="s">
        <v>162</v>
      </c>
      <c r="AT92" s="0" t="str">
        <f aca="false">IF(AND(AX92="pass",AQ92&lt;&gt;"Y",C92&lt;&gt;"",OR(AW92&lt;&gt;"Y",AV92="Y")),"Y","N")</f>
        <v>N</v>
      </c>
      <c r="AU92" s="0" t="str">
        <f aca="false">_xlfn.TEXTJOIN("; ",TRUE(),IF(AX92&lt;&gt;"pass","gated out",""),IF(AQ92="Y","on hold: "&amp;AR92,""),IF(C92="","no contact named on an opened page",""),IF(AND(AW92="Y",AV92&lt;&gt;"Y"),"Tuesday estimate band "&amp;L92&amp;": founder's call",""))</f>
        <v>no contact named on an opened page</v>
      </c>
      <c r="AW92" s="6" t="s">
        <v>162</v>
      </c>
      <c r="AX92" s="6" t="s">
        <v>181</v>
      </c>
      <c r="AY92" s="6" t="s">
        <v>182</v>
      </c>
      <c r="AZ92" s="6" t="s">
        <v>1</v>
      </c>
      <c r="BA92" s="6" t="s">
        <v>2127</v>
      </c>
      <c r="BB92" s="6" t="s">
        <v>163</v>
      </c>
      <c r="BC92" s="6" t="s">
        <v>2128</v>
      </c>
      <c r="BD92" s="6" t="s">
        <v>2129</v>
      </c>
      <c r="BF92" s="6" t="s">
        <v>1323</v>
      </c>
      <c r="BG92" s="6" t="s">
        <v>188</v>
      </c>
      <c r="BH92" s="6" t="s">
        <v>189</v>
      </c>
      <c r="BI92" s="6" t="s">
        <v>2130</v>
      </c>
      <c r="BK92" s="6" t="s">
        <v>1440</v>
      </c>
      <c r="BL92" s="6" t="s">
        <v>2131</v>
      </c>
      <c r="BM92" s="6" t="s">
        <v>162</v>
      </c>
      <c r="BN92" s="6" t="s">
        <v>163</v>
      </c>
      <c r="BO92" s="6" t="s">
        <v>163</v>
      </c>
      <c r="BP92" s="6" t="s">
        <v>244</v>
      </c>
      <c r="BQ92" s="0" t="n">
        <v>40.746186</v>
      </c>
      <c r="BR92" s="0" t="n">
        <v>-73.985981</v>
      </c>
      <c r="BS92" s="6" t="s">
        <v>168</v>
      </c>
      <c r="BT92" s="0" t="n">
        <v>0</v>
      </c>
      <c r="BU92" s="6" t="s">
        <v>1653</v>
      </c>
      <c r="BV92" s="6" t="s">
        <v>1654</v>
      </c>
      <c r="BW92" s="6" t="s">
        <v>2126</v>
      </c>
      <c r="BX92" s="6" t="s">
        <v>2132</v>
      </c>
      <c r="BY92" s="6" t="s">
        <v>248</v>
      </c>
      <c r="CC92" s="6" t="s">
        <v>179</v>
      </c>
      <c r="CE92" s="6" t="s">
        <v>162</v>
      </c>
      <c r="CH92" s="6" t="s">
        <v>163</v>
      </c>
      <c r="CJ92" s="6" t="s">
        <v>163</v>
      </c>
      <c r="CK92" s="6" t="s">
        <v>162</v>
      </c>
      <c r="CL92" s="6" t="s">
        <v>449</v>
      </c>
      <c r="CM92" s="6" t="s">
        <v>2130</v>
      </c>
      <c r="CN92" s="6" t="s">
        <v>174</v>
      </c>
      <c r="CO92" s="0" t="n">
        <v>202</v>
      </c>
      <c r="CP92" s="6" t="s">
        <v>251</v>
      </c>
      <c r="CQ92" s="6" t="s">
        <v>2133</v>
      </c>
      <c r="CR92" s="6" t="s">
        <v>206</v>
      </c>
      <c r="CS92" s="0" t="n">
        <v>0.57</v>
      </c>
      <c r="CT92" s="0" t="n">
        <v>36.3</v>
      </c>
      <c r="CU92" s="0" t="n">
        <v>14.3</v>
      </c>
      <c r="CV92" s="0" t="n">
        <v>2</v>
      </c>
      <c r="CW92" s="0" t="n">
        <v>15</v>
      </c>
      <c r="CX92" s="0" t="n">
        <v>5</v>
      </c>
      <c r="CY92" s="6" t="n">
        <f aca="false">IF(AH92="exact",10,IF(AH92="adjacent",5,0))</f>
        <v>0</v>
      </c>
      <c r="CZ92" s="6" t="n">
        <f aca="false">IF(R92="Y",15,0)</f>
        <v>0</v>
      </c>
      <c r="DF92" s="6" t="s">
        <v>158</v>
      </c>
      <c r="DG92" s="6" t="s">
        <v>1336</v>
      </c>
      <c r="DH92" s="6" t="s">
        <v>1447</v>
      </c>
      <c r="DI92" s="6" t="s">
        <v>162</v>
      </c>
      <c r="DJ92" s="6" t="s">
        <v>2134</v>
      </c>
      <c r="DK92" s="6" t="s">
        <v>2135</v>
      </c>
      <c r="DS92" s="6" t="s">
        <v>158</v>
      </c>
      <c r="DX92" s="6" t="s">
        <v>162</v>
      </c>
      <c r="ER92" s="0" t="str">
        <f aca="false">IF(ISNUMBER(MATCH(U92,{"queued","contacted","replied","call_booked","call_done","yes_in_principle","materials_sent"},0)),"Y","N")</f>
        <v>N</v>
      </c>
      <c r="ES92" s="0" t="str">
        <f aca="false">IF(COUNTIFS($AP$2:$AP$1000,AP92,$ER$2:$ER$1000,"Y")+COUNTIFS($AP$2:$AP$1000,AP92,$T$2:$T$1000,"Y")&gt;0,"Y","N")</f>
        <v>N</v>
      </c>
      <c r="ET92" s="0" t="str">
        <f aca="false">IF(AND(U92="new",T92="N",AT92="Y",AS92="",ES92="N"),"Y","N")</f>
        <v>N</v>
      </c>
      <c r="EU92" s="0" t="str">
        <f aca="false">IF(ET92&lt;&gt;"Y","N",IF(COUNTIFS($AP$2:$AP$1000,AP92,$ET$2:$ET$1000,"Y",$J$2:$J$1000,"&gt;"&amp;J92)+COUNTIFS($AP$2:$AP$1000,AP92,$ET$2:$ET$1000,"Y",$J$2:$J$1000,J92,$EW$2:$EW$1000,"&lt;"&amp;EW92)=0,"Y","N"))</f>
        <v>N</v>
      </c>
      <c r="EV92" s="0" t="str">
        <f aca="false">IF(Y92="","N",IF(Y92&lt;=10,"Y","N"))</f>
        <v>N</v>
      </c>
      <c r="EW92" s="6" t="n">
        <f aca="false">ROW()-1</f>
        <v>91</v>
      </c>
    </row>
    <row r="93" customFormat="false" ht="15" hidden="false" customHeight="false" outlineLevel="0" collapsed="false">
      <c r="A93" s="0" t="s">
        <v>2136</v>
      </c>
      <c r="B93" s="0" t="s">
        <v>2137</v>
      </c>
      <c r="H93" s="5" t="s">
        <v>158</v>
      </c>
      <c r="I93" s="5" t="s">
        <v>159</v>
      </c>
      <c r="J93" s="6" t="n">
        <f aca="false">IF(AX93="pass",ROUND(CU93+CV93+CW93+CX93+CY93+CZ93,1),0)</f>
        <v>36.3</v>
      </c>
      <c r="K93" s="6" t="s">
        <v>2138</v>
      </c>
      <c r="L93" s="6" t="s">
        <v>240</v>
      </c>
      <c r="O93" s="6" t="s">
        <v>2139</v>
      </c>
      <c r="P93" s="6" t="s">
        <v>2140</v>
      </c>
      <c r="Q93" s="6" t="s">
        <v>2141</v>
      </c>
      <c r="R93" s="5" t="s">
        <v>162</v>
      </c>
      <c r="S93" s="6" t="s">
        <v>163</v>
      </c>
      <c r="T93" s="5" t="s">
        <v>162</v>
      </c>
      <c r="U93" s="5" t="s">
        <v>228</v>
      </c>
      <c r="V93" s="6" t="s">
        <v>2140</v>
      </c>
      <c r="W93" s="6" t="s">
        <v>166</v>
      </c>
      <c r="X93" s="6" t="s">
        <v>167</v>
      </c>
      <c r="Y93" s="0" t="str">
        <f aca="false">IF(EU93&lt;&gt;"Y","",COUNTIFS($EU$2:$EU$1000,"Y",$J$2:$J$1000,"&gt;"&amp;J93)+COUNTIFS($EU$2:$EU$1000,"Y",$J$2:$J$1000,J93,$EW$2:$EW$1000,"&lt;"&amp;EW93)+1)</f>
        <v/>
      </c>
      <c r="Z93" s="0" t="n">
        <v>92</v>
      </c>
      <c r="AA93" s="6" t="s">
        <v>162</v>
      </c>
      <c r="AB93" s="6" t="s">
        <v>1662</v>
      </c>
      <c r="AD93" s="6" t="s">
        <v>158</v>
      </c>
      <c r="AH93" s="5" t="s">
        <v>158</v>
      </c>
      <c r="AI93" s="6" t="s">
        <v>1168</v>
      </c>
      <c r="AJ93" s="6" t="s">
        <v>2142</v>
      </c>
      <c r="AK93" s="6" t="s">
        <v>890</v>
      </c>
      <c r="AL93" s="0" t="n">
        <v>188</v>
      </c>
      <c r="AM93" s="0" t="n">
        <v>376</v>
      </c>
      <c r="AN93" s="6" t="s">
        <v>179</v>
      </c>
      <c r="AO93" s="6" t="s">
        <v>180</v>
      </c>
      <c r="AP93" s="6" t="s">
        <v>2136</v>
      </c>
      <c r="AQ93" s="5" t="s">
        <v>168</v>
      </c>
      <c r="AR93" s="6" t="s">
        <v>891</v>
      </c>
      <c r="AT93" s="0" t="str">
        <f aca="false">IF(AND(AX93="pass",AQ93&lt;&gt;"Y",C93&lt;&gt;"",OR(AW93&lt;&gt;"Y",AV93="Y")),"Y","N")</f>
        <v>N</v>
      </c>
      <c r="AU93" s="0" t="str">
        <f aca="false">_xlfn.TEXTJOIN("; ",TRUE(),IF(AX93&lt;&gt;"pass","gated out",""),IF(AQ93="Y","on hold: "&amp;AR93,""),IF(C93="","no contact named on an opened page",""),IF(AND(AW93="Y",AV93&lt;&gt;"Y"),"Tuesday estimate band "&amp;L93&amp;": founder's call",""))</f>
        <v>on hold: lease signed, move not confirmed: check the lobby directory before outreach (B); no contact named on an opened page; Tuesday estimate band 251-500: founder's call</v>
      </c>
      <c r="AW93" s="6" t="s">
        <v>168</v>
      </c>
      <c r="AX93" s="6" t="s">
        <v>181</v>
      </c>
      <c r="AY93" s="6" t="s">
        <v>182</v>
      </c>
      <c r="AZ93" s="6" t="s">
        <v>1</v>
      </c>
      <c r="BA93" s="6" t="s">
        <v>2143</v>
      </c>
      <c r="BB93" s="6" t="s">
        <v>2144</v>
      </c>
      <c r="BC93" s="6" t="s">
        <v>2145</v>
      </c>
      <c r="BD93" s="6" t="s">
        <v>2146</v>
      </c>
      <c r="BF93" s="6" t="s">
        <v>1323</v>
      </c>
      <c r="BG93" s="6" t="s">
        <v>188</v>
      </c>
      <c r="BH93" s="6" t="s">
        <v>189</v>
      </c>
      <c r="BI93" s="6" t="s">
        <v>2147</v>
      </c>
      <c r="BK93" s="6" t="s">
        <v>1264</v>
      </c>
      <c r="BL93" s="6" t="s">
        <v>192</v>
      </c>
      <c r="BM93" s="6" t="s">
        <v>168</v>
      </c>
      <c r="BN93" s="6" t="s">
        <v>163</v>
      </c>
      <c r="BO93" s="6" t="s">
        <v>163</v>
      </c>
      <c r="BP93" s="6" t="s">
        <v>193</v>
      </c>
      <c r="BQ93" s="0" t="n">
        <v>40.734305</v>
      </c>
      <c r="BR93" s="0" t="n">
        <v>-73.991059</v>
      </c>
      <c r="BS93" s="6" t="s">
        <v>168</v>
      </c>
      <c r="BT93" s="0" t="n">
        <v>0</v>
      </c>
      <c r="BU93" s="6" t="s">
        <v>736</v>
      </c>
      <c r="BV93" s="6" t="s">
        <v>737</v>
      </c>
      <c r="BW93" s="6" t="s">
        <v>2140</v>
      </c>
      <c r="BX93" s="6" t="s">
        <v>2141</v>
      </c>
      <c r="BY93" s="6" t="s">
        <v>248</v>
      </c>
      <c r="BZ93" s="6" t="s">
        <v>2148</v>
      </c>
      <c r="CA93" s="6" t="s">
        <v>2149</v>
      </c>
      <c r="CC93" s="6" t="s">
        <v>739</v>
      </c>
      <c r="CD93" s="6" t="s">
        <v>163</v>
      </c>
      <c r="CE93" s="6" t="s">
        <v>162</v>
      </c>
      <c r="CH93" s="6" t="s">
        <v>201</v>
      </c>
      <c r="CI93" s="6" t="s">
        <v>740</v>
      </c>
      <c r="CJ93" s="6" t="s">
        <v>163</v>
      </c>
      <c r="CK93" s="6" t="s">
        <v>162</v>
      </c>
      <c r="CL93" s="6" t="s">
        <v>577</v>
      </c>
      <c r="CM93" s="6" t="s">
        <v>2150</v>
      </c>
      <c r="CN93" s="6" t="s">
        <v>174</v>
      </c>
      <c r="CO93" s="0" t="n">
        <v>266</v>
      </c>
      <c r="CP93" s="6" t="s">
        <v>251</v>
      </c>
      <c r="CQ93" s="6" t="s">
        <v>2151</v>
      </c>
      <c r="CR93" s="6" t="s">
        <v>206</v>
      </c>
      <c r="CS93" s="0" t="n">
        <v>0.41</v>
      </c>
      <c r="CT93" s="0" t="n">
        <v>36.3</v>
      </c>
      <c r="CU93" s="0" t="n">
        <v>10.3</v>
      </c>
      <c r="CV93" s="0" t="n">
        <v>6</v>
      </c>
      <c r="CW93" s="0" t="n">
        <v>15</v>
      </c>
      <c r="CX93" s="0" t="n">
        <v>5</v>
      </c>
      <c r="CY93" s="6" t="n">
        <f aca="false">IF(AH93="exact",10,IF(AH93="adjacent",5,0))</f>
        <v>0</v>
      </c>
      <c r="CZ93" s="6" t="n">
        <f aca="false">IF(R93="Y",15,0)</f>
        <v>0</v>
      </c>
      <c r="DF93" s="6" t="s">
        <v>158</v>
      </c>
      <c r="DG93" s="6" t="s">
        <v>1336</v>
      </c>
      <c r="DH93" s="6" t="s">
        <v>1337</v>
      </c>
      <c r="DI93" s="6" t="s">
        <v>162</v>
      </c>
      <c r="DJ93" s="6" t="s">
        <v>2152</v>
      </c>
      <c r="DK93" s="6" t="s">
        <v>2153</v>
      </c>
      <c r="DS93" s="6" t="s">
        <v>158</v>
      </c>
      <c r="DX93" s="6" t="s">
        <v>162</v>
      </c>
      <c r="ER93" s="0" t="str">
        <f aca="false">IF(ISNUMBER(MATCH(U93,{"queued","contacted","replied","call_booked","call_done","yes_in_principle","materials_sent"},0)),"Y","N")</f>
        <v>N</v>
      </c>
      <c r="ES93" s="0" t="str">
        <f aca="false">IF(COUNTIFS($AP$2:$AP$1000,AP93,$ER$2:$ER$1000,"Y")+COUNTIFS($AP$2:$AP$1000,AP93,$T$2:$T$1000,"Y")&gt;0,"Y","N")</f>
        <v>N</v>
      </c>
      <c r="ET93" s="0" t="str">
        <f aca="false">IF(AND(U93="new",T93="N",AT93="Y",AS93="",ES93="N"),"Y","N")</f>
        <v>N</v>
      </c>
      <c r="EU93" s="0" t="str">
        <f aca="false">IF(ET93&lt;&gt;"Y","N",IF(COUNTIFS($AP$2:$AP$1000,AP93,$ET$2:$ET$1000,"Y",$J$2:$J$1000,"&gt;"&amp;J93)+COUNTIFS($AP$2:$AP$1000,AP93,$ET$2:$ET$1000,"Y",$J$2:$J$1000,J93,$EW$2:$EW$1000,"&lt;"&amp;EW93)=0,"Y","N"))</f>
        <v>N</v>
      </c>
      <c r="EV93" s="0" t="str">
        <f aca="false">IF(Y93="","N",IF(Y93&lt;=10,"Y","N"))</f>
        <v>N</v>
      </c>
      <c r="EW93" s="6" t="n">
        <f aca="false">ROW()-1</f>
        <v>92</v>
      </c>
    </row>
    <row r="94" customFormat="false" ht="15" hidden="false" customHeight="false" outlineLevel="0" collapsed="false">
      <c r="A94" s="0" t="s">
        <v>2154</v>
      </c>
      <c r="B94" s="0" t="s">
        <v>2155</v>
      </c>
      <c r="H94" s="5" t="s">
        <v>158</v>
      </c>
      <c r="I94" s="5" t="s">
        <v>159</v>
      </c>
      <c r="J94" s="6" t="n">
        <f aca="false">IF(AX94="pass",ROUND(CU94+CV94+CW94+CX94+CY94+CZ94,1),0)</f>
        <v>36.3</v>
      </c>
      <c r="K94" s="6" t="s">
        <v>2156</v>
      </c>
      <c r="L94" s="6" t="s">
        <v>395</v>
      </c>
      <c r="O94" s="6" t="s">
        <v>2157</v>
      </c>
      <c r="P94" s="6" t="s">
        <v>2158</v>
      </c>
      <c r="Q94" s="6" t="s">
        <v>2159</v>
      </c>
      <c r="R94" s="5" t="s">
        <v>162</v>
      </c>
      <c r="S94" s="6" t="s">
        <v>163</v>
      </c>
      <c r="T94" s="5" t="s">
        <v>162</v>
      </c>
      <c r="U94" s="5" t="s">
        <v>228</v>
      </c>
      <c r="V94" s="6" t="s">
        <v>2158</v>
      </c>
      <c r="W94" s="6" t="s">
        <v>166</v>
      </c>
      <c r="X94" s="6" t="s">
        <v>167</v>
      </c>
      <c r="Y94" s="0" t="str">
        <f aca="false">IF(EU94&lt;&gt;"Y","",COUNTIFS($EU$2:$EU$1000,"Y",$J$2:$J$1000,"&gt;"&amp;J94)+COUNTIFS($EU$2:$EU$1000,"Y",$J$2:$J$1000,J94,$EW$2:$EW$1000,"&lt;"&amp;EW94)+1)</f>
        <v/>
      </c>
      <c r="Z94" s="0" t="n">
        <v>93</v>
      </c>
      <c r="AA94" s="6" t="s">
        <v>162</v>
      </c>
      <c r="AD94" s="6" t="s">
        <v>158</v>
      </c>
      <c r="AH94" s="5" t="s">
        <v>158</v>
      </c>
      <c r="AI94" s="6" t="s">
        <v>754</v>
      </c>
      <c r="AJ94" s="6" t="s">
        <v>163</v>
      </c>
      <c r="AK94" s="6" t="s">
        <v>890</v>
      </c>
      <c r="AL94" s="0" t="n">
        <v>5</v>
      </c>
      <c r="AM94" s="0" t="n">
        <v>431</v>
      </c>
      <c r="AN94" s="6" t="s">
        <v>179</v>
      </c>
      <c r="AO94" s="6" t="s">
        <v>180</v>
      </c>
      <c r="AP94" s="6" t="s">
        <v>2154</v>
      </c>
      <c r="AQ94" s="5" t="s">
        <v>168</v>
      </c>
      <c r="AR94" s="6" t="s">
        <v>891</v>
      </c>
      <c r="AT94" s="0" t="str">
        <f aca="false">IF(AND(AX94="pass",AQ94&lt;&gt;"Y",C94&lt;&gt;"",OR(AW94&lt;&gt;"Y",AV94="Y")),"Y","N")</f>
        <v>N</v>
      </c>
      <c r="AU94" s="0" t="str">
        <f aca="false">_xlfn.TEXTJOIN("; ",TRUE(),IF(AX94&lt;&gt;"pass","gated out",""),IF(AQ94="Y","on hold: "&amp;AR94,""),IF(C94="","no contact named on an opened page",""),IF(AND(AW94="Y",AV94&lt;&gt;"Y"),"Tuesday estimate band "&amp;L94&amp;": founder's call",""))</f>
        <v>on hold: lease signed, move not confirmed: check the lobby directory before outreach (B); no contact named on an opened page</v>
      </c>
      <c r="AW94" s="6" t="s">
        <v>162</v>
      </c>
      <c r="AX94" s="6" t="s">
        <v>181</v>
      </c>
      <c r="AY94" s="6" t="s">
        <v>182</v>
      </c>
      <c r="AZ94" s="6" t="s">
        <v>1</v>
      </c>
      <c r="BA94" s="6" t="s">
        <v>2160</v>
      </c>
      <c r="BB94" s="6" t="s">
        <v>2161</v>
      </c>
      <c r="BC94" s="6" t="s">
        <v>2162</v>
      </c>
      <c r="BD94" s="6" t="s">
        <v>2163</v>
      </c>
      <c r="BE94" s="6" t="s">
        <v>2164</v>
      </c>
      <c r="BF94" s="6" t="s">
        <v>1323</v>
      </c>
      <c r="BG94" s="6" t="s">
        <v>188</v>
      </c>
      <c r="BH94" s="6" t="s">
        <v>1324</v>
      </c>
      <c r="BI94" s="6" t="s">
        <v>2165</v>
      </c>
      <c r="BJ94" s="6" t="s">
        <v>2166</v>
      </c>
      <c r="BK94" s="6" t="s">
        <v>1264</v>
      </c>
      <c r="BL94" s="6" t="s">
        <v>656</v>
      </c>
      <c r="BM94" s="6" t="s">
        <v>162</v>
      </c>
      <c r="BN94" s="6" t="s">
        <v>163</v>
      </c>
      <c r="BO94" s="6" t="s">
        <v>163</v>
      </c>
      <c r="BP94" s="6" t="s">
        <v>347</v>
      </c>
      <c r="BQ94" s="0" t="n">
        <v>40.743309</v>
      </c>
      <c r="BR94" s="0" t="n">
        <v>-73.987329</v>
      </c>
      <c r="BS94" s="6" t="s">
        <v>168</v>
      </c>
      <c r="BT94" s="0" t="n">
        <v>0</v>
      </c>
      <c r="BU94" s="6" t="s">
        <v>764</v>
      </c>
      <c r="BV94" s="6" t="s">
        <v>765</v>
      </c>
      <c r="BW94" s="6" t="s">
        <v>2158</v>
      </c>
      <c r="BX94" s="6" t="s">
        <v>2159</v>
      </c>
      <c r="BY94" s="6" t="s">
        <v>248</v>
      </c>
      <c r="BZ94" s="6" t="s">
        <v>2167</v>
      </c>
      <c r="CA94" s="6" t="s">
        <v>1292</v>
      </c>
      <c r="CC94" s="6" t="s">
        <v>739</v>
      </c>
      <c r="CD94" s="6" t="s">
        <v>163</v>
      </c>
      <c r="CE94" s="6" t="s">
        <v>162</v>
      </c>
      <c r="CH94" s="6" t="s">
        <v>163</v>
      </c>
      <c r="CJ94" s="6" t="s">
        <v>163</v>
      </c>
      <c r="CK94" s="6" t="s">
        <v>162</v>
      </c>
      <c r="CL94" s="6" t="s">
        <v>449</v>
      </c>
      <c r="CM94" s="6" t="s">
        <v>2166</v>
      </c>
      <c r="CN94" s="6" t="s">
        <v>174</v>
      </c>
      <c r="CO94" s="0" t="n">
        <v>46</v>
      </c>
      <c r="CP94" s="6" t="s">
        <v>768</v>
      </c>
      <c r="CQ94" s="6" t="s">
        <v>2168</v>
      </c>
      <c r="CR94" s="6" t="s">
        <v>206</v>
      </c>
      <c r="CS94" s="0" t="n">
        <v>0.41</v>
      </c>
      <c r="CT94" s="0" t="n">
        <v>36.3</v>
      </c>
      <c r="CU94" s="0" t="n">
        <v>10.3</v>
      </c>
      <c r="CV94" s="0" t="n">
        <v>6</v>
      </c>
      <c r="CW94" s="0" t="n">
        <v>15</v>
      </c>
      <c r="CX94" s="0" t="n">
        <v>5</v>
      </c>
      <c r="CY94" s="6" t="n">
        <f aca="false">IF(AH94="exact",10,IF(AH94="adjacent",5,0))</f>
        <v>0</v>
      </c>
      <c r="CZ94" s="6" t="n">
        <f aca="false">IF(R94="Y",15,0)</f>
        <v>0</v>
      </c>
      <c r="DF94" s="6" t="s">
        <v>158</v>
      </c>
      <c r="DG94" s="6" t="s">
        <v>1336</v>
      </c>
      <c r="DH94" s="6" t="s">
        <v>1337</v>
      </c>
      <c r="DI94" s="6" t="s">
        <v>162</v>
      </c>
      <c r="DJ94" s="6" t="s">
        <v>2169</v>
      </c>
      <c r="DK94" s="6" t="s">
        <v>2170</v>
      </c>
      <c r="DS94" s="6" t="s">
        <v>158</v>
      </c>
      <c r="DX94" s="6" t="s">
        <v>162</v>
      </c>
      <c r="ER94" s="0" t="str">
        <f aca="false">IF(ISNUMBER(MATCH(U94,{"queued","contacted","replied","call_booked","call_done","yes_in_principle","materials_sent"},0)),"Y","N")</f>
        <v>N</v>
      </c>
      <c r="ES94" s="0" t="str">
        <f aca="false">IF(COUNTIFS($AP$2:$AP$1000,AP94,$ER$2:$ER$1000,"Y")+COUNTIFS($AP$2:$AP$1000,AP94,$T$2:$T$1000,"Y")&gt;0,"Y","N")</f>
        <v>N</v>
      </c>
      <c r="ET94" s="0" t="str">
        <f aca="false">IF(AND(U94="new",T94="N",AT94="Y",AS94="",ES94="N"),"Y","N")</f>
        <v>N</v>
      </c>
      <c r="EU94" s="0" t="str">
        <f aca="false">IF(ET94&lt;&gt;"Y","N",IF(COUNTIFS($AP$2:$AP$1000,AP94,$ET$2:$ET$1000,"Y",$J$2:$J$1000,"&gt;"&amp;J94)+COUNTIFS($AP$2:$AP$1000,AP94,$ET$2:$ET$1000,"Y",$J$2:$J$1000,J94,$EW$2:$EW$1000,"&lt;"&amp;EW94)=0,"Y","N"))</f>
        <v>N</v>
      </c>
      <c r="EV94" s="0" t="str">
        <f aca="false">IF(Y94="","N",IF(Y94&lt;=10,"Y","N"))</f>
        <v>N</v>
      </c>
      <c r="EW94" s="6" t="n">
        <f aca="false">ROW()-1</f>
        <v>93</v>
      </c>
    </row>
    <row r="95" customFormat="false" ht="15" hidden="false" customHeight="false" outlineLevel="0" collapsed="false">
      <c r="A95" s="0" t="s">
        <v>2171</v>
      </c>
      <c r="B95" s="0" t="s">
        <v>2172</v>
      </c>
      <c r="H95" s="5" t="s">
        <v>158</v>
      </c>
      <c r="I95" s="5" t="s">
        <v>159</v>
      </c>
      <c r="J95" s="6" t="n">
        <f aca="false">IF(AX95="pass",ROUND(CU95+CV95+CW95+CX95+CY95+CZ95,1),0)</f>
        <v>36.1</v>
      </c>
      <c r="K95" s="6" t="s">
        <v>2173</v>
      </c>
      <c r="L95" s="6" t="s">
        <v>187</v>
      </c>
      <c r="R95" s="5" t="s">
        <v>162</v>
      </c>
      <c r="S95" s="6" t="s">
        <v>163</v>
      </c>
      <c r="T95" s="5" t="s">
        <v>162</v>
      </c>
      <c r="U95" s="5" t="s">
        <v>228</v>
      </c>
      <c r="V95" s="6" t="s">
        <v>2174</v>
      </c>
      <c r="W95" s="6" t="s">
        <v>166</v>
      </c>
      <c r="X95" s="6" t="s">
        <v>167</v>
      </c>
      <c r="Y95" s="0" t="str">
        <f aca="false">IF(EU95&lt;&gt;"Y","",COUNTIFS($EU$2:$EU$1000,"Y",$J$2:$J$1000,"&gt;"&amp;J95)+COUNTIFS($EU$2:$EU$1000,"Y",$J$2:$J$1000,J95,$EW$2:$EW$1000,"&lt;"&amp;EW95)+1)</f>
        <v/>
      </c>
      <c r="Z95" s="0" t="n">
        <v>94</v>
      </c>
      <c r="AA95" s="6" t="s">
        <v>162</v>
      </c>
      <c r="AD95" s="6" t="s">
        <v>158</v>
      </c>
      <c r="AH95" s="5" t="s">
        <v>158</v>
      </c>
      <c r="AI95" s="6" t="s">
        <v>2175</v>
      </c>
      <c r="AJ95" s="6" t="s">
        <v>624</v>
      </c>
      <c r="AK95" s="6" t="s">
        <v>435</v>
      </c>
      <c r="AL95" s="0" t="n">
        <v>46</v>
      </c>
      <c r="AM95" s="0" t="n">
        <v>922</v>
      </c>
      <c r="AN95" s="6" t="s">
        <v>179</v>
      </c>
      <c r="AO95" s="6" t="s">
        <v>180</v>
      </c>
      <c r="AP95" s="6" t="s">
        <v>2171</v>
      </c>
      <c r="AQ95" s="5" t="s">
        <v>162</v>
      </c>
      <c r="AT95" s="0" t="str">
        <f aca="false">IF(AND(AX95="pass",AQ95&lt;&gt;"Y",C95&lt;&gt;"",OR(AW95&lt;&gt;"Y",AV95="Y")),"Y","N")</f>
        <v>N</v>
      </c>
      <c r="AU95" s="0" t="str">
        <f aca="false">_xlfn.TEXTJOIN("; ",TRUE(),IF(AX95&lt;&gt;"pass","gated out",""),IF(AQ95="Y","on hold: "&amp;AR95,""),IF(C95="","no contact named on an opened page",""),IF(AND(AW95="Y",AV95&lt;&gt;"Y"),"Tuesday estimate band "&amp;L95&amp;": founder's call",""))</f>
        <v>no contact named on an opened page</v>
      </c>
      <c r="AW95" s="6" t="s">
        <v>162</v>
      </c>
      <c r="AX95" s="6" t="s">
        <v>181</v>
      </c>
      <c r="AY95" s="6" t="s">
        <v>182</v>
      </c>
      <c r="AZ95" s="6" t="s">
        <v>1</v>
      </c>
      <c r="BA95" s="6" t="s">
        <v>2176</v>
      </c>
      <c r="BB95" s="6" t="s">
        <v>2177</v>
      </c>
      <c r="BC95" s="6" t="s">
        <v>2178</v>
      </c>
      <c r="BD95" s="6" t="s">
        <v>2179</v>
      </c>
      <c r="BF95" s="6" t="s">
        <v>1323</v>
      </c>
      <c r="BG95" s="6" t="s">
        <v>188</v>
      </c>
      <c r="BH95" s="6" t="s">
        <v>189</v>
      </c>
      <c r="BI95" s="6" t="s">
        <v>2180</v>
      </c>
      <c r="BK95" s="6" t="s">
        <v>1440</v>
      </c>
      <c r="BL95" s="6" t="s">
        <v>2181</v>
      </c>
      <c r="BM95" s="6" t="s">
        <v>162</v>
      </c>
      <c r="BN95" s="6" t="s">
        <v>163</v>
      </c>
      <c r="BO95" s="6" t="s">
        <v>163</v>
      </c>
      <c r="BP95" s="6" t="s">
        <v>378</v>
      </c>
      <c r="BQ95" s="0" t="n">
        <v>40.740084</v>
      </c>
      <c r="BR95" s="0" t="n">
        <v>-73.994613</v>
      </c>
      <c r="BS95" s="6" t="s">
        <v>168</v>
      </c>
      <c r="BT95" s="0" t="n">
        <v>0</v>
      </c>
      <c r="BU95" s="6" t="s">
        <v>2182</v>
      </c>
      <c r="BV95" s="6" t="s">
        <v>2183</v>
      </c>
      <c r="BW95" s="6" t="s">
        <v>2174</v>
      </c>
      <c r="BX95" s="6" t="s">
        <v>2184</v>
      </c>
      <c r="BY95" s="6" t="s">
        <v>248</v>
      </c>
      <c r="BZ95" s="6" t="s">
        <v>2185</v>
      </c>
      <c r="CA95" s="6" t="s">
        <v>166</v>
      </c>
      <c r="CC95" s="6" t="s">
        <v>179</v>
      </c>
      <c r="CE95" s="6" t="s">
        <v>162</v>
      </c>
      <c r="CH95" s="6" t="s">
        <v>1707</v>
      </c>
      <c r="CI95" s="6" t="s">
        <v>2186</v>
      </c>
      <c r="CJ95" s="6" t="s">
        <v>163</v>
      </c>
      <c r="CK95" s="6" t="s">
        <v>162</v>
      </c>
      <c r="CL95" s="6" t="s">
        <v>449</v>
      </c>
      <c r="CM95" s="6" t="s">
        <v>2185</v>
      </c>
      <c r="CN95" s="6" t="s">
        <v>174</v>
      </c>
      <c r="CO95" s="0" t="n">
        <v>206</v>
      </c>
      <c r="CP95" s="6" t="s">
        <v>251</v>
      </c>
      <c r="CQ95" s="6" t="s">
        <v>2187</v>
      </c>
      <c r="CR95" s="6" t="s">
        <v>206</v>
      </c>
      <c r="CS95" s="0" t="n">
        <v>0.56</v>
      </c>
      <c r="CT95" s="0" t="n">
        <v>36.1</v>
      </c>
      <c r="CU95" s="0" t="n">
        <v>14.1</v>
      </c>
      <c r="CV95" s="0" t="n">
        <v>2</v>
      </c>
      <c r="CW95" s="0" t="n">
        <v>15</v>
      </c>
      <c r="CX95" s="0" t="n">
        <v>5</v>
      </c>
      <c r="CY95" s="6" t="n">
        <f aca="false">IF(AH95="exact",10,IF(AH95="adjacent",5,0))</f>
        <v>0</v>
      </c>
      <c r="CZ95" s="6" t="n">
        <f aca="false">IF(R95="Y",15,0)</f>
        <v>0</v>
      </c>
      <c r="DF95" s="6" t="s">
        <v>158</v>
      </c>
      <c r="DG95" s="6" t="s">
        <v>1336</v>
      </c>
      <c r="DH95" s="6" t="s">
        <v>1447</v>
      </c>
      <c r="DI95" s="6" t="s">
        <v>162</v>
      </c>
      <c r="DJ95" s="6" t="s">
        <v>2188</v>
      </c>
      <c r="DK95" s="6" t="s">
        <v>2189</v>
      </c>
      <c r="DS95" s="6" t="s">
        <v>158</v>
      </c>
      <c r="DX95" s="6" t="s">
        <v>162</v>
      </c>
      <c r="ER95" s="0" t="str">
        <f aca="false">IF(ISNUMBER(MATCH(U95,{"queued","contacted","replied","call_booked","call_done","yes_in_principle","materials_sent"},0)),"Y","N")</f>
        <v>N</v>
      </c>
      <c r="ES95" s="0" t="str">
        <f aca="false">IF(COUNTIFS($AP$2:$AP$1000,AP95,$ER$2:$ER$1000,"Y")+COUNTIFS($AP$2:$AP$1000,AP95,$T$2:$T$1000,"Y")&gt;0,"Y","N")</f>
        <v>N</v>
      </c>
      <c r="ET95" s="0" t="str">
        <f aca="false">IF(AND(U95="new",T95="N",AT95="Y",AS95="",ES95="N"),"Y","N")</f>
        <v>N</v>
      </c>
      <c r="EU95" s="0" t="str">
        <f aca="false">IF(ET95&lt;&gt;"Y","N",IF(COUNTIFS($AP$2:$AP$1000,AP95,$ET$2:$ET$1000,"Y",$J$2:$J$1000,"&gt;"&amp;J95)+COUNTIFS($AP$2:$AP$1000,AP95,$ET$2:$ET$1000,"Y",$J$2:$J$1000,J95,$EW$2:$EW$1000,"&lt;"&amp;EW95)=0,"Y","N"))</f>
        <v>N</v>
      </c>
      <c r="EV95" s="0" t="str">
        <f aca="false">IF(Y95="","N",IF(Y95&lt;=10,"Y","N"))</f>
        <v>N</v>
      </c>
      <c r="EW95" s="6" t="n">
        <f aca="false">ROW()-1</f>
        <v>94</v>
      </c>
    </row>
    <row r="96" customFormat="false" ht="15" hidden="false" customHeight="false" outlineLevel="0" collapsed="false">
      <c r="A96" s="0" t="s">
        <v>2190</v>
      </c>
      <c r="B96" s="0" t="s">
        <v>2191</v>
      </c>
      <c r="H96" s="5" t="s">
        <v>158</v>
      </c>
      <c r="I96" s="5" t="s">
        <v>159</v>
      </c>
      <c r="J96" s="6" t="n">
        <f aca="false">IF(AX96="pass",ROUND(CU96+CV96+CW96+CX96+CY96+CZ96,1),0)</f>
        <v>36</v>
      </c>
      <c r="K96" s="6" t="s">
        <v>2192</v>
      </c>
      <c r="L96" s="6" t="s">
        <v>163</v>
      </c>
      <c r="R96" s="5" t="s">
        <v>162</v>
      </c>
      <c r="S96" s="6" t="s">
        <v>163</v>
      </c>
      <c r="T96" s="5" t="s">
        <v>162</v>
      </c>
      <c r="U96" s="5" t="s">
        <v>228</v>
      </c>
      <c r="V96" s="6" t="s">
        <v>2193</v>
      </c>
      <c r="W96" s="6" t="s">
        <v>166</v>
      </c>
      <c r="X96" s="6" t="s">
        <v>167</v>
      </c>
      <c r="Y96" s="0" t="str">
        <f aca="false">IF(EU96&lt;&gt;"Y","",COUNTIFS($EU$2:$EU$1000,"Y",$J$2:$J$1000,"&gt;"&amp;J96)+COUNTIFS($EU$2:$EU$1000,"Y",$J$2:$J$1000,J96,$EW$2:$EW$1000,"&lt;"&amp;EW96)+1)</f>
        <v/>
      </c>
      <c r="Z96" s="0" t="n">
        <v>95</v>
      </c>
      <c r="AA96" s="6" t="s">
        <v>162</v>
      </c>
      <c r="AD96" s="6" t="s">
        <v>158</v>
      </c>
      <c r="AH96" s="5" t="s">
        <v>158</v>
      </c>
      <c r="AI96" s="6" t="s">
        <v>1493</v>
      </c>
      <c r="AJ96" s="6" t="s">
        <v>624</v>
      </c>
      <c r="AK96" s="6" t="s">
        <v>178</v>
      </c>
      <c r="AL96" s="6" t="s">
        <v>163</v>
      </c>
      <c r="AM96" s="6" t="s">
        <v>163</v>
      </c>
      <c r="AN96" s="6" t="s">
        <v>158</v>
      </c>
      <c r="AO96" s="6" t="s">
        <v>163</v>
      </c>
      <c r="AP96" s="6" t="s">
        <v>2190</v>
      </c>
      <c r="AQ96" s="5" t="s">
        <v>162</v>
      </c>
      <c r="AT96" s="0" t="str">
        <f aca="false">IF(AND(AX96="pass",AQ96&lt;&gt;"Y",C96&lt;&gt;"",OR(AW96&lt;&gt;"Y",AV96="Y")),"Y","N")</f>
        <v>N</v>
      </c>
      <c r="AU96" s="0" t="str">
        <f aca="false">_xlfn.TEXTJOIN("; ",TRUE(),IF(AX96&lt;&gt;"pass","gated out",""),IF(AQ96="Y","on hold: "&amp;AR96,""),IF(C96="","no contact named on an opened page",""),IF(AND(AW96="Y",AV96&lt;&gt;"Y"),"Tuesday estimate band "&amp;L96&amp;": founder's call",""))</f>
        <v>no contact named on an opened page</v>
      </c>
      <c r="AW96" s="6" t="s">
        <v>162</v>
      </c>
      <c r="AX96" s="6" t="s">
        <v>181</v>
      </c>
      <c r="AY96" s="6" t="s">
        <v>182</v>
      </c>
      <c r="AZ96" s="6" t="s">
        <v>1</v>
      </c>
      <c r="BA96" s="6" t="s">
        <v>2194</v>
      </c>
      <c r="BB96" s="6" t="s">
        <v>2195</v>
      </c>
      <c r="BC96" s="6" t="s">
        <v>961</v>
      </c>
      <c r="BD96" s="6" t="s">
        <v>163</v>
      </c>
      <c r="BF96" s="6" t="s">
        <v>163</v>
      </c>
      <c r="BG96" s="6" t="s">
        <v>163</v>
      </c>
      <c r="BH96" s="6" t="s">
        <v>2196</v>
      </c>
      <c r="BK96" s="6" t="s">
        <v>163</v>
      </c>
      <c r="BL96" s="6" t="s">
        <v>163</v>
      </c>
      <c r="BM96" s="6" t="s">
        <v>163</v>
      </c>
      <c r="BN96" s="6" t="s">
        <v>163</v>
      </c>
      <c r="BO96" s="6" t="s">
        <v>163</v>
      </c>
      <c r="BP96" s="6" t="s">
        <v>378</v>
      </c>
      <c r="BQ96" s="0" t="n">
        <v>40.736981</v>
      </c>
      <c r="BR96" s="0" t="n">
        <v>-73.993144</v>
      </c>
      <c r="BS96" s="6" t="s">
        <v>168</v>
      </c>
      <c r="BT96" s="0" t="n">
        <v>0</v>
      </c>
      <c r="BU96" s="6" t="s">
        <v>1502</v>
      </c>
      <c r="BV96" s="6" t="s">
        <v>1503</v>
      </c>
      <c r="BW96" s="6" t="s">
        <v>2193</v>
      </c>
      <c r="BX96" s="6" t="s">
        <v>166</v>
      </c>
      <c r="BY96" s="6" t="s">
        <v>196</v>
      </c>
      <c r="BZ96" s="6" t="s">
        <v>1491</v>
      </c>
      <c r="CA96" s="6" t="s">
        <v>1492</v>
      </c>
      <c r="CC96" s="6" t="s">
        <v>200</v>
      </c>
      <c r="CE96" s="6" t="s">
        <v>162</v>
      </c>
      <c r="CH96" s="6" t="s">
        <v>163</v>
      </c>
      <c r="CJ96" s="6" t="s">
        <v>163</v>
      </c>
      <c r="CK96" s="6" t="s">
        <v>162</v>
      </c>
      <c r="CL96" s="6" t="s">
        <v>163</v>
      </c>
      <c r="CO96" s="6" t="s">
        <v>163</v>
      </c>
      <c r="CQ96" s="6" t="s">
        <v>2197</v>
      </c>
      <c r="CR96" s="6" t="s">
        <v>206</v>
      </c>
      <c r="CS96" s="6" t="s">
        <v>163</v>
      </c>
      <c r="CT96" s="0" t="n">
        <v>36</v>
      </c>
      <c r="CU96" s="0" t="n">
        <v>7</v>
      </c>
      <c r="CV96" s="0" t="n">
        <v>8</v>
      </c>
      <c r="CW96" s="0" t="n">
        <v>6</v>
      </c>
      <c r="CX96" s="0" t="n">
        <v>15</v>
      </c>
      <c r="CY96" s="6" t="n">
        <f aca="false">IF(AH96="exact",10,IF(AH96="adjacent",5,0))</f>
        <v>0</v>
      </c>
      <c r="CZ96" s="6" t="n">
        <f aca="false">IF(R96="Y",15,0)</f>
        <v>0</v>
      </c>
      <c r="DF96" s="6" t="s">
        <v>158</v>
      </c>
      <c r="DG96" s="6" t="s">
        <v>211</v>
      </c>
      <c r="DJ96" s="6" t="s">
        <v>2198</v>
      </c>
      <c r="DK96" s="6" t="s">
        <v>2199</v>
      </c>
      <c r="DS96" s="6" t="s">
        <v>158</v>
      </c>
      <c r="DX96" s="6" t="s">
        <v>162</v>
      </c>
      <c r="ER96" s="0" t="str">
        <f aca="false">IF(ISNUMBER(MATCH(U96,{"queued","contacted","replied","call_booked","call_done","yes_in_principle","materials_sent"},0)),"Y","N")</f>
        <v>N</v>
      </c>
      <c r="ES96" s="0" t="str">
        <f aca="false">IF(COUNTIFS($AP$2:$AP$1000,AP96,$ER$2:$ER$1000,"Y")+COUNTIFS($AP$2:$AP$1000,AP96,$T$2:$T$1000,"Y")&gt;0,"Y","N")</f>
        <v>N</v>
      </c>
      <c r="ET96" s="0" t="str">
        <f aca="false">IF(AND(U96="new",T96="N",AT96="Y",AS96="",ES96="N"),"Y","N")</f>
        <v>N</v>
      </c>
      <c r="EU96" s="0" t="str">
        <f aca="false">IF(ET96&lt;&gt;"Y","N",IF(COUNTIFS($AP$2:$AP$1000,AP96,$ET$2:$ET$1000,"Y",$J$2:$J$1000,"&gt;"&amp;J96)+COUNTIFS($AP$2:$AP$1000,AP96,$ET$2:$ET$1000,"Y",$J$2:$J$1000,J96,$EW$2:$EW$1000,"&lt;"&amp;EW96)=0,"Y","N"))</f>
        <v>N</v>
      </c>
      <c r="EV96" s="0" t="str">
        <f aca="false">IF(Y96="","N",IF(Y96&lt;=10,"Y","N"))</f>
        <v>N</v>
      </c>
      <c r="EW96" s="6" t="n">
        <f aca="false">ROW()-1</f>
        <v>95</v>
      </c>
    </row>
    <row r="97" customFormat="false" ht="15" hidden="false" customHeight="false" outlineLevel="0" collapsed="false">
      <c r="A97" s="0" t="s">
        <v>2200</v>
      </c>
      <c r="B97" s="0" t="s">
        <v>2201</v>
      </c>
      <c r="H97" s="5" t="s">
        <v>158</v>
      </c>
      <c r="I97" s="5" t="s">
        <v>159</v>
      </c>
      <c r="J97" s="6" t="n">
        <f aca="false">IF(AX97="pass",ROUND(CU97+CV97+CW97+CX97+CY97+CZ97,1),0)</f>
        <v>36</v>
      </c>
      <c r="K97" s="6" t="s">
        <v>2192</v>
      </c>
      <c r="L97" s="6" t="s">
        <v>163</v>
      </c>
      <c r="R97" s="5" t="s">
        <v>162</v>
      </c>
      <c r="S97" s="6" t="s">
        <v>163</v>
      </c>
      <c r="T97" s="5" t="s">
        <v>162</v>
      </c>
      <c r="U97" s="5" t="s">
        <v>228</v>
      </c>
      <c r="V97" s="6" t="s">
        <v>2202</v>
      </c>
      <c r="W97" s="6" t="s">
        <v>166</v>
      </c>
      <c r="X97" s="6" t="s">
        <v>167</v>
      </c>
      <c r="Y97" s="0" t="str">
        <f aca="false">IF(EU97&lt;&gt;"Y","",COUNTIFS($EU$2:$EU$1000,"Y",$J$2:$J$1000,"&gt;"&amp;J97)+COUNTIFS($EU$2:$EU$1000,"Y",$J$2:$J$1000,J97,$EW$2:$EW$1000,"&lt;"&amp;EW97)+1)</f>
        <v/>
      </c>
      <c r="Z97" s="0" t="n">
        <v>96</v>
      </c>
      <c r="AA97" s="6" t="s">
        <v>162</v>
      </c>
      <c r="AD97" s="6" t="s">
        <v>158</v>
      </c>
      <c r="AH97" s="5" t="s">
        <v>158</v>
      </c>
      <c r="AI97" s="6" t="s">
        <v>1734</v>
      </c>
      <c r="AJ97" s="6" t="s">
        <v>472</v>
      </c>
      <c r="AK97" s="6" t="s">
        <v>178</v>
      </c>
      <c r="AL97" s="6" t="s">
        <v>163</v>
      </c>
      <c r="AM97" s="6" t="s">
        <v>163</v>
      </c>
      <c r="AN97" s="6" t="s">
        <v>158</v>
      </c>
      <c r="AO97" s="6" t="s">
        <v>163</v>
      </c>
      <c r="AP97" s="6" t="s">
        <v>2200</v>
      </c>
      <c r="AQ97" s="5" t="s">
        <v>162</v>
      </c>
      <c r="AT97" s="0" t="str">
        <f aca="false">IF(AND(AX97="pass",AQ97&lt;&gt;"Y",C97&lt;&gt;"",OR(AW97&lt;&gt;"Y",AV97="Y")),"Y","N")</f>
        <v>N</v>
      </c>
      <c r="AU97" s="0" t="str">
        <f aca="false">_xlfn.TEXTJOIN("; ",TRUE(),IF(AX97&lt;&gt;"pass","gated out",""),IF(AQ97="Y","on hold: "&amp;AR97,""),IF(C97="","no contact named on an opened page",""),IF(AND(AW97="Y",AV97&lt;&gt;"Y"),"Tuesday estimate band "&amp;L97&amp;": founder's call",""))</f>
        <v>no contact named on an opened page</v>
      </c>
      <c r="AW97" s="6" t="s">
        <v>162</v>
      </c>
      <c r="AX97" s="6" t="s">
        <v>181</v>
      </c>
      <c r="AY97" s="6" t="s">
        <v>182</v>
      </c>
      <c r="AZ97" s="6" t="s">
        <v>1</v>
      </c>
      <c r="BA97" s="6" t="s">
        <v>2203</v>
      </c>
      <c r="BB97" s="6" t="s">
        <v>2204</v>
      </c>
      <c r="BC97" s="6" t="s">
        <v>2205</v>
      </c>
      <c r="BD97" s="6" t="s">
        <v>163</v>
      </c>
      <c r="BF97" s="6" t="s">
        <v>163</v>
      </c>
      <c r="BG97" s="6" t="s">
        <v>163</v>
      </c>
      <c r="BH97" s="6" t="s">
        <v>2196</v>
      </c>
      <c r="BK97" s="6" t="s">
        <v>163</v>
      </c>
      <c r="BL97" s="6" t="s">
        <v>163</v>
      </c>
      <c r="BM97" s="6" t="s">
        <v>163</v>
      </c>
      <c r="BN97" s="6" t="s">
        <v>163</v>
      </c>
      <c r="BO97" s="6" t="s">
        <v>163</v>
      </c>
      <c r="BP97" s="6" t="s">
        <v>347</v>
      </c>
      <c r="BQ97" s="0" t="n">
        <v>40.743288</v>
      </c>
      <c r="BR97" s="0" t="n">
        <v>-73.986627</v>
      </c>
      <c r="BS97" s="6" t="s">
        <v>168</v>
      </c>
      <c r="BT97" s="0" t="n">
        <v>0</v>
      </c>
      <c r="BU97" s="6" t="s">
        <v>1740</v>
      </c>
      <c r="BV97" s="6" t="s">
        <v>1741</v>
      </c>
      <c r="BW97" s="6" t="s">
        <v>2202</v>
      </c>
      <c r="BX97" s="6" t="s">
        <v>2206</v>
      </c>
      <c r="BY97" s="6" t="s">
        <v>248</v>
      </c>
      <c r="BZ97" s="6" t="s">
        <v>2207</v>
      </c>
      <c r="CA97" s="6" t="s">
        <v>166</v>
      </c>
      <c r="CC97" s="6" t="s">
        <v>200</v>
      </c>
      <c r="CE97" s="6" t="s">
        <v>162</v>
      </c>
      <c r="CH97" s="6" t="s">
        <v>163</v>
      </c>
      <c r="CJ97" s="6" t="s">
        <v>163</v>
      </c>
      <c r="CK97" s="6" t="s">
        <v>162</v>
      </c>
      <c r="CL97" s="6" t="s">
        <v>163</v>
      </c>
      <c r="CO97" s="6" t="s">
        <v>163</v>
      </c>
      <c r="CQ97" s="6" t="s">
        <v>2197</v>
      </c>
      <c r="CR97" s="6" t="s">
        <v>206</v>
      </c>
      <c r="CS97" s="6" t="s">
        <v>163</v>
      </c>
      <c r="CT97" s="0" t="n">
        <v>36</v>
      </c>
      <c r="CU97" s="0" t="n">
        <v>7</v>
      </c>
      <c r="CV97" s="0" t="n">
        <v>8</v>
      </c>
      <c r="CW97" s="0" t="n">
        <v>6</v>
      </c>
      <c r="CX97" s="0" t="n">
        <v>15</v>
      </c>
      <c r="CY97" s="6" t="n">
        <f aca="false">IF(AH97="exact",10,IF(AH97="adjacent",5,0))</f>
        <v>0</v>
      </c>
      <c r="CZ97" s="6" t="n">
        <f aca="false">IF(R97="Y",15,0)</f>
        <v>0</v>
      </c>
      <c r="DF97" s="6" t="s">
        <v>158</v>
      </c>
      <c r="DG97" s="6" t="s">
        <v>211</v>
      </c>
      <c r="DJ97" s="6" t="s">
        <v>1590</v>
      </c>
      <c r="DK97" s="6" t="s">
        <v>2208</v>
      </c>
      <c r="DS97" s="6" t="s">
        <v>158</v>
      </c>
      <c r="DX97" s="6" t="s">
        <v>162</v>
      </c>
      <c r="ER97" s="0" t="str">
        <f aca="false">IF(ISNUMBER(MATCH(U97,{"queued","contacted","replied","call_booked","call_done","yes_in_principle","materials_sent"},0)),"Y","N")</f>
        <v>N</v>
      </c>
      <c r="ES97" s="0" t="str">
        <f aca="false">IF(COUNTIFS($AP$2:$AP$1000,AP97,$ER$2:$ER$1000,"Y")+COUNTIFS($AP$2:$AP$1000,AP97,$T$2:$T$1000,"Y")&gt;0,"Y","N")</f>
        <v>N</v>
      </c>
      <c r="ET97" s="0" t="str">
        <f aca="false">IF(AND(U97="new",T97="N",AT97="Y",AS97="",ES97="N"),"Y","N")</f>
        <v>N</v>
      </c>
      <c r="EU97" s="0" t="str">
        <f aca="false">IF(ET97&lt;&gt;"Y","N",IF(COUNTIFS($AP$2:$AP$1000,AP97,$ET$2:$ET$1000,"Y",$J$2:$J$1000,"&gt;"&amp;J97)+COUNTIFS($AP$2:$AP$1000,AP97,$ET$2:$ET$1000,"Y",$J$2:$J$1000,J97,$EW$2:$EW$1000,"&lt;"&amp;EW97)=0,"Y","N"))</f>
        <v>N</v>
      </c>
      <c r="EV97" s="0" t="str">
        <f aca="false">IF(Y97="","N",IF(Y97&lt;=10,"Y","N"))</f>
        <v>N</v>
      </c>
      <c r="EW97" s="6" t="n">
        <f aca="false">ROW()-1</f>
        <v>96</v>
      </c>
    </row>
    <row r="98" customFormat="false" ht="15" hidden="false" customHeight="false" outlineLevel="0" collapsed="false">
      <c r="A98" s="0" t="s">
        <v>2209</v>
      </c>
      <c r="B98" s="0" t="s">
        <v>2210</v>
      </c>
      <c r="H98" s="5" t="s">
        <v>158</v>
      </c>
      <c r="I98" s="5" t="s">
        <v>159</v>
      </c>
      <c r="J98" s="6" t="n">
        <f aca="false">IF(AX98="pass",ROUND(CU98+CV98+CW98+CX98+CY98+CZ98,1),0)</f>
        <v>36</v>
      </c>
      <c r="K98" s="6" t="s">
        <v>2192</v>
      </c>
      <c r="L98" s="6" t="s">
        <v>163</v>
      </c>
      <c r="R98" s="5" t="s">
        <v>162</v>
      </c>
      <c r="S98" s="6" t="s">
        <v>163</v>
      </c>
      <c r="T98" s="5" t="s">
        <v>162</v>
      </c>
      <c r="U98" s="5" t="s">
        <v>228</v>
      </c>
      <c r="V98" s="6" t="s">
        <v>2211</v>
      </c>
      <c r="W98" s="6" t="s">
        <v>166</v>
      </c>
      <c r="X98" s="6" t="s">
        <v>167</v>
      </c>
      <c r="Y98" s="0" t="str">
        <f aca="false">IF(EU98&lt;&gt;"Y","",COUNTIFS($EU$2:$EU$1000,"Y",$J$2:$J$1000,"&gt;"&amp;J98)+COUNTIFS($EU$2:$EU$1000,"Y",$J$2:$J$1000,J98,$EW$2:$EW$1000,"&lt;"&amp;EW98)+1)</f>
        <v/>
      </c>
      <c r="Z98" s="0" t="n">
        <v>97</v>
      </c>
      <c r="AA98" s="6" t="s">
        <v>162</v>
      </c>
      <c r="AD98" s="6" t="s">
        <v>158</v>
      </c>
      <c r="AH98" s="5" t="s">
        <v>158</v>
      </c>
      <c r="AI98" s="6" t="s">
        <v>2212</v>
      </c>
      <c r="AJ98" s="6" t="s">
        <v>2213</v>
      </c>
      <c r="AK98" s="6" t="s">
        <v>178</v>
      </c>
      <c r="AL98" s="6" t="s">
        <v>163</v>
      </c>
      <c r="AM98" s="6" t="s">
        <v>163</v>
      </c>
      <c r="AN98" s="6" t="s">
        <v>158</v>
      </c>
      <c r="AO98" s="6" t="s">
        <v>163</v>
      </c>
      <c r="AP98" s="6" t="s">
        <v>2209</v>
      </c>
      <c r="AQ98" s="5" t="s">
        <v>162</v>
      </c>
      <c r="AT98" s="0" t="str">
        <f aca="false">IF(AND(AX98="pass",AQ98&lt;&gt;"Y",C98&lt;&gt;"",OR(AW98&lt;&gt;"Y",AV98="Y")),"Y","N")</f>
        <v>N</v>
      </c>
      <c r="AU98" s="0" t="str">
        <f aca="false">_xlfn.TEXTJOIN("; ",TRUE(),IF(AX98&lt;&gt;"pass","gated out",""),IF(AQ98="Y","on hold: "&amp;AR98,""),IF(C98="","no contact named on an opened page",""),IF(AND(AW98="Y",AV98&lt;&gt;"Y"),"Tuesday estimate band "&amp;L98&amp;": founder's call",""))</f>
        <v>no contact named on an opened page</v>
      </c>
      <c r="AW98" s="6" t="s">
        <v>162</v>
      </c>
      <c r="AX98" s="6" t="s">
        <v>181</v>
      </c>
      <c r="AY98" s="6" t="s">
        <v>182</v>
      </c>
      <c r="AZ98" s="6" t="s">
        <v>1</v>
      </c>
      <c r="BA98" s="6" t="s">
        <v>2214</v>
      </c>
      <c r="BB98" s="6" t="s">
        <v>2215</v>
      </c>
      <c r="BC98" s="6" t="s">
        <v>2216</v>
      </c>
      <c r="BD98" s="6" t="s">
        <v>163</v>
      </c>
      <c r="BF98" s="6" t="s">
        <v>163</v>
      </c>
      <c r="BG98" s="6" t="s">
        <v>163</v>
      </c>
      <c r="BH98" s="6" t="s">
        <v>2196</v>
      </c>
      <c r="BK98" s="6" t="s">
        <v>163</v>
      </c>
      <c r="BL98" s="6" t="s">
        <v>163</v>
      </c>
      <c r="BM98" s="6" t="s">
        <v>163</v>
      </c>
      <c r="BN98" s="6" t="s">
        <v>163</v>
      </c>
      <c r="BO98" s="6" t="s">
        <v>163</v>
      </c>
      <c r="BP98" s="6" t="s">
        <v>712</v>
      </c>
      <c r="BQ98" s="0" t="n">
        <v>40.745609</v>
      </c>
      <c r="BR98" s="0" t="n">
        <v>-73.990014</v>
      </c>
      <c r="BS98" s="6" t="s">
        <v>168</v>
      </c>
      <c r="BT98" s="0" t="n">
        <v>0</v>
      </c>
      <c r="BU98" s="6" t="s">
        <v>2217</v>
      </c>
      <c r="BV98" s="6" t="s">
        <v>2218</v>
      </c>
      <c r="BW98" s="6" t="s">
        <v>2211</v>
      </c>
      <c r="BX98" s="6" t="s">
        <v>2219</v>
      </c>
      <c r="BY98" s="6" t="s">
        <v>248</v>
      </c>
      <c r="BZ98" s="6" t="s">
        <v>2220</v>
      </c>
      <c r="CA98" s="6" t="s">
        <v>166</v>
      </c>
      <c r="CC98" s="6" t="s">
        <v>200</v>
      </c>
      <c r="CE98" s="6" t="s">
        <v>162</v>
      </c>
      <c r="CH98" s="6" t="s">
        <v>163</v>
      </c>
      <c r="CJ98" s="6" t="s">
        <v>163</v>
      </c>
      <c r="CK98" s="6" t="s">
        <v>162</v>
      </c>
      <c r="CL98" s="6" t="s">
        <v>163</v>
      </c>
      <c r="CO98" s="6" t="s">
        <v>163</v>
      </c>
      <c r="CQ98" s="6" t="s">
        <v>2197</v>
      </c>
      <c r="CR98" s="6" t="s">
        <v>206</v>
      </c>
      <c r="CS98" s="6" t="s">
        <v>163</v>
      </c>
      <c r="CT98" s="0" t="n">
        <v>36</v>
      </c>
      <c r="CU98" s="0" t="n">
        <v>7</v>
      </c>
      <c r="CV98" s="0" t="n">
        <v>8</v>
      </c>
      <c r="CW98" s="0" t="n">
        <v>6</v>
      </c>
      <c r="CX98" s="0" t="n">
        <v>15</v>
      </c>
      <c r="CY98" s="6" t="n">
        <f aca="false">IF(AH98="exact",10,IF(AH98="adjacent",5,0))</f>
        <v>0</v>
      </c>
      <c r="CZ98" s="6" t="n">
        <f aca="false">IF(R98="Y",15,0)</f>
        <v>0</v>
      </c>
      <c r="DF98" s="6" t="s">
        <v>158</v>
      </c>
      <c r="DG98" s="6" t="s">
        <v>211</v>
      </c>
      <c r="DJ98" s="6" t="s">
        <v>2221</v>
      </c>
      <c r="DK98" s="6" t="s">
        <v>2222</v>
      </c>
      <c r="DS98" s="6" t="s">
        <v>158</v>
      </c>
      <c r="DX98" s="6" t="s">
        <v>162</v>
      </c>
      <c r="ER98" s="0" t="str">
        <f aca="false">IF(ISNUMBER(MATCH(U98,{"queued","contacted","replied","call_booked","call_done","yes_in_principle","materials_sent"},0)),"Y","N")</f>
        <v>N</v>
      </c>
      <c r="ES98" s="0" t="str">
        <f aca="false">IF(COUNTIFS($AP$2:$AP$1000,AP98,$ER$2:$ER$1000,"Y")+COUNTIFS($AP$2:$AP$1000,AP98,$T$2:$T$1000,"Y")&gt;0,"Y","N")</f>
        <v>N</v>
      </c>
      <c r="ET98" s="0" t="str">
        <f aca="false">IF(AND(U98="new",T98="N",AT98="Y",AS98="",ES98="N"),"Y","N")</f>
        <v>N</v>
      </c>
      <c r="EU98" s="0" t="str">
        <f aca="false">IF(ET98&lt;&gt;"Y","N",IF(COUNTIFS($AP$2:$AP$1000,AP98,$ET$2:$ET$1000,"Y",$J$2:$J$1000,"&gt;"&amp;J98)+COUNTIFS($AP$2:$AP$1000,AP98,$ET$2:$ET$1000,"Y",$J$2:$J$1000,J98,$EW$2:$EW$1000,"&lt;"&amp;EW98)=0,"Y","N"))</f>
        <v>N</v>
      </c>
      <c r="EV98" s="0" t="str">
        <f aca="false">IF(Y98="","N",IF(Y98&lt;=10,"Y","N"))</f>
        <v>N</v>
      </c>
      <c r="EW98" s="6" t="n">
        <f aca="false">ROW()-1</f>
        <v>97</v>
      </c>
    </row>
    <row r="99" customFormat="false" ht="15" hidden="false" customHeight="false" outlineLevel="0" collapsed="false">
      <c r="A99" s="0" t="s">
        <v>2223</v>
      </c>
      <c r="B99" s="0" t="s">
        <v>2224</v>
      </c>
      <c r="H99" s="5" t="s">
        <v>158</v>
      </c>
      <c r="I99" s="5" t="s">
        <v>159</v>
      </c>
      <c r="J99" s="6" t="n">
        <f aca="false">IF(AX99="pass",ROUND(CU99+CV99+CW99+CX99+CY99+CZ99,1),0)</f>
        <v>36</v>
      </c>
      <c r="K99" s="6" t="s">
        <v>2225</v>
      </c>
      <c r="L99" s="6" t="s">
        <v>163</v>
      </c>
      <c r="R99" s="5" t="s">
        <v>162</v>
      </c>
      <c r="S99" s="6" t="s">
        <v>163</v>
      </c>
      <c r="T99" s="5" t="s">
        <v>162</v>
      </c>
      <c r="U99" s="5" t="s">
        <v>228</v>
      </c>
      <c r="V99" s="6" t="s">
        <v>2226</v>
      </c>
      <c r="W99" s="6" t="s">
        <v>174</v>
      </c>
      <c r="X99" s="6" t="s">
        <v>167</v>
      </c>
      <c r="Y99" s="0" t="str">
        <f aca="false">IF(EU99&lt;&gt;"Y","",COUNTIFS($EU$2:$EU$1000,"Y",$J$2:$J$1000,"&gt;"&amp;J99)+COUNTIFS($EU$2:$EU$1000,"Y",$J$2:$J$1000,J99,$EW$2:$EW$1000,"&lt;"&amp;EW99)+1)</f>
        <v/>
      </c>
      <c r="Z99" s="0" t="n">
        <v>98</v>
      </c>
      <c r="AA99" s="6" t="s">
        <v>162</v>
      </c>
      <c r="AD99" s="6" t="s">
        <v>158</v>
      </c>
      <c r="AH99" s="5" t="s">
        <v>158</v>
      </c>
      <c r="AI99" s="6" t="s">
        <v>2227</v>
      </c>
      <c r="AJ99" s="6" t="s">
        <v>163</v>
      </c>
      <c r="AK99" s="6" t="s">
        <v>2228</v>
      </c>
      <c r="AL99" s="6" t="s">
        <v>163</v>
      </c>
      <c r="AM99" s="6" t="s">
        <v>163</v>
      </c>
      <c r="AN99" s="6" t="s">
        <v>158</v>
      </c>
      <c r="AO99" s="6" t="s">
        <v>163</v>
      </c>
      <c r="AP99" s="6" t="s">
        <v>2223</v>
      </c>
      <c r="AQ99" s="5" t="s">
        <v>162</v>
      </c>
      <c r="AT99" s="0" t="str">
        <f aca="false">IF(AND(AX99="pass",AQ99&lt;&gt;"Y",C99&lt;&gt;"",OR(AW99&lt;&gt;"Y",AV99="Y")),"Y","N")</f>
        <v>N</v>
      </c>
      <c r="AU99" s="0" t="str">
        <f aca="false">_xlfn.TEXTJOIN("; ",TRUE(),IF(AX99&lt;&gt;"pass","gated out",""),IF(AQ99="Y","on hold: "&amp;AR99,""),IF(C99="","no contact named on an opened page",""),IF(AND(AW99="Y",AV99&lt;&gt;"Y"),"Tuesday estimate band "&amp;L99&amp;": founder's call",""))</f>
        <v>no contact named on an opened page</v>
      </c>
      <c r="AW99" s="6" t="s">
        <v>162</v>
      </c>
      <c r="AX99" s="6" t="s">
        <v>181</v>
      </c>
      <c r="AY99" s="6" t="s">
        <v>182</v>
      </c>
      <c r="AZ99" s="6" t="s">
        <v>2229</v>
      </c>
      <c r="BA99" s="6" t="s">
        <v>2230</v>
      </c>
      <c r="BB99" s="6" t="s">
        <v>2231</v>
      </c>
      <c r="BC99" s="6" t="s">
        <v>2232</v>
      </c>
      <c r="BD99" s="6" t="s">
        <v>163</v>
      </c>
      <c r="BF99" s="6" t="s">
        <v>163</v>
      </c>
      <c r="BG99" s="6" t="s">
        <v>163</v>
      </c>
      <c r="BK99" s="6" t="s">
        <v>163</v>
      </c>
      <c r="BL99" s="6" t="s">
        <v>2233</v>
      </c>
      <c r="BM99" s="6" t="s">
        <v>163</v>
      </c>
      <c r="BN99" s="6" t="s">
        <v>2234</v>
      </c>
      <c r="BP99" s="6" t="s">
        <v>347</v>
      </c>
      <c r="BQ99" s="0" t="n">
        <v>40.741737</v>
      </c>
      <c r="BR99" s="0" t="n">
        <v>-73.984856</v>
      </c>
      <c r="BS99" s="6" t="s">
        <v>168</v>
      </c>
      <c r="BT99" s="0" t="n">
        <v>0</v>
      </c>
      <c r="BU99" s="6" t="s">
        <v>2235</v>
      </c>
      <c r="BV99" s="6" t="s">
        <v>2236</v>
      </c>
      <c r="BW99" s="6" t="s">
        <v>2226</v>
      </c>
      <c r="BX99" s="6" t="s">
        <v>174</v>
      </c>
      <c r="BY99" s="6" t="s">
        <v>2237</v>
      </c>
      <c r="BZ99" s="6" t="s">
        <v>2238</v>
      </c>
      <c r="CC99" s="6" t="s">
        <v>200</v>
      </c>
      <c r="CE99" s="6" t="s">
        <v>162</v>
      </c>
      <c r="CF99" s="6" t="s">
        <v>2230</v>
      </c>
      <c r="CG99" s="6" t="s">
        <v>2239</v>
      </c>
      <c r="CH99" s="6" t="s">
        <v>163</v>
      </c>
      <c r="CJ99" s="6" t="s">
        <v>163</v>
      </c>
      <c r="CK99" s="6" t="s">
        <v>162</v>
      </c>
      <c r="CL99" s="6" t="s">
        <v>163</v>
      </c>
      <c r="CO99" s="6" t="s">
        <v>163</v>
      </c>
      <c r="CQ99" s="6" t="s">
        <v>2240</v>
      </c>
      <c r="CR99" s="6" t="s">
        <v>206</v>
      </c>
      <c r="CS99" s="6" t="s">
        <v>163</v>
      </c>
      <c r="CT99" s="0" t="n">
        <v>36</v>
      </c>
      <c r="CU99" s="0" t="n">
        <v>7</v>
      </c>
      <c r="CV99" s="0" t="n">
        <v>8</v>
      </c>
      <c r="CW99" s="0" t="n">
        <v>6</v>
      </c>
      <c r="CX99" s="0" t="n">
        <v>15</v>
      </c>
      <c r="CY99" s="6" t="n">
        <f aca="false">IF(AH99="exact",10,IF(AH99="adjacent",5,0))</f>
        <v>0</v>
      </c>
      <c r="CZ99" s="6" t="n">
        <f aca="false">IF(R99="Y",15,0)</f>
        <v>0</v>
      </c>
      <c r="DF99" s="6" t="s">
        <v>158</v>
      </c>
      <c r="DG99" s="6" t="s">
        <v>2229</v>
      </c>
      <c r="DK99" s="6" t="s">
        <v>2241</v>
      </c>
      <c r="DS99" s="6" t="s">
        <v>158</v>
      </c>
      <c r="DX99" s="6" t="s">
        <v>162</v>
      </c>
      <c r="ER99" s="0" t="str">
        <f aca="false">IF(ISNUMBER(MATCH(U99,{"queued","contacted","replied","call_booked","call_done","yes_in_principle","materials_sent"},0)),"Y","N")</f>
        <v>N</v>
      </c>
      <c r="ES99" s="0" t="str">
        <f aca="false">IF(COUNTIFS($AP$2:$AP$1000,AP99,$ER$2:$ER$1000,"Y")+COUNTIFS($AP$2:$AP$1000,AP99,$T$2:$T$1000,"Y")&gt;0,"Y","N")</f>
        <v>N</v>
      </c>
      <c r="ET99" s="0" t="str">
        <f aca="false">IF(AND(U99="new",T99="N",AT99="Y",AS99="",ES99="N"),"Y","N")</f>
        <v>N</v>
      </c>
      <c r="EU99" s="0" t="str">
        <f aca="false">IF(ET99&lt;&gt;"Y","N",IF(COUNTIFS($AP$2:$AP$1000,AP99,$ET$2:$ET$1000,"Y",$J$2:$J$1000,"&gt;"&amp;J99)+COUNTIFS($AP$2:$AP$1000,AP99,$ET$2:$ET$1000,"Y",$J$2:$J$1000,J99,$EW$2:$EW$1000,"&lt;"&amp;EW99)=0,"Y","N"))</f>
        <v>N</v>
      </c>
      <c r="EV99" s="0" t="str">
        <f aca="false">IF(Y99="","N",IF(Y99&lt;=10,"Y","N"))</f>
        <v>N</v>
      </c>
      <c r="EW99" s="6" t="n">
        <f aca="false">ROW()-1</f>
        <v>98</v>
      </c>
    </row>
    <row r="100" customFormat="false" ht="15" hidden="false" customHeight="false" outlineLevel="0" collapsed="false">
      <c r="A100" s="0" t="s">
        <v>2242</v>
      </c>
      <c r="B100" s="0" t="s">
        <v>2243</v>
      </c>
      <c r="H100" s="5" t="s">
        <v>158</v>
      </c>
      <c r="I100" s="5" t="s">
        <v>159</v>
      </c>
      <c r="J100" s="6" t="n">
        <f aca="false">IF(AX100="pass",ROUND(CU100+CV100+CW100+CX100+CY100+CZ100,1),0)</f>
        <v>36</v>
      </c>
      <c r="K100" s="6" t="s">
        <v>2192</v>
      </c>
      <c r="L100" s="6" t="s">
        <v>163</v>
      </c>
      <c r="O100" s="6" t="s">
        <v>2244</v>
      </c>
      <c r="P100" s="6" t="s">
        <v>2245</v>
      </c>
      <c r="Q100" s="6" t="s">
        <v>1328</v>
      </c>
      <c r="R100" s="5" t="s">
        <v>162</v>
      </c>
      <c r="S100" s="6" t="s">
        <v>163</v>
      </c>
      <c r="T100" s="5" t="s">
        <v>162</v>
      </c>
      <c r="U100" s="5" t="s">
        <v>228</v>
      </c>
      <c r="V100" s="6" t="s">
        <v>2245</v>
      </c>
      <c r="W100" s="6" t="s">
        <v>166</v>
      </c>
      <c r="X100" s="6" t="s">
        <v>167</v>
      </c>
      <c r="Y100" s="0" t="str">
        <f aca="false">IF(EU100&lt;&gt;"Y","",COUNTIFS($EU$2:$EU$1000,"Y",$J$2:$J$1000,"&gt;"&amp;J100)+COUNTIFS($EU$2:$EU$1000,"Y",$J$2:$J$1000,J100,$EW$2:$EW$1000,"&lt;"&amp;EW100)+1)</f>
        <v/>
      </c>
      <c r="Z100" s="0" t="n">
        <v>99</v>
      </c>
      <c r="AA100" s="6" t="s">
        <v>162</v>
      </c>
      <c r="AD100" s="6" t="s">
        <v>158</v>
      </c>
      <c r="AH100" s="5" t="s">
        <v>158</v>
      </c>
      <c r="AI100" s="6" t="s">
        <v>2246</v>
      </c>
      <c r="AJ100" s="6" t="s">
        <v>889</v>
      </c>
      <c r="AK100" s="6" t="s">
        <v>178</v>
      </c>
      <c r="AL100" s="6" t="s">
        <v>163</v>
      </c>
      <c r="AM100" s="6" t="s">
        <v>163</v>
      </c>
      <c r="AN100" s="6" t="s">
        <v>158</v>
      </c>
      <c r="AO100" s="6" t="s">
        <v>163</v>
      </c>
      <c r="AP100" s="6" t="s">
        <v>2242</v>
      </c>
      <c r="AQ100" s="5" t="s">
        <v>162</v>
      </c>
      <c r="AT100" s="0" t="str">
        <f aca="false">IF(AND(AX100="pass",AQ100&lt;&gt;"Y",C100&lt;&gt;"",OR(AW100&lt;&gt;"Y",AV100="Y")),"Y","N")</f>
        <v>N</v>
      </c>
      <c r="AU100" s="0" t="str">
        <f aca="false">_xlfn.TEXTJOIN("; ",TRUE(),IF(AX100&lt;&gt;"pass","gated out",""),IF(AQ100="Y","on hold: "&amp;AR100,""),IF(C100="","no contact named on an opened page",""),IF(AND(AW100="Y",AV100&lt;&gt;"Y"),"Tuesday estimate band "&amp;L100&amp;": founder's call",""))</f>
        <v>no contact named on an opened page</v>
      </c>
      <c r="AW100" s="6" t="s">
        <v>162</v>
      </c>
      <c r="AX100" s="6" t="s">
        <v>181</v>
      </c>
      <c r="AY100" s="6" t="s">
        <v>182</v>
      </c>
      <c r="AZ100" s="6" t="s">
        <v>1</v>
      </c>
      <c r="BA100" s="6" t="s">
        <v>2247</v>
      </c>
      <c r="BB100" s="6" t="s">
        <v>2248</v>
      </c>
      <c r="BC100" s="6" t="s">
        <v>2249</v>
      </c>
      <c r="BD100" s="6" t="s">
        <v>163</v>
      </c>
      <c r="BF100" s="6" t="s">
        <v>163</v>
      </c>
      <c r="BG100" s="6" t="s">
        <v>163</v>
      </c>
      <c r="BH100" s="6" t="s">
        <v>2196</v>
      </c>
      <c r="BK100" s="6" t="s">
        <v>163</v>
      </c>
      <c r="BL100" s="6" t="s">
        <v>163</v>
      </c>
      <c r="BM100" s="6" t="s">
        <v>163</v>
      </c>
      <c r="BN100" s="6" t="s">
        <v>163</v>
      </c>
      <c r="BO100" s="6" t="s">
        <v>163</v>
      </c>
      <c r="BP100" s="6" t="s">
        <v>193</v>
      </c>
      <c r="BQ100" s="0" t="n">
        <v>40.739138</v>
      </c>
      <c r="BR100" s="0" t="n">
        <v>-73.991116</v>
      </c>
      <c r="BS100" s="6" t="s">
        <v>168</v>
      </c>
      <c r="BT100" s="0" t="n">
        <v>0</v>
      </c>
      <c r="BU100" s="6" t="s">
        <v>2250</v>
      </c>
      <c r="BV100" s="6" t="s">
        <v>2246</v>
      </c>
      <c r="BW100" s="6" t="s">
        <v>2245</v>
      </c>
      <c r="BX100" s="6" t="s">
        <v>1328</v>
      </c>
      <c r="BY100" s="6" t="s">
        <v>248</v>
      </c>
      <c r="BZ100" s="6" t="s">
        <v>2251</v>
      </c>
      <c r="CA100" s="6" t="s">
        <v>166</v>
      </c>
      <c r="CC100" s="6" t="s">
        <v>200</v>
      </c>
      <c r="CE100" s="6" t="s">
        <v>162</v>
      </c>
      <c r="CH100" s="6" t="s">
        <v>163</v>
      </c>
      <c r="CJ100" s="6" t="s">
        <v>163</v>
      </c>
      <c r="CK100" s="6" t="s">
        <v>162</v>
      </c>
      <c r="CL100" s="6" t="s">
        <v>163</v>
      </c>
      <c r="CO100" s="6" t="s">
        <v>163</v>
      </c>
      <c r="CQ100" s="6" t="s">
        <v>2197</v>
      </c>
      <c r="CR100" s="6" t="s">
        <v>206</v>
      </c>
      <c r="CS100" s="6" t="s">
        <v>163</v>
      </c>
      <c r="CT100" s="0" t="n">
        <v>36</v>
      </c>
      <c r="CU100" s="0" t="n">
        <v>7</v>
      </c>
      <c r="CV100" s="0" t="n">
        <v>8</v>
      </c>
      <c r="CW100" s="0" t="n">
        <v>6</v>
      </c>
      <c r="CX100" s="0" t="n">
        <v>15</v>
      </c>
      <c r="CY100" s="6" t="n">
        <f aca="false">IF(AH100="exact",10,IF(AH100="adjacent",5,0))</f>
        <v>0</v>
      </c>
      <c r="CZ100" s="6" t="n">
        <f aca="false">IF(R100="Y",15,0)</f>
        <v>0</v>
      </c>
      <c r="DF100" s="6" t="s">
        <v>158</v>
      </c>
      <c r="DG100" s="6" t="s">
        <v>211</v>
      </c>
      <c r="DJ100" s="6" t="s">
        <v>2252</v>
      </c>
      <c r="DK100" s="6" t="s">
        <v>2253</v>
      </c>
      <c r="DS100" s="6" t="s">
        <v>158</v>
      </c>
      <c r="DX100" s="6" t="s">
        <v>162</v>
      </c>
      <c r="ER100" s="0" t="str">
        <f aca="false">IF(ISNUMBER(MATCH(U100,{"queued","contacted","replied","call_booked","call_done","yes_in_principle","materials_sent"},0)),"Y","N")</f>
        <v>N</v>
      </c>
      <c r="ES100" s="0" t="str">
        <f aca="false">IF(COUNTIFS($AP$2:$AP$1000,AP100,$ER$2:$ER$1000,"Y")+COUNTIFS($AP$2:$AP$1000,AP100,$T$2:$T$1000,"Y")&gt;0,"Y","N")</f>
        <v>N</v>
      </c>
      <c r="ET100" s="0" t="str">
        <f aca="false">IF(AND(U100="new",T100="N",AT100="Y",AS100="",ES100="N"),"Y","N")</f>
        <v>N</v>
      </c>
      <c r="EU100" s="0" t="str">
        <f aca="false">IF(ET100&lt;&gt;"Y","N",IF(COUNTIFS($AP$2:$AP$1000,AP100,$ET$2:$ET$1000,"Y",$J$2:$J$1000,"&gt;"&amp;J100)+COUNTIFS($AP$2:$AP$1000,AP100,$ET$2:$ET$1000,"Y",$J$2:$J$1000,J100,$EW$2:$EW$1000,"&lt;"&amp;EW100)=0,"Y","N"))</f>
        <v>N</v>
      </c>
      <c r="EV100" s="0" t="str">
        <f aca="false">IF(Y100="","N",IF(Y100&lt;=10,"Y","N"))</f>
        <v>N</v>
      </c>
      <c r="EW100" s="6" t="n">
        <f aca="false">ROW()-1</f>
        <v>99</v>
      </c>
    </row>
    <row r="101" customFormat="false" ht="15" hidden="false" customHeight="false" outlineLevel="0" collapsed="false">
      <c r="A101" s="0" t="s">
        <v>2254</v>
      </c>
      <c r="B101" s="0" t="s">
        <v>2255</v>
      </c>
      <c r="H101" s="5" t="s">
        <v>158</v>
      </c>
      <c r="I101" s="5" t="s">
        <v>159</v>
      </c>
      <c r="J101" s="6" t="n">
        <f aca="false">IF(AX101="pass",ROUND(CU101+CV101+CW101+CX101+CY101+CZ101,1),0)</f>
        <v>36</v>
      </c>
      <c r="K101" s="6" t="s">
        <v>2192</v>
      </c>
      <c r="L101" s="6" t="s">
        <v>163</v>
      </c>
      <c r="R101" s="5" t="s">
        <v>162</v>
      </c>
      <c r="S101" s="6" t="s">
        <v>163</v>
      </c>
      <c r="T101" s="5" t="s">
        <v>162</v>
      </c>
      <c r="U101" s="5" t="s">
        <v>228</v>
      </c>
      <c r="V101" s="6" t="s">
        <v>2256</v>
      </c>
      <c r="W101" s="6" t="s">
        <v>166</v>
      </c>
      <c r="X101" s="6" t="s">
        <v>167</v>
      </c>
      <c r="Y101" s="0" t="str">
        <f aca="false">IF(EU101&lt;&gt;"Y","",COUNTIFS($EU$2:$EU$1000,"Y",$J$2:$J$1000,"&gt;"&amp;J101)+COUNTIFS($EU$2:$EU$1000,"Y",$J$2:$J$1000,J101,$EW$2:$EW$1000,"&lt;"&amp;EW101)+1)</f>
        <v/>
      </c>
      <c r="Z101" s="0" t="n">
        <v>100</v>
      </c>
      <c r="AA101" s="6" t="s">
        <v>162</v>
      </c>
      <c r="AD101" s="6" t="s">
        <v>158</v>
      </c>
      <c r="AH101" s="5" t="s">
        <v>158</v>
      </c>
      <c r="AI101" s="6" t="s">
        <v>1527</v>
      </c>
      <c r="AJ101" s="6" t="s">
        <v>2257</v>
      </c>
      <c r="AK101" s="6" t="s">
        <v>178</v>
      </c>
      <c r="AL101" s="6" t="s">
        <v>163</v>
      </c>
      <c r="AM101" s="6" t="s">
        <v>163</v>
      </c>
      <c r="AN101" s="6" t="s">
        <v>158</v>
      </c>
      <c r="AO101" s="6" t="s">
        <v>163</v>
      </c>
      <c r="AP101" s="6" t="s">
        <v>2254</v>
      </c>
      <c r="AQ101" s="5" t="s">
        <v>162</v>
      </c>
      <c r="AT101" s="0" t="str">
        <f aca="false">IF(AND(AX101="pass",AQ101&lt;&gt;"Y",C101&lt;&gt;"",OR(AW101&lt;&gt;"Y",AV101="Y")),"Y","N")</f>
        <v>N</v>
      </c>
      <c r="AU101" s="0" t="str">
        <f aca="false">_xlfn.TEXTJOIN("; ",TRUE(),IF(AX101&lt;&gt;"pass","gated out",""),IF(AQ101="Y","on hold: "&amp;AR101,""),IF(C101="","no contact named on an opened page",""),IF(AND(AW101="Y",AV101&lt;&gt;"Y"),"Tuesday estimate band "&amp;L101&amp;": founder's call",""))</f>
        <v>no contact named on an opened page</v>
      </c>
      <c r="AW101" s="6" t="s">
        <v>162</v>
      </c>
      <c r="AX101" s="6" t="s">
        <v>181</v>
      </c>
      <c r="AY101" s="6" t="s">
        <v>182</v>
      </c>
      <c r="AZ101" s="6" t="s">
        <v>1</v>
      </c>
      <c r="BA101" s="6" t="s">
        <v>2258</v>
      </c>
      <c r="BB101" s="6" t="s">
        <v>2259</v>
      </c>
      <c r="BC101" s="6" t="s">
        <v>2260</v>
      </c>
      <c r="BD101" s="6" t="s">
        <v>163</v>
      </c>
      <c r="BF101" s="6" t="s">
        <v>163</v>
      </c>
      <c r="BG101" s="6" t="s">
        <v>163</v>
      </c>
      <c r="BH101" s="6" t="s">
        <v>2196</v>
      </c>
      <c r="BK101" s="6" t="s">
        <v>163</v>
      </c>
      <c r="BL101" s="6" t="s">
        <v>2261</v>
      </c>
      <c r="BM101" s="6" t="s">
        <v>162</v>
      </c>
      <c r="BN101" s="6" t="s">
        <v>163</v>
      </c>
      <c r="BO101" s="6" t="s">
        <v>163</v>
      </c>
      <c r="BP101" s="6" t="s">
        <v>244</v>
      </c>
      <c r="BQ101" s="0" t="n">
        <v>40.745027</v>
      </c>
      <c r="BR101" s="0" t="n">
        <v>-73.986825</v>
      </c>
      <c r="BS101" s="6" t="s">
        <v>168</v>
      </c>
      <c r="BT101" s="0" t="n">
        <v>0</v>
      </c>
      <c r="BU101" s="6" t="s">
        <v>1534</v>
      </c>
      <c r="BV101" s="6" t="s">
        <v>1535</v>
      </c>
      <c r="BW101" s="6" t="s">
        <v>2256</v>
      </c>
      <c r="BX101" s="6" t="s">
        <v>2262</v>
      </c>
      <c r="BY101" s="6" t="s">
        <v>248</v>
      </c>
      <c r="BZ101" s="6" t="s">
        <v>2263</v>
      </c>
      <c r="CA101" s="6" t="s">
        <v>166</v>
      </c>
      <c r="CC101" s="6" t="s">
        <v>200</v>
      </c>
      <c r="CE101" s="6" t="s">
        <v>162</v>
      </c>
      <c r="CH101" s="6" t="s">
        <v>201</v>
      </c>
      <c r="CI101" s="6" t="s">
        <v>1537</v>
      </c>
      <c r="CJ101" s="6" t="s">
        <v>163</v>
      </c>
      <c r="CK101" s="6" t="s">
        <v>162</v>
      </c>
      <c r="CL101" s="6" t="s">
        <v>163</v>
      </c>
      <c r="CO101" s="6" t="s">
        <v>163</v>
      </c>
      <c r="CQ101" s="6" t="s">
        <v>2197</v>
      </c>
      <c r="CR101" s="6" t="s">
        <v>206</v>
      </c>
      <c r="CS101" s="6" t="s">
        <v>163</v>
      </c>
      <c r="CT101" s="0" t="n">
        <v>36</v>
      </c>
      <c r="CU101" s="0" t="n">
        <v>7</v>
      </c>
      <c r="CV101" s="0" t="n">
        <v>8</v>
      </c>
      <c r="CW101" s="0" t="n">
        <v>6</v>
      </c>
      <c r="CX101" s="0" t="n">
        <v>15</v>
      </c>
      <c r="CY101" s="6" t="n">
        <f aca="false">IF(AH101="exact",10,IF(AH101="adjacent",5,0))</f>
        <v>0</v>
      </c>
      <c r="CZ101" s="6" t="n">
        <f aca="false">IF(R101="Y",15,0)</f>
        <v>0</v>
      </c>
      <c r="DF101" s="6" t="s">
        <v>158</v>
      </c>
      <c r="DG101" s="6" t="s">
        <v>211</v>
      </c>
      <c r="DJ101" s="6" t="s">
        <v>2264</v>
      </c>
      <c r="DK101" s="6" t="s">
        <v>2265</v>
      </c>
      <c r="DS101" s="6" t="s">
        <v>158</v>
      </c>
      <c r="DX101" s="6" t="s">
        <v>162</v>
      </c>
      <c r="ER101" s="0" t="str">
        <f aca="false">IF(ISNUMBER(MATCH(U101,{"queued","contacted","replied","call_booked","call_done","yes_in_principle","materials_sent"},0)),"Y","N")</f>
        <v>N</v>
      </c>
      <c r="ES101" s="0" t="str">
        <f aca="false">IF(COUNTIFS($AP$2:$AP$1000,AP101,$ER$2:$ER$1000,"Y")+COUNTIFS($AP$2:$AP$1000,AP101,$T$2:$T$1000,"Y")&gt;0,"Y","N")</f>
        <v>N</v>
      </c>
      <c r="ET101" s="0" t="str">
        <f aca="false">IF(AND(U101="new",T101="N",AT101="Y",AS101="",ES101="N"),"Y","N")</f>
        <v>N</v>
      </c>
      <c r="EU101" s="0" t="str">
        <f aca="false">IF(ET101&lt;&gt;"Y","N",IF(COUNTIFS($AP$2:$AP$1000,AP101,$ET$2:$ET$1000,"Y",$J$2:$J$1000,"&gt;"&amp;J101)+COUNTIFS($AP$2:$AP$1000,AP101,$ET$2:$ET$1000,"Y",$J$2:$J$1000,J101,$EW$2:$EW$1000,"&lt;"&amp;EW101)=0,"Y","N"))</f>
        <v>N</v>
      </c>
      <c r="EV101" s="0" t="str">
        <f aca="false">IF(Y101="","N",IF(Y101&lt;=10,"Y","N"))</f>
        <v>N</v>
      </c>
      <c r="EW101" s="6" t="n">
        <f aca="false">ROW()-1</f>
        <v>100</v>
      </c>
    </row>
    <row r="102" customFormat="false" ht="15" hidden="false" customHeight="false" outlineLevel="0" collapsed="false">
      <c r="A102" s="0" t="s">
        <v>2266</v>
      </c>
      <c r="B102" s="0" t="s">
        <v>2267</v>
      </c>
      <c r="H102" s="5" t="s">
        <v>158</v>
      </c>
      <c r="I102" s="5" t="s">
        <v>159</v>
      </c>
      <c r="J102" s="6" t="n">
        <f aca="false">IF(AX102="pass",ROUND(CU102+CV102+CW102+CX102+CY102+CZ102,1),0)</f>
        <v>36</v>
      </c>
      <c r="K102" s="6" t="s">
        <v>2192</v>
      </c>
      <c r="L102" s="6" t="s">
        <v>163</v>
      </c>
      <c r="R102" s="5" t="s">
        <v>162</v>
      </c>
      <c r="S102" s="6" t="s">
        <v>163</v>
      </c>
      <c r="T102" s="5" t="s">
        <v>162</v>
      </c>
      <c r="U102" s="5" t="s">
        <v>228</v>
      </c>
      <c r="V102" s="6" t="s">
        <v>2268</v>
      </c>
      <c r="W102" s="6" t="s">
        <v>166</v>
      </c>
      <c r="X102" s="6" t="s">
        <v>167</v>
      </c>
      <c r="Y102" s="0" t="str">
        <f aca="false">IF(EU102&lt;&gt;"Y","",COUNTIFS($EU$2:$EU$1000,"Y",$J$2:$J$1000,"&gt;"&amp;J102)+COUNTIFS($EU$2:$EU$1000,"Y",$J$2:$J$1000,J102,$EW$2:$EW$1000,"&lt;"&amp;EW102)+1)</f>
        <v/>
      </c>
      <c r="Z102" s="0" t="n">
        <v>101</v>
      </c>
      <c r="AA102" s="6" t="s">
        <v>162</v>
      </c>
      <c r="AD102" s="6" t="s">
        <v>158</v>
      </c>
      <c r="AH102" s="5" t="s">
        <v>158</v>
      </c>
      <c r="AI102" s="6" t="s">
        <v>1734</v>
      </c>
      <c r="AJ102" s="6" t="s">
        <v>2269</v>
      </c>
      <c r="AK102" s="6" t="s">
        <v>178</v>
      </c>
      <c r="AL102" s="6" t="s">
        <v>163</v>
      </c>
      <c r="AM102" s="6" t="s">
        <v>163</v>
      </c>
      <c r="AN102" s="6" t="s">
        <v>158</v>
      </c>
      <c r="AO102" s="6" t="s">
        <v>163</v>
      </c>
      <c r="AP102" s="6" t="s">
        <v>2266</v>
      </c>
      <c r="AQ102" s="5" t="s">
        <v>162</v>
      </c>
      <c r="AT102" s="0" t="str">
        <f aca="false">IF(AND(AX102="pass",AQ102&lt;&gt;"Y",C102&lt;&gt;"",OR(AW102&lt;&gt;"Y",AV102="Y")),"Y","N")</f>
        <v>N</v>
      </c>
      <c r="AU102" s="0" t="str">
        <f aca="false">_xlfn.TEXTJOIN("; ",TRUE(),IF(AX102&lt;&gt;"pass","gated out",""),IF(AQ102="Y","on hold: "&amp;AR102,""),IF(C102="","no contact named on an opened page",""),IF(AND(AW102="Y",AV102&lt;&gt;"Y"),"Tuesday estimate band "&amp;L102&amp;": founder's call",""))</f>
        <v>no contact named on an opened page</v>
      </c>
      <c r="AW102" s="6" t="s">
        <v>162</v>
      </c>
      <c r="AX102" s="6" t="s">
        <v>181</v>
      </c>
      <c r="AY102" s="6" t="s">
        <v>182</v>
      </c>
      <c r="AZ102" s="6" t="s">
        <v>1</v>
      </c>
      <c r="BA102" s="6" t="s">
        <v>2270</v>
      </c>
      <c r="BB102" s="6" t="s">
        <v>2271</v>
      </c>
      <c r="BC102" s="6" t="s">
        <v>2272</v>
      </c>
      <c r="BD102" s="6" t="s">
        <v>163</v>
      </c>
      <c r="BF102" s="6" t="s">
        <v>163</v>
      </c>
      <c r="BG102" s="6" t="s">
        <v>163</v>
      </c>
      <c r="BH102" s="6" t="s">
        <v>2196</v>
      </c>
      <c r="BK102" s="6" t="s">
        <v>163</v>
      </c>
      <c r="BL102" s="6" t="s">
        <v>163</v>
      </c>
      <c r="BM102" s="6" t="s">
        <v>163</v>
      </c>
      <c r="BN102" s="6" t="s">
        <v>163</v>
      </c>
      <c r="BO102" s="6" t="s">
        <v>163</v>
      </c>
      <c r="BP102" s="6" t="s">
        <v>347</v>
      </c>
      <c r="BQ102" s="0" t="n">
        <v>40.743288</v>
      </c>
      <c r="BR102" s="0" t="n">
        <v>-73.986627</v>
      </c>
      <c r="BS102" s="6" t="s">
        <v>168</v>
      </c>
      <c r="BT102" s="0" t="n">
        <v>0</v>
      </c>
      <c r="BU102" s="6" t="s">
        <v>1740</v>
      </c>
      <c r="BV102" s="6" t="s">
        <v>1741</v>
      </c>
      <c r="BW102" s="6" t="s">
        <v>2268</v>
      </c>
      <c r="BX102" s="6" t="s">
        <v>2141</v>
      </c>
      <c r="BY102" s="6" t="s">
        <v>248</v>
      </c>
      <c r="BZ102" s="6" t="s">
        <v>2273</v>
      </c>
      <c r="CA102" s="6" t="s">
        <v>166</v>
      </c>
      <c r="CC102" s="6" t="s">
        <v>200</v>
      </c>
      <c r="CE102" s="6" t="s">
        <v>162</v>
      </c>
      <c r="CH102" s="6" t="s">
        <v>163</v>
      </c>
      <c r="CJ102" s="6" t="s">
        <v>163</v>
      </c>
      <c r="CK102" s="6" t="s">
        <v>162</v>
      </c>
      <c r="CL102" s="6" t="s">
        <v>163</v>
      </c>
      <c r="CO102" s="6" t="s">
        <v>163</v>
      </c>
      <c r="CQ102" s="6" t="s">
        <v>2197</v>
      </c>
      <c r="CR102" s="6" t="s">
        <v>206</v>
      </c>
      <c r="CS102" s="6" t="s">
        <v>163</v>
      </c>
      <c r="CT102" s="0" t="n">
        <v>36</v>
      </c>
      <c r="CU102" s="0" t="n">
        <v>7</v>
      </c>
      <c r="CV102" s="0" t="n">
        <v>8</v>
      </c>
      <c r="CW102" s="0" t="n">
        <v>6</v>
      </c>
      <c r="CX102" s="0" t="n">
        <v>15</v>
      </c>
      <c r="CY102" s="6" t="n">
        <f aca="false">IF(AH102="exact",10,IF(AH102="adjacent",5,0))</f>
        <v>0</v>
      </c>
      <c r="CZ102" s="6" t="n">
        <f aca="false">IF(R102="Y",15,0)</f>
        <v>0</v>
      </c>
      <c r="DF102" s="6" t="s">
        <v>158</v>
      </c>
      <c r="DG102" s="6" t="s">
        <v>211</v>
      </c>
      <c r="DJ102" s="6" t="s">
        <v>1204</v>
      </c>
      <c r="DK102" s="6" t="s">
        <v>2274</v>
      </c>
      <c r="DS102" s="6" t="s">
        <v>158</v>
      </c>
      <c r="DX102" s="6" t="s">
        <v>162</v>
      </c>
      <c r="ER102" s="0" t="str">
        <f aca="false">IF(ISNUMBER(MATCH(U102,{"queued","contacted","replied","call_booked","call_done","yes_in_principle","materials_sent"},0)),"Y","N")</f>
        <v>N</v>
      </c>
      <c r="ES102" s="0" t="str">
        <f aca="false">IF(COUNTIFS($AP$2:$AP$1000,AP102,$ER$2:$ER$1000,"Y")+COUNTIFS($AP$2:$AP$1000,AP102,$T$2:$T$1000,"Y")&gt;0,"Y","N")</f>
        <v>N</v>
      </c>
      <c r="ET102" s="0" t="str">
        <f aca="false">IF(AND(U102="new",T102="N",AT102="Y",AS102="",ES102="N"),"Y","N")</f>
        <v>N</v>
      </c>
      <c r="EU102" s="0" t="str">
        <f aca="false">IF(ET102&lt;&gt;"Y","N",IF(COUNTIFS($AP$2:$AP$1000,AP102,$ET$2:$ET$1000,"Y",$J$2:$J$1000,"&gt;"&amp;J102)+COUNTIFS($AP$2:$AP$1000,AP102,$ET$2:$ET$1000,"Y",$J$2:$J$1000,J102,$EW$2:$EW$1000,"&lt;"&amp;EW102)=0,"Y","N"))</f>
        <v>N</v>
      </c>
      <c r="EV102" s="0" t="str">
        <f aca="false">IF(Y102="","N",IF(Y102&lt;=10,"Y","N"))</f>
        <v>N</v>
      </c>
      <c r="EW102" s="6" t="n">
        <f aca="false">ROW()-1</f>
        <v>101</v>
      </c>
    </row>
    <row r="103" customFormat="false" ht="15" hidden="false" customHeight="false" outlineLevel="0" collapsed="false">
      <c r="A103" s="0" t="s">
        <v>2275</v>
      </c>
      <c r="B103" s="0" t="s">
        <v>2276</v>
      </c>
      <c r="H103" s="5" t="s">
        <v>158</v>
      </c>
      <c r="I103" s="5" t="s">
        <v>159</v>
      </c>
      <c r="J103" s="6" t="n">
        <f aca="false">IF(AX103="pass",ROUND(CU103+CV103+CW103+CX103+CY103+CZ103,1),0)</f>
        <v>36</v>
      </c>
      <c r="K103" s="6" t="s">
        <v>2225</v>
      </c>
      <c r="L103" s="6" t="s">
        <v>163</v>
      </c>
      <c r="R103" s="5" t="s">
        <v>162</v>
      </c>
      <c r="S103" s="6" t="s">
        <v>163</v>
      </c>
      <c r="T103" s="5" t="s">
        <v>162</v>
      </c>
      <c r="U103" s="5" t="s">
        <v>228</v>
      </c>
      <c r="V103" s="6" t="s">
        <v>2277</v>
      </c>
      <c r="W103" s="6" t="s">
        <v>166</v>
      </c>
      <c r="X103" s="6" t="s">
        <v>167</v>
      </c>
      <c r="Y103" s="0" t="str">
        <f aca="false">IF(EU103&lt;&gt;"Y","",COUNTIFS($EU$2:$EU$1000,"Y",$J$2:$J$1000,"&gt;"&amp;J103)+COUNTIFS($EU$2:$EU$1000,"Y",$J$2:$J$1000,J103,$EW$2:$EW$1000,"&lt;"&amp;EW103)+1)</f>
        <v/>
      </c>
      <c r="Z103" s="0" t="n">
        <v>102</v>
      </c>
      <c r="AA103" s="6" t="s">
        <v>162</v>
      </c>
      <c r="AD103" s="6" t="s">
        <v>158</v>
      </c>
      <c r="AH103" s="5" t="s">
        <v>158</v>
      </c>
      <c r="AI103" s="6" t="s">
        <v>2278</v>
      </c>
      <c r="AJ103" s="6" t="s">
        <v>2279</v>
      </c>
      <c r="AK103" s="6" t="s">
        <v>2228</v>
      </c>
      <c r="AL103" s="6" t="s">
        <v>163</v>
      </c>
      <c r="AM103" s="6" t="s">
        <v>163</v>
      </c>
      <c r="AN103" s="6" t="s">
        <v>158</v>
      </c>
      <c r="AO103" s="6" t="s">
        <v>163</v>
      </c>
      <c r="AP103" s="6" t="s">
        <v>2280</v>
      </c>
      <c r="AQ103" s="5" t="s">
        <v>162</v>
      </c>
      <c r="AT103" s="0" t="str">
        <f aca="false">IF(AND(AX103="pass",AQ103&lt;&gt;"Y",C103&lt;&gt;"",OR(AW103&lt;&gt;"Y",AV103="Y")),"Y","N")</f>
        <v>N</v>
      </c>
      <c r="AU103" s="0" t="str">
        <f aca="false">_xlfn.TEXTJOIN("; ",TRUE(),IF(AX103&lt;&gt;"pass","gated out",""),IF(AQ103="Y","on hold: "&amp;AR103,""),IF(C103="","no contact named on an opened page",""),IF(AND(AW103="Y",AV103&lt;&gt;"Y"),"Tuesday estimate band "&amp;L103&amp;": founder's call",""))</f>
        <v>no contact named on an opened page</v>
      </c>
      <c r="AW103" s="6" t="s">
        <v>162</v>
      </c>
      <c r="AX103" s="6" t="s">
        <v>181</v>
      </c>
      <c r="AY103" s="6" t="s">
        <v>182</v>
      </c>
      <c r="AZ103" s="6" t="s">
        <v>2229</v>
      </c>
      <c r="BA103" s="6" t="s">
        <v>2281</v>
      </c>
      <c r="BB103" s="6" t="s">
        <v>2282</v>
      </c>
      <c r="BC103" s="6" t="s">
        <v>2232</v>
      </c>
      <c r="BD103" s="6" t="s">
        <v>163</v>
      </c>
      <c r="BF103" s="6" t="s">
        <v>163</v>
      </c>
      <c r="BG103" s="6" t="s">
        <v>163</v>
      </c>
      <c r="BK103" s="6" t="s">
        <v>163</v>
      </c>
      <c r="BL103" s="6" t="s">
        <v>2233</v>
      </c>
      <c r="BM103" s="6" t="s">
        <v>163</v>
      </c>
      <c r="BN103" s="6" t="s">
        <v>2283</v>
      </c>
      <c r="BP103" s="6" t="s">
        <v>347</v>
      </c>
      <c r="BQ103" s="0" t="n">
        <v>40.739961</v>
      </c>
      <c r="BR103" s="0" t="n">
        <v>-73.990971</v>
      </c>
      <c r="BS103" s="6" t="s">
        <v>168</v>
      </c>
      <c r="BT103" s="0" t="n">
        <v>0</v>
      </c>
      <c r="BU103" s="6" t="s">
        <v>1197</v>
      </c>
      <c r="BV103" s="6" t="s">
        <v>1198</v>
      </c>
      <c r="BW103" s="6" t="s">
        <v>2277</v>
      </c>
      <c r="BX103" s="6" t="s">
        <v>166</v>
      </c>
      <c r="BY103" s="6" t="s">
        <v>2237</v>
      </c>
      <c r="BZ103" s="6" t="s">
        <v>2284</v>
      </c>
      <c r="CC103" s="6" t="s">
        <v>200</v>
      </c>
      <c r="CE103" s="6" t="s">
        <v>162</v>
      </c>
      <c r="CF103" s="6" t="s">
        <v>2281</v>
      </c>
      <c r="CG103" s="6" t="s">
        <v>2239</v>
      </c>
      <c r="CH103" s="6" t="s">
        <v>163</v>
      </c>
      <c r="CJ103" s="6" t="s">
        <v>163</v>
      </c>
      <c r="CK103" s="6" t="s">
        <v>162</v>
      </c>
      <c r="CL103" s="6" t="s">
        <v>163</v>
      </c>
      <c r="CO103" s="6" t="s">
        <v>163</v>
      </c>
      <c r="CQ103" s="6" t="s">
        <v>2240</v>
      </c>
      <c r="CR103" s="6" t="s">
        <v>206</v>
      </c>
      <c r="CS103" s="6" t="s">
        <v>163</v>
      </c>
      <c r="CT103" s="0" t="n">
        <v>36</v>
      </c>
      <c r="CU103" s="0" t="n">
        <v>7</v>
      </c>
      <c r="CV103" s="0" t="n">
        <v>8</v>
      </c>
      <c r="CW103" s="0" t="n">
        <v>6</v>
      </c>
      <c r="CX103" s="0" t="n">
        <v>15</v>
      </c>
      <c r="CY103" s="6" t="n">
        <f aca="false">IF(AH103="exact",10,IF(AH103="adjacent",5,0))</f>
        <v>0</v>
      </c>
      <c r="CZ103" s="6" t="n">
        <f aca="false">IF(R103="Y",15,0)</f>
        <v>0</v>
      </c>
      <c r="DF103" s="6" t="s">
        <v>158</v>
      </c>
      <c r="DG103" s="6" t="s">
        <v>2229</v>
      </c>
      <c r="DK103" s="6" t="s">
        <v>2285</v>
      </c>
      <c r="DS103" s="6" t="s">
        <v>158</v>
      </c>
      <c r="DX103" s="6" t="s">
        <v>162</v>
      </c>
      <c r="DZ103" s="6" t="s">
        <v>2286</v>
      </c>
      <c r="ER103" s="0" t="str">
        <f aca="false">IF(ISNUMBER(MATCH(U103,{"queued","contacted","replied","call_booked","call_done","yes_in_principle","materials_sent"},0)),"Y","N")</f>
        <v>N</v>
      </c>
      <c r="ES103" s="0" t="str">
        <f aca="false">IF(COUNTIFS($AP$2:$AP$1000,AP103,$ER$2:$ER$1000,"Y")+COUNTIFS($AP$2:$AP$1000,AP103,$T$2:$T$1000,"Y")&gt;0,"Y","N")</f>
        <v>N</v>
      </c>
      <c r="ET103" s="0" t="str">
        <f aca="false">IF(AND(U103="new",T103="N",AT103="Y",AS103="",ES103="N"),"Y","N")</f>
        <v>N</v>
      </c>
      <c r="EU103" s="0" t="str">
        <f aca="false">IF(ET103&lt;&gt;"Y","N",IF(COUNTIFS($AP$2:$AP$1000,AP103,$ET$2:$ET$1000,"Y",$J$2:$J$1000,"&gt;"&amp;J103)+COUNTIFS($AP$2:$AP$1000,AP103,$ET$2:$ET$1000,"Y",$J$2:$J$1000,J103,$EW$2:$EW$1000,"&lt;"&amp;EW103)=0,"Y","N"))</f>
        <v>N</v>
      </c>
      <c r="EV103" s="0" t="str">
        <f aca="false">IF(Y103="","N",IF(Y103&lt;=10,"Y","N"))</f>
        <v>N</v>
      </c>
      <c r="EW103" s="6" t="n">
        <f aca="false">ROW()-1</f>
        <v>102</v>
      </c>
    </row>
    <row r="104" customFormat="false" ht="15" hidden="false" customHeight="false" outlineLevel="0" collapsed="false">
      <c r="A104" s="0" t="s">
        <v>2287</v>
      </c>
      <c r="B104" s="0" t="s">
        <v>2288</v>
      </c>
      <c r="H104" s="5" t="s">
        <v>158</v>
      </c>
      <c r="I104" s="5" t="s">
        <v>159</v>
      </c>
      <c r="J104" s="6" t="n">
        <f aca="false">IF(AX104="pass",ROUND(CU104+CV104+CW104+CX104+CY104+CZ104,1),0)</f>
        <v>36</v>
      </c>
      <c r="K104" s="6" t="s">
        <v>2225</v>
      </c>
      <c r="L104" s="6" t="s">
        <v>163</v>
      </c>
      <c r="R104" s="5" t="s">
        <v>162</v>
      </c>
      <c r="S104" s="6" t="s">
        <v>163</v>
      </c>
      <c r="T104" s="5" t="s">
        <v>162</v>
      </c>
      <c r="U104" s="5" t="s">
        <v>228</v>
      </c>
      <c r="V104" s="6" t="s">
        <v>2277</v>
      </c>
      <c r="W104" s="6" t="s">
        <v>166</v>
      </c>
      <c r="X104" s="6" t="s">
        <v>167</v>
      </c>
      <c r="Y104" s="0" t="str">
        <f aca="false">IF(EU104&lt;&gt;"Y","",COUNTIFS($EU$2:$EU$1000,"Y",$J$2:$J$1000,"&gt;"&amp;J104)+COUNTIFS($EU$2:$EU$1000,"Y",$J$2:$J$1000,J104,$EW$2:$EW$1000,"&lt;"&amp;EW104)+1)</f>
        <v/>
      </c>
      <c r="Z104" s="0" t="n">
        <v>103</v>
      </c>
      <c r="AA104" s="6" t="s">
        <v>162</v>
      </c>
      <c r="AD104" s="6" t="s">
        <v>158</v>
      </c>
      <c r="AH104" s="5" t="s">
        <v>158</v>
      </c>
      <c r="AI104" s="6" t="s">
        <v>2289</v>
      </c>
      <c r="AJ104" s="6" t="s">
        <v>2290</v>
      </c>
      <c r="AK104" s="6" t="s">
        <v>2228</v>
      </c>
      <c r="AL104" s="6" t="s">
        <v>163</v>
      </c>
      <c r="AM104" s="6" t="s">
        <v>163</v>
      </c>
      <c r="AN104" s="6" t="s">
        <v>158</v>
      </c>
      <c r="AO104" s="6" t="s">
        <v>163</v>
      </c>
      <c r="AP104" s="6" t="s">
        <v>2280</v>
      </c>
      <c r="AQ104" s="5" t="s">
        <v>162</v>
      </c>
      <c r="AT104" s="0" t="str">
        <f aca="false">IF(AND(AX104="pass",AQ104&lt;&gt;"Y",C104&lt;&gt;"",OR(AW104&lt;&gt;"Y",AV104="Y")),"Y","N")</f>
        <v>N</v>
      </c>
      <c r="AU104" s="0" t="str">
        <f aca="false">_xlfn.TEXTJOIN("; ",TRUE(),IF(AX104&lt;&gt;"pass","gated out",""),IF(AQ104="Y","on hold: "&amp;AR104,""),IF(C104="","no contact named on an opened page",""),IF(AND(AW104="Y",AV104&lt;&gt;"Y"),"Tuesday estimate band "&amp;L104&amp;": founder's call",""))</f>
        <v>no contact named on an opened page</v>
      </c>
      <c r="AW104" s="6" t="s">
        <v>162</v>
      </c>
      <c r="AX104" s="6" t="s">
        <v>181</v>
      </c>
      <c r="AY104" s="6" t="s">
        <v>182</v>
      </c>
      <c r="AZ104" s="6" t="s">
        <v>2229</v>
      </c>
      <c r="BA104" s="6" t="s">
        <v>2291</v>
      </c>
      <c r="BB104" s="6" t="s">
        <v>2282</v>
      </c>
      <c r="BC104" s="6" t="s">
        <v>2232</v>
      </c>
      <c r="BD104" s="6" t="s">
        <v>163</v>
      </c>
      <c r="BF104" s="6" t="s">
        <v>163</v>
      </c>
      <c r="BG104" s="6" t="s">
        <v>163</v>
      </c>
      <c r="BK104" s="6" t="s">
        <v>163</v>
      </c>
      <c r="BL104" s="6" t="s">
        <v>2233</v>
      </c>
      <c r="BM104" s="6" t="s">
        <v>163</v>
      </c>
      <c r="BN104" s="6" t="s">
        <v>2283</v>
      </c>
      <c r="BP104" s="6" t="s">
        <v>244</v>
      </c>
      <c r="BQ104" s="0" t="n">
        <v>40.74291</v>
      </c>
      <c r="BR104" s="0" t="n">
        <v>-73.984627</v>
      </c>
      <c r="BS104" s="6" t="s">
        <v>168</v>
      </c>
      <c r="BT104" s="0" t="n">
        <v>0</v>
      </c>
      <c r="BU104" s="6" t="s">
        <v>966</v>
      </c>
      <c r="BV104" s="6" t="s">
        <v>967</v>
      </c>
      <c r="BW104" s="6" t="s">
        <v>2277</v>
      </c>
      <c r="BX104" s="6" t="s">
        <v>166</v>
      </c>
      <c r="BY104" s="6" t="s">
        <v>2237</v>
      </c>
      <c r="BZ104" s="6" t="s">
        <v>2292</v>
      </c>
      <c r="CC104" s="6" t="s">
        <v>200</v>
      </c>
      <c r="CE104" s="6" t="s">
        <v>162</v>
      </c>
      <c r="CF104" s="6" t="s">
        <v>2291</v>
      </c>
      <c r="CG104" s="6" t="s">
        <v>2239</v>
      </c>
      <c r="CH104" s="6" t="s">
        <v>163</v>
      </c>
      <c r="CJ104" s="6" t="s">
        <v>163</v>
      </c>
      <c r="CK104" s="6" t="s">
        <v>162</v>
      </c>
      <c r="CL104" s="6" t="s">
        <v>163</v>
      </c>
      <c r="CO104" s="6" t="s">
        <v>163</v>
      </c>
      <c r="CQ104" s="6" t="s">
        <v>2240</v>
      </c>
      <c r="CR104" s="6" t="s">
        <v>206</v>
      </c>
      <c r="CS104" s="6" t="s">
        <v>163</v>
      </c>
      <c r="CT104" s="0" t="n">
        <v>36</v>
      </c>
      <c r="CU104" s="0" t="n">
        <v>7</v>
      </c>
      <c r="CV104" s="0" t="n">
        <v>8</v>
      </c>
      <c r="CW104" s="0" t="n">
        <v>6</v>
      </c>
      <c r="CX104" s="0" t="n">
        <v>15</v>
      </c>
      <c r="CY104" s="6" t="n">
        <f aca="false">IF(AH104="exact",10,IF(AH104="adjacent",5,0))</f>
        <v>0</v>
      </c>
      <c r="CZ104" s="6" t="n">
        <f aca="false">IF(R104="Y",15,0)</f>
        <v>0</v>
      </c>
      <c r="DF104" s="6" t="s">
        <v>158</v>
      </c>
      <c r="DG104" s="6" t="s">
        <v>2229</v>
      </c>
      <c r="DK104" s="6" t="s">
        <v>2293</v>
      </c>
      <c r="DS104" s="6" t="s">
        <v>158</v>
      </c>
      <c r="DX104" s="6" t="s">
        <v>162</v>
      </c>
      <c r="DZ104" s="6" t="s">
        <v>2294</v>
      </c>
      <c r="ER104" s="0" t="str">
        <f aca="false">IF(ISNUMBER(MATCH(U104,{"queued","contacted","replied","call_booked","call_done","yes_in_principle","materials_sent"},0)),"Y","N")</f>
        <v>N</v>
      </c>
      <c r="ES104" s="0" t="str">
        <f aca="false">IF(COUNTIFS($AP$2:$AP$1000,AP104,$ER$2:$ER$1000,"Y")+COUNTIFS($AP$2:$AP$1000,AP104,$T$2:$T$1000,"Y")&gt;0,"Y","N")</f>
        <v>N</v>
      </c>
      <c r="ET104" s="0" t="str">
        <f aca="false">IF(AND(U104="new",T104="N",AT104="Y",AS104="",ES104="N"),"Y","N")</f>
        <v>N</v>
      </c>
      <c r="EU104" s="0" t="str">
        <f aca="false">IF(ET104&lt;&gt;"Y","N",IF(COUNTIFS($AP$2:$AP$1000,AP104,$ET$2:$ET$1000,"Y",$J$2:$J$1000,"&gt;"&amp;J104)+COUNTIFS($AP$2:$AP$1000,AP104,$ET$2:$ET$1000,"Y",$J$2:$J$1000,J104,$EW$2:$EW$1000,"&lt;"&amp;EW104)=0,"Y","N"))</f>
        <v>N</v>
      </c>
      <c r="EV104" s="0" t="str">
        <f aca="false">IF(Y104="","N",IF(Y104&lt;=10,"Y","N"))</f>
        <v>N</v>
      </c>
      <c r="EW104" s="6" t="n">
        <f aca="false">ROW()-1</f>
        <v>103</v>
      </c>
    </row>
    <row r="105" customFormat="false" ht="15" hidden="false" customHeight="false" outlineLevel="0" collapsed="false">
      <c r="A105" s="0" t="s">
        <v>2295</v>
      </c>
      <c r="B105" s="0" t="s">
        <v>2296</v>
      </c>
      <c r="H105" s="5" t="s">
        <v>158</v>
      </c>
      <c r="I105" s="5" t="s">
        <v>159</v>
      </c>
      <c r="J105" s="6" t="n">
        <f aca="false">IF(AX105="pass",ROUND(CU105+CV105+CW105+CX105+CY105+CZ105,1),0)</f>
        <v>36</v>
      </c>
      <c r="K105" s="6" t="s">
        <v>2225</v>
      </c>
      <c r="L105" s="6" t="s">
        <v>163</v>
      </c>
      <c r="R105" s="5" t="s">
        <v>162</v>
      </c>
      <c r="S105" s="6" t="s">
        <v>163</v>
      </c>
      <c r="T105" s="5" t="s">
        <v>162</v>
      </c>
      <c r="U105" s="5" t="s">
        <v>228</v>
      </c>
      <c r="V105" s="6" t="s">
        <v>2277</v>
      </c>
      <c r="W105" s="6" t="s">
        <v>166</v>
      </c>
      <c r="X105" s="6" t="s">
        <v>167</v>
      </c>
      <c r="Y105" s="0" t="str">
        <f aca="false">IF(EU105&lt;&gt;"Y","",COUNTIFS($EU$2:$EU$1000,"Y",$J$2:$J$1000,"&gt;"&amp;J105)+COUNTIFS($EU$2:$EU$1000,"Y",$J$2:$J$1000,J105,$EW$2:$EW$1000,"&lt;"&amp;EW105)+1)</f>
        <v/>
      </c>
      <c r="Z105" s="0" t="n">
        <v>104</v>
      </c>
      <c r="AA105" s="6" t="s">
        <v>162</v>
      </c>
      <c r="AD105" s="6" t="s">
        <v>158</v>
      </c>
      <c r="AH105" s="5" t="s">
        <v>158</v>
      </c>
      <c r="AI105" s="6" t="s">
        <v>2297</v>
      </c>
      <c r="AJ105" s="6" t="s">
        <v>2298</v>
      </c>
      <c r="AK105" s="6" t="s">
        <v>2228</v>
      </c>
      <c r="AL105" s="6" t="s">
        <v>163</v>
      </c>
      <c r="AM105" s="6" t="s">
        <v>163</v>
      </c>
      <c r="AN105" s="6" t="s">
        <v>158</v>
      </c>
      <c r="AO105" s="6" t="s">
        <v>163</v>
      </c>
      <c r="AP105" s="6" t="s">
        <v>2280</v>
      </c>
      <c r="AQ105" s="5" t="s">
        <v>162</v>
      </c>
      <c r="AT105" s="0" t="str">
        <f aca="false">IF(AND(AX105="pass",AQ105&lt;&gt;"Y",C105&lt;&gt;"",OR(AW105&lt;&gt;"Y",AV105="Y")),"Y","N")</f>
        <v>N</v>
      </c>
      <c r="AU105" s="0" t="str">
        <f aca="false">_xlfn.TEXTJOIN("; ",TRUE(),IF(AX105&lt;&gt;"pass","gated out",""),IF(AQ105="Y","on hold: "&amp;AR105,""),IF(C105="","no contact named on an opened page",""),IF(AND(AW105="Y",AV105&lt;&gt;"Y"),"Tuesday estimate band "&amp;L105&amp;": founder's call",""))</f>
        <v>no contact named on an opened page</v>
      </c>
      <c r="AW105" s="6" t="s">
        <v>162</v>
      </c>
      <c r="AX105" s="6" t="s">
        <v>181</v>
      </c>
      <c r="AY105" s="6" t="s">
        <v>182</v>
      </c>
      <c r="AZ105" s="6" t="s">
        <v>2229</v>
      </c>
      <c r="BA105" s="6" t="s">
        <v>2299</v>
      </c>
      <c r="BB105" s="6" t="s">
        <v>2282</v>
      </c>
      <c r="BC105" s="6" t="s">
        <v>2232</v>
      </c>
      <c r="BD105" s="6" t="s">
        <v>163</v>
      </c>
      <c r="BF105" s="6" t="s">
        <v>163</v>
      </c>
      <c r="BG105" s="6" t="s">
        <v>163</v>
      </c>
      <c r="BK105" s="6" t="s">
        <v>163</v>
      </c>
      <c r="BL105" s="6" t="s">
        <v>2233</v>
      </c>
      <c r="BM105" s="6" t="s">
        <v>163</v>
      </c>
      <c r="BN105" s="6" t="s">
        <v>2283</v>
      </c>
      <c r="BP105" s="6" t="s">
        <v>347</v>
      </c>
      <c r="BQ105" s="0" t="n">
        <v>40.739363</v>
      </c>
      <c r="BR105" s="0" t="n">
        <v>-73.989534</v>
      </c>
      <c r="BS105" s="6" t="s">
        <v>168</v>
      </c>
      <c r="BT105" s="0" t="n">
        <v>0</v>
      </c>
      <c r="BU105" s="6" t="s">
        <v>1442</v>
      </c>
      <c r="BV105" s="6" t="s">
        <v>1443</v>
      </c>
      <c r="BW105" s="6" t="s">
        <v>2277</v>
      </c>
      <c r="BX105" s="6" t="s">
        <v>166</v>
      </c>
      <c r="BY105" s="6" t="s">
        <v>2237</v>
      </c>
      <c r="BZ105" s="6" t="s">
        <v>2300</v>
      </c>
      <c r="CC105" s="6" t="s">
        <v>200</v>
      </c>
      <c r="CE105" s="6" t="s">
        <v>162</v>
      </c>
      <c r="CF105" s="6" t="s">
        <v>2299</v>
      </c>
      <c r="CG105" s="6" t="s">
        <v>2239</v>
      </c>
      <c r="CH105" s="6" t="s">
        <v>201</v>
      </c>
      <c r="CI105" s="6" t="s">
        <v>1445</v>
      </c>
      <c r="CJ105" s="6" t="s">
        <v>163</v>
      </c>
      <c r="CK105" s="6" t="s">
        <v>162</v>
      </c>
      <c r="CL105" s="6" t="s">
        <v>163</v>
      </c>
      <c r="CO105" s="6" t="s">
        <v>163</v>
      </c>
      <c r="CQ105" s="6" t="s">
        <v>2240</v>
      </c>
      <c r="CR105" s="6" t="s">
        <v>206</v>
      </c>
      <c r="CS105" s="6" t="s">
        <v>163</v>
      </c>
      <c r="CT105" s="0" t="n">
        <v>36</v>
      </c>
      <c r="CU105" s="0" t="n">
        <v>7</v>
      </c>
      <c r="CV105" s="0" t="n">
        <v>8</v>
      </c>
      <c r="CW105" s="0" t="n">
        <v>6</v>
      </c>
      <c r="CX105" s="0" t="n">
        <v>15</v>
      </c>
      <c r="CY105" s="6" t="n">
        <f aca="false">IF(AH105="exact",10,IF(AH105="adjacent",5,0))</f>
        <v>0</v>
      </c>
      <c r="CZ105" s="6" t="n">
        <f aca="false">IF(R105="Y",15,0)</f>
        <v>0</v>
      </c>
      <c r="DF105" s="6" t="s">
        <v>158</v>
      </c>
      <c r="DG105" s="6" t="s">
        <v>2229</v>
      </c>
      <c r="DK105" s="6" t="s">
        <v>2301</v>
      </c>
      <c r="DS105" s="6" t="s">
        <v>158</v>
      </c>
      <c r="DX105" s="6" t="s">
        <v>162</v>
      </c>
      <c r="DZ105" s="6" t="s">
        <v>2302</v>
      </c>
      <c r="ER105" s="0" t="str">
        <f aca="false">IF(ISNUMBER(MATCH(U105,{"queued","contacted","replied","call_booked","call_done","yes_in_principle","materials_sent"},0)),"Y","N")</f>
        <v>N</v>
      </c>
      <c r="ES105" s="0" t="str">
        <f aca="false">IF(COUNTIFS($AP$2:$AP$1000,AP105,$ER$2:$ER$1000,"Y")+COUNTIFS($AP$2:$AP$1000,AP105,$T$2:$T$1000,"Y")&gt;0,"Y","N")</f>
        <v>N</v>
      </c>
      <c r="ET105" s="0" t="str">
        <f aca="false">IF(AND(U105="new",T105="N",AT105="Y",AS105="",ES105="N"),"Y","N")</f>
        <v>N</v>
      </c>
      <c r="EU105" s="0" t="str">
        <f aca="false">IF(ET105&lt;&gt;"Y","N",IF(COUNTIFS($AP$2:$AP$1000,AP105,$ET$2:$ET$1000,"Y",$J$2:$J$1000,"&gt;"&amp;J105)+COUNTIFS($AP$2:$AP$1000,AP105,$ET$2:$ET$1000,"Y",$J$2:$J$1000,J105,$EW$2:$EW$1000,"&lt;"&amp;EW105)=0,"Y","N"))</f>
        <v>N</v>
      </c>
      <c r="EV105" s="0" t="str">
        <f aca="false">IF(Y105="","N",IF(Y105&lt;=10,"Y","N"))</f>
        <v>N</v>
      </c>
      <c r="EW105" s="6" t="n">
        <f aca="false">ROW()-1</f>
        <v>104</v>
      </c>
    </row>
    <row r="106" customFormat="false" ht="15" hidden="false" customHeight="false" outlineLevel="0" collapsed="false">
      <c r="A106" s="0" t="s">
        <v>2303</v>
      </c>
      <c r="B106" s="0" t="s">
        <v>2304</v>
      </c>
      <c r="H106" s="5" t="s">
        <v>158</v>
      </c>
      <c r="I106" s="5" t="s">
        <v>159</v>
      </c>
      <c r="J106" s="6" t="n">
        <f aca="false">IF(AX106="pass",ROUND(CU106+CV106+CW106+CX106+CY106+CZ106,1),0)</f>
        <v>36</v>
      </c>
      <c r="K106" s="6" t="s">
        <v>2225</v>
      </c>
      <c r="L106" s="6" t="s">
        <v>163</v>
      </c>
      <c r="R106" s="5" t="s">
        <v>162</v>
      </c>
      <c r="S106" s="6" t="s">
        <v>163</v>
      </c>
      <c r="T106" s="5" t="s">
        <v>162</v>
      </c>
      <c r="U106" s="5" t="s">
        <v>228</v>
      </c>
      <c r="V106" s="6" t="s">
        <v>2277</v>
      </c>
      <c r="W106" s="6" t="s">
        <v>166</v>
      </c>
      <c r="X106" s="6" t="s">
        <v>167</v>
      </c>
      <c r="Y106" s="0" t="str">
        <f aca="false">IF(EU106&lt;&gt;"Y","",COUNTIFS($EU$2:$EU$1000,"Y",$J$2:$J$1000,"&gt;"&amp;J106)+COUNTIFS($EU$2:$EU$1000,"Y",$J$2:$J$1000,J106,$EW$2:$EW$1000,"&lt;"&amp;EW106)+1)</f>
        <v/>
      </c>
      <c r="Z106" s="0" t="n">
        <v>105</v>
      </c>
      <c r="AA106" s="6" t="s">
        <v>162</v>
      </c>
      <c r="AD106" s="6" t="s">
        <v>158</v>
      </c>
      <c r="AH106" s="5" t="s">
        <v>158</v>
      </c>
      <c r="AI106" s="6" t="s">
        <v>2305</v>
      </c>
      <c r="AJ106" s="6" t="s">
        <v>163</v>
      </c>
      <c r="AK106" s="6" t="s">
        <v>2228</v>
      </c>
      <c r="AL106" s="6" t="s">
        <v>163</v>
      </c>
      <c r="AM106" s="6" t="s">
        <v>163</v>
      </c>
      <c r="AN106" s="6" t="s">
        <v>158</v>
      </c>
      <c r="AO106" s="6" t="s">
        <v>163</v>
      </c>
      <c r="AP106" s="6" t="s">
        <v>2280</v>
      </c>
      <c r="AQ106" s="5" t="s">
        <v>162</v>
      </c>
      <c r="AT106" s="0" t="str">
        <f aca="false">IF(AND(AX106="pass",AQ106&lt;&gt;"Y",C106&lt;&gt;"",OR(AW106&lt;&gt;"Y",AV106="Y")),"Y","N")</f>
        <v>N</v>
      </c>
      <c r="AU106" s="0" t="str">
        <f aca="false">_xlfn.TEXTJOIN("; ",TRUE(),IF(AX106&lt;&gt;"pass","gated out",""),IF(AQ106="Y","on hold: "&amp;AR106,""),IF(C106="","no contact named on an opened page",""),IF(AND(AW106="Y",AV106&lt;&gt;"Y"),"Tuesday estimate band "&amp;L106&amp;": founder's call",""))</f>
        <v>no contact named on an opened page</v>
      </c>
      <c r="AW106" s="6" t="s">
        <v>162</v>
      </c>
      <c r="AX106" s="6" t="s">
        <v>181</v>
      </c>
      <c r="AY106" s="6" t="s">
        <v>182</v>
      </c>
      <c r="AZ106" s="6" t="s">
        <v>2229</v>
      </c>
      <c r="BA106" s="6" t="s">
        <v>2306</v>
      </c>
      <c r="BB106" s="6" t="s">
        <v>2282</v>
      </c>
      <c r="BC106" s="6" t="s">
        <v>2232</v>
      </c>
      <c r="BD106" s="6" t="s">
        <v>163</v>
      </c>
      <c r="BF106" s="6" t="s">
        <v>163</v>
      </c>
      <c r="BG106" s="6" t="s">
        <v>163</v>
      </c>
      <c r="BK106" s="6" t="s">
        <v>163</v>
      </c>
      <c r="BL106" s="6" t="s">
        <v>2233</v>
      </c>
      <c r="BM106" s="6" t="s">
        <v>163</v>
      </c>
      <c r="BN106" s="6" t="s">
        <v>2283</v>
      </c>
      <c r="BP106" s="6" t="s">
        <v>712</v>
      </c>
      <c r="BQ106" s="0" t="n">
        <v>40.744955</v>
      </c>
      <c r="BR106" s="0" t="n">
        <v>-73.990911</v>
      </c>
      <c r="BS106" s="6" t="s">
        <v>168</v>
      </c>
      <c r="BT106" s="0" t="n">
        <v>0</v>
      </c>
      <c r="BV106" s="6" t="s">
        <v>163</v>
      </c>
      <c r="BW106" s="6" t="s">
        <v>2277</v>
      </c>
      <c r="BX106" s="6" t="s">
        <v>166</v>
      </c>
      <c r="BY106" s="6" t="s">
        <v>2237</v>
      </c>
      <c r="BZ106" s="6" t="s">
        <v>2284</v>
      </c>
      <c r="CC106" s="6" t="s">
        <v>200</v>
      </c>
      <c r="CE106" s="6" t="s">
        <v>162</v>
      </c>
      <c r="CF106" s="6" t="s">
        <v>2306</v>
      </c>
      <c r="CG106" s="6" t="s">
        <v>2239</v>
      </c>
      <c r="CH106" s="6" t="s">
        <v>163</v>
      </c>
      <c r="CJ106" s="6" t="s">
        <v>163</v>
      </c>
      <c r="CK106" s="6" t="s">
        <v>162</v>
      </c>
      <c r="CL106" s="6" t="s">
        <v>163</v>
      </c>
      <c r="CO106" s="6" t="s">
        <v>163</v>
      </c>
      <c r="CQ106" s="6" t="s">
        <v>2240</v>
      </c>
      <c r="CR106" s="6" t="s">
        <v>206</v>
      </c>
      <c r="CS106" s="6" t="s">
        <v>163</v>
      </c>
      <c r="CT106" s="0" t="n">
        <v>36</v>
      </c>
      <c r="CU106" s="0" t="n">
        <v>7</v>
      </c>
      <c r="CV106" s="0" t="n">
        <v>8</v>
      </c>
      <c r="CW106" s="0" t="n">
        <v>6</v>
      </c>
      <c r="CX106" s="0" t="n">
        <v>15</v>
      </c>
      <c r="CY106" s="6" t="n">
        <f aca="false">IF(AH106="exact",10,IF(AH106="adjacent",5,0))</f>
        <v>0</v>
      </c>
      <c r="CZ106" s="6" t="n">
        <f aca="false">IF(R106="Y",15,0)</f>
        <v>0</v>
      </c>
      <c r="DF106" s="6" t="s">
        <v>158</v>
      </c>
      <c r="DG106" s="6" t="s">
        <v>2229</v>
      </c>
      <c r="DK106" s="6" t="s">
        <v>2307</v>
      </c>
      <c r="DS106" s="6" t="s">
        <v>158</v>
      </c>
      <c r="DX106" s="6" t="s">
        <v>162</v>
      </c>
      <c r="DZ106" s="6" t="s">
        <v>2308</v>
      </c>
      <c r="ER106" s="0" t="str">
        <f aca="false">IF(ISNUMBER(MATCH(U106,{"queued","contacted","replied","call_booked","call_done","yes_in_principle","materials_sent"},0)),"Y","N")</f>
        <v>N</v>
      </c>
      <c r="ES106" s="0" t="str">
        <f aca="false">IF(COUNTIFS($AP$2:$AP$1000,AP106,$ER$2:$ER$1000,"Y")+COUNTIFS($AP$2:$AP$1000,AP106,$T$2:$T$1000,"Y")&gt;0,"Y","N")</f>
        <v>N</v>
      </c>
      <c r="ET106" s="0" t="str">
        <f aca="false">IF(AND(U106="new",T106="N",AT106="Y",AS106="",ES106="N"),"Y","N")</f>
        <v>N</v>
      </c>
      <c r="EU106" s="0" t="str">
        <f aca="false">IF(ET106&lt;&gt;"Y","N",IF(COUNTIFS($AP$2:$AP$1000,AP106,$ET$2:$ET$1000,"Y",$J$2:$J$1000,"&gt;"&amp;J106)+COUNTIFS($AP$2:$AP$1000,AP106,$ET$2:$ET$1000,"Y",$J$2:$J$1000,J106,$EW$2:$EW$1000,"&lt;"&amp;EW106)=0,"Y","N"))</f>
        <v>N</v>
      </c>
      <c r="EV106" s="0" t="str">
        <f aca="false">IF(Y106="","N",IF(Y106&lt;=10,"Y","N"))</f>
        <v>N</v>
      </c>
      <c r="EW106" s="6" t="n">
        <f aca="false">ROW()-1</f>
        <v>105</v>
      </c>
    </row>
    <row r="107" customFormat="false" ht="15" hidden="false" customHeight="false" outlineLevel="0" collapsed="false">
      <c r="A107" s="0" t="s">
        <v>2309</v>
      </c>
      <c r="B107" s="0" t="s">
        <v>2310</v>
      </c>
      <c r="H107" s="5" t="s">
        <v>158</v>
      </c>
      <c r="I107" s="5" t="s">
        <v>159</v>
      </c>
      <c r="J107" s="6" t="n">
        <f aca="false">IF(AX107="pass",ROUND(CU107+CV107+CW107+CX107+CY107+CZ107,1),0)</f>
        <v>36</v>
      </c>
      <c r="K107" s="6" t="s">
        <v>2225</v>
      </c>
      <c r="L107" s="6" t="s">
        <v>163</v>
      </c>
      <c r="R107" s="5" t="s">
        <v>162</v>
      </c>
      <c r="S107" s="6" t="s">
        <v>163</v>
      </c>
      <c r="T107" s="5" t="s">
        <v>162</v>
      </c>
      <c r="U107" s="5" t="s">
        <v>228</v>
      </c>
      <c r="V107" s="6" t="s">
        <v>2277</v>
      </c>
      <c r="W107" s="6" t="s">
        <v>166</v>
      </c>
      <c r="X107" s="6" t="s">
        <v>167</v>
      </c>
      <c r="Y107" s="0" t="str">
        <f aca="false">IF(EU107&lt;&gt;"Y","",COUNTIFS($EU$2:$EU$1000,"Y",$J$2:$J$1000,"&gt;"&amp;J107)+COUNTIFS($EU$2:$EU$1000,"Y",$J$2:$J$1000,J107,$EW$2:$EW$1000,"&lt;"&amp;EW107)+1)</f>
        <v/>
      </c>
      <c r="Z107" s="0" t="n">
        <v>106</v>
      </c>
      <c r="AA107" s="6" t="s">
        <v>162</v>
      </c>
      <c r="AD107" s="6" t="s">
        <v>158</v>
      </c>
      <c r="AH107" s="5" t="s">
        <v>158</v>
      </c>
      <c r="AI107" s="6" t="s">
        <v>2311</v>
      </c>
      <c r="AJ107" s="6" t="s">
        <v>2312</v>
      </c>
      <c r="AK107" s="6" t="s">
        <v>2228</v>
      </c>
      <c r="AL107" s="6" t="s">
        <v>163</v>
      </c>
      <c r="AM107" s="6" t="s">
        <v>163</v>
      </c>
      <c r="AN107" s="6" t="s">
        <v>158</v>
      </c>
      <c r="AO107" s="6" t="s">
        <v>163</v>
      </c>
      <c r="AP107" s="6" t="s">
        <v>2280</v>
      </c>
      <c r="AQ107" s="5" t="s">
        <v>162</v>
      </c>
      <c r="AT107" s="0" t="str">
        <f aca="false">IF(AND(AX107="pass",AQ107&lt;&gt;"Y",C107&lt;&gt;"",OR(AW107&lt;&gt;"Y",AV107="Y")),"Y","N")</f>
        <v>N</v>
      </c>
      <c r="AU107" s="0" t="str">
        <f aca="false">_xlfn.TEXTJOIN("; ",TRUE(),IF(AX107&lt;&gt;"pass","gated out",""),IF(AQ107="Y","on hold: "&amp;AR107,""),IF(C107="","no contact named on an opened page",""),IF(AND(AW107="Y",AV107&lt;&gt;"Y"),"Tuesday estimate band "&amp;L107&amp;": founder's call",""))</f>
        <v>no contact named on an opened page</v>
      </c>
      <c r="AW107" s="6" t="s">
        <v>162</v>
      </c>
      <c r="AX107" s="6" t="s">
        <v>181</v>
      </c>
      <c r="AY107" s="6" t="s">
        <v>182</v>
      </c>
      <c r="AZ107" s="6" t="s">
        <v>2229</v>
      </c>
      <c r="BA107" s="6" t="s">
        <v>2313</v>
      </c>
      <c r="BB107" s="6" t="s">
        <v>2282</v>
      </c>
      <c r="BC107" s="6" t="s">
        <v>2232</v>
      </c>
      <c r="BD107" s="6" t="s">
        <v>163</v>
      </c>
      <c r="BF107" s="6" t="s">
        <v>163</v>
      </c>
      <c r="BG107" s="6" t="s">
        <v>163</v>
      </c>
      <c r="BK107" s="6" t="s">
        <v>163</v>
      </c>
      <c r="BL107" s="6" t="s">
        <v>2233</v>
      </c>
      <c r="BM107" s="6" t="s">
        <v>163</v>
      </c>
      <c r="BN107" s="6" t="s">
        <v>2283</v>
      </c>
      <c r="BP107" s="6" t="s">
        <v>193</v>
      </c>
      <c r="BQ107" s="0" t="n">
        <v>40.73686</v>
      </c>
      <c r="BR107" s="0" t="n">
        <v>-73.988546</v>
      </c>
      <c r="BS107" s="6" t="s">
        <v>168</v>
      </c>
      <c r="BT107" s="0" t="n">
        <v>0</v>
      </c>
      <c r="BU107" s="6" t="s">
        <v>194</v>
      </c>
      <c r="BV107" s="6" t="s">
        <v>195</v>
      </c>
      <c r="BW107" s="6" t="s">
        <v>2277</v>
      </c>
      <c r="BX107" s="6" t="s">
        <v>166</v>
      </c>
      <c r="BY107" s="6" t="s">
        <v>2237</v>
      </c>
      <c r="BZ107" s="6" t="s">
        <v>197</v>
      </c>
      <c r="CB107" s="6" t="s">
        <v>199</v>
      </c>
      <c r="CC107" s="6" t="s">
        <v>200</v>
      </c>
      <c r="CE107" s="6" t="s">
        <v>162</v>
      </c>
      <c r="CF107" s="6" t="s">
        <v>2313</v>
      </c>
      <c r="CG107" s="6" t="s">
        <v>2239</v>
      </c>
      <c r="CH107" s="6" t="s">
        <v>201</v>
      </c>
      <c r="CI107" s="6" t="s">
        <v>202</v>
      </c>
      <c r="CJ107" s="6" t="s">
        <v>163</v>
      </c>
      <c r="CK107" s="6" t="s">
        <v>162</v>
      </c>
      <c r="CL107" s="6" t="s">
        <v>163</v>
      </c>
      <c r="CO107" s="6" t="s">
        <v>163</v>
      </c>
      <c r="CQ107" s="6" t="s">
        <v>2240</v>
      </c>
      <c r="CR107" s="6" t="s">
        <v>206</v>
      </c>
      <c r="CS107" s="6" t="s">
        <v>163</v>
      </c>
      <c r="CT107" s="0" t="n">
        <v>36</v>
      </c>
      <c r="CU107" s="0" t="n">
        <v>7</v>
      </c>
      <c r="CV107" s="0" t="n">
        <v>8</v>
      </c>
      <c r="CW107" s="0" t="n">
        <v>6</v>
      </c>
      <c r="CX107" s="0" t="n">
        <v>15</v>
      </c>
      <c r="CY107" s="6" t="n">
        <f aca="false">IF(AH107="exact",10,IF(AH107="adjacent",5,0))</f>
        <v>0</v>
      </c>
      <c r="CZ107" s="6" t="n">
        <f aca="false">IF(R107="Y",15,0)</f>
        <v>0</v>
      </c>
      <c r="DF107" s="6" t="s">
        <v>158</v>
      </c>
      <c r="DG107" s="6" t="s">
        <v>2229</v>
      </c>
      <c r="DK107" s="6" t="s">
        <v>2314</v>
      </c>
      <c r="DS107" s="6" t="s">
        <v>158</v>
      </c>
      <c r="DX107" s="6" t="s">
        <v>162</v>
      </c>
      <c r="DZ107" s="6" t="s">
        <v>2315</v>
      </c>
      <c r="ER107" s="0" t="str">
        <f aca="false">IF(ISNUMBER(MATCH(U107,{"queued","contacted","replied","call_booked","call_done","yes_in_principle","materials_sent"},0)),"Y","N")</f>
        <v>N</v>
      </c>
      <c r="ES107" s="0" t="str">
        <f aca="false">IF(COUNTIFS($AP$2:$AP$1000,AP107,$ER$2:$ER$1000,"Y")+COUNTIFS($AP$2:$AP$1000,AP107,$T$2:$T$1000,"Y")&gt;0,"Y","N")</f>
        <v>N</v>
      </c>
      <c r="ET107" s="0" t="str">
        <f aca="false">IF(AND(U107="new",T107="N",AT107="Y",AS107="",ES107="N"),"Y","N")</f>
        <v>N</v>
      </c>
      <c r="EU107" s="0" t="str">
        <f aca="false">IF(ET107&lt;&gt;"Y","N",IF(COUNTIFS($AP$2:$AP$1000,AP107,$ET$2:$ET$1000,"Y",$J$2:$J$1000,"&gt;"&amp;J107)+COUNTIFS($AP$2:$AP$1000,AP107,$ET$2:$ET$1000,"Y",$J$2:$J$1000,J107,$EW$2:$EW$1000,"&lt;"&amp;EW107)=0,"Y","N"))</f>
        <v>N</v>
      </c>
      <c r="EV107" s="0" t="str">
        <f aca="false">IF(Y107="","N",IF(Y107&lt;=10,"Y","N"))</f>
        <v>N</v>
      </c>
      <c r="EW107" s="6" t="n">
        <f aca="false">ROW()-1</f>
        <v>106</v>
      </c>
    </row>
    <row r="108" customFormat="false" ht="15" hidden="false" customHeight="false" outlineLevel="0" collapsed="false">
      <c r="A108" s="0" t="s">
        <v>2316</v>
      </c>
      <c r="B108" s="0" t="s">
        <v>2317</v>
      </c>
      <c r="H108" s="5" t="s">
        <v>158</v>
      </c>
      <c r="I108" s="5" t="s">
        <v>159</v>
      </c>
      <c r="J108" s="6" t="n">
        <f aca="false">IF(AX108="pass",ROUND(CU108+CV108+CW108+CX108+CY108+CZ108,1),0)</f>
        <v>36</v>
      </c>
      <c r="K108" s="6" t="s">
        <v>2192</v>
      </c>
      <c r="L108" s="6" t="s">
        <v>163</v>
      </c>
      <c r="R108" s="5" t="s">
        <v>162</v>
      </c>
      <c r="S108" s="6" t="s">
        <v>163</v>
      </c>
      <c r="T108" s="5" t="s">
        <v>162</v>
      </c>
      <c r="U108" s="5" t="s">
        <v>228</v>
      </c>
      <c r="V108" s="6" t="s">
        <v>2318</v>
      </c>
      <c r="W108" s="6" t="s">
        <v>166</v>
      </c>
      <c r="X108" s="6" t="s">
        <v>167</v>
      </c>
      <c r="Y108" s="0" t="str">
        <f aca="false">IF(EU108&lt;&gt;"Y","",COUNTIFS($EU$2:$EU$1000,"Y",$J$2:$J$1000,"&gt;"&amp;J108)+COUNTIFS($EU$2:$EU$1000,"Y",$J$2:$J$1000,J108,$EW$2:$EW$1000,"&lt;"&amp;EW108)+1)</f>
        <v/>
      </c>
      <c r="Z108" s="0" t="n">
        <v>107</v>
      </c>
      <c r="AA108" s="6" t="s">
        <v>162</v>
      </c>
      <c r="AD108" s="6" t="s">
        <v>158</v>
      </c>
      <c r="AH108" s="5" t="s">
        <v>158</v>
      </c>
      <c r="AI108" s="6" t="s">
        <v>565</v>
      </c>
      <c r="AJ108" s="6" t="s">
        <v>234</v>
      </c>
      <c r="AK108" s="6" t="s">
        <v>178</v>
      </c>
      <c r="AL108" s="6" t="s">
        <v>163</v>
      </c>
      <c r="AM108" s="6" t="s">
        <v>163</v>
      </c>
      <c r="AN108" s="6" t="s">
        <v>158</v>
      </c>
      <c r="AO108" s="6" t="s">
        <v>163</v>
      </c>
      <c r="AP108" s="6" t="s">
        <v>2316</v>
      </c>
      <c r="AQ108" s="5" t="s">
        <v>162</v>
      </c>
      <c r="AT108" s="0" t="str">
        <f aca="false">IF(AND(AX108="pass",AQ108&lt;&gt;"Y",C108&lt;&gt;"",OR(AW108&lt;&gt;"Y",AV108="Y")),"Y","N")</f>
        <v>N</v>
      </c>
      <c r="AU108" s="0" t="str">
        <f aca="false">_xlfn.TEXTJOIN("; ",TRUE(),IF(AX108&lt;&gt;"pass","gated out",""),IF(AQ108="Y","on hold: "&amp;AR108,""),IF(C108="","no contact named on an opened page",""),IF(AND(AW108="Y",AV108&lt;&gt;"Y"),"Tuesday estimate band "&amp;L108&amp;": founder's call",""))</f>
        <v>no contact named on an opened page</v>
      </c>
      <c r="AW108" s="6" t="s">
        <v>162</v>
      </c>
      <c r="AX108" s="6" t="s">
        <v>181</v>
      </c>
      <c r="AY108" s="6" t="s">
        <v>182</v>
      </c>
      <c r="AZ108" s="6" t="s">
        <v>1</v>
      </c>
      <c r="BA108" s="6" t="s">
        <v>2319</v>
      </c>
      <c r="BB108" s="6" t="s">
        <v>2320</v>
      </c>
      <c r="BC108" s="6" t="s">
        <v>2321</v>
      </c>
      <c r="BD108" s="6" t="s">
        <v>163</v>
      </c>
      <c r="BF108" s="6" t="s">
        <v>163</v>
      </c>
      <c r="BG108" s="6" t="s">
        <v>163</v>
      </c>
      <c r="BH108" s="6" t="s">
        <v>2196</v>
      </c>
      <c r="BK108" s="6" t="s">
        <v>163</v>
      </c>
      <c r="BL108" s="6" t="s">
        <v>163</v>
      </c>
      <c r="BM108" s="6" t="s">
        <v>163</v>
      </c>
      <c r="BN108" s="6" t="s">
        <v>163</v>
      </c>
      <c r="BO108" s="6" t="s">
        <v>163</v>
      </c>
      <c r="BP108" s="6" t="s">
        <v>244</v>
      </c>
      <c r="BQ108" s="0" t="n">
        <v>40.744442</v>
      </c>
      <c r="BR108" s="0" t="n">
        <v>-73.983525</v>
      </c>
      <c r="BS108" s="6" t="s">
        <v>168</v>
      </c>
      <c r="BT108" s="0" t="n">
        <v>0</v>
      </c>
      <c r="BU108" s="6" t="s">
        <v>573</v>
      </c>
      <c r="BV108" s="6" t="s">
        <v>574</v>
      </c>
      <c r="BW108" s="6" t="s">
        <v>2318</v>
      </c>
      <c r="BX108" s="6" t="s">
        <v>2322</v>
      </c>
      <c r="BY108" s="6" t="s">
        <v>248</v>
      </c>
      <c r="BZ108" s="6" t="s">
        <v>2323</v>
      </c>
      <c r="CA108" s="6" t="s">
        <v>166</v>
      </c>
      <c r="CC108" s="6" t="s">
        <v>200</v>
      </c>
      <c r="CE108" s="6" t="s">
        <v>162</v>
      </c>
      <c r="CH108" s="6" t="s">
        <v>163</v>
      </c>
      <c r="CJ108" s="6" t="s">
        <v>163</v>
      </c>
      <c r="CK108" s="6" t="s">
        <v>162</v>
      </c>
      <c r="CL108" s="6" t="s">
        <v>163</v>
      </c>
      <c r="CO108" s="6" t="s">
        <v>163</v>
      </c>
      <c r="CQ108" s="6" t="s">
        <v>2197</v>
      </c>
      <c r="CR108" s="6" t="s">
        <v>206</v>
      </c>
      <c r="CS108" s="6" t="s">
        <v>163</v>
      </c>
      <c r="CT108" s="0" t="n">
        <v>36</v>
      </c>
      <c r="CU108" s="0" t="n">
        <v>7</v>
      </c>
      <c r="CV108" s="0" t="n">
        <v>8</v>
      </c>
      <c r="CW108" s="0" t="n">
        <v>6</v>
      </c>
      <c r="CX108" s="0" t="n">
        <v>15</v>
      </c>
      <c r="CY108" s="6" t="n">
        <f aca="false">IF(AH108="exact",10,IF(AH108="adjacent",5,0))</f>
        <v>0</v>
      </c>
      <c r="CZ108" s="6" t="n">
        <f aca="false">IF(R108="Y",15,0)</f>
        <v>0</v>
      </c>
      <c r="DF108" s="6" t="s">
        <v>158</v>
      </c>
      <c r="DG108" s="6" t="s">
        <v>211</v>
      </c>
      <c r="DJ108" s="6" t="s">
        <v>2324</v>
      </c>
      <c r="DK108" s="6" t="s">
        <v>2325</v>
      </c>
      <c r="DS108" s="6" t="s">
        <v>158</v>
      </c>
      <c r="DX108" s="6" t="s">
        <v>162</v>
      </c>
      <c r="ER108" s="0" t="str">
        <f aca="false">IF(ISNUMBER(MATCH(U108,{"queued","contacted","replied","call_booked","call_done","yes_in_principle","materials_sent"},0)),"Y","N")</f>
        <v>N</v>
      </c>
      <c r="ES108" s="0" t="str">
        <f aca="false">IF(COUNTIFS($AP$2:$AP$1000,AP108,$ER$2:$ER$1000,"Y")+COUNTIFS($AP$2:$AP$1000,AP108,$T$2:$T$1000,"Y")&gt;0,"Y","N")</f>
        <v>N</v>
      </c>
      <c r="ET108" s="0" t="str">
        <f aca="false">IF(AND(U108="new",T108="N",AT108="Y",AS108="",ES108="N"),"Y","N")</f>
        <v>N</v>
      </c>
      <c r="EU108" s="0" t="str">
        <f aca="false">IF(ET108&lt;&gt;"Y","N",IF(COUNTIFS($AP$2:$AP$1000,AP108,$ET$2:$ET$1000,"Y",$J$2:$J$1000,"&gt;"&amp;J108)+COUNTIFS($AP$2:$AP$1000,AP108,$ET$2:$ET$1000,"Y",$J$2:$J$1000,J108,$EW$2:$EW$1000,"&lt;"&amp;EW108)=0,"Y","N"))</f>
        <v>N</v>
      </c>
      <c r="EV108" s="0" t="str">
        <f aca="false">IF(Y108="","N",IF(Y108&lt;=10,"Y","N"))</f>
        <v>N</v>
      </c>
      <c r="EW108" s="6" t="n">
        <f aca="false">ROW()-1</f>
        <v>107</v>
      </c>
    </row>
    <row r="109" customFormat="false" ht="15" hidden="false" customHeight="false" outlineLevel="0" collapsed="false">
      <c r="A109" s="0" t="s">
        <v>2326</v>
      </c>
      <c r="B109" s="0" t="s">
        <v>2327</v>
      </c>
      <c r="H109" s="5" t="s">
        <v>158</v>
      </c>
      <c r="I109" s="5" t="s">
        <v>159</v>
      </c>
      <c r="J109" s="6" t="n">
        <f aca="false">IF(AX109="pass",ROUND(CU109+CV109+CW109+CX109+CY109+CZ109,1),0)</f>
        <v>36</v>
      </c>
      <c r="K109" s="6" t="s">
        <v>2192</v>
      </c>
      <c r="L109" s="6" t="s">
        <v>163</v>
      </c>
      <c r="R109" s="5" t="s">
        <v>162</v>
      </c>
      <c r="S109" s="6" t="s">
        <v>163</v>
      </c>
      <c r="T109" s="5" t="s">
        <v>162</v>
      </c>
      <c r="U109" s="5" t="s">
        <v>228</v>
      </c>
      <c r="V109" s="6" t="s">
        <v>2328</v>
      </c>
      <c r="W109" s="6" t="s">
        <v>166</v>
      </c>
      <c r="X109" s="6" t="s">
        <v>167</v>
      </c>
      <c r="Y109" s="0" t="str">
        <f aca="false">IF(EU109&lt;&gt;"Y","",COUNTIFS($EU$2:$EU$1000,"Y",$J$2:$J$1000,"&gt;"&amp;J109)+COUNTIFS($EU$2:$EU$1000,"Y",$J$2:$J$1000,J109,$EW$2:$EW$1000,"&lt;"&amp;EW109)+1)</f>
        <v/>
      </c>
      <c r="Z109" s="0" t="n">
        <v>108</v>
      </c>
      <c r="AA109" s="6" t="s">
        <v>162</v>
      </c>
      <c r="AD109" s="6" t="s">
        <v>158</v>
      </c>
      <c r="AH109" s="5" t="s">
        <v>158</v>
      </c>
      <c r="AI109" s="6" t="s">
        <v>1140</v>
      </c>
      <c r="AJ109" s="6" t="s">
        <v>234</v>
      </c>
      <c r="AK109" s="6" t="s">
        <v>178</v>
      </c>
      <c r="AL109" s="6" t="s">
        <v>163</v>
      </c>
      <c r="AM109" s="6" t="s">
        <v>163</v>
      </c>
      <c r="AN109" s="6" t="s">
        <v>158</v>
      </c>
      <c r="AO109" s="6" t="s">
        <v>163</v>
      </c>
      <c r="AP109" s="6" t="s">
        <v>2326</v>
      </c>
      <c r="AQ109" s="5" t="s">
        <v>162</v>
      </c>
      <c r="AT109" s="0" t="str">
        <f aca="false">IF(AND(AX109="pass",AQ109&lt;&gt;"Y",C109&lt;&gt;"",OR(AW109&lt;&gt;"Y",AV109="Y")),"Y","N")</f>
        <v>N</v>
      </c>
      <c r="AU109" s="0" t="str">
        <f aca="false">_xlfn.TEXTJOIN("; ",TRUE(),IF(AX109&lt;&gt;"pass","gated out",""),IF(AQ109="Y","on hold: "&amp;AR109,""),IF(C109="","no contact named on an opened page",""),IF(AND(AW109="Y",AV109&lt;&gt;"Y"),"Tuesday estimate band "&amp;L109&amp;": founder's call",""))</f>
        <v>no contact named on an opened page</v>
      </c>
      <c r="AW109" s="6" t="s">
        <v>162</v>
      </c>
      <c r="AX109" s="6" t="s">
        <v>181</v>
      </c>
      <c r="AY109" s="6" t="s">
        <v>182</v>
      </c>
      <c r="AZ109" s="6" t="s">
        <v>1</v>
      </c>
      <c r="BA109" s="6" t="s">
        <v>2329</v>
      </c>
      <c r="BB109" s="6" t="s">
        <v>2330</v>
      </c>
      <c r="BC109" s="6" t="s">
        <v>2331</v>
      </c>
      <c r="BD109" s="6" t="s">
        <v>163</v>
      </c>
      <c r="BF109" s="6" t="s">
        <v>163</v>
      </c>
      <c r="BG109" s="6" t="s">
        <v>163</v>
      </c>
      <c r="BH109" s="6" t="s">
        <v>2196</v>
      </c>
      <c r="BK109" s="6" t="s">
        <v>163</v>
      </c>
      <c r="BL109" s="6" t="s">
        <v>163</v>
      </c>
      <c r="BM109" s="6" t="s">
        <v>163</v>
      </c>
      <c r="BN109" s="6" t="s">
        <v>163</v>
      </c>
      <c r="BO109" s="6" t="s">
        <v>163</v>
      </c>
      <c r="BP109" s="6" t="s">
        <v>193</v>
      </c>
      <c r="BQ109" s="0" t="n">
        <v>40.738063</v>
      </c>
      <c r="BR109" s="0" t="n">
        <v>-73.991898</v>
      </c>
      <c r="BS109" s="6" t="s">
        <v>168</v>
      </c>
      <c r="BT109" s="0" t="n">
        <v>0</v>
      </c>
      <c r="BU109" s="6" t="s">
        <v>1149</v>
      </c>
      <c r="BV109" s="6" t="s">
        <v>1140</v>
      </c>
      <c r="BW109" s="6" t="s">
        <v>2328</v>
      </c>
      <c r="BX109" s="6" t="s">
        <v>166</v>
      </c>
      <c r="BY109" s="6" t="s">
        <v>196</v>
      </c>
      <c r="BZ109" s="6" t="s">
        <v>1137</v>
      </c>
      <c r="CA109" s="6" t="s">
        <v>1150</v>
      </c>
      <c r="CC109" s="6" t="s">
        <v>200</v>
      </c>
      <c r="CE109" s="6" t="s">
        <v>162</v>
      </c>
      <c r="CH109" s="6" t="s">
        <v>163</v>
      </c>
      <c r="CJ109" s="6" t="s">
        <v>163</v>
      </c>
      <c r="CK109" s="6" t="s">
        <v>162</v>
      </c>
      <c r="CL109" s="6" t="s">
        <v>163</v>
      </c>
      <c r="CO109" s="6" t="s">
        <v>163</v>
      </c>
      <c r="CQ109" s="6" t="s">
        <v>2197</v>
      </c>
      <c r="CR109" s="6" t="s">
        <v>206</v>
      </c>
      <c r="CS109" s="6" t="s">
        <v>163</v>
      </c>
      <c r="CT109" s="0" t="n">
        <v>36</v>
      </c>
      <c r="CU109" s="0" t="n">
        <v>7</v>
      </c>
      <c r="CV109" s="0" t="n">
        <v>8</v>
      </c>
      <c r="CW109" s="0" t="n">
        <v>6</v>
      </c>
      <c r="CX109" s="0" t="n">
        <v>15</v>
      </c>
      <c r="CY109" s="6" t="n">
        <f aca="false">IF(AH109="exact",10,IF(AH109="adjacent",5,0))</f>
        <v>0</v>
      </c>
      <c r="CZ109" s="6" t="n">
        <f aca="false">IF(R109="Y",15,0)</f>
        <v>0</v>
      </c>
      <c r="DF109" s="6" t="s">
        <v>158</v>
      </c>
      <c r="DG109" s="6" t="s">
        <v>211</v>
      </c>
      <c r="DK109" s="6" t="s">
        <v>2332</v>
      </c>
      <c r="DS109" s="6" t="s">
        <v>158</v>
      </c>
      <c r="DX109" s="6" t="s">
        <v>162</v>
      </c>
      <c r="ER109" s="0" t="str">
        <f aca="false">IF(ISNUMBER(MATCH(U109,{"queued","contacted","replied","call_booked","call_done","yes_in_principle","materials_sent"},0)),"Y","N")</f>
        <v>N</v>
      </c>
      <c r="ES109" s="0" t="str">
        <f aca="false">IF(COUNTIFS($AP$2:$AP$1000,AP109,$ER$2:$ER$1000,"Y")+COUNTIFS($AP$2:$AP$1000,AP109,$T$2:$T$1000,"Y")&gt;0,"Y","N")</f>
        <v>N</v>
      </c>
      <c r="ET109" s="0" t="str">
        <f aca="false">IF(AND(U109="new",T109="N",AT109="Y",AS109="",ES109="N"),"Y","N")</f>
        <v>N</v>
      </c>
      <c r="EU109" s="0" t="str">
        <f aca="false">IF(ET109&lt;&gt;"Y","N",IF(COUNTIFS($AP$2:$AP$1000,AP109,$ET$2:$ET$1000,"Y",$J$2:$J$1000,"&gt;"&amp;J109)+COUNTIFS($AP$2:$AP$1000,AP109,$ET$2:$ET$1000,"Y",$J$2:$J$1000,J109,$EW$2:$EW$1000,"&lt;"&amp;EW109)=0,"Y","N"))</f>
        <v>N</v>
      </c>
      <c r="EV109" s="0" t="str">
        <f aca="false">IF(Y109="","N",IF(Y109&lt;=10,"Y","N"))</f>
        <v>N</v>
      </c>
      <c r="EW109" s="6" t="n">
        <f aca="false">ROW()-1</f>
        <v>108</v>
      </c>
    </row>
    <row r="110" customFormat="false" ht="15" hidden="false" customHeight="false" outlineLevel="0" collapsed="false">
      <c r="A110" s="0" t="s">
        <v>2333</v>
      </c>
      <c r="B110" s="0" t="s">
        <v>2334</v>
      </c>
      <c r="H110" s="5" t="s">
        <v>158</v>
      </c>
      <c r="I110" s="5" t="s">
        <v>159</v>
      </c>
      <c r="J110" s="6" t="n">
        <f aca="false">IF(AX110="pass",ROUND(CU110+CV110+CW110+CX110+CY110+CZ110,1),0)</f>
        <v>36</v>
      </c>
      <c r="K110" s="6" t="s">
        <v>2192</v>
      </c>
      <c r="L110" s="6" t="s">
        <v>163</v>
      </c>
      <c r="R110" s="5" t="s">
        <v>162</v>
      </c>
      <c r="S110" s="6" t="s">
        <v>163</v>
      </c>
      <c r="T110" s="5" t="s">
        <v>162</v>
      </c>
      <c r="U110" s="5" t="s">
        <v>228</v>
      </c>
      <c r="V110" s="6" t="s">
        <v>2335</v>
      </c>
      <c r="W110" s="6" t="s">
        <v>166</v>
      </c>
      <c r="X110" s="6" t="s">
        <v>167</v>
      </c>
      <c r="Y110" s="0" t="str">
        <f aca="false">IF(EU110&lt;&gt;"Y","",COUNTIFS($EU$2:$EU$1000,"Y",$J$2:$J$1000,"&gt;"&amp;J110)+COUNTIFS($EU$2:$EU$1000,"Y",$J$2:$J$1000,J110,$EW$2:$EW$1000,"&lt;"&amp;EW110)+1)</f>
        <v/>
      </c>
      <c r="Z110" s="0" t="n">
        <v>109</v>
      </c>
      <c r="AA110" s="6" t="s">
        <v>162</v>
      </c>
      <c r="AD110" s="6" t="s">
        <v>158</v>
      </c>
      <c r="AH110" s="5" t="s">
        <v>158</v>
      </c>
      <c r="AI110" s="6" t="s">
        <v>2336</v>
      </c>
      <c r="AJ110" s="6" t="s">
        <v>2337</v>
      </c>
      <c r="AK110" s="6" t="s">
        <v>178</v>
      </c>
      <c r="AL110" s="6" t="s">
        <v>163</v>
      </c>
      <c r="AM110" s="6" t="s">
        <v>163</v>
      </c>
      <c r="AN110" s="6" t="s">
        <v>158</v>
      </c>
      <c r="AO110" s="6" t="s">
        <v>163</v>
      </c>
      <c r="AP110" s="6" t="s">
        <v>2333</v>
      </c>
      <c r="AQ110" s="5" t="s">
        <v>162</v>
      </c>
      <c r="AT110" s="0" t="str">
        <f aca="false">IF(AND(AX110="pass",AQ110&lt;&gt;"Y",C110&lt;&gt;"",OR(AW110&lt;&gt;"Y",AV110="Y")),"Y","N")</f>
        <v>N</v>
      </c>
      <c r="AU110" s="0" t="str">
        <f aca="false">_xlfn.TEXTJOIN("; ",TRUE(),IF(AX110&lt;&gt;"pass","gated out",""),IF(AQ110="Y","on hold: "&amp;AR110,""),IF(C110="","no contact named on an opened page",""),IF(AND(AW110="Y",AV110&lt;&gt;"Y"),"Tuesday estimate band "&amp;L110&amp;": founder's call",""))</f>
        <v>no contact named on an opened page</v>
      </c>
      <c r="AW110" s="6" t="s">
        <v>162</v>
      </c>
      <c r="AX110" s="6" t="s">
        <v>181</v>
      </c>
      <c r="AY110" s="6" t="s">
        <v>182</v>
      </c>
      <c r="AZ110" s="6" t="s">
        <v>1</v>
      </c>
      <c r="BA110" s="6" t="s">
        <v>2338</v>
      </c>
      <c r="BB110" s="6" t="s">
        <v>2339</v>
      </c>
      <c r="BC110" s="6" t="s">
        <v>2340</v>
      </c>
      <c r="BD110" s="6" t="s">
        <v>163</v>
      </c>
      <c r="BF110" s="6" t="s">
        <v>163</v>
      </c>
      <c r="BG110" s="6" t="s">
        <v>163</v>
      </c>
      <c r="BH110" s="6" t="s">
        <v>2196</v>
      </c>
      <c r="BK110" s="6" t="s">
        <v>163</v>
      </c>
      <c r="BL110" s="6" t="s">
        <v>163</v>
      </c>
      <c r="BM110" s="6" t="s">
        <v>163</v>
      </c>
      <c r="BN110" s="6" t="s">
        <v>163</v>
      </c>
      <c r="BO110" s="6" t="s">
        <v>163</v>
      </c>
      <c r="BP110" s="6" t="s">
        <v>244</v>
      </c>
      <c r="BQ110" s="0" t="n">
        <v>40.7425</v>
      </c>
      <c r="BR110" s="0" t="n">
        <v>-73.984446</v>
      </c>
      <c r="BS110" s="6" t="s">
        <v>168</v>
      </c>
      <c r="BT110" s="0" t="n">
        <v>0</v>
      </c>
      <c r="BU110" s="6" t="s">
        <v>2341</v>
      </c>
      <c r="BV110" s="6" t="s">
        <v>2342</v>
      </c>
      <c r="BW110" s="6" t="s">
        <v>2335</v>
      </c>
      <c r="BX110" s="6" t="s">
        <v>166</v>
      </c>
      <c r="BY110" s="6" t="s">
        <v>196</v>
      </c>
      <c r="BZ110" s="6" t="s">
        <v>2343</v>
      </c>
      <c r="CA110" s="6" t="s">
        <v>2344</v>
      </c>
      <c r="CC110" s="6" t="s">
        <v>200</v>
      </c>
      <c r="CE110" s="6" t="s">
        <v>162</v>
      </c>
      <c r="CH110" s="6" t="s">
        <v>163</v>
      </c>
      <c r="CJ110" s="6" t="s">
        <v>163</v>
      </c>
      <c r="CK110" s="6" t="s">
        <v>162</v>
      </c>
      <c r="CL110" s="6" t="s">
        <v>163</v>
      </c>
      <c r="CO110" s="6" t="s">
        <v>163</v>
      </c>
      <c r="CQ110" s="6" t="s">
        <v>2197</v>
      </c>
      <c r="CR110" s="6" t="s">
        <v>206</v>
      </c>
      <c r="CS110" s="6" t="s">
        <v>163</v>
      </c>
      <c r="CT110" s="0" t="n">
        <v>36</v>
      </c>
      <c r="CU110" s="0" t="n">
        <v>7</v>
      </c>
      <c r="CV110" s="0" t="n">
        <v>8</v>
      </c>
      <c r="CW110" s="0" t="n">
        <v>6</v>
      </c>
      <c r="CX110" s="0" t="n">
        <v>15</v>
      </c>
      <c r="CY110" s="6" t="n">
        <f aca="false">IF(AH110="exact",10,IF(AH110="adjacent",5,0))</f>
        <v>0</v>
      </c>
      <c r="CZ110" s="6" t="n">
        <f aca="false">IF(R110="Y",15,0)</f>
        <v>0</v>
      </c>
      <c r="DF110" s="6" t="s">
        <v>158</v>
      </c>
      <c r="DG110" s="6" t="s">
        <v>211</v>
      </c>
      <c r="DJ110" s="6" t="s">
        <v>2345</v>
      </c>
      <c r="DK110" s="6" t="s">
        <v>2346</v>
      </c>
      <c r="DS110" s="6" t="s">
        <v>158</v>
      </c>
      <c r="DX110" s="6" t="s">
        <v>162</v>
      </c>
      <c r="ER110" s="0" t="str">
        <f aca="false">IF(ISNUMBER(MATCH(U110,{"queued","contacted","replied","call_booked","call_done","yes_in_principle","materials_sent"},0)),"Y","N")</f>
        <v>N</v>
      </c>
      <c r="ES110" s="0" t="str">
        <f aca="false">IF(COUNTIFS($AP$2:$AP$1000,AP110,$ER$2:$ER$1000,"Y")+COUNTIFS($AP$2:$AP$1000,AP110,$T$2:$T$1000,"Y")&gt;0,"Y","N")</f>
        <v>N</v>
      </c>
      <c r="ET110" s="0" t="str">
        <f aca="false">IF(AND(U110="new",T110="N",AT110="Y",AS110="",ES110="N"),"Y","N")</f>
        <v>N</v>
      </c>
      <c r="EU110" s="0" t="str">
        <f aca="false">IF(ET110&lt;&gt;"Y","N",IF(COUNTIFS($AP$2:$AP$1000,AP110,$ET$2:$ET$1000,"Y",$J$2:$J$1000,"&gt;"&amp;J110)+COUNTIFS($AP$2:$AP$1000,AP110,$ET$2:$ET$1000,"Y",$J$2:$J$1000,J110,$EW$2:$EW$1000,"&lt;"&amp;EW110)=0,"Y","N"))</f>
        <v>N</v>
      </c>
      <c r="EV110" s="0" t="str">
        <f aca="false">IF(Y110="","N",IF(Y110&lt;=10,"Y","N"))</f>
        <v>N</v>
      </c>
      <c r="EW110" s="6" t="n">
        <f aca="false">ROW()-1</f>
        <v>109</v>
      </c>
    </row>
    <row r="111" customFormat="false" ht="15" hidden="false" customHeight="false" outlineLevel="0" collapsed="false">
      <c r="A111" s="0" t="s">
        <v>2347</v>
      </c>
      <c r="B111" s="0" t="s">
        <v>2348</v>
      </c>
      <c r="H111" s="5" t="s">
        <v>158</v>
      </c>
      <c r="I111" s="5" t="s">
        <v>159</v>
      </c>
      <c r="J111" s="6" t="n">
        <f aca="false">IF(AX111="pass",ROUND(CU111+CV111+CW111+CX111+CY111+CZ111,1),0)</f>
        <v>36</v>
      </c>
      <c r="K111" s="6" t="s">
        <v>2192</v>
      </c>
      <c r="L111" s="6" t="s">
        <v>163</v>
      </c>
      <c r="R111" s="5" t="s">
        <v>162</v>
      </c>
      <c r="S111" s="6" t="s">
        <v>163</v>
      </c>
      <c r="T111" s="5" t="s">
        <v>162</v>
      </c>
      <c r="U111" s="5" t="s">
        <v>228</v>
      </c>
      <c r="V111" s="6" t="s">
        <v>2349</v>
      </c>
      <c r="W111" s="6" t="s">
        <v>166</v>
      </c>
      <c r="X111" s="6" t="s">
        <v>167</v>
      </c>
      <c r="Y111" s="0" t="str">
        <f aca="false">IF(EU111&lt;&gt;"Y","",COUNTIFS($EU$2:$EU$1000,"Y",$J$2:$J$1000,"&gt;"&amp;J111)+COUNTIFS($EU$2:$EU$1000,"Y",$J$2:$J$1000,J111,$EW$2:$EW$1000,"&lt;"&amp;EW111)+1)</f>
        <v/>
      </c>
      <c r="Z111" s="0" t="n">
        <v>110</v>
      </c>
      <c r="AA111" s="6" t="s">
        <v>162</v>
      </c>
      <c r="AD111" s="6" t="s">
        <v>158</v>
      </c>
      <c r="AH111" s="5" t="s">
        <v>158</v>
      </c>
      <c r="AI111" s="6" t="s">
        <v>728</v>
      </c>
      <c r="AJ111" s="6" t="s">
        <v>311</v>
      </c>
      <c r="AK111" s="6" t="s">
        <v>178</v>
      </c>
      <c r="AL111" s="6" t="s">
        <v>163</v>
      </c>
      <c r="AM111" s="6" t="s">
        <v>163</v>
      </c>
      <c r="AN111" s="6" t="s">
        <v>158</v>
      </c>
      <c r="AO111" s="6" t="s">
        <v>163</v>
      </c>
      <c r="AP111" s="6" t="s">
        <v>2347</v>
      </c>
      <c r="AQ111" s="5" t="s">
        <v>162</v>
      </c>
      <c r="AT111" s="0" t="str">
        <f aca="false">IF(AND(AX111="pass",AQ111&lt;&gt;"Y",C111&lt;&gt;"",OR(AW111&lt;&gt;"Y",AV111="Y")),"Y","N")</f>
        <v>N</v>
      </c>
      <c r="AU111" s="0" t="str">
        <f aca="false">_xlfn.TEXTJOIN("; ",TRUE(),IF(AX111&lt;&gt;"pass","gated out",""),IF(AQ111="Y","on hold: "&amp;AR111,""),IF(C111="","no contact named on an opened page",""),IF(AND(AW111="Y",AV111&lt;&gt;"Y"),"Tuesday estimate band "&amp;L111&amp;": founder's call",""))</f>
        <v>no contact named on an opened page</v>
      </c>
      <c r="AW111" s="6" t="s">
        <v>162</v>
      </c>
      <c r="AX111" s="6" t="s">
        <v>181</v>
      </c>
      <c r="AY111" s="6" t="s">
        <v>182</v>
      </c>
      <c r="AZ111" s="6" t="s">
        <v>1</v>
      </c>
      <c r="BA111" s="6" t="s">
        <v>2350</v>
      </c>
      <c r="BB111" s="6" t="s">
        <v>2351</v>
      </c>
      <c r="BC111" s="6" t="s">
        <v>2352</v>
      </c>
      <c r="BD111" s="6" t="s">
        <v>163</v>
      </c>
      <c r="BF111" s="6" t="s">
        <v>163</v>
      </c>
      <c r="BG111" s="6" t="s">
        <v>163</v>
      </c>
      <c r="BH111" s="6" t="s">
        <v>2196</v>
      </c>
      <c r="BK111" s="6" t="s">
        <v>163</v>
      </c>
      <c r="BL111" s="6" t="s">
        <v>163</v>
      </c>
      <c r="BM111" s="6" t="s">
        <v>163</v>
      </c>
      <c r="BN111" s="6" t="s">
        <v>163</v>
      </c>
      <c r="BO111" s="6" t="s">
        <v>163</v>
      </c>
      <c r="BP111" s="6" t="s">
        <v>193</v>
      </c>
      <c r="BQ111" s="0" t="n">
        <v>40.734626</v>
      </c>
      <c r="BR111" s="0" t="n">
        <v>-73.9911</v>
      </c>
      <c r="BS111" s="6" t="s">
        <v>168</v>
      </c>
      <c r="BT111" s="0" t="n">
        <v>0</v>
      </c>
      <c r="BU111" s="6" t="s">
        <v>736</v>
      </c>
      <c r="BV111" s="6" t="s">
        <v>737</v>
      </c>
      <c r="BW111" s="6" t="s">
        <v>2349</v>
      </c>
      <c r="BX111" s="6" t="s">
        <v>166</v>
      </c>
      <c r="BY111" s="6" t="s">
        <v>196</v>
      </c>
      <c r="BZ111" s="6" t="s">
        <v>727</v>
      </c>
      <c r="CA111" s="6" t="s">
        <v>738</v>
      </c>
      <c r="CC111" s="6" t="s">
        <v>200</v>
      </c>
      <c r="CE111" s="6" t="s">
        <v>162</v>
      </c>
      <c r="CH111" s="6" t="s">
        <v>201</v>
      </c>
      <c r="CI111" s="6" t="s">
        <v>740</v>
      </c>
      <c r="CJ111" s="6" t="s">
        <v>163</v>
      </c>
      <c r="CK111" s="6" t="s">
        <v>162</v>
      </c>
      <c r="CL111" s="6" t="s">
        <v>163</v>
      </c>
      <c r="CO111" s="6" t="s">
        <v>163</v>
      </c>
      <c r="CQ111" s="6" t="s">
        <v>2197</v>
      </c>
      <c r="CR111" s="6" t="s">
        <v>206</v>
      </c>
      <c r="CS111" s="6" t="s">
        <v>163</v>
      </c>
      <c r="CT111" s="0" t="n">
        <v>36</v>
      </c>
      <c r="CU111" s="0" t="n">
        <v>7</v>
      </c>
      <c r="CV111" s="0" t="n">
        <v>8</v>
      </c>
      <c r="CW111" s="0" t="n">
        <v>6</v>
      </c>
      <c r="CX111" s="0" t="n">
        <v>15</v>
      </c>
      <c r="CY111" s="6" t="n">
        <f aca="false">IF(AH111="exact",10,IF(AH111="adjacent",5,0))</f>
        <v>0</v>
      </c>
      <c r="CZ111" s="6" t="n">
        <f aca="false">IF(R111="Y",15,0)</f>
        <v>0</v>
      </c>
      <c r="DF111" s="6" t="s">
        <v>158</v>
      </c>
      <c r="DG111" s="6" t="s">
        <v>211</v>
      </c>
      <c r="DJ111" s="6" t="s">
        <v>2353</v>
      </c>
      <c r="DK111" s="6" t="s">
        <v>2354</v>
      </c>
      <c r="DS111" s="6" t="s">
        <v>158</v>
      </c>
      <c r="DX111" s="6" t="s">
        <v>162</v>
      </c>
      <c r="ER111" s="0" t="str">
        <f aca="false">IF(ISNUMBER(MATCH(U111,{"queued","contacted","replied","call_booked","call_done","yes_in_principle","materials_sent"},0)),"Y","N")</f>
        <v>N</v>
      </c>
      <c r="ES111" s="0" t="str">
        <f aca="false">IF(COUNTIFS($AP$2:$AP$1000,AP111,$ER$2:$ER$1000,"Y")+COUNTIFS($AP$2:$AP$1000,AP111,$T$2:$T$1000,"Y")&gt;0,"Y","N")</f>
        <v>N</v>
      </c>
      <c r="ET111" s="0" t="str">
        <f aca="false">IF(AND(U111="new",T111="N",AT111="Y",AS111="",ES111="N"),"Y","N")</f>
        <v>N</v>
      </c>
      <c r="EU111" s="0" t="str">
        <f aca="false">IF(ET111&lt;&gt;"Y","N",IF(COUNTIFS($AP$2:$AP$1000,AP111,$ET$2:$ET$1000,"Y",$J$2:$J$1000,"&gt;"&amp;J111)+COUNTIFS($AP$2:$AP$1000,AP111,$ET$2:$ET$1000,"Y",$J$2:$J$1000,J111,$EW$2:$EW$1000,"&lt;"&amp;EW111)=0,"Y","N"))</f>
        <v>N</v>
      </c>
      <c r="EV111" s="0" t="str">
        <f aca="false">IF(Y111="","N",IF(Y111&lt;=10,"Y","N"))</f>
        <v>N</v>
      </c>
      <c r="EW111" s="6" t="n">
        <f aca="false">ROW()-1</f>
        <v>110</v>
      </c>
    </row>
    <row r="112" customFormat="false" ht="15" hidden="false" customHeight="false" outlineLevel="0" collapsed="false">
      <c r="A112" s="0" t="s">
        <v>2355</v>
      </c>
      <c r="B112" s="0" t="s">
        <v>2356</v>
      </c>
      <c r="H112" s="5" t="s">
        <v>158</v>
      </c>
      <c r="I112" s="5" t="s">
        <v>159</v>
      </c>
      <c r="J112" s="6" t="n">
        <f aca="false">IF(AX112="pass",ROUND(CU112+CV112+CW112+CX112+CY112+CZ112,1),0)</f>
        <v>36</v>
      </c>
      <c r="K112" s="6" t="s">
        <v>2225</v>
      </c>
      <c r="L112" s="6" t="s">
        <v>163</v>
      </c>
      <c r="R112" s="5" t="s">
        <v>162</v>
      </c>
      <c r="S112" s="6" t="s">
        <v>163</v>
      </c>
      <c r="T112" s="5" t="s">
        <v>162</v>
      </c>
      <c r="U112" s="5" t="s">
        <v>228</v>
      </c>
      <c r="V112" s="6" t="s">
        <v>2357</v>
      </c>
      <c r="W112" s="6" t="s">
        <v>166</v>
      </c>
      <c r="X112" s="6" t="s">
        <v>167</v>
      </c>
      <c r="Y112" s="0" t="str">
        <f aca="false">IF(EU112&lt;&gt;"Y","",COUNTIFS($EU$2:$EU$1000,"Y",$J$2:$J$1000,"&gt;"&amp;J112)+COUNTIFS($EU$2:$EU$1000,"Y",$J$2:$J$1000,J112,$EW$2:$EW$1000,"&lt;"&amp;EW112)+1)</f>
        <v/>
      </c>
      <c r="Z112" s="0" t="n">
        <v>111</v>
      </c>
      <c r="AA112" s="6" t="s">
        <v>162</v>
      </c>
      <c r="AD112" s="6" t="s">
        <v>158</v>
      </c>
      <c r="AH112" s="5" t="s">
        <v>158</v>
      </c>
      <c r="AI112" s="6" t="s">
        <v>2358</v>
      </c>
      <c r="AJ112" s="6" t="s">
        <v>163</v>
      </c>
      <c r="AK112" s="6" t="s">
        <v>2228</v>
      </c>
      <c r="AL112" s="6" t="s">
        <v>163</v>
      </c>
      <c r="AM112" s="6" t="s">
        <v>163</v>
      </c>
      <c r="AN112" s="6" t="s">
        <v>158</v>
      </c>
      <c r="AO112" s="6" t="s">
        <v>163</v>
      </c>
      <c r="AP112" s="6" t="s">
        <v>2355</v>
      </c>
      <c r="AQ112" s="5" t="s">
        <v>162</v>
      </c>
      <c r="AT112" s="0" t="str">
        <f aca="false">IF(AND(AX112="pass",AQ112&lt;&gt;"Y",C112&lt;&gt;"",OR(AW112&lt;&gt;"Y",AV112="Y")),"Y","N")</f>
        <v>N</v>
      </c>
      <c r="AU112" s="0" t="str">
        <f aca="false">_xlfn.TEXTJOIN("; ",TRUE(),IF(AX112&lt;&gt;"pass","gated out",""),IF(AQ112="Y","on hold: "&amp;AR112,""),IF(C112="","no contact named on an opened page",""),IF(AND(AW112="Y",AV112&lt;&gt;"Y"),"Tuesday estimate band "&amp;L112&amp;": founder's call",""))</f>
        <v>no contact named on an opened page</v>
      </c>
      <c r="AW112" s="6" t="s">
        <v>162</v>
      </c>
      <c r="AX112" s="6" t="s">
        <v>181</v>
      </c>
      <c r="AY112" s="6" t="s">
        <v>182</v>
      </c>
      <c r="AZ112" s="6" t="s">
        <v>2229</v>
      </c>
      <c r="BA112" s="6" t="s">
        <v>2359</v>
      </c>
      <c r="BB112" s="6" t="s">
        <v>2360</v>
      </c>
      <c r="BC112" s="6" t="s">
        <v>2232</v>
      </c>
      <c r="BD112" s="6" t="s">
        <v>163</v>
      </c>
      <c r="BF112" s="6" t="s">
        <v>163</v>
      </c>
      <c r="BG112" s="6" t="s">
        <v>163</v>
      </c>
      <c r="BK112" s="6" t="s">
        <v>163</v>
      </c>
      <c r="BL112" s="6" t="s">
        <v>2233</v>
      </c>
      <c r="BM112" s="6" t="s">
        <v>163</v>
      </c>
      <c r="BN112" s="6" t="s">
        <v>2361</v>
      </c>
      <c r="BP112" s="6" t="s">
        <v>347</v>
      </c>
      <c r="BQ112" s="0" t="n">
        <v>40.741024</v>
      </c>
      <c r="BR112" s="0" t="n">
        <v>-73.984936</v>
      </c>
      <c r="BS112" s="6" t="s">
        <v>168</v>
      </c>
      <c r="BT112" s="0" t="n">
        <v>0</v>
      </c>
      <c r="BU112" s="6" t="s">
        <v>2362</v>
      </c>
      <c r="BV112" s="6" t="s">
        <v>2363</v>
      </c>
      <c r="BW112" s="6" t="s">
        <v>2357</v>
      </c>
      <c r="BX112" s="6" t="s">
        <v>2364</v>
      </c>
      <c r="BY112" s="6" t="s">
        <v>2237</v>
      </c>
      <c r="BZ112" s="6" t="s">
        <v>2365</v>
      </c>
      <c r="CC112" s="6" t="s">
        <v>200</v>
      </c>
      <c r="CE112" s="6" t="s">
        <v>162</v>
      </c>
      <c r="CF112" s="6" t="s">
        <v>2359</v>
      </c>
      <c r="CG112" s="6" t="s">
        <v>2239</v>
      </c>
      <c r="CH112" s="6" t="s">
        <v>163</v>
      </c>
      <c r="CJ112" s="6" t="s">
        <v>163</v>
      </c>
      <c r="CK112" s="6" t="s">
        <v>162</v>
      </c>
      <c r="CL112" s="6" t="s">
        <v>163</v>
      </c>
      <c r="CO112" s="6" t="s">
        <v>163</v>
      </c>
      <c r="CQ112" s="6" t="s">
        <v>2240</v>
      </c>
      <c r="CR112" s="6" t="s">
        <v>206</v>
      </c>
      <c r="CS112" s="6" t="s">
        <v>163</v>
      </c>
      <c r="CT112" s="0" t="n">
        <v>36</v>
      </c>
      <c r="CU112" s="0" t="n">
        <v>7</v>
      </c>
      <c r="CV112" s="0" t="n">
        <v>8</v>
      </c>
      <c r="CW112" s="0" t="n">
        <v>6</v>
      </c>
      <c r="CX112" s="0" t="n">
        <v>15</v>
      </c>
      <c r="CY112" s="6" t="n">
        <f aca="false">IF(AH112="exact",10,IF(AH112="adjacent",5,0))</f>
        <v>0</v>
      </c>
      <c r="CZ112" s="6" t="n">
        <f aca="false">IF(R112="Y",15,0)</f>
        <v>0</v>
      </c>
      <c r="DF112" s="6" t="s">
        <v>158</v>
      </c>
      <c r="DG112" s="6" t="s">
        <v>2229</v>
      </c>
      <c r="DK112" s="6" t="s">
        <v>2366</v>
      </c>
      <c r="DS112" s="6" t="s">
        <v>158</v>
      </c>
      <c r="DX112" s="6" t="s">
        <v>162</v>
      </c>
      <c r="ER112" s="0" t="str">
        <f aca="false">IF(ISNUMBER(MATCH(U112,{"queued","contacted","replied","call_booked","call_done","yes_in_principle","materials_sent"},0)),"Y","N")</f>
        <v>N</v>
      </c>
      <c r="ES112" s="0" t="str">
        <f aca="false">IF(COUNTIFS($AP$2:$AP$1000,AP112,$ER$2:$ER$1000,"Y")+COUNTIFS($AP$2:$AP$1000,AP112,$T$2:$T$1000,"Y")&gt;0,"Y","N")</f>
        <v>N</v>
      </c>
      <c r="ET112" s="0" t="str">
        <f aca="false">IF(AND(U112="new",T112="N",AT112="Y",AS112="",ES112="N"),"Y","N")</f>
        <v>N</v>
      </c>
      <c r="EU112" s="0" t="str">
        <f aca="false">IF(ET112&lt;&gt;"Y","N",IF(COUNTIFS($AP$2:$AP$1000,AP112,$ET$2:$ET$1000,"Y",$J$2:$J$1000,"&gt;"&amp;J112)+COUNTIFS($AP$2:$AP$1000,AP112,$ET$2:$ET$1000,"Y",$J$2:$J$1000,J112,$EW$2:$EW$1000,"&lt;"&amp;EW112)=0,"Y","N"))</f>
        <v>N</v>
      </c>
      <c r="EV112" s="0" t="str">
        <f aca="false">IF(Y112="","N",IF(Y112&lt;=10,"Y","N"))</f>
        <v>N</v>
      </c>
      <c r="EW112" s="6" t="n">
        <f aca="false">ROW()-1</f>
        <v>111</v>
      </c>
    </row>
    <row r="113" customFormat="false" ht="15" hidden="false" customHeight="false" outlineLevel="0" collapsed="false">
      <c r="A113" s="0" t="s">
        <v>2367</v>
      </c>
      <c r="B113" s="0" t="s">
        <v>2368</v>
      </c>
      <c r="H113" s="5" t="s">
        <v>158</v>
      </c>
      <c r="I113" s="5" t="s">
        <v>159</v>
      </c>
      <c r="J113" s="6" t="n">
        <f aca="false">IF(AX113="pass",ROUND(CU113+CV113+CW113+CX113+CY113+CZ113,1),0)</f>
        <v>36</v>
      </c>
      <c r="K113" s="6" t="s">
        <v>2192</v>
      </c>
      <c r="L113" s="6" t="s">
        <v>163</v>
      </c>
      <c r="R113" s="5" t="s">
        <v>162</v>
      </c>
      <c r="S113" s="6" t="s">
        <v>163</v>
      </c>
      <c r="T113" s="5" t="s">
        <v>162</v>
      </c>
      <c r="U113" s="5" t="s">
        <v>228</v>
      </c>
      <c r="V113" s="6" t="s">
        <v>2369</v>
      </c>
      <c r="W113" s="6" t="s">
        <v>166</v>
      </c>
      <c r="X113" s="6" t="s">
        <v>167</v>
      </c>
      <c r="Y113" s="0" t="str">
        <f aca="false">IF(EU113&lt;&gt;"Y","",COUNTIFS($EU$2:$EU$1000,"Y",$J$2:$J$1000,"&gt;"&amp;J113)+COUNTIFS($EU$2:$EU$1000,"Y",$J$2:$J$1000,J113,$EW$2:$EW$1000,"&lt;"&amp;EW113)+1)</f>
        <v/>
      </c>
      <c r="Z113" s="0" t="n">
        <v>112</v>
      </c>
      <c r="AA113" s="6" t="s">
        <v>162</v>
      </c>
      <c r="AD113" s="6" t="s">
        <v>158</v>
      </c>
      <c r="AH113" s="5" t="s">
        <v>158</v>
      </c>
      <c r="AI113" s="6" t="s">
        <v>2370</v>
      </c>
      <c r="AJ113" s="6" t="s">
        <v>2371</v>
      </c>
      <c r="AK113" s="6" t="s">
        <v>178</v>
      </c>
      <c r="AL113" s="6" t="s">
        <v>163</v>
      </c>
      <c r="AM113" s="6" t="s">
        <v>163</v>
      </c>
      <c r="AN113" s="6" t="s">
        <v>158</v>
      </c>
      <c r="AO113" s="6" t="s">
        <v>163</v>
      </c>
      <c r="AP113" s="6" t="s">
        <v>2367</v>
      </c>
      <c r="AQ113" s="5" t="s">
        <v>162</v>
      </c>
      <c r="AT113" s="0" t="str">
        <f aca="false">IF(AND(AX113="pass",AQ113&lt;&gt;"Y",C113&lt;&gt;"",OR(AW113&lt;&gt;"Y",AV113="Y")),"Y","N")</f>
        <v>N</v>
      </c>
      <c r="AU113" s="0" t="str">
        <f aca="false">_xlfn.TEXTJOIN("; ",TRUE(),IF(AX113&lt;&gt;"pass","gated out",""),IF(AQ113="Y","on hold: "&amp;AR113,""),IF(C113="","no contact named on an opened page",""),IF(AND(AW113="Y",AV113&lt;&gt;"Y"),"Tuesday estimate band "&amp;L113&amp;": founder's call",""))</f>
        <v>no contact named on an opened page</v>
      </c>
      <c r="AW113" s="6" t="s">
        <v>162</v>
      </c>
      <c r="AX113" s="6" t="s">
        <v>181</v>
      </c>
      <c r="AY113" s="6" t="s">
        <v>182</v>
      </c>
      <c r="AZ113" s="6" t="s">
        <v>1</v>
      </c>
      <c r="BA113" s="6" t="s">
        <v>2372</v>
      </c>
      <c r="BB113" s="6" t="s">
        <v>2373</v>
      </c>
      <c r="BC113" s="6" t="s">
        <v>2374</v>
      </c>
      <c r="BD113" s="6" t="s">
        <v>163</v>
      </c>
      <c r="BF113" s="6" t="s">
        <v>163</v>
      </c>
      <c r="BG113" s="6" t="s">
        <v>163</v>
      </c>
      <c r="BH113" s="6" t="s">
        <v>2196</v>
      </c>
      <c r="BK113" s="6" t="s">
        <v>163</v>
      </c>
      <c r="BL113" s="6" t="s">
        <v>163</v>
      </c>
      <c r="BM113" s="6" t="s">
        <v>163</v>
      </c>
      <c r="BN113" s="6" t="s">
        <v>163</v>
      </c>
      <c r="BO113" s="6" t="s">
        <v>163</v>
      </c>
      <c r="BP113" s="6" t="s">
        <v>347</v>
      </c>
      <c r="BQ113" s="0" t="n">
        <v>40.744387</v>
      </c>
      <c r="BR113" s="0" t="n">
        <v>-73.989871</v>
      </c>
      <c r="BS113" s="6" t="s">
        <v>168</v>
      </c>
      <c r="BT113" s="0" t="n">
        <v>0</v>
      </c>
      <c r="BU113" s="6" t="s">
        <v>2375</v>
      </c>
      <c r="BV113" s="6" t="s">
        <v>2370</v>
      </c>
      <c r="BW113" s="6" t="s">
        <v>2369</v>
      </c>
      <c r="BX113" s="6" t="s">
        <v>166</v>
      </c>
      <c r="BY113" s="6" t="s">
        <v>196</v>
      </c>
      <c r="BZ113" s="6" t="s">
        <v>2376</v>
      </c>
      <c r="CA113" s="6" t="s">
        <v>2377</v>
      </c>
      <c r="CC113" s="6" t="s">
        <v>200</v>
      </c>
      <c r="CE113" s="6" t="s">
        <v>162</v>
      </c>
      <c r="CH113" s="6" t="s">
        <v>163</v>
      </c>
      <c r="CJ113" s="6" t="s">
        <v>163</v>
      </c>
      <c r="CK113" s="6" t="s">
        <v>162</v>
      </c>
      <c r="CL113" s="6" t="s">
        <v>163</v>
      </c>
      <c r="CO113" s="6" t="s">
        <v>163</v>
      </c>
      <c r="CQ113" s="6" t="s">
        <v>2197</v>
      </c>
      <c r="CR113" s="6" t="s">
        <v>206</v>
      </c>
      <c r="CS113" s="6" t="s">
        <v>163</v>
      </c>
      <c r="CT113" s="0" t="n">
        <v>36</v>
      </c>
      <c r="CU113" s="0" t="n">
        <v>7</v>
      </c>
      <c r="CV113" s="0" t="n">
        <v>8</v>
      </c>
      <c r="CW113" s="0" t="n">
        <v>6</v>
      </c>
      <c r="CX113" s="0" t="n">
        <v>15</v>
      </c>
      <c r="CY113" s="6" t="n">
        <f aca="false">IF(AH113="exact",10,IF(AH113="adjacent",5,0))</f>
        <v>0</v>
      </c>
      <c r="CZ113" s="6" t="n">
        <f aca="false">IF(R113="Y",15,0)</f>
        <v>0</v>
      </c>
      <c r="DF113" s="6" t="s">
        <v>158</v>
      </c>
      <c r="DG113" s="6" t="s">
        <v>211</v>
      </c>
      <c r="DJ113" s="6" t="s">
        <v>2378</v>
      </c>
      <c r="DK113" s="6" t="s">
        <v>2379</v>
      </c>
      <c r="DS113" s="6" t="s">
        <v>158</v>
      </c>
      <c r="DX113" s="6" t="s">
        <v>162</v>
      </c>
      <c r="ER113" s="0" t="str">
        <f aca="false">IF(ISNUMBER(MATCH(U113,{"queued","contacted","replied","call_booked","call_done","yes_in_principle","materials_sent"},0)),"Y","N")</f>
        <v>N</v>
      </c>
      <c r="ES113" s="0" t="str">
        <f aca="false">IF(COUNTIFS($AP$2:$AP$1000,AP113,$ER$2:$ER$1000,"Y")+COUNTIFS($AP$2:$AP$1000,AP113,$T$2:$T$1000,"Y")&gt;0,"Y","N")</f>
        <v>N</v>
      </c>
      <c r="ET113" s="0" t="str">
        <f aca="false">IF(AND(U113="new",T113="N",AT113="Y",AS113="",ES113="N"),"Y","N")</f>
        <v>N</v>
      </c>
      <c r="EU113" s="0" t="str">
        <f aca="false">IF(ET113&lt;&gt;"Y","N",IF(COUNTIFS($AP$2:$AP$1000,AP113,$ET$2:$ET$1000,"Y",$J$2:$J$1000,"&gt;"&amp;J113)+COUNTIFS($AP$2:$AP$1000,AP113,$ET$2:$ET$1000,"Y",$J$2:$J$1000,J113,$EW$2:$EW$1000,"&lt;"&amp;EW113)=0,"Y","N"))</f>
        <v>N</v>
      </c>
      <c r="EV113" s="0" t="str">
        <f aca="false">IF(Y113="","N",IF(Y113&lt;=10,"Y","N"))</f>
        <v>N</v>
      </c>
      <c r="EW113" s="6" t="n">
        <f aca="false">ROW()-1</f>
        <v>112</v>
      </c>
    </row>
    <row r="114" customFormat="false" ht="15" hidden="false" customHeight="false" outlineLevel="0" collapsed="false">
      <c r="A114" s="0" t="s">
        <v>2380</v>
      </c>
      <c r="B114" s="0" t="s">
        <v>2381</v>
      </c>
      <c r="H114" s="5" t="s">
        <v>158</v>
      </c>
      <c r="I114" s="5" t="s">
        <v>159</v>
      </c>
      <c r="J114" s="6" t="n">
        <f aca="false">IF(AX114="pass",ROUND(CU114+CV114+CW114+CX114+CY114+CZ114,1),0)</f>
        <v>36</v>
      </c>
      <c r="K114" s="6" t="s">
        <v>2192</v>
      </c>
      <c r="L114" s="6" t="s">
        <v>163</v>
      </c>
      <c r="R114" s="5" t="s">
        <v>162</v>
      </c>
      <c r="S114" s="6" t="s">
        <v>163</v>
      </c>
      <c r="T114" s="5" t="s">
        <v>162</v>
      </c>
      <c r="U114" s="5" t="s">
        <v>228</v>
      </c>
      <c r="V114" s="6" t="s">
        <v>2382</v>
      </c>
      <c r="W114" s="6" t="s">
        <v>166</v>
      </c>
      <c r="X114" s="6" t="s">
        <v>167</v>
      </c>
      <c r="Y114" s="0" t="str">
        <f aca="false">IF(EU114&lt;&gt;"Y","",COUNTIFS($EU$2:$EU$1000,"Y",$J$2:$J$1000,"&gt;"&amp;J114)+COUNTIFS($EU$2:$EU$1000,"Y",$J$2:$J$1000,J114,$EW$2:$EW$1000,"&lt;"&amp;EW114)+1)</f>
        <v/>
      </c>
      <c r="Z114" s="0" t="n">
        <v>113</v>
      </c>
      <c r="AA114" s="6" t="s">
        <v>162</v>
      </c>
      <c r="AD114" s="6" t="s">
        <v>158</v>
      </c>
      <c r="AH114" s="5" t="s">
        <v>158</v>
      </c>
      <c r="AI114" s="6" t="s">
        <v>2383</v>
      </c>
      <c r="AJ114" s="6" t="s">
        <v>163</v>
      </c>
      <c r="AK114" s="6" t="s">
        <v>178</v>
      </c>
      <c r="AL114" s="6" t="s">
        <v>163</v>
      </c>
      <c r="AM114" s="6" t="s">
        <v>163</v>
      </c>
      <c r="AN114" s="6" t="s">
        <v>158</v>
      </c>
      <c r="AO114" s="6" t="s">
        <v>163</v>
      </c>
      <c r="AP114" s="6" t="s">
        <v>2380</v>
      </c>
      <c r="AQ114" s="5" t="s">
        <v>162</v>
      </c>
      <c r="AT114" s="0" t="str">
        <f aca="false">IF(AND(AX114="pass",AQ114&lt;&gt;"Y",C114&lt;&gt;"",OR(AW114&lt;&gt;"Y",AV114="Y")),"Y","N")</f>
        <v>N</v>
      </c>
      <c r="AU114" s="0" t="str">
        <f aca="false">_xlfn.TEXTJOIN("; ",TRUE(),IF(AX114&lt;&gt;"pass","gated out",""),IF(AQ114="Y","on hold: "&amp;AR114,""),IF(C114="","no contact named on an opened page",""),IF(AND(AW114="Y",AV114&lt;&gt;"Y"),"Tuesday estimate band "&amp;L114&amp;": founder's call",""))</f>
        <v>no contact named on an opened page</v>
      </c>
      <c r="AW114" s="6" t="s">
        <v>162</v>
      </c>
      <c r="AX114" s="6" t="s">
        <v>181</v>
      </c>
      <c r="AY114" s="6" t="s">
        <v>182</v>
      </c>
      <c r="AZ114" s="6" t="s">
        <v>1</v>
      </c>
      <c r="BA114" s="6" t="s">
        <v>2384</v>
      </c>
      <c r="BB114" s="6" t="s">
        <v>2385</v>
      </c>
      <c r="BC114" s="6" t="s">
        <v>2386</v>
      </c>
      <c r="BD114" s="6" t="s">
        <v>163</v>
      </c>
      <c r="BF114" s="6" t="s">
        <v>163</v>
      </c>
      <c r="BG114" s="6" t="s">
        <v>163</v>
      </c>
      <c r="BH114" s="6" t="s">
        <v>2196</v>
      </c>
      <c r="BK114" s="6" t="s">
        <v>163</v>
      </c>
      <c r="BL114" s="6" t="s">
        <v>163</v>
      </c>
      <c r="BM114" s="6" t="s">
        <v>163</v>
      </c>
      <c r="BN114" s="6" t="s">
        <v>163</v>
      </c>
      <c r="BO114" s="6" t="s">
        <v>163</v>
      </c>
      <c r="BP114" s="6" t="s">
        <v>193</v>
      </c>
      <c r="BQ114" s="0" t="n">
        <v>40.73827</v>
      </c>
      <c r="BR114" s="0" t="n">
        <v>-73.988199</v>
      </c>
      <c r="BS114" s="6" t="s">
        <v>168</v>
      </c>
      <c r="BT114" s="0" t="n">
        <v>0</v>
      </c>
      <c r="BU114" s="6" t="s">
        <v>2387</v>
      </c>
      <c r="BV114" s="6" t="s">
        <v>2388</v>
      </c>
      <c r="BW114" s="6" t="s">
        <v>2382</v>
      </c>
      <c r="BX114" s="6" t="s">
        <v>166</v>
      </c>
      <c r="BY114" s="6" t="s">
        <v>196</v>
      </c>
      <c r="BZ114" s="6" t="s">
        <v>2389</v>
      </c>
      <c r="CA114" s="6" t="s">
        <v>2390</v>
      </c>
      <c r="CC114" s="6" t="s">
        <v>200</v>
      </c>
      <c r="CE114" s="6" t="s">
        <v>162</v>
      </c>
      <c r="CH114" s="6" t="s">
        <v>163</v>
      </c>
      <c r="CJ114" s="6" t="s">
        <v>163</v>
      </c>
      <c r="CK114" s="6" t="s">
        <v>162</v>
      </c>
      <c r="CL114" s="6" t="s">
        <v>163</v>
      </c>
      <c r="CO114" s="6" t="s">
        <v>163</v>
      </c>
      <c r="CQ114" s="6" t="s">
        <v>2197</v>
      </c>
      <c r="CR114" s="6" t="s">
        <v>206</v>
      </c>
      <c r="CS114" s="6" t="s">
        <v>163</v>
      </c>
      <c r="CT114" s="0" t="n">
        <v>36</v>
      </c>
      <c r="CU114" s="0" t="n">
        <v>7</v>
      </c>
      <c r="CV114" s="0" t="n">
        <v>8</v>
      </c>
      <c r="CW114" s="0" t="n">
        <v>6</v>
      </c>
      <c r="CX114" s="0" t="n">
        <v>15</v>
      </c>
      <c r="CY114" s="6" t="n">
        <f aca="false">IF(AH114="exact",10,IF(AH114="adjacent",5,0))</f>
        <v>0</v>
      </c>
      <c r="CZ114" s="6" t="n">
        <f aca="false">IF(R114="Y",15,0)</f>
        <v>0</v>
      </c>
      <c r="DF114" s="6" t="s">
        <v>158</v>
      </c>
      <c r="DG114" s="6" t="s">
        <v>211</v>
      </c>
      <c r="DK114" s="6" t="s">
        <v>2391</v>
      </c>
      <c r="DS114" s="6" t="s">
        <v>158</v>
      </c>
      <c r="DX114" s="6" t="s">
        <v>162</v>
      </c>
      <c r="ER114" s="0" t="str">
        <f aca="false">IF(ISNUMBER(MATCH(U114,{"queued","contacted","replied","call_booked","call_done","yes_in_principle","materials_sent"},0)),"Y","N")</f>
        <v>N</v>
      </c>
      <c r="ES114" s="0" t="str">
        <f aca="false">IF(COUNTIFS($AP$2:$AP$1000,AP114,$ER$2:$ER$1000,"Y")+COUNTIFS($AP$2:$AP$1000,AP114,$T$2:$T$1000,"Y")&gt;0,"Y","N")</f>
        <v>N</v>
      </c>
      <c r="ET114" s="0" t="str">
        <f aca="false">IF(AND(U114="new",T114="N",AT114="Y",AS114="",ES114="N"),"Y","N")</f>
        <v>N</v>
      </c>
      <c r="EU114" s="0" t="str">
        <f aca="false">IF(ET114&lt;&gt;"Y","N",IF(COUNTIFS($AP$2:$AP$1000,AP114,$ET$2:$ET$1000,"Y",$J$2:$J$1000,"&gt;"&amp;J114)+COUNTIFS($AP$2:$AP$1000,AP114,$ET$2:$ET$1000,"Y",$J$2:$J$1000,J114,$EW$2:$EW$1000,"&lt;"&amp;EW114)=0,"Y","N"))</f>
        <v>N</v>
      </c>
      <c r="EV114" s="0" t="str">
        <f aca="false">IF(Y114="","N",IF(Y114&lt;=10,"Y","N"))</f>
        <v>N</v>
      </c>
      <c r="EW114" s="6" t="n">
        <f aca="false">ROW()-1</f>
        <v>113</v>
      </c>
    </row>
    <row r="115" customFormat="false" ht="15" hidden="false" customHeight="false" outlineLevel="0" collapsed="false">
      <c r="A115" s="0" t="s">
        <v>2392</v>
      </c>
      <c r="B115" s="0" t="s">
        <v>2393</v>
      </c>
      <c r="H115" s="5" t="s">
        <v>158</v>
      </c>
      <c r="I115" s="5" t="s">
        <v>159</v>
      </c>
      <c r="J115" s="6" t="n">
        <f aca="false">IF(AX115="pass",ROUND(CU115+CV115+CW115+CX115+CY115+CZ115,1),0)</f>
        <v>36</v>
      </c>
      <c r="K115" s="6" t="s">
        <v>2192</v>
      </c>
      <c r="L115" s="6" t="s">
        <v>163</v>
      </c>
      <c r="R115" s="5" t="s">
        <v>162</v>
      </c>
      <c r="S115" s="6" t="s">
        <v>163</v>
      </c>
      <c r="T115" s="5" t="s">
        <v>162</v>
      </c>
      <c r="U115" s="5" t="s">
        <v>228</v>
      </c>
      <c r="V115" s="6" t="s">
        <v>2394</v>
      </c>
      <c r="W115" s="6" t="s">
        <v>166</v>
      </c>
      <c r="X115" s="6" t="s">
        <v>167</v>
      </c>
      <c r="Y115" s="0" t="str">
        <f aca="false">IF(EU115&lt;&gt;"Y","",COUNTIFS($EU$2:$EU$1000,"Y",$J$2:$J$1000,"&gt;"&amp;J115)+COUNTIFS($EU$2:$EU$1000,"Y",$J$2:$J$1000,J115,$EW$2:$EW$1000,"&lt;"&amp;EW115)+1)</f>
        <v/>
      </c>
      <c r="Z115" s="0" t="n">
        <v>114</v>
      </c>
      <c r="AA115" s="6" t="s">
        <v>162</v>
      </c>
      <c r="AD115" s="6" t="s">
        <v>158</v>
      </c>
      <c r="AH115" s="5" t="s">
        <v>158</v>
      </c>
      <c r="AI115" s="6" t="s">
        <v>1612</v>
      </c>
      <c r="AJ115" s="6" t="s">
        <v>2395</v>
      </c>
      <c r="AK115" s="6" t="s">
        <v>178</v>
      </c>
      <c r="AL115" s="6" t="s">
        <v>163</v>
      </c>
      <c r="AM115" s="6" t="s">
        <v>163</v>
      </c>
      <c r="AN115" s="6" t="s">
        <v>158</v>
      </c>
      <c r="AO115" s="6" t="s">
        <v>163</v>
      </c>
      <c r="AP115" s="6" t="s">
        <v>2392</v>
      </c>
      <c r="AQ115" s="5" t="s">
        <v>162</v>
      </c>
      <c r="AT115" s="0" t="str">
        <f aca="false">IF(AND(AX115="pass",AQ115&lt;&gt;"Y",C115&lt;&gt;"",OR(AW115&lt;&gt;"Y",AV115="Y")),"Y","N")</f>
        <v>N</v>
      </c>
      <c r="AU115" s="0" t="str">
        <f aca="false">_xlfn.TEXTJOIN("; ",TRUE(),IF(AX115&lt;&gt;"pass","gated out",""),IF(AQ115="Y","on hold: "&amp;AR115,""),IF(C115="","no contact named on an opened page",""),IF(AND(AW115="Y",AV115&lt;&gt;"Y"),"Tuesday estimate band "&amp;L115&amp;": founder's call",""))</f>
        <v>no contact named on an opened page</v>
      </c>
      <c r="AW115" s="6" t="s">
        <v>162</v>
      </c>
      <c r="AX115" s="6" t="s">
        <v>181</v>
      </c>
      <c r="AY115" s="6" t="s">
        <v>182</v>
      </c>
      <c r="AZ115" s="6" t="s">
        <v>1</v>
      </c>
      <c r="BA115" s="6" t="s">
        <v>2396</v>
      </c>
      <c r="BB115" s="6" t="s">
        <v>2397</v>
      </c>
      <c r="BC115" s="6" t="s">
        <v>2398</v>
      </c>
      <c r="BD115" s="6" t="s">
        <v>163</v>
      </c>
      <c r="BF115" s="6" t="s">
        <v>163</v>
      </c>
      <c r="BG115" s="6" t="s">
        <v>163</v>
      </c>
      <c r="BH115" s="6" t="s">
        <v>2196</v>
      </c>
      <c r="BK115" s="6" t="s">
        <v>163</v>
      </c>
      <c r="BL115" s="6" t="s">
        <v>163</v>
      </c>
      <c r="BM115" s="6" t="s">
        <v>163</v>
      </c>
      <c r="BN115" s="6" t="s">
        <v>163</v>
      </c>
      <c r="BO115" s="6" t="s">
        <v>163</v>
      </c>
      <c r="BP115" s="6" t="s">
        <v>347</v>
      </c>
      <c r="BQ115" s="0" t="n">
        <v>40.738577</v>
      </c>
      <c r="BR115" s="0" t="n">
        <v>-73.987151</v>
      </c>
      <c r="BS115" s="6" t="s">
        <v>168</v>
      </c>
      <c r="BT115" s="0" t="n">
        <v>0</v>
      </c>
      <c r="BU115" s="6" t="s">
        <v>1618</v>
      </c>
      <c r="BV115" s="6" t="s">
        <v>1619</v>
      </c>
      <c r="BW115" s="6" t="s">
        <v>2394</v>
      </c>
      <c r="BX115" s="6" t="s">
        <v>166</v>
      </c>
      <c r="BY115" s="6" t="s">
        <v>196</v>
      </c>
      <c r="BZ115" s="6" t="s">
        <v>2399</v>
      </c>
      <c r="CA115" s="6" t="s">
        <v>2400</v>
      </c>
      <c r="CC115" s="6" t="s">
        <v>200</v>
      </c>
      <c r="CE115" s="6" t="s">
        <v>162</v>
      </c>
      <c r="CH115" s="6" t="s">
        <v>163</v>
      </c>
      <c r="CJ115" s="6" t="s">
        <v>163</v>
      </c>
      <c r="CK115" s="6" t="s">
        <v>162</v>
      </c>
      <c r="CL115" s="6" t="s">
        <v>163</v>
      </c>
      <c r="CO115" s="6" t="s">
        <v>163</v>
      </c>
      <c r="CQ115" s="6" t="s">
        <v>2197</v>
      </c>
      <c r="CR115" s="6" t="s">
        <v>206</v>
      </c>
      <c r="CS115" s="6" t="s">
        <v>163</v>
      </c>
      <c r="CT115" s="0" t="n">
        <v>36</v>
      </c>
      <c r="CU115" s="0" t="n">
        <v>7</v>
      </c>
      <c r="CV115" s="0" t="n">
        <v>8</v>
      </c>
      <c r="CW115" s="0" t="n">
        <v>6</v>
      </c>
      <c r="CX115" s="0" t="n">
        <v>15</v>
      </c>
      <c r="CY115" s="6" t="n">
        <f aca="false">IF(AH115="exact",10,IF(AH115="adjacent",5,0))</f>
        <v>0</v>
      </c>
      <c r="CZ115" s="6" t="n">
        <f aca="false">IF(R115="Y",15,0)</f>
        <v>0</v>
      </c>
      <c r="DF115" s="6" t="s">
        <v>158</v>
      </c>
      <c r="DG115" s="6" t="s">
        <v>211</v>
      </c>
      <c r="DJ115" s="6" t="s">
        <v>2401</v>
      </c>
      <c r="DK115" s="6" t="s">
        <v>2402</v>
      </c>
      <c r="DS115" s="6" t="s">
        <v>158</v>
      </c>
      <c r="DX115" s="6" t="s">
        <v>162</v>
      </c>
      <c r="ER115" s="0" t="str">
        <f aca="false">IF(ISNUMBER(MATCH(U115,{"queued","contacted","replied","call_booked","call_done","yes_in_principle","materials_sent"},0)),"Y","N")</f>
        <v>N</v>
      </c>
      <c r="ES115" s="0" t="str">
        <f aca="false">IF(COUNTIFS($AP$2:$AP$1000,AP115,$ER$2:$ER$1000,"Y")+COUNTIFS($AP$2:$AP$1000,AP115,$T$2:$T$1000,"Y")&gt;0,"Y","N")</f>
        <v>N</v>
      </c>
      <c r="ET115" s="0" t="str">
        <f aca="false">IF(AND(U115="new",T115="N",AT115="Y",AS115="",ES115="N"),"Y","N")</f>
        <v>N</v>
      </c>
      <c r="EU115" s="0" t="str">
        <f aca="false">IF(ET115&lt;&gt;"Y","N",IF(COUNTIFS($AP$2:$AP$1000,AP115,$ET$2:$ET$1000,"Y",$J$2:$J$1000,"&gt;"&amp;J115)+COUNTIFS($AP$2:$AP$1000,AP115,$ET$2:$ET$1000,"Y",$J$2:$J$1000,J115,$EW$2:$EW$1000,"&lt;"&amp;EW115)=0,"Y","N"))</f>
        <v>N</v>
      </c>
      <c r="EV115" s="0" t="str">
        <f aca="false">IF(Y115="","N",IF(Y115&lt;=10,"Y","N"))</f>
        <v>N</v>
      </c>
      <c r="EW115" s="6" t="n">
        <f aca="false">ROW()-1</f>
        <v>114</v>
      </c>
    </row>
    <row r="116" customFormat="false" ht="15" hidden="false" customHeight="false" outlineLevel="0" collapsed="false">
      <c r="A116" s="0" t="s">
        <v>2403</v>
      </c>
      <c r="B116" s="0" t="s">
        <v>2404</v>
      </c>
      <c r="H116" s="5" t="s">
        <v>158</v>
      </c>
      <c r="I116" s="5" t="s">
        <v>159</v>
      </c>
      <c r="J116" s="6" t="n">
        <f aca="false">IF(AX116="pass",ROUND(CU116+CV116+CW116+CX116+CY116+CZ116,1),0)</f>
        <v>36</v>
      </c>
      <c r="K116" s="6" t="s">
        <v>2192</v>
      </c>
      <c r="L116" s="6" t="s">
        <v>163</v>
      </c>
      <c r="O116" s="6" t="s">
        <v>2405</v>
      </c>
      <c r="P116" s="6" t="s">
        <v>2406</v>
      </c>
      <c r="Q116" s="6" t="s">
        <v>2407</v>
      </c>
      <c r="R116" s="5" t="s">
        <v>162</v>
      </c>
      <c r="S116" s="6" t="s">
        <v>163</v>
      </c>
      <c r="T116" s="5" t="s">
        <v>162</v>
      </c>
      <c r="U116" s="5" t="s">
        <v>228</v>
      </c>
      <c r="V116" s="6" t="s">
        <v>2406</v>
      </c>
      <c r="W116" s="6" t="s">
        <v>166</v>
      </c>
      <c r="X116" s="6" t="s">
        <v>167</v>
      </c>
      <c r="Y116" s="0" t="str">
        <f aca="false">IF(EU116&lt;&gt;"Y","",COUNTIFS($EU$2:$EU$1000,"Y",$J$2:$J$1000,"&gt;"&amp;J116)+COUNTIFS($EU$2:$EU$1000,"Y",$J$2:$J$1000,J116,$EW$2:$EW$1000,"&lt;"&amp;EW116)+1)</f>
        <v/>
      </c>
      <c r="Z116" s="0" t="n">
        <v>115</v>
      </c>
      <c r="AA116" s="6" t="s">
        <v>162</v>
      </c>
      <c r="AD116" s="6" t="s">
        <v>158</v>
      </c>
      <c r="AH116" s="5" t="s">
        <v>158</v>
      </c>
      <c r="AI116" s="6" t="s">
        <v>2408</v>
      </c>
      <c r="AJ116" s="6" t="s">
        <v>2409</v>
      </c>
      <c r="AK116" s="6" t="s">
        <v>178</v>
      </c>
      <c r="AL116" s="6" t="s">
        <v>163</v>
      </c>
      <c r="AM116" s="6" t="s">
        <v>163</v>
      </c>
      <c r="AN116" s="6" t="s">
        <v>158</v>
      </c>
      <c r="AO116" s="6" t="s">
        <v>163</v>
      </c>
      <c r="AP116" s="6" t="s">
        <v>2403</v>
      </c>
      <c r="AQ116" s="5" t="s">
        <v>162</v>
      </c>
      <c r="AT116" s="0" t="str">
        <f aca="false">IF(AND(AX116="pass",AQ116&lt;&gt;"Y",C116&lt;&gt;"",OR(AW116&lt;&gt;"Y",AV116="Y")),"Y","N")</f>
        <v>N</v>
      </c>
      <c r="AU116" s="0" t="str">
        <f aca="false">_xlfn.TEXTJOIN("; ",TRUE(),IF(AX116&lt;&gt;"pass","gated out",""),IF(AQ116="Y","on hold: "&amp;AR116,""),IF(C116="","no contact named on an opened page",""),IF(AND(AW116="Y",AV116&lt;&gt;"Y"),"Tuesday estimate band "&amp;L116&amp;": founder's call",""))</f>
        <v>no contact named on an opened page</v>
      </c>
      <c r="AW116" s="6" t="s">
        <v>162</v>
      </c>
      <c r="AX116" s="6" t="s">
        <v>181</v>
      </c>
      <c r="AY116" s="6" t="s">
        <v>182</v>
      </c>
      <c r="AZ116" s="6" t="s">
        <v>1</v>
      </c>
      <c r="BA116" s="6" t="s">
        <v>2410</v>
      </c>
      <c r="BB116" s="6" t="s">
        <v>2411</v>
      </c>
      <c r="BC116" s="6" t="s">
        <v>2412</v>
      </c>
      <c r="BD116" s="6" t="s">
        <v>163</v>
      </c>
      <c r="BF116" s="6" t="s">
        <v>163</v>
      </c>
      <c r="BG116" s="6" t="s">
        <v>163</v>
      </c>
      <c r="BH116" s="6" t="s">
        <v>2196</v>
      </c>
      <c r="BK116" s="6" t="s">
        <v>163</v>
      </c>
      <c r="BL116" s="6" t="s">
        <v>163</v>
      </c>
      <c r="BM116" s="6" t="s">
        <v>163</v>
      </c>
      <c r="BN116" s="6" t="s">
        <v>163</v>
      </c>
      <c r="BO116" s="6" t="s">
        <v>163</v>
      </c>
      <c r="BP116" s="6" t="s">
        <v>347</v>
      </c>
      <c r="BQ116" s="0" t="n">
        <v>40.742477</v>
      </c>
      <c r="BR116" s="0" t="n">
        <v>-73.986608</v>
      </c>
      <c r="BS116" s="6" t="s">
        <v>168</v>
      </c>
      <c r="BT116" s="0" t="n">
        <v>0</v>
      </c>
      <c r="BU116" s="6" t="s">
        <v>2413</v>
      </c>
      <c r="BV116" s="6" t="s">
        <v>2414</v>
      </c>
      <c r="BW116" s="6" t="s">
        <v>2406</v>
      </c>
      <c r="BX116" s="6" t="s">
        <v>2407</v>
      </c>
      <c r="BY116" s="6" t="s">
        <v>248</v>
      </c>
      <c r="BZ116" s="6" t="s">
        <v>2415</v>
      </c>
      <c r="CA116" s="6" t="s">
        <v>166</v>
      </c>
      <c r="CC116" s="6" t="s">
        <v>200</v>
      </c>
      <c r="CE116" s="6" t="s">
        <v>162</v>
      </c>
      <c r="CH116" s="6" t="s">
        <v>201</v>
      </c>
      <c r="CI116" s="6" t="s">
        <v>2416</v>
      </c>
      <c r="CJ116" s="6" t="s">
        <v>163</v>
      </c>
      <c r="CK116" s="6" t="s">
        <v>162</v>
      </c>
      <c r="CL116" s="6" t="s">
        <v>163</v>
      </c>
      <c r="CO116" s="6" t="s">
        <v>163</v>
      </c>
      <c r="CQ116" s="6" t="s">
        <v>2197</v>
      </c>
      <c r="CR116" s="6" t="s">
        <v>206</v>
      </c>
      <c r="CS116" s="6" t="s">
        <v>163</v>
      </c>
      <c r="CT116" s="0" t="n">
        <v>36</v>
      </c>
      <c r="CU116" s="0" t="n">
        <v>7</v>
      </c>
      <c r="CV116" s="0" t="n">
        <v>8</v>
      </c>
      <c r="CW116" s="0" t="n">
        <v>6</v>
      </c>
      <c r="CX116" s="0" t="n">
        <v>15</v>
      </c>
      <c r="CY116" s="6" t="n">
        <f aca="false">IF(AH116="exact",10,IF(AH116="adjacent",5,0))</f>
        <v>0</v>
      </c>
      <c r="CZ116" s="6" t="n">
        <f aca="false">IF(R116="Y",15,0)</f>
        <v>0</v>
      </c>
      <c r="DF116" s="6" t="s">
        <v>158</v>
      </c>
      <c r="DG116" s="6" t="s">
        <v>211</v>
      </c>
      <c r="DJ116" s="6" t="s">
        <v>2417</v>
      </c>
      <c r="DK116" s="6" t="s">
        <v>2418</v>
      </c>
      <c r="DS116" s="6" t="s">
        <v>158</v>
      </c>
      <c r="DX116" s="6" t="s">
        <v>162</v>
      </c>
      <c r="ER116" s="0" t="str">
        <f aca="false">IF(ISNUMBER(MATCH(U116,{"queued","contacted","replied","call_booked","call_done","yes_in_principle","materials_sent"},0)),"Y","N")</f>
        <v>N</v>
      </c>
      <c r="ES116" s="0" t="str">
        <f aca="false">IF(COUNTIFS($AP$2:$AP$1000,AP116,$ER$2:$ER$1000,"Y")+COUNTIFS($AP$2:$AP$1000,AP116,$T$2:$T$1000,"Y")&gt;0,"Y","N")</f>
        <v>N</v>
      </c>
      <c r="ET116" s="0" t="str">
        <f aca="false">IF(AND(U116="new",T116="N",AT116="Y",AS116="",ES116="N"),"Y","N")</f>
        <v>N</v>
      </c>
      <c r="EU116" s="0" t="str">
        <f aca="false">IF(ET116&lt;&gt;"Y","N",IF(COUNTIFS($AP$2:$AP$1000,AP116,$ET$2:$ET$1000,"Y",$J$2:$J$1000,"&gt;"&amp;J116)+COUNTIFS($AP$2:$AP$1000,AP116,$ET$2:$ET$1000,"Y",$J$2:$J$1000,J116,$EW$2:$EW$1000,"&lt;"&amp;EW116)=0,"Y","N"))</f>
        <v>N</v>
      </c>
      <c r="EV116" s="0" t="str">
        <f aca="false">IF(Y116="","N",IF(Y116&lt;=10,"Y","N"))</f>
        <v>N</v>
      </c>
      <c r="EW116" s="6" t="n">
        <f aca="false">ROW()-1</f>
        <v>115</v>
      </c>
    </row>
    <row r="117" customFormat="false" ht="15" hidden="false" customHeight="false" outlineLevel="0" collapsed="false">
      <c r="A117" s="0" t="s">
        <v>2419</v>
      </c>
      <c r="B117" s="0" t="s">
        <v>2420</v>
      </c>
      <c r="H117" s="5" t="s">
        <v>158</v>
      </c>
      <c r="I117" s="5" t="s">
        <v>159</v>
      </c>
      <c r="J117" s="6" t="n">
        <f aca="false">IF(AX117="pass",ROUND(CU117+CV117+CW117+CX117+CY117+CZ117,1),0)</f>
        <v>36</v>
      </c>
      <c r="K117" s="6" t="s">
        <v>2192</v>
      </c>
      <c r="L117" s="6" t="s">
        <v>163</v>
      </c>
      <c r="R117" s="5" t="s">
        <v>162</v>
      </c>
      <c r="S117" s="6" t="s">
        <v>163</v>
      </c>
      <c r="T117" s="5" t="s">
        <v>162</v>
      </c>
      <c r="U117" s="5" t="s">
        <v>228</v>
      </c>
      <c r="V117" s="6" t="s">
        <v>2421</v>
      </c>
      <c r="W117" s="6" t="s">
        <v>166</v>
      </c>
      <c r="X117" s="6" t="s">
        <v>167</v>
      </c>
      <c r="Y117" s="0" t="str">
        <f aca="false">IF(EU117&lt;&gt;"Y","",COUNTIFS($EU$2:$EU$1000,"Y",$J$2:$J$1000,"&gt;"&amp;J117)+COUNTIFS($EU$2:$EU$1000,"Y",$J$2:$J$1000,J117,$EW$2:$EW$1000,"&lt;"&amp;EW117)+1)</f>
        <v/>
      </c>
      <c r="Z117" s="0" t="n">
        <v>116</v>
      </c>
      <c r="AA117" s="6" t="s">
        <v>162</v>
      </c>
      <c r="AD117" s="6" t="s">
        <v>158</v>
      </c>
      <c r="AH117" s="5" t="s">
        <v>158</v>
      </c>
      <c r="AI117" s="6" t="s">
        <v>1474</v>
      </c>
      <c r="AJ117" s="6" t="s">
        <v>2422</v>
      </c>
      <c r="AK117" s="6" t="s">
        <v>178</v>
      </c>
      <c r="AL117" s="6" t="s">
        <v>163</v>
      </c>
      <c r="AM117" s="6" t="s">
        <v>163</v>
      </c>
      <c r="AN117" s="6" t="s">
        <v>158</v>
      </c>
      <c r="AO117" s="6" t="s">
        <v>163</v>
      </c>
      <c r="AP117" s="6" t="s">
        <v>2419</v>
      </c>
      <c r="AQ117" s="5" t="s">
        <v>162</v>
      </c>
      <c r="AT117" s="0" t="str">
        <f aca="false">IF(AND(AX117="pass",AQ117&lt;&gt;"Y",C117&lt;&gt;"",OR(AW117&lt;&gt;"Y",AV117="Y")),"Y","N")</f>
        <v>N</v>
      </c>
      <c r="AU117" s="0" t="str">
        <f aca="false">_xlfn.TEXTJOIN("; ",TRUE(),IF(AX117&lt;&gt;"pass","gated out",""),IF(AQ117="Y","on hold: "&amp;AR117,""),IF(C117="","no contact named on an opened page",""),IF(AND(AW117="Y",AV117&lt;&gt;"Y"),"Tuesday estimate band "&amp;L117&amp;": founder's call",""))</f>
        <v>no contact named on an opened page</v>
      </c>
      <c r="AW117" s="6" t="s">
        <v>162</v>
      </c>
      <c r="AX117" s="6" t="s">
        <v>181</v>
      </c>
      <c r="AY117" s="6" t="s">
        <v>182</v>
      </c>
      <c r="AZ117" s="6" t="s">
        <v>1</v>
      </c>
      <c r="BA117" s="6" t="s">
        <v>2423</v>
      </c>
      <c r="BB117" s="6" t="s">
        <v>2424</v>
      </c>
      <c r="BC117" s="6" t="s">
        <v>2425</v>
      </c>
      <c r="BD117" s="6" t="s">
        <v>163</v>
      </c>
      <c r="BF117" s="6" t="s">
        <v>163</v>
      </c>
      <c r="BG117" s="6" t="s">
        <v>163</v>
      </c>
      <c r="BH117" s="6" t="s">
        <v>2196</v>
      </c>
      <c r="BK117" s="6" t="s">
        <v>163</v>
      </c>
      <c r="BL117" s="6" t="s">
        <v>163</v>
      </c>
      <c r="BM117" s="6" t="s">
        <v>163</v>
      </c>
      <c r="BN117" s="6" t="s">
        <v>163</v>
      </c>
      <c r="BO117" s="6" t="s">
        <v>163</v>
      </c>
      <c r="BP117" s="6" t="s">
        <v>347</v>
      </c>
      <c r="BQ117" s="0" t="n">
        <v>40.741968</v>
      </c>
      <c r="BR117" s="0" t="n">
        <v>-73.985327</v>
      </c>
      <c r="BS117" s="6" t="s">
        <v>168</v>
      </c>
      <c r="BT117" s="0" t="n">
        <v>0</v>
      </c>
      <c r="BU117" s="6" t="s">
        <v>1481</v>
      </c>
      <c r="BV117" s="6" t="s">
        <v>1482</v>
      </c>
      <c r="BW117" s="6" t="s">
        <v>2421</v>
      </c>
      <c r="BX117" s="6" t="s">
        <v>166</v>
      </c>
      <c r="BY117" s="6" t="s">
        <v>196</v>
      </c>
      <c r="BZ117" s="6" t="s">
        <v>2032</v>
      </c>
      <c r="CA117" s="6" t="s">
        <v>2033</v>
      </c>
      <c r="CC117" s="6" t="s">
        <v>200</v>
      </c>
      <c r="CE117" s="6" t="s">
        <v>162</v>
      </c>
      <c r="CH117" s="6" t="s">
        <v>163</v>
      </c>
      <c r="CJ117" s="6" t="s">
        <v>163</v>
      </c>
      <c r="CK117" s="6" t="s">
        <v>162</v>
      </c>
      <c r="CL117" s="6" t="s">
        <v>163</v>
      </c>
      <c r="CO117" s="6" t="s">
        <v>163</v>
      </c>
      <c r="CQ117" s="6" t="s">
        <v>2197</v>
      </c>
      <c r="CR117" s="6" t="s">
        <v>206</v>
      </c>
      <c r="CS117" s="6" t="s">
        <v>163</v>
      </c>
      <c r="CT117" s="0" t="n">
        <v>36</v>
      </c>
      <c r="CU117" s="0" t="n">
        <v>7</v>
      </c>
      <c r="CV117" s="0" t="n">
        <v>8</v>
      </c>
      <c r="CW117" s="0" t="n">
        <v>6</v>
      </c>
      <c r="CX117" s="0" t="n">
        <v>15</v>
      </c>
      <c r="CY117" s="6" t="n">
        <f aca="false">IF(AH117="exact",10,IF(AH117="adjacent",5,0))</f>
        <v>0</v>
      </c>
      <c r="CZ117" s="6" t="n">
        <f aca="false">IF(R117="Y",15,0)</f>
        <v>0</v>
      </c>
      <c r="DF117" s="6" t="s">
        <v>158</v>
      </c>
      <c r="DG117" s="6" t="s">
        <v>211</v>
      </c>
      <c r="DJ117" s="6" t="s">
        <v>2426</v>
      </c>
      <c r="DK117" s="6" t="s">
        <v>2427</v>
      </c>
      <c r="DS117" s="6" t="s">
        <v>158</v>
      </c>
      <c r="DX117" s="6" t="s">
        <v>162</v>
      </c>
      <c r="ER117" s="0" t="str">
        <f aca="false">IF(ISNUMBER(MATCH(U117,{"queued","contacted","replied","call_booked","call_done","yes_in_principle","materials_sent"},0)),"Y","N")</f>
        <v>N</v>
      </c>
      <c r="ES117" s="0" t="str">
        <f aca="false">IF(COUNTIFS($AP$2:$AP$1000,AP117,$ER$2:$ER$1000,"Y")+COUNTIFS($AP$2:$AP$1000,AP117,$T$2:$T$1000,"Y")&gt;0,"Y","N")</f>
        <v>N</v>
      </c>
      <c r="ET117" s="0" t="str">
        <f aca="false">IF(AND(U117="new",T117="N",AT117="Y",AS117="",ES117="N"),"Y","N")</f>
        <v>N</v>
      </c>
      <c r="EU117" s="0" t="str">
        <f aca="false">IF(ET117&lt;&gt;"Y","N",IF(COUNTIFS($AP$2:$AP$1000,AP117,$ET$2:$ET$1000,"Y",$J$2:$J$1000,"&gt;"&amp;J117)+COUNTIFS($AP$2:$AP$1000,AP117,$ET$2:$ET$1000,"Y",$J$2:$J$1000,J117,$EW$2:$EW$1000,"&lt;"&amp;EW117)=0,"Y","N"))</f>
        <v>N</v>
      </c>
      <c r="EV117" s="0" t="str">
        <f aca="false">IF(Y117="","N",IF(Y117&lt;=10,"Y","N"))</f>
        <v>N</v>
      </c>
      <c r="EW117" s="6" t="n">
        <f aca="false">ROW()-1</f>
        <v>116</v>
      </c>
    </row>
    <row r="118" customFormat="false" ht="15" hidden="false" customHeight="false" outlineLevel="0" collapsed="false">
      <c r="A118" s="0" t="s">
        <v>2428</v>
      </c>
      <c r="B118" s="0" t="s">
        <v>2429</v>
      </c>
      <c r="H118" s="5" t="s">
        <v>158</v>
      </c>
      <c r="I118" s="5" t="s">
        <v>159</v>
      </c>
      <c r="J118" s="6" t="n">
        <f aca="false">IF(AX118="pass",ROUND(CU118+CV118+CW118+CX118+CY118+CZ118,1),0)</f>
        <v>36</v>
      </c>
      <c r="K118" s="6" t="s">
        <v>2192</v>
      </c>
      <c r="L118" s="6" t="s">
        <v>163</v>
      </c>
      <c r="R118" s="5" t="s">
        <v>162</v>
      </c>
      <c r="S118" s="6" t="s">
        <v>163</v>
      </c>
      <c r="T118" s="5" t="s">
        <v>162</v>
      </c>
      <c r="U118" s="5" t="s">
        <v>228</v>
      </c>
      <c r="V118" s="6" t="s">
        <v>2430</v>
      </c>
      <c r="W118" s="6" t="s">
        <v>166</v>
      </c>
      <c r="X118" s="6" t="s">
        <v>167</v>
      </c>
      <c r="Y118" s="0" t="str">
        <f aca="false">IF(EU118&lt;&gt;"Y","",COUNTIFS($EU$2:$EU$1000,"Y",$J$2:$J$1000,"&gt;"&amp;J118)+COUNTIFS($EU$2:$EU$1000,"Y",$J$2:$J$1000,J118,$EW$2:$EW$1000,"&lt;"&amp;EW118)+1)</f>
        <v/>
      </c>
      <c r="Z118" s="0" t="n">
        <v>117</v>
      </c>
      <c r="AA118" s="6" t="s">
        <v>162</v>
      </c>
      <c r="AD118" s="6" t="s">
        <v>158</v>
      </c>
      <c r="AH118" s="5" t="s">
        <v>158</v>
      </c>
      <c r="AI118" s="6" t="s">
        <v>2431</v>
      </c>
      <c r="AJ118" s="6" t="s">
        <v>163</v>
      </c>
      <c r="AK118" s="6" t="s">
        <v>178</v>
      </c>
      <c r="AL118" s="6" t="s">
        <v>163</v>
      </c>
      <c r="AM118" s="6" t="s">
        <v>163</v>
      </c>
      <c r="AN118" s="6" t="s">
        <v>158</v>
      </c>
      <c r="AO118" s="6" t="s">
        <v>163</v>
      </c>
      <c r="AP118" s="6" t="s">
        <v>2428</v>
      </c>
      <c r="AQ118" s="5" t="s">
        <v>162</v>
      </c>
      <c r="AT118" s="0" t="str">
        <f aca="false">IF(AND(AX118="pass",AQ118&lt;&gt;"Y",C118&lt;&gt;"",OR(AW118&lt;&gt;"Y",AV118="Y")),"Y","N")</f>
        <v>N</v>
      </c>
      <c r="AU118" s="0" t="str">
        <f aca="false">_xlfn.TEXTJOIN("; ",TRUE(),IF(AX118&lt;&gt;"pass","gated out",""),IF(AQ118="Y","on hold: "&amp;AR118,""),IF(C118="","no contact named on an opened page",""),IF(AND(AW118="Y",AV118&lt;&gt;"Y"),"Tuesday estimate band "&amp;L118&amp;": founder's call",""))</f>
        <v>no contact named on an opened page</v>
      </c>
      <c r="AW118" s="6" t="s">
        <v>162</v>
      </c>
      <c r="AX118" s="6" t="s">
        <v>181</v>
      </c>
      <c r="AY118" s="6" t="s">
        <v>182</v>
      </c>
      <c r="AZ118" s="6" t="s">
        <v>1</v>
      </c>
      <c r="BA118" s="6" t="s">
        <v>2432</v>
      </c>
      <c r="BB118" s="6" t="s">
        <v>2433</v>
      </c>
      <c r="BC118" s="6" t="s">
        <v>2434</v>
      </c>
      <c r="BD118" s="6" t="s">
        <v>163</v>
      </c>
      <c r="BF118" s="6" t="s">
        <v>163</v>
      </c>
      <c r="BG118" s="6" t="s">
        <v>163</v>
      </c>
      <c r="BH118" s="6" t="s">
        <v>2196</v>
      </c>
      <c r="BK118" s="6" t="s">
        <v>163</v>
      </c>
      <c r="BL118" s="6" t="s">
        <v>192</v>
      </c>
      <c r="BM118" s="6" t="s">
        <v>168</v>
      </c>
      <c r="BN118" s="6" t="s">
        <v>163</v>
      </c>
      <c r="BO118" s="6" t="s">
        <v>163</v>
      </c>
      <c r="BP118" s="6" t="s">
        <v>378</v>
      </c>
      <c r="BQ118" s="0" t="n">
        <v>40.739345</v>
      </c>
      <c r="BR118" s="0" t="n">
        <v>-73.993191</v>
      </c>
      <c r="BS118" s="6" t="s">
        <v>168</v>
      </c>
      <c r="BT118" s="0" t="n">
        <v>0</v>
      </c>
      <c r="BU118" s="6" t="s">
        <v>2182</v>
      </c>
      <c r="BV118" s="6" t="s">
        <v>2183</v>
      </c>
      <c r="BW118" s="6" t="s">
        <v>2430</v>
      </c>
      <c r="BX118" s="6" t="s">
        <v>166</v>
      </c>
      <c r="BY118" s="6" t="s">
        <v>196</v>
      </c>
      <c r="BZ118" s="6" t="s">
        <v>2435</v>
      </c>
      <c r="CA118" s="6" t="s">
        <v>166</v>
      </c>
      <c r="CC118" s="6" t="s">
        <v>200</v>
      </c>
      <c r="CE118" s="6" t="s">
        <v>162</v>
      </c>
      <c r="CH118" s="6" t="s">
        <v>1707</v>
      </c>
      <c r="CI118" s="6" t="s">
        <v>2186</v>
      </c>
      <c r="CJ118" s="6" t="s">
        <v>163</v>
      </c>
      <c r="CK118" s="6" t="s">
        <v>162</v>
      </c>
      <c r="CL118" s="6" t="s">
        <v>163</v>
      </c>
      <c r="CO118" s="6" t="s">
        <v>163</v>
      </c>
      <c r="CQ118" s="6" t="s">
        <v>2197</v>
      </c>
      <c r="CR118" s="6" t="s">
        <v>206</v>
      </c>
      <c r="CS118" s="6" t="s">
        <v>163</v>
      </c>
      <c r="CT118" s="0" t="n">
        <v>36</v>
      </c>
      <c r="CU118" s="0" t="n">
        <v>7</v>
      </c>
      <c r="CV118" s="0" t="n">
        <v>8</v>
      </c>
      <c r="CW118" s="0" t="n">
        <v>6</v>
      </c>
      <c r="CX118" s="0" t="n">
        <v>15</v>
      </c>
      <c r="CY118" s="6" t="n">
        <f aca="false">IF(AH118="exact",10,IF(AH118="adjacent",5,0))</f>
        <v>0</v>
      </c>
      <c r="CZ118" s="6" t="n">
        <f aca="false">IF(R118="Y",15,0)</f>
        <v>0</v>
      </c>
      <c r="DF118" s="6" t="s">
        <v>158</v>
      </c>
      <c r="DG118" s="6" t="s">
        <v>211</v>
      </c>
      <c r="DJ118" s="6" t="s">
        <v>2436</v>
      </c>
      <c r="DK118" s="6" t="s">
        <v>2437</v>
      </c>
      <c r="DS118" s="6" t="s">
        <v>158</v>
      </c>
      <c r="DX118" s="6" t="s">
        <v>162</v>
      </c>
      <c r="ER118" s="0" t="str">
        <f aca="false">IF(ISNUMBER(MATCH(U118,{"queued","contacted","replied","call_booked","call_done","yes_in_principle","materials_sent"},0)),"Y","N")</f>
        <v>N</v>
      </c>
      <c r="ES118" s="0" t="str">
        <f aca="false">IF(COUNTIFS($AP$2:$AP$1000,AP118,$ER$2:$ER$1000,"Y")+COUNTIFS($AP$2:$AP$1000,AP118,$T$2:$T$1000,"Y")&gt;0,"Y","N")</f>
        <v>N</v>
      </c>
      <c r="ET118" s="0" t="str">
        <f aca="false">IF(AND(U118="new",T118="N",AT118="Y",AS118="",ES118="N"),"Y","N")</f>
        <v>N</v>
      </c>
      <c r="EU118" s="0" t="str">
        <f aca="false">IF(ET118&lt;&gt;"Y","N",IF(COUNTIFS($AP$2:$AP$1000,AP118,$ET$2:$ET$1000,"Y",$J$2:$J$1000,"&gt;"&amp;J118)+COUNTIFS($AP$2:$AP$1000,AP118,$ET$2:$ET$1000,"Y",$J$2:$J$1000,J118,$EW$2:$EW$1000,"&lt;"&amp;EW118)=0,"Y","N"))</f>
        <v>N</v>
      </c>
      <c r="EV118" s="0" t="str">
        <f aca="false">IF(Y118="","N",IF(Y118&lt;=10,"Y","N"))</f>
        <v>N</v>
      </c>
      <c r="EW118" s="6" t="n">
        <f aca="false">ROW()-1</f>
        <v>117</v>
      </c>
    </row>
    <row r="119" customFormat="false" ht="15" hidden="false" customHeight="false" outlineLevel="0" collapsed="false">
      <c r="A119" s="0" t="s">
        <v>2438</v>
      </c>
      <c r="B119" s="0" t="s">
        <v>2439</v>
      </c>
      <c r="H119" s="5" t="s">
        <v>158</v>
      </c>
      <c r="I119" s="5" t="s">
        <v>159</v>
      </c>
      <c r="J119" s="6" t="n">
        <f aca="false">IF(AX119="pass",ROUND(CU119+CV119+CW119+CX119+CY119+CZ119,1),0)</f>
        <v>36</v>
      </c>
      <c r="K119" s="6" t="s">
        <v>2192</v>
      </c>
      <c r="L119" s="6" t="s">
        <v>163</v>
      </c>
      <c r="R119" s="5" t="s">
        <v>162</v>
      </c>
      <c r="S119" s="6" t="s">
        <v>163</v>
      </c>
      <c r="T119" s="5" t="s">
        <v>162</v>
      </c>
      <c r="U119" s="5" t="s">
        <v>228</v>
      </c>
      <c r="V119" s="6" t="s">
        <v>2440</v>
      </c>
      <c r="W119" s="6" t="s">
        <v>166</v>
      </c>
      <c r="X119" s="6" t="s">
        <v>167</v>
      </c>
      <c r="Y119" s="0" t="str">
        <f aca="false">IF(EU119&lt;&gt;"Y","",COUNTIFS($EU$2:$EU$1000,"Y",$J$2:$J$1000,"&gt;"&amp;J119)+COUNTIFS($EU$2:$EU$1000,"Y",$J$2:$J$1000,J119,$EW$2:$EW$1000,"&lt;"&amp;EW119)+1)</f>
        <v/>
      </c>
      <c r="Z119" s="0" t="n">
        <v>118</v>
      </c>
      <c r="AA119" s="6" t="s">
        <v>162</v>
      </c>
      <c r="AD119" s="6" t="s">
        <v>158</v>
      </c>
      <c r="AH119" s="5" t="s">
        <v>158</v>
      </c>
      <c r="AI119" s="6" t="s">
        <v>2441</v>
      </c>
      <c r="AJ119" s="6" t="s">
        <v>2442</v>
      </c>
      <c r="AK119" s="6" t="s">
        <v>178</v>
      </c>
      <c r="AL119" s="6" t="s">
        <v>163</v>
      </c>
      <c r="AM119" s="6" t="s">
        <v>163</v>
      </c>
      <c r="AN119" s="6" t="s">
        <v>158</v>
      </c>
      <c r="AO119" s="6" t="s">
        <v>163</v>
      </c>
      <c r="AP119" s="6" t="s">
        <v>2438</v>
      </c>
      <c r="AQ119" s="5" t="s">
        <v>162</v>
      </c>
      <c r="AT119" s="0" t="str">
        <f aca="false">IF(AND(AX119="pass",AQ119&lt;&gt;"Y",C119&lt;&gt;"",OR(AW119&lt;&gt;"Y",AV119="Y")),"Y","N")</f>
        <v>N</v>
      </c>
      <c r="AU119" s="0" t="str">
        <f aca="false">_xlfn.TEXTJOIN("; ",TRUE(),IF(AX119&lt;&gt;"pass","gated out",""),IF(AQ119="Y","on hold: "&amp;AR119,""),IF(C119="","no contact named on an opened page",""),IF(AND(AW119="Y",AV119&lt;&gt;"Y"),"Tuesday estimate band "&amp;L119&amp;": founder's call",""))</f>
        <v>no contact named on an opened page</v>
      </c>
      <c r="AW119" s="6" t="s">
        <v>162</v>
      </c>
      <c r="AX119" s="6" t="s">
        <v>181</v>
      </c>
      <c r="AY119" s="6" t="s">
        <v>182</v>
      </c>
      <c r="AZ119" s="6" t="s">
        <v>1</v>
      </c>
      <c r="BA119" s="6" t="s">
        <v>2443</v>
      </c>
      <c r="BB119" s="6" t="s">
        <v>2444</v>
      </c>
      <c r="BC119" s="6" t="s">
        <v>2445</v>
      </c>
      <c r="BD119" s="6" t="s">
        <v>163</v>
      </c>
      <c r="BF119" s="6" t="s">
        <v>163</v>
      </c>
      <c r="BG119" s="6" t="s">
        <v>163</v>
      </c>
      <c r="BH119" s="6" t="s">
        <v>2196</v>
      </c>
      <c r="BK119" s="6" t="s">
        <v>163</v>
      </c>
      <c r="BL119" s="6" t="s">
        <v>2446</v>
      </c>
      <c r="BM119" s="6" t="s">
        <v>162</v>
      </c>
      <c r="BN119" s="6" t="s">
        <v>163</v>
      </c>
      <c r="BO119" s="6" t="s">
        <v>163</v>
      </c>
      <c r="BP119" s="6" t="s">
        <v>712</v>
      </c>
      <c r="BQ119" s="0" t="n">
        <v>40.743942</v>
      </c>
      <c r="BR119" s="0" t="n">
        <v>-73.988072</v>
      </c>
      <c r="BS119" s="6" t="s">
        <v>168</v>
      </c>
      <c r="BT119" s="0" t="n">
        <v>0</v>
      </c>
      <c r="BU119" s="6" t="s">
        <v>2447</v>
      </c>
      <c r="BV119" s="6" t="s">
        <v>2448</v>
      </c>
      <c r="BW119" s="6" t="s">
        <v>2440</v>
      </c>
      <c r="BX119" s="6" t="s">
        <v>2449</v>
      </c>
      <c r="BY119" s="6" t="s">
        <v>248</v>
      </c>
      <c r="BZ119" s="6" t="s">
        <v>2450</v>
      </c>
      <c r="CA119" s="6" t="s">
        <v>166</v>
      </c>
      <c r="CC119" s="6" t="s">
        <v>200</v>
      </c>
      <c r="CE119" s="6" t="s">
        <v>162</v>
      </c>
      <c r="CH119" s="6" t="s">
        <v>163</v>
      </c>
      <c r="CJ119" s="6" t="s">
        <v>163</v>
      </c>
      <c r="CK119" s="6" t="s">
        <v>162</v>
      </c>
      <c r="CL119" s="6" t="s">
        <v>163</v>
      </c>
      <c r="CO119" s="6" t="s">
        <v>163</v>
      </c>
      <c r="CQ119" s="6" t="s">
        <v>2197</v>
      </c>
      <c r="CR119" s="6" t="s">
        <v>206</v>
      </c>
      <c r="CS119" s="6" t="s">
        <v>163</v>
      </c>
      <c r="CT119" s="0" t="n">
        <v>36</v>
      </c>
      <c r="CU119" s="0" t="n">
        <v>7</v>
      </c>
      <c r="CV119" s="0" t="n">
        <v>8</v>
      </c>
      <c r="CW119" s="0" t="n">
        <v>6</v>
      </c>
      <c r="CX119" s="0" t="n">
        <v>15</v>
      </c>
      <c r="CY119" s="6" t="n">
        <f aca="false">IF(AH119="exact",10,IF(AH119="adjacent",5,0))</f>
        <v>0</v>
      </c>
      <c r="CZ119" s="6" t="n">
        <f aca="false">IF(R119="Y",15,0)</f>
        <v>0</v>
      </c>
      <c r="DF119" s="6" t="s">
        <v>158</v>
      </c>
      <c r="DG119" s="6" t="s">
        <v>211</v>
      </c>
      <c r="DJ119" s="6" t="s">
        <v>2451</v>
      </c>
      <c r="DK119" s="6" t="s">
        <v>2452</v>
      </c>
      <c r="DS119" s="6" t="s">
        <v>158</v>
      </c>
      <c r="DX119" s="6" t="s">
        <v>162</v>
      </c>
      <c r="ER119" s="0" t="str">
        <f aca="false">IF(ISNUMBER(MATCH(U119,{"queued","contacted","replied","call_booked","call_done","yes_in_principle","materials_sent"},0)),"Y","N")</f>
        <v>N</v>
      </c>
      <c r="ES119" s="0" t="str">
        <f aca="false">IF(COUNTIFS($AP$2:$AP$1000,AP119,$ER$2:$ER$1000,"Y")+COUNTIFS($AP$2:$AP$1000,AP119,$T$2:$T$1000,"Y")&gt;0,"Y","N")</f>
        <v>N</v>
      </c>
      <c r="ET119" s="0" t="str">
        <f aca="false">IF(AND(U119="new",T119="N",AT119="Y",AS119="",ES119="N"),"Y","N")</f>
        <v>N</v>
      </c>
      <c r="EU119" s="0" t="str">
        <f aca="false">IF(ET119&lt;&gt;"Y","N",IF(COUNTIFS($AP$2:$AP$1000,AP119,$ET$2:$ET$1000,"Y",$J$2:$J$1000,"&gt;"&amp;J119)+COUNTIFS($AP$2:$AP$1000,AP119,$ET$2:$ET$1000,"Y",$J$2:$J$1000,J119,$EW$2:$EW$1000,"&lt;"&amp;EW119)=0,"Y","N"))</f>
        <v>N</v>
      </c>
      <c r="EV119" s="0" t="str">
        <f aca="false">IF(Y119="","N",IF(Y119&lt;=10,"Y","N"))</f>
        <v>N</v>
      </c>
      <c r="EW119" s="6" t="n">
        <f aca="false">ROW()-1</f>
        <v>118</v>
      </c>
    </row>
    <row r="120" customFormat="false" ht="15" hidden="false" customHeight="false" outlineLevel="0" collapsed="false">
      <c r="A120" s="0" t="s">
        <v>2453</v>
      </c>
      <c r="B120" s="0" t="s">
        <v>2454</v>
      </c>
      <c r="H120" s="5" t="s">
        <v>158</v>
      </c>
      <c r="I120" s="5" t="s">
        <v>159</v>
      </c>
      <c r="J120" s="6" t="n">
        <f aca="false">IF(AX120="pass",ROUND(CU120+CV120+CW120+CX120+CY120+CZ120,1),0)</f>
        <v>36</v>
      </c>
      <c r="K120" s="6" t="s">
        <v>2192</v>
      </c>
      <c r="L120" s="6" t="s">
        <v>163</v>
      </c>
      <c r="R120" s="5" t="s">
        <v>162</v>
      </c>
      <c r="S120" s="6" t="s">
        <v>163</v>
      </c>
      <c r="T120" s="5" t="s">
        <v>162</v>
      </c>
      <c r="U120" s="5" t="s">
        <v>228</v>
      </c>
      <c r="V120" s="6" t="s">
        <v>2455</v>
      </c>
      <c r="W120" s="6" t="s">
        <v>166</v>
      </c>
      <c r="X120" s="6" t="s">
        <v>167</v>
      </c>
      <c r="Y120" s="0" t="str">
        <f aca="false">IF(EU120&lt;&gt;"Y","",COUNTIFS($EU$2:$EU$1000,"Y",$J$2:$J$1000,"&gt;"&amp;J120)+COUNTIFS($EU$2:$EU$1000,"Y",$J$2:$J$1000,J120,$EW$2:$EW$1000,"&lt;"&amp;EW120)+1)</f>
        <v/>
      </c>
      <c r="Z120" s="0" t="n">
        <v>119</v>
      </c>
      <c r="AA120" s="6" t="s">
        <v>162</v>
      </c>
      <c r="AD120" s="6" t="s">
        <v>158</v>
      </c>
      <c r="AH120" s="5" t="s">
        <v>158</v>
      </c>
      <c r="AI120" s="6" t="s">
        <v>649</v>
      </c>
      <c r="AJ120" s="6" t="s">
        <v>2456</v>
      </c>
      <c r="AK120" s="6" t="s">
        <v>178</v>
      </c>
      <c r="AL120" s="6" t="s">
        <v>163</v>
      </c>
      <c r="AM120" s="6" t="s">
        <v>163</v>
      </c>
      <c r="AN120" s="6" t="s">
        <v>158</v>
      </c>
      <c r="AO120" s="6" t="s">
        <v>163</v>
      </c>
      <c r="AP120" s="6" t="s">
        <v>2453</v>
      </c>
      <c r="AQ120" s="5" t="s">
        <v>162</v>
      </c>
      <c r="AT120" s="0" t="str">
        <f aca="false">IF(AND(AX120="pass",AQ120&lt;&gt;"Y",C120&lt;&gt;"",OR(AW120&lt;&gt;"Y",AV120="Y")),"Y","N")</f>
        <v>N</v>
      </c>
      <c r="AU120" s="0" t="str">
        <f aca="false">_xlfn.TEXTJOIN("; ",TRUE(),IF(AX120&lt;&gt;"pass","gated out",""),IF(AQ120="Y","on hold: "&amp;AR120,""),IF(C120="","no contact named on an opened page",""),IF(AND(AW120="Y",AV120&lt;&gt;"Y"),"Tuesday estimate band "&amp;L120&amp;": founder's call",""))</f>
        <v>no contact named on an opened page</v>
      </c>
      <c r="AW120" s="6" t="s">
        <v>162</v>
      </c>
      <c r="AX120" s="6" t="s">
        <v>181</v>
      </c>
      <c r="AY120" s="6" t="s">
        <v>182</v>
      </c>
      <c r="AZ120" s="6" t="s">
        <v>1</v>
      </c>
      <c r="BA120" s="6" t="s">
        <v>2457</v>
      </c>
      <c r="BB120" s="6" t="s">
        <v>2458</v>
      </c>
      <c r="BC120" s="6" t="s">
        <v>2459</v>
      </c>
      <c r="BD120" s="6" t="s">
        <v>163</v>
      </c>
      <c r="BF120" s="6" t="s">
        <v>163</v>
      </c>
      <c r="BG120" s="6" t="s">
        <v>163</v>
      </c>
      <c r="BH120" s="6" t="s">
        <v>2196</v>
      </c>
      <c r="BK120" s="6" t="s">
        <v>163</v>
      </c>
      <c r="BL120" s="6" t="s">
        <v>163</v>
      </c>
      <c r="BM120" s="6" t="s">
        <v>163</v>
      </c>
      <c r="BN120" s="6" t="s">
        <v>163</v>
      </c>
      <c r="BO120" s="6" t="s">
        <v>163</v>
      </c>
      <c r="BP120" s="6" t="s">
        <v>193</v>
      </c>
      <c r="BQ120" s="0" t="n">
        <v>40.733674</v>
      </c>
      <c r="BR120" s="0" t="n">
        <v>-73.988766</v>
      </c>
      <c r="BS120" s="6" t="s">
        <v>168</v>
      </c>
      <c r="BT120" s="0" t="n">
        <v>0</v>
      </c>
      <c r="BU120" s="6" t="s">
        <v>657</v>
      </c>
      <c r="BV120" s="6" t="s">
        <v>658</v>
      </c>
      <c r="BW120" s="6" t="s">
        <v>2455</v>
      </c>
      <c r="BX120" s="6" t="s">
        <v>174</v>
      </c>
      <c r="BY120" s="6" t="s">
        <v>196</v>
      </c>
      <c r="BZ120" s="6" t="s">
        <v>2460</v>
      </c>
      <c r="CA120" s="6" t="s">
        <v>2461</v>
      </c>
      <c r="CC120" s="6" t="s">
        <v>200</v>
      </c>
      <c r="CE120" s="6" t="s">
        <v>162</v>
      </c>
      <c r="CH120" s="6" t="s">
        <v>163</v>
      </c>
      <c r="CJ120" s="6" t="s">
        <v>163</v>
      </c>
      <c r="CK120" s="6" t="s">
        <v>162</v>
      </c>
      <c r="CL120" s="6" t="s">
        <v>163</v>
      </c>
      <c r="CO120" s="6" t="s">
        <v>163</v>
      </c>
      <c r="CQ120" s="6" t="s">
        <v>2197</v>
      </c>
      <c r="CR120" s="6" t="s">
        <v>206</v>
      </c>
      <c r="CS120" s="6" t="s">
        <v>163</v>
      </c>
      <c r="CT120" s="0" t="n">
        <v>36</v>
      </c>
      <c r="CU120" s="0" t="n">
        <v>7</v>
      </c>
      <c r="CV120" s="0" t="n">
        <v>8</v>
      </c>
      <c r="CW120" s="0" t="n">
        <v>6</v>
      </c>
      <c r="CX120" s="0" t="n">
        <v>15</v>
      </c>
      <c r="CY120" s="6" t="n">
        <f aca="false">IF(AH120="exact",10,IF(AH120="adjacent",5,0))</f>
        <v>0</v>
      </c>
      <c r="CZ120" s="6" t="n">
        <f aca="false">IF(R120="Y",15,0)</f>
        <v>0</v>
      </c>
      <c r="DF120" s="6" t="s">
        <v>158</v>
      </c>
      <c r="DG120" s="6" t="s">
        <v>211</v>
      </c>
      <c r="DJ120" s="6" t="s">
        <v>2462</v>
      </c>
      <c r="DK120" s="6" t="s">
        <v>2463</v>
      </c>
      <c r="DS120" s="6" t="s">
        <v>158</v>
      </c>
      <c r="DX120" s="6" t="s">
        <v>162</v>
      </c>
      <c r="ER120" s="0" t="str">
        <f aca="false">IF(ISNUMBER(MATCH(U120,{"queued","contacted","replied","call_booked","call_done","yes_in_principle","materials_sent"},0)),"Y","N")</f>
        <v>N</v>
      </c>
      <c r="ES120" s="0" t="str">
        <f aca="false">IF(COUNTIFS($AP$2:$AP$1000,AP120,$ER$2:$ER$1000,"Y")+COUNTIFS($AP$2:$AP$1000,AP120,$T$2:$T$1000,"Y")&gt;0,"Y","N")</f>
        <v>N</v>
      </c>
      <c r="ET120" s="0" t="str">
        <f aca="false">IF(AND(U120="new",T120="N",AT120="Y",AS120="",ES120="N"),"Y","N")</f>
        <v>N</v>
      </c>
      <c r="EU120" s="0" t="str">
        <f aca="false">IF(ET120&lt;&gt;"Y","N",IF(COUNTIFS($AP$2:$AP$1000,AP120,$ET$2:$ET$1000,"Y",$J$2:$J$1000,"&gt;"&amp;J120)+COUNTIFS($AP$2:$AP$1000,AP120,$ET$2:$ET$1000,"Y",$J$2:$J$1000,J120,$EW$2:$EW$1000,"&lt;"&amp;EW120)=0,"Y","N"))</f>
        <v>N</v>
      </c>
      <c r="EV120" s="0" t="str">
        <f aca="false">IF(Y120="","N",IF(Y120&lt;=10,"Y","N"))</f>
        <v>N</v>
      </c>
      <c r="EW120" s="6" t="n">
        <f aca="false">ROW()-1</f>
        <v>119</v>
      </c>
    </row>
    <row r="121" customFormat="false" ht="15" hidden="false" customHeight="false" outlineLevel="0" collapsed="false">
      <c r="A121" s="0" t="s">
        <v>2464</v>
      </c>
      <c r="B121" s="0" t="s">
        <v>2465</v>
      </c>
      <c r="H121" s="5" t="s">
        <v>158</v>
      </c>
      <c r="I121" s="5" t="s">
        <v>159</v>
      </c>
      <c r="J121" s="6" t="n">
        <f aca="false">IF(AX121="pass",ROUND(CU121+CV121+CW121+CX121+CY121+CZ121,1),0)</f>
        <v>36</v>
      </c>
      <c r="K121" s="6" t="s">
        <v>2192</v>
      </c>
      <c r="L121" s="6" t="s">
        <v>163</v>
      </c>
      <c r="R121" s="5" t="s">
        <v>162</v>
      </c>
      <c r="S121" s="6" t="s">
        <v>163</v>
      </c>
      <c r="T121" s="5" t="s">
        <v>162</v>
      </c>
      <c r="U121" s="5" t="s">
        <v>228</v>
      </c>
      <c r="V121" s="6" t="s">
        <v>2466</v>
      </c>
      <c r="W121" s="6" t="s">
        <v>166</v>
      </c>
      <c r="X121" s="6" t="s">
        <v>167</v>
      </c>
      <c r="Y121" s="0" t="str">
        <f aca="false">IF(EU121&lt;&gt;"Y","",COUNTIFS($EU$2:$EU$1000,"Y",$J$2:$J$1000,"&gt;"&amp;J121)+COUNTIFS($EU$2:$EU$1000,"Y",$J$2:$J$1000,J121,$EW$2:$EW$1000,"&lt;"&amp;EW121)+1)</f>
        <v/>
      </c>
      <c r="Z121" s="0" t="n">
        <v>120</v>
      </c>
      <c r="AA121" s="6" t="s">
        <v>162</v>
      </c>
      <c r="AD121" s="6" t="s">
        <v>158</v>
      </c>
      <c r="AH121" s="5" t="s">
        <v>158</v>
      </c>
      <c r="AI121" s="6" t="s">
        <v>2408</v>
      </c>
      <c r="AJ121" s="6" t="s">
        <v>784</v>
      </c>
      <c r="AK121" s="6" t="s">
        <v>178</v>
      </c>
      <c r="AL121" s="6" t="s">
        <v>163</v>
      </c>
      <c r="AM121" s="6" t="s">
        <v>163</v>
      </c>
      <c r="AN121" s="6" t="s">
        <v>158</v>
      </c>
      <c r="AO121" s="6" t="s">
        <v>163</v>
      </c>
      <c r="AP121" s="6" t="s">
        <v>2464</v>
      </c>
      <c r="AQ121" s="5" t="s">
        <v>162</v>
      </c>
      <c r="AT121" s="0" t="str">
        <f aca="false">IF(AND(AX121="pass",AQ121&lt;&gt;"Y",C121&lt;&gt;"",OR(AW121&lt;&gt;"Y",AV121="Y")),"Y","N")</f>
        <v>N</v>
      </c>
      <c r="AU121" s="0" t="str">
        <f aca="false">_xlfn.TEXTJOIN("; ",TRUE(),IF(AX121&lt;&gt;"pass","gated out",""),IF(AQ121="Y","on hold: "&amp;AR121,""),IF(C121="","no contact named on an opened page",""),IF(AND(AW121="Y",AV121&lt;&gt;"Y"),"Tuesday estimate band "&amp;L121&amp;": founder's call",""))</f>
        <v>no contact named on an opened page</v>
      </c>
      <c r="AW121" s="6" t="s">
        <v>162</v>
      </c>
      <c r="AX121" s="6" t="s">
        <v>181</v>
      </c>
      <c r="AY121" s="6" t="s">
        <v>182</v>
      </c>
      <c r="AZ121" s="6" t="s">
        <v>1</v>
      </c>
      <c r="BA121" s="6" t="s">
        <v>2467</v>
      </c>
      <c r="BB121" s="6" t="s">
        <v>2468</v>
      </c>
      <c r="BC121" s="6" t="s">
        <v>1737</v>
      </c>
      <c r="BD121" s="6" t="s">
        <v>163</v>
      </c>
      <c r="BF121" s="6" t="s">
        <v>163</v>
      </c>
      <c r="BG121" s="6" t="s">
        <v>163</v>
      </c>
      <c r="BH121" s="6" t="s">
        <v>2196</v>
      </c>
      <c r="BK121" s="6" t="s">
        <v>163</v>
      </c>
      <c r="BL121" s="6" t="s">
        <v>163</v>
      </c>
      <c r="BM121" s="6" t="s">
        <v>163</v>
      </c>
      <c r="BN121" s="6" t="s">
        <v>163</v>
      </c>
      <c r="BO121" s="6" t="s">
        <v>163</v>
      </c>
      <c r="BP121" s="6" t="s">
        <v>347</v>
      </c>
      <c r="BQ121" s="0" t="n">
        <v>40.742477</v>
      </c>
      <c r="BR121" s="0" t="n">
        <v>-73.986608</v>
      </c>
      <c r="BS121" s="6" t="s">
        <v>168</v>
      </c>
      <c r="BT121" s="0" t="n">
        <v>0</v>
      </c>
      <c r="BU121" s="6" t="s">
        <v>2413</v>
      </c>
      <c r="BV121" s="6" t="s">
        <v>2414</v>
      </c>
      <c r="BW121" s="6" t="s">
        <v>2466</v>
      </c>
      <c r="BX121" s="6" t="s">
        <v>166</v>
      </c>
      <c r="BY121" s="6" t="s">
        <v>196</v>
      </c>
      <c r="BZ121" s="6" t="s">
        <v>2469</v>
      </c>
      <c r="CA121" s="6" t="s">
        <v>409</v>
      </c>
      <c r="CC121" s="6" t="s">
        <v>200</v>
      </c>
      <c r="CE121" s="6" t="s">
        <v>162</v>
      </c>
      <c r="CH121" s="6" t="s">
        <v>201</v>
      </c>
      <c r="CI121" s="6" t="s">
        <v>2416</v>
      </c>
      <c r="CJ121" s="6" t="s">
        <v>163</v>
      </c>
      <c r="CK121" s="6" t="s">
        <v>162</v>
      </c>
      <c r="CL121" s="6" t="s">
        <v>163</v>
      </c>
      <c r="CO121" s="6" t="s">
        <v>163</v>
      </c>
      <c r="CQ121" s="6" t="s">
        <v>2197</v>
      </c>
      <c r="CR121" s="6" t="s">
        <v>206</v>
      </c>
      <c r="CS121" s="6" t="s">
        <v>163</v>
      </c>
      <c r="CT121" s="0" t="n">
        <v>36</v>
      </c>
      <c r="CU121" s="0" t="n">
        <v>7</v>
      </c>
      <c r="CV121" s="0" t="n">
        <v>8</v>
      </c>
      <c r="CW121" s="0" t="n">
        <v>6</v>
      </c>
      <c r="CX121" s="0" t="n">
        <v>15</v>
      </c>
      <c r="CY121" s="6" t="n">
        <f aca="false">IF(AH121="exact",10,IF(AH121="adjacent",5,0))</f>
        <v>0</v>
      </c>
      <c r="CZ121" s="6" t="n">
        <f aca="false">IF(R121="Y",15,0)</f>
        <v>0</v>
      </c>
      <c r="DF121" s="6" t="s">
        <v>158</v>
      </c>
      <c r="DG121" s="6" t="s">
        <v>211</v>
      </c>
      <c r="DJ121" s="6" t="s">
        <v>2470</v>
      </c>
      <c r="DK121" s="6" t="s">
        <v>2471</v>
      </c>
      <c r="DS121" s="6" t="s">
        <v>158</v>
      </c>
      <c r="DX121" s="6" t="s">
        <v>162</v>
      </c>
      <c r="ER121" s="0" t="str">
        <f aca="false">IF(ISNUMBER(MATCH(U121,{"queued","contacted","replied","call_booked","call_done","yes_in_principle","materials_sent"},0)),"Y","N")</f>
        <v>N</v>
      </c>
      <c r="ES121" s="0" t="str">
        <f aca="false">IF(COUNTIFS($AP$2:$AP$1000,AP121,$ER$2:$ER$1000,"Y")+COUNTIFS($AP$2:$AP$1000,AP121,$T$2:$T$1000,"Y")&gt;0,"Y","N")</f>
        <v>N</v>
      </c>
      <c r="ET121" s="0" t="str">
        <f aca="false">IF(AND(U121="new",T121="N",AT121="Y",AS121="",ES121="N"),"Y","N")</f>
        <v>N</v>
      </c>
      <c r="EU121" s="0" t="str">
        <f aca="false">IF(ET121&lt;&gt;"Y","N",IF(COUNTIFS($AP$2:$AP$1000,AP121,$ET$2:$ET$1000,"Y",$J$2:$J$1000,"&gt;"&amp;J121)+COUNTIFS($AP$2:$AP$1000,AP121,$ET$2:$ET$1000,"Y",$J$2:$J$1000,J121,$EW$2:$EW$1000,"&lt;"&amp;EW121)=0,"Y","N"))</f>
        <v>N</v>
      </c>
      <c r="EV121" s="0" t="str">
        <f aca="false">IF(Y121="","N",IF(Y121&lt;=10,"Y","N"))</f>
        <v>N</v>
      </c>
      <c r="EW121" s="6" t="n">
        <f aca="false">ROW()-1</f>
        <v>120</v>
      </c>
    </row>
    <row r="122" customFormat="false" ht="15" hidden="false" customHeight="false" outlineLevel="0" collapsed="false">
      <c r="A122" s="0" t="s">
        <v>2472</v>
      </c>
      <c r="B122" s="0" t="s">
        <v>2473</v>
      </c>
      <c r="H122" s="5" t="s">
        <v>158</v>
      </c>
      <c r="I122" s="5" t="s">
        <v>159</v>
      </c>
      <c r="J122" s="6" t="n">
        <f aca="false">IF(AX122="pass",ROUND(CU122+CV122+CW122+CX122+CY122+CZ122,1),0)</f>
        <v>36</v>
      </c>
      <c r="K122" s="6" t="s">
        <v>2225</v>
      </c>
      <c r="L122" s="6" t="s">
        <v>163</v>
      </c>
      <c r="R122" s="5" t="s">
        <v>162</v>
      </c>
      <c r="S122" s="6" t="s">
        <v>163</v>
      </c>
      <c r="T122" s="5" t="s">
        <v>162</v>
      </c>
      <c r="U122" s="5" t="s">
        <v>228</v>
      </c>
      <c r="V122" s="6" t="s">
        <v>2474</v>
      </c>
      <c r="W122" s="6" t="s">
        <v>166</v>
      </c>
      <c r="X122" s="6" t="s">
        <v>167</v>
      </c>
      <c r="Y122" s="0" t="str">
        <f aca="false">IF(EU122&lt;&gt;"Y","",COUNTIFS($EU$2:$EU$1000,"Y",$J$2:$J$1000,"&gt;"&amp;J122)+COUNTIFS($EU$2:$EU$1000,"Y",$J$2:$J$1000,J122,$EW$2:$EW$1000,"&lt;"&amp;EW122)+1)</f>
        <v/>
      </c>
      <c r="Z122" s="0" t="n">
        <v>121</v>
      </c>
      <c r="AA122" s="6" t="s">
        <v>162</v>
      </c>
      <c r="AD122" s="6" t="s">
        <v>158</v>
      </c>
      <c r="AH122" s="5" t="s">
        <v>158</v>
      </c>
      <c r="AI122" s="6" t="s">
        <v>2475</v>
      </c>
      <c r="AJ122" s="6" t="s">
        <v>2476</v>
      </c>
      <c r="AK122" s="6" t="s">
        <v>2228</v>
      </c>
      <c r="AL122" s="6" t="s">
        <v>163</v>
      </c>
      <c r="AM122" s="6" t="s">
        <v>163</v>
      </c>
      <c r="AN122" s="6" t="s">
        <v>158</v>
      </c>
      <c r="AO122" s="6" t="s">
        <v>163</v>
      </c>
      <c r="AP122" s="6" t="s">
        <v>2477</v>
      </c>
      <c r="AQ122" s="5" t="s">
        <v>162</v>
      </c>
      <c r="AT122" s="0" t="str">
        <f aca="false">IF(AND(AX122="pass",AQ122&lt;&gt;"Y",C122&lt;&gt;"",OR(AW122&lt;&gt;"Y",AV122="Y")),"Y","N")</f>
        <v>N</v>
      </c>
      <c r="AU122" s="0" t="str">
        <f aca="false">_xlfn.TEXTJOIN("; ",TRUE(),IF(AX122&lt;&gt;"pass","gated out",""),IF(AQ122="Y","on hold: "&amp;AR122,""),IF(C122="","no contact named on an opened page",""),IF(AND(AW122="Y",AV122&lt;&gt;"Y"),"Tuesday estimate band "&amp;L122&amp;": founder's call",""))</f>
        <v>no contact named on an opened page</v>
      </c>
      <c r="AW122" s="6" t="s">
        <v>162</v>
      </c>
      <c r="AX122" s="6" t="s">
        <v>181</v>
      </c>
      <c r="AY122" s="6" t="s">
        <v>182</v>
      </c>
      <c r="AZ122" s="6" t="s">
        <v>2229</v>
      </c>
      <c r="BA122" s="6" t="s">
        <v>2478</v>
      </c>
      <c r="BB122" s="6" t="s">
        <v>2479</v>
      </c>
      <c r="BC122" s="6" t="s">
        <v>2232</v>
      </c>
      <c r="BD122" s="6" t="s">
        <v>163</v>
      </c>
      <c r="BF122" s="6" t="s">
        <v>163</v>
      </c>
      <c r="BG122" s="6" t="s">
        <v>163</v>
      </c>
      <c r="BK122" s="6" t="s">
        <v>163</v>
      </c>
      <c r="BL122" s="6" t="s">
        <v>2233</v>
      </c>
      <c r="BM122" s="6" t="s">
        <v>163</v>
      </c>
      <c r="BN122" s="6" t="s">
        <v>2480</v>
      </c>
      <c r="BP122" s="6" t="s">
        <v>193</v>
      </c>
      <c r="BQ122" s="0" t="n">
        <v>40.739015</v>
      </c>
      <c r="BR122" s="0" t="n">
        <v>-73.989998</v>
      </c>
      <c r="BS122" s="6" t="s">
        <v>168</v>
      </c>
      <c r="BT122" s="0" t="n">
        <v>0</v>
      </c>
      <c r="BU122" s="6" t="s">
        <v>2481</v>
      </c>
      <c r="BV122" s="6" t="s">
        <v>2482</v>
      </c>
      <c r="BW122" s="6" t="s">
        <v>2474</v>
      </c>
      <c r="BX122" s="6" t="s">
        <v>2483</v>
      </c>
      <c r="BY122" s="6" t="s">
        <v>2237</v>
      </c>
      <c r="BZ122" s="6" t="s">
        <v>2484</v>
      </c>
      <c r="CC122" s="6" t="s">
        <v>200</v>
      </c>
      <c r="CE122" s="6" t="s">
        <v>162</v>
      </c>
      <c r="CF122" s="6" t="s">
        <v>2478</v>
      </c>
      <c r="CG122" s="6" t="s">
        <v>2239</v>
      </c>
      <c r="CH122" s="6" t="s">
        <v>163</v>
      </c>
      <c r="CJ122" s="6" t="s">
        <v>163</v>
      </c>
      <c r="CK122" s="6" t="s">
        <v>162</v>
      </c>
      <c r="CL122" s="6" t="s">
        <v>163</v>
      </c>
      <c r="CO122" s="6" t="s">
        <v>163</v>
      </c>
      <c r="CQ122" s="6" t="s">
        <v>2240</v>
      </c>
      <c r="CR122" s="6" t="s">
        <v>206</v>
      </c>
      <c r="CS122" s="6" t="s">
        <v>163</v>
      </c>
      <c r="CT122" s="0" t="n">
        <v>36</v>
      </c>
      <c r="CU122" s="0" t="n">
        <v>7</v>
      </c>
      <c r="CV122" s="0" t="n">
        <v>8</v>
      </c>
      <c r="CW122" s="0" t="n">
        <v>6</v>
      </c>
      <c r="CX122" s="0" t="n">
        <v>15</v>
      </c>
      <c r="CY122" s="6" t="n">
        <f aca="false">IF(AH122="exact",10,IF(AH122="adjacent",5,0))</f>
        <v>0</v>
      </c>
      <c r="CZ122" s="6" t="n">
        <f aca="false">IF(R122="Y",15,0)</f>
        <v>0</v>
      </c>
      <c r="DF122" s="6" t="s">
        <v>158</v>
      </c>
      <c r="DG122" s="6" t="s">
        <v>2229</v>
      </c>
      <c r="DK122" s="6" t="s">
        <v>2485</v>
      </c>
      <c r="DS122" s="6" t="s">
        <v>158</v>
      </c>
      <c r="DX122" s="6" t="s">
        <v>162</v>
      </c>
      <c r="DZ122" s="6" t="s">
        <v>2486</v>
      </c>
      <c r="ER122" s="0" t="str">
        <f aca="false">IF(ISNUMBER(MATCH(U122,{"queued","contacted","replied","call_booked","call_done","yes_in_principle","materials_sent"},0)),"Y","N")</f>
        <v>N</v>
      </c>
      <c r="ES122" s="0" t="str">
        <f aca="false">IF(COUNTIFS($AP$2:$AP$1000,AP122,$ER$2:$ER$1000,"Y")+COUNTIFS($AP$2:$AP$1000,AP122,$T$2:$T$1000,"Y")&gt;0,"Y","N")</f>
        <v>N</v>
      </c>
      <c r="ET122" s="0" t="str">
        <f aca="false">IF(AND(U122="new",T122="N",AT122="Y",AS122="",ES122="N"),"Y","N")</f>
        <v>N</v>
      </c>
      <c r="EU122" s="0" t="str">
        <f aca="false">IF(ET122&lt;&gt;"Y","N",IF(COUNTIFS($AP$2:$AP$1000,AP122,$ET$2:$ET$1000,"Y",$J$2:$J$1000,"&gt;"&amp;J122)+COUNTIFS($AP$2:$AP$1000,AP122,$ET$2:$ET$1000,"Y",$J$2:$J$1000,J122,$EW$2:$EW$1000,"&lt;"&amp;EW122)=0,"Y","N"))</f>
        <v>N</v>
      </c>
      <c r="EV122" s="0" t="str">
        <f aca="false">IF(Y122="","N",IF(Y122&lt;=10,"Y","N"))</f>
        <v>N</v>
      </c>
      <c r="EW122" s="6" t="n">
        <f aca="false">ROW()-1</f>
        <v>121</v>
      </c>
    </row>
    <row r="123" customFormat="false" ht="15" hidden="false" customHeight="false" outlineLevel="0" collapsed="false">
      <c r="A123" s="0" t="s">
        <v>2487</v>
      </c>
      <c r="B123" s="0" t="s">
        <v>2488</v>
      </c>
      <c r="H123" s="5" t="s">
        <v>158</v>
      </c>
      <c r="I123" s="5" t="s">
        <v>159</v>
      </c>
      <c r="J123" s="6" t="n">
        <f aca="false">IF(AX123="pass",ROUND(CU123+CV123+CW123+CX123+CY123+CZ123,1),0)</f>
        <v>36</v>
      </c>
      <c r="K123" s="6" t="s">
        <v>2225</v>
      </c>
      <c r="L123" s="6" t="s">
        <v>163</v>
      </c>
      <c r="R123" s="5" t="s">
        <v>162</v>
      </c>
      <c r="S123" s="6" t="s">
        <v>163</v>
      </c>
      <c r="T123" s="5" t="s">
        <v>162</v>
      </c>
      <c r="U123" s="5" t="s">
        <v>228</v>
      </c>
      <c r="V123" s="6" t="s">
        <v>2484</v>
      </c>
      <c r="W123" s="6" t="s">
        <v>166</v>
      </c>
      <c r="X123" s="6" t="s">
        <v>167</v>
      </c>
      <c r="Y123" s="0" t="str">
        <f aca="false">IF(EU123&lt;&gt;"Y","",COUNTIFS($EU$2:$EU$1000,"Y",$J$2:$J$1000,"&gt;"&amp;J123)+COUNTIFS($EU$2:$EU$1000,"Y",$J$2:$J$1000,J123,$EW$2:$EW$1000,"&lt;"&amp;EW123)+1)</f>
        <v/>
      </c>
      <c r="Z123" s="0" t="n">
        <v>122</v>
      </c>
      <c r="AA123" s="6" t="s">
        <v>162</v>
      </c>
      <c r="AD123" s="6" t="s">
        <v>158</v>
      </c>
      <c r="AH123" s="5" t="s">
        <v>158</v>
      </c>
      <c r="AI123" s="6" t="s">
        <v>2489</v>
      </c>
      <c r="AJ123" s="6" t="s">
        <v>2476</v>
      </c>
      <c r="AK123" s="6" t="s">
        <v>2228</v>
      </c>
      <c r="AL123" s="6" t="s">
        <v>163</v>
      </c>
      <c r="AM123" s="6" t="s">
        <v>163</v>
      </c>
      <c r="AN123" s="6" t="s">
        <v>158</v>
      </c>
      <c r="AO123" s="6" t="s">
        <v>163</v>
      </c>
      <c r="AP123" s="6" t="s">
        <v>2477</v>
      </c>
      <c r="AQ123" s="5" t="s">
        <v>162</v>
      </c>
      <c r="AT123" s="0" t="str">
        <f aca="false">IF(AND(AX123="pass",AQ123&lt;&gt;"Y",C123&lt;&gt;"",OR(AW123&lt;&gt;"Y",AV123="Y")),"Y","N")</f>
        <v>N</v>
      </c>
      <c r="AU123" s="0" t="str">
        <f aca="false">_xlfn.TEXTJOIN("; ",TRUE(),IF(AX123&lt;&gt;"pass","gated out",""),IF(AQ123="Y","on hold: "&amp;AR123,""),IF(C123="","no contact named on an opened page",""),IF(AND(AW123="Y",AV123&lt;&gt;"Y"),"Tuesday estimate band "&amp;L123&amp;": founder's call",""))</f>
        <v>no contact named on an opened page</v>
      </c>
      <c r="AW123" s="6" t="s">
        <v>162</v>
      </c>
      <c r="AX123" s="6" t="s">
        <v>181</v>
      </c>
      <c r="AY123" s="6" t="s">
        <v>182</v>
      </c>
      <c r="AZ123" s="6" t="s">
        <v>2229</v>
      </c>
      <c r="BA123" s="6" t="s">
        <v>2490</v>
      </c>
      <c r="BB123" s="6" t="s">
        <v>2491</v>
      </c>
      <c r="BC123" s="6" t="s">
        <v>2232</v>
      </c>
      <c r="BD123" s="6" t="s">
        <v>163</v>
      </c>
      <c r="BF123" s="6" t="s">
        <v>163</v>
      </c>
      <c r="BG123" s="6" t="s">
        <v>163</v>
      </c>
      <c r="BK123" s="6" t="s">
        <v>163</v>
      </c>
      <c r="BL123" s="6" t="s">
        <v>2233</v>
      </c>
      <c r="BM123" s="6" t="s">
        <v>163</v>
      </c>
      <c r="BN123" s="6" t="s">
        <v>2480</v>
      </c>
      <c r="BP123" s="6" t="s">
        <v>244</v>
      </c>
      <c r="BQ123" s="0" t="n">
        <v>40.742833</v>
      </c>
      <c r="BR123" s="0" t="n">
        <v>-73.984174</v>
      </c>
      <c r="BS123" s="6" t="s">
        <v>168</v>
      </c>
      <c r="BT123" s="0" t="n">
        <v>0</v>
      </c>
      <c r="BU123" s="6" t="s">
        <v>245</v>
      </c>
      <c r="BV123" s="6" t="s">
        <v>246</v>
      </c>
      <c r="BW123" s="6" t="s">
        <v>2484</v>
      </c>
      <c r="BX123" s="6" t="s">
        <v>2492</v>
      </c>
      <c r="BY123" s="6" t="s">
        <v>2237</v>
      </c>
      <c r="BZ123" s="6" t="s">
        <v>2493</v>
      </c>
      <c r="CC123" s="6" t="s">
        <v>200</v>
      </c>
      <c r="CE123" s="6" t="s">
        <v>162</v>
      </c>
      <c r="CF123" s="6" t="s">
        <v>2490</v>
      </c>
      <c r="CG123" s="6" t="s">
        <v>2239</v>
      </c>
      <c r="CH123" s="6" t="s">
        <v>163</v>
      </c>
      <c r="CJ123" s="6" t="s">
        <v>163</v>
      </c>
      <c r="CK123" s="6" t="s">
        <v>162</v>
      </c>
      <c r="CL123" s="6" t="s">
        <v>163</v>
      </c>
      <c r="CO123" s="6" t="s">
        <v>163</v>
      </c>
      <c r="CQ123" s="6" t="s">
        <v>2240</v>
      </c>
      <c r="CR123" s="6" t="s">
        <v>206</v>
      </c>
      <c r="CS123" s="6" t="s">
        <v>163</v>
      </c>
      <c r="CT123" s="0" t="n">
        <v>36</v>
      </c>
      <c r="CU123" s="0" t="n">
        <v>7</v>
      </c>
      <c r="CV123" s="0" t="n">
        <v>8</v>
      </c>
      <c r="CW123" s="0" t="n">
        <v>6</v>
      </c>
      <c r="CX123" s="0" t="n">
        <v>15</v>
      </c>
      <c r="CY123" s="6" t="n">
        <f aca="false">IF(AH123="exact",10,IF(AH123="adjacent",5,0))</f>
        <v>0</v>
      </c>
      <c r="CZ123" s="6" t="n">
        <f aca="false">IF(R123="Y",15,0)</f>
        <v>0</v>
      </c>
      <c r="DF123" s="6" t="s">
        <v>158</v>
      </c>
      <c r="DG123" s="6" t="s">
        <v>2229</v>
      </c>
      <c r="DK123" s="6" t="s">
        <v>2494</v>
      </c>
      <c r="DS123" s="6" t="s">
        <v>158</v>
      </c>
      <c r="DX123" s="6" t="s">
        <v>162</v>
      </c>
      <c r="DZ123" s="6" t="s">
        <v>2495</v>
      </c>
      <c r="ER123" s="0" t="str">
        <f aca="false">IF(ISNUMBER(MATCH(U123,{"queued","contacted","replied","call_booked","call_done","yes_in_principle","materials_sent"},0)),"Y","N")</f>
        <v>N</v>
      </c>
      <c r="ES123" s="0" t="str">
        <f aca="false">IF(COUNTIFS($AP$2:$AP$1000,AP123,$ER$2:$ER$1000,"Y")+COUNTIFS($AP$2:$AP$1000,AP123,$T$2:$T$1000,"Y")&gt;0,"Y","N")</f>
        <v>N</v>
      </c>
      <c r="ET123" s="0" t="str">
        <f aca="false">IF(AND(U123="new",T123="N",AT123="Y",AS123="",ES123="N"),"Y","N")</f>
        <v>N</v>
      </c>
      <c r="EU123" s="0" t="str">
        <f aca="false">IF(ET123&lt;&gt;"Y","N",IF(COUNTIFS($AP$2:$AP$1000,AP123,$ET$2:$ET$1000,"Y",$J$2:$J$1000,"&gt;"&amp;J123)+COUNTIFS($AP$2:$AP$1000,AP123,$ET$2:$ET$1000,"Y",$J$2:$J$1000,J123,$EW$2:$EW$1000,"&lt;"&amp;EW123)=0,"Y","N"))</f>
        <v>N</v>
      </c>
      <c r="EV123" s="0" t="str">
        <f aca="false">IF(Y123="","N",IF(Y123&lt;=10,"Y","N"))</f>
        <v>N</v>
      </c>
      <c r="EW123" s="6" t="n">
        <f aca="false">ROW()-1</f>
        <v>122</v>
      </c>
    </row>
    <row r="124" customFormat="false" ht="15" hidden="false" customHeight="false" outlineLevel="0" collapsed="false">
      <c r="A124" s="0" t="s">
        <v>2496</v>
      </c>
      <c r="B124" s="0" t="s">
        <v>2497</v>
      </c>
      <c r="H124" s="5" t="s">
        <v>158</v>
      </c>
      <c r="I124" s="5" t="s">
        <v>159</v>
      </c>
      <c r="J124" s="6" t="n">
        <f aca="false">IF(AX124="pass",ROUND(CU124+CV124+CW124+CX124+CY124+CZ124,1),0)</f>
        <v>36</v>
      </c>
      <c r="K124" s="6" t="s">
        <v>2192</v>
      </c>
      <c r="L124" s="6" t="s">
        <v>163</v>
      </c>
      <c r="R124" s="5" t="s">
        <v>162</v>
      </c>
      <c r="S124" s="6" t="s">
        <v>163</v>
      </c>
      <c r="T124" s="5" t="s">
        <v>162</v>
      </c>
      <c r="U124" s="5" t="s">
        <v>228</v>
      </c>
      <c r="V124" s="6" t="s">
        <v>2498</v>
      </c>
      <c r="W124" s="6" t="s">
        <v>166</v>
      </c>
      <c r="X124" s="6" t="s">
        <v>167</v>
      </c>
      <c r="Y124" s="0" t="str">
        <f aca="false">IF(EU124&lt;&gt;"Y","",COUNTIFS($EU$2:$EU$1000,"Y",$J$2:$J$1000,"&gt;"&amp;J124)+COUNTIFS($EU$2:$EU$1000,"Y",$J$2:$J$1000,J124,$EW$2:$EW$1000,"&lt;"&amp;EW124)+1)</f>
        <v/>
      </c>
      <c r="Z124" s="0" t="n">
        <v>123</v>
      </c>
      <c r="AA124" s="6" t="s">
        <v>162</v>
      </c>
      <c r="AD124" s="6" t="s">
        <v>158</v>
      </c>
      <c r="AH124" s="5" t="s">
        <v>158</v>
      </c>
      <c r="AI124" s="6" t="s">
        <v>728</v>
      </c>
      <c r="AJ124" s="6" t="s">
        <v>784</v>
      </c>
      <c r="AK124" s="6" t="s">
        <v>178</v>
      </c>
      <c r="AL124" s="6" t="s">
        <v>163</v>
      </c>
      <c r="AM124" s="6" t="s">
        <v>163</v>
      </c>
      <c r="AN124" s="6" t="s">
        <v>158</v>
      </c>
      <c r="AO124" s="6" t="s">
        <v>163</v>
      </c>
      <c r="AP124" s="6" t="s">
        <v>2496</v>
      </c>
      <c r="AQ124" s="5" t="s">
        <v>162</v>
      </c>
      <c r="AT124" s="0" t="str">
        <f aca="false">IF(AND(AX124="pass",AQ124&lt;&gt;"Y",C124&lt;&gt;"",OR(AW124&lt;&gt;"Y",AV124="Y")),"Y","N")</f>
        <v>N</v>
      </c>
      <c r="AU124" s="0" t="str">
        <f aca="false">_xlfn.TEXTJOIN("; ",TRUE(),IF(AX124&lt;&gt;"pass","gated out",""),IF(AQ124="Y","on hold: "&amp;AR124,""),IF(C124="","no contact named on an opened page",""),IF(AND(AW124="Y",AV124&lt;&gt;"Y"),"Tuesday estimate band "&amp;L124&amp;": founder's call",""))</f>
        <v>no contact named on an opened page</v>
      </c>
      <c r="AW124" s="6" t="s">
        <v>162</v>
      </c>
      <c r="AX124" s="6" t="s">
        <v>181</v>
      </c>
      <c r="AY124" s="6" t="s">
        <v>182</v>
      </c>
      <c r="AZ124" s="6" t="s">
        <v>1</v>
      </c>
      <c r="BA124" s="6" t="s">
        <v>2499</v>
      </c>
      <c r="BB124" s="6" t="s">
        <v>2500</v>
      </c>
      <c r="BC124" s="6" t="s">
        <v>2501</v>
      </c>
      <c r="BD124" s="6" t="s">
        <v>163</v>
      </c>
      <c r="BF124" s="6" t="s">
        <v>163</v>
      </c>
      <c r="BG124" s="6" t="s">
        <v>163</v>
      </c>
      <c r="BH124" s="6" t="s">
        <v>2196</v>
      </c>
      <c r="BK124" s="6" t="s">
        <v>163</v>
      </c>
      <c r="BL124" s="6" t="s">
        <v>163</v>
      </c>
      <c r="BM124" s="6" t="s">
        <v>163</v>
      </c>
      <c r="BN124" s="6" t="s">
        <v>163</v>
      </c>
      <c r="BO124" s="6" t="s">
        <v>163</v>
      </c>
      <c r="BP124" s="6" t="s">
        <v>193</v>
      </c>
      <c r="BQ124" s="0" t="n">
        <v>40.734626</v>
      </c>
      <c r="BR124" s="0" t="n">
        <v>-73.9911</v>
      </c>
      <c r="BS124" s="6" t="s">
        <v>168</v>
      </c>
      <c r="BT124" s="0" t="n">
        <v>0</v>
      </c>
      <c r="BU124" s="6" t="s">
        <v>736</v>
      </c>
      <c r="BV124" s="6" t="s">
        <v>737</v>
      </c>
      <c r="BW124" s="6" t="s">
        <v>2498</v>
      </c>
      <c r="BX124" s="6" t="s">
        <v>166</v>
      </c>
      <c r="BY124" s="6" t="s">
        <v>196</v>
      </c>
      <c r="BZ124" s="6" t="s">
        <v>2502</v>
      </c>
      <c r="CA124" s="6" t="s">
        <v>2503</v>
      </c>
      <c r="CC124" s="6" t="s">
        <v>200</v>
      </c>
      <c r="CE124" s="6" t="s">
        <v>162</v>
      </c>
      <c r="CH124" s="6" t="s">
        <v>201</v>
      </c>
      <c r="CI124" s="6" t="s">
        <v>740</v>
      </c>
      <c r="CJ124" s="6" t="s">
        <v>163</v>
      </c>
      <c r="CK124" s="6" t="s">
        <v>162</v>
      </c>
      <c r="CL124" s="6" t="s">
        <v>163</v>
      </c>
      <c r="CO124" s="6" t="s">
        <v>163</v>
      </c>
      <c r="CQ124" s="6" t="s">
        <v>2197</v>
      </c>
      <c r="CR124" s="6" t="s">
        <v>206</v>
      </c>
      <c r="CS124" s="6" t="s">
        <v>163</v>
      </c>
      <c r="CT124" s="0" t="n">
        <v>36</v>
      </c>
      <c r="CU124" s="0" t="n">
        <v>7</v>
      </c>
      <c r="CV124" s="0" t="n">
        <v>8</v>
      </c>
      <c r="CW124" s="0" t="n">
        <v>6</v>
      </c>
      <c r="CX124" s="0" t="n">
        <v>15</v>
      </c>
      <c r="CY124" s="6" t="n">
        <f aca="false">IF(AH124="exact",10,IF(AH124="adjacent",5,0))</f>
        <v>0</v>
      </c>
      <c r="CZ124" s="6" t="n">
        <f aca="false">IF(R124="Y",15,0)</f>
        <v>0</v>
      </c>
      <c r="DF124" s="6" t="s">
        <v>158</v>
      </c>
      <c r="DG124" s="6" t="s">
        <v>211</v>
      </c>
      <c r="DJ124" s="6" t="s">
        <v>2504</v>
      </c>
      <c r="DK124" s="6" t="s">
        <v>2505</v>
      </c>
      <c r="DS124" s="6" t="s">
        <v>158</v>
      </c>
      <c r="DX124" s="6" t="s">
        <v>162</v>
      </c>
      <c r="ER124" s="0" t="str">
        <f aca="false">IF(ISNUMBER(MATCH(U124,{"queued","contacted","replied","call_booked","call_done","yes_in_principle","materials_sent"},0)),"Y","N")</f>
        <v>N</v>
      </c>
      <c r="ES124" s="0" t="str">
        <f aca="false">IF(COUNTIFS($AP$2:$AP$1000,AP124,$ER$2:$ER$1000,"Y")+COUNTIFS($AP$2:$AP$1000,AP124,$T$2:$T$1000,"Y")&gt;0,"Y","N")</f>
        <v>N</v>
      </c>
      <c r="ET124" s="0" t="str">
        <f aca="false">IF(AND(U124="new",T124="N",AT124="Y",AS124="",ES124="N"),"Y","N")</f>
        <v>N</v>
      </c>
      <c r="EU124" s="0" t="str">
        <f aca="false">IF(ET124&lt;&gt;"Y","N",IF(COUNTIFS($AP$2:$AP$1000,AP124,$ET$2:$ET$1000,"Y",$J$2:$J$1000,"&gt;"&amp;J124)+COUNTIFS($AP$2:$AP$1000,AP124,$ET$2:$ET$1000,"Y",$J$2:$J$1000,J124,$EW$2:$EW$1000,"&lt;"&amp;EW124)=0,"Y","N"))</f>
        <v>N</v>
      </c>
      <c r="EV124" s="0" t="str">
        <f aca="false">IF(Y124="","N",IF(Y124&lt;=10,"Y","N"))</f>
        <v>N</v>
      </c>
      <c r="EW124" s="6" t="n">
        <f aca="false">ROW()-1</f>
        <v>123</v>
      </c>
    </row>
    <row r="125" customFormat="false" ht="15" hidden="false" customHeight="false" outlineLevel="0" collapsed="false">
      <c r="A125" s="0" t="s">
        <v>2506</v>
      </c>
      <c r="B125" s="0" t="s">
        <v>2507</v>
      </c>
      <c r="H125" s="5" t="s">
        <v>158</v>
      </c>
      <c r="I125" s="5" t="s">
        <v>159</v>
      </c>
      <c r="J125" s="6" t="n">
        <f aca="false">IF(AX125="pass",ROUND(CU125+CV125+CW125+CX125+CY125+CZ125,1),0)</f>
        <v>36</v>
      </c>
      <c r="K125" s="6" t="s">
        <v>2192</v>
      </c>
      <c r="L125" s="6" t="s">
        <v>163</v>
      </c>
      <c r="R125" s="5" t="s">
        <v>162</v>
      </c>
      <c r="S125" s="6" t="s">
        <v>163</v>
      </c>
      <c r="T125" s="5" t="s">
        <v>162</v>
      </c>
      <c r="U125" s="5" t="s">
        <v>228</v>
      </c>
      <c r="V125" s="6" t="s">
        <v>2508</v>
      </c>
      <c r="W125" s="6" t="s">
        <v>166</v>
      </c>
      <c r="X125" s="6" t="s">
        <v>167</v>
      </c>
      <c r="Y125" s="0" t="str">
        <f aca="false">IF(EU125&lt;&gt;"Y","",COUNTIFS($EU$2:$EU$1000,"Y",$J$2:$J$1000,"&gt;"&amp;J125)+COUNTIFS($EU$2:$EU$1000,"Y",$J$2:$J$1000,J125,$EW$2:$EW$1000,"&lt;"&amp;EW125)+1)</f>
        <v/>
      </c>
      <c r="Z125" s="0" t="n">
        <v>124</v>
      </c>
      <c r="AA125" s="6" t="s">
        <v>162</v>
      </c>
      <c r="AD125" s="6" t="s">
        <v>158</v>
      </c>
      <c r="AH125" s="5" t="s">
        <v>158</v>
      </c>
      <c r="AI125" s="6" t="s">
        <v>1215</v>
      </c>
      <c r="AJ125" s="6" t="s">
        <v>650</v>
      </c>
      <c r="AK125" s="6" t="s">
        <v>178</v>
      </c>
      <c r="AL125" s="6" t="s">
        <v>163</v>
      </c>
      <c r="AM125" s="6" t="s">
        <v>163</v>
      </c>
      <c r="AN125" s="6" t="s">
        <v>158</v>
      </c>
      <c r="AO125" s="6" t="s">
        <v>163</v>
      </c>
      <c r="AP125" s="6" t="s">
        <v>2506</v>
      </c>
      <c r="AQ125" s="5" t="s">
        <v>162</v>
      </c>
      <c r="AT125" s="0" t="str">
        <f aca="false">IF(AND(AX125="pass",AQ125&lt;&gt;"Y",C125&lt;&gt;"",OR(AW125&lt;&gt;"Y",AV125="Y")),"Y","N")</f>
        <v>N</v>
      </c>
      <c r="AU125" s="0" t="str">
        <f aca="false">_xlfn.TEXTJOIN("; ",TRUE(),IF(AX125&lt;&gt;"pass","gated out",""),IF(AQ125="Y","on hold: "&amp;AR125,""),IF(C125="","no contact named on an opened page",""),IF(AND(AW125="Y",AV125&lt;&gt;"Y"),"Tuesday estimate band "&amp;L125&amp;": founder's call",""))</f>
        <v>no contact named on an opened page</v>
      </c>
      <c r="AW125" s="6" t="s">
        <v>162</v>
      </c>
      <c r="AX125" s="6" t="s">
        <v>181</v>
      </c>
      <c r="AY125" s="6" t="s">
        <v>182</v>
      </c>
      <c r="AZ125" s="6" t="s">
        <v>1</v>
      </c>
      <c r="BA125" s="6" t="s">
        <v>2509</v>
      </c>
      <c r="BB125" s="6" t="s">
        <v>2510</v>
      </c>
      <c r="BC125" s="6" t="s">
        <v>2511</v>
      </c>
      <c r="BD125" s="6" t="s">
        <v>163</v>
      </c>
      <c r="BF125" s="6" t="s">
        <v>163</v>
      </c>
      <c r="BG125" s="6" t="s">
        <v>163</v>
      </c>
      <c r="BH125" s="6" t="s">
        <v>2196</v>
      </c>
      <c r="BK125" s="6" t="s">
        <v>163</v>
      </c>
      <c r="BL125" s="6" t="s">
        <v>192</v>
      </c>
      <c r="BM125" s="6" t="s">
        <v>168</v>
      </c>
      <c r="BN125" s="6" t="s">
        <v>163</v>
      </c>
      <c r="BO125" s="6" t="s">
        <v>163</v>
      </c>
      <c r="BP125" s="6" t="s">
        <v>347</v>
      </c>
      <c r="BQ125" s="0" t="n">
        <v>40.74082</v>
      </c>
      <c r="BR125" s="0" t="n">
        <v>-73.992366</v>
      </c>
      <c r="BS125" s="6" t="s">
        <v>168</v>
      </c>
      <c r="BT125" s="0" t="n">
        <v>0</v>
      </c>
      <c r="BU125" s="6" t="s">
        <v>1224</v>
      </c>
      <c r="BV125" s="6" t="s">
        <v>1225</v>
      </c>
      <c r="BW125" s="6" t="s">
        <v>2508</v>
      </c>
      <c r="BX125" s="6" t="s">
        <v>166</v>
      </c>
      <c r="BY125" s="6" t="s">
        <v>196</v>
      </c>
      <c r="BZ125" s="6" t="s">
        <v>1213</v>
      </c>
      <c r="CA125" s="6" t="s">
        <v>1226</v>
      </c>
      <c r="CC125" s="6" t="s">
        <v>200</v>
      </c>
      <c r="CE125" s="6" t="s">
        <v>162</v>
      </c>
      <c r="CH125" s="6" t="s">
        <v>163</v>
      </c>
      <c r="CJ125" s="6" t="s">
        <v>163</v>
      </c>
      <c r="CK125" s="6" t="s">
        <v>162</v>
      </c>
      <c r="CL125" s="6" t="s">
        <v>163</v>
      </c>
      <c r="CO125" s="6" t="s">
        <v>163</v>
      </c>
      <c r="CQ125" s="6" t="s">
        <v>2197</v>
      </c>
      <c r="CR125" s="6" t="s">
        <v>206</v>
      </c>
      <c r="CS125" s="6" t="s">
        <v>163</v>
      </c>
      <c r="CT125" s="0" t="n">
        <v>36</v>
      </c>
      <c r="CU125" s="0" t="n">
        <v>7</v>
      </c>
      <c r="CV125" s="0" t="n">
        <v>8</v>
      </c>
      <c r="CW125" s="0" t="n">
        <v>6</v>
      </c>
      <c r="CX125" s="0" t="n">
        <v>15</v>
      </c>
      <c r="CY125" s="6" t="n">
        <f aca="false">IF(AH125="exact",10,IF(AH125="adjacent",5,0))</f>
        <v>0</v>
      </c>
      <c r="CZ125" s="6" t="n">
        <f aca="false">IF(R125="Y",15,0)</f>
        <v>0</v>
      </c>
      <c r="DF125" s="6" t="s">
        <v>158</v>
      </c>
      <c r="DG125" s="6" t="s">
        <v>211</v>
      </c>
      <c r="DK125" s="6" t="s">
        <v>2512</v>
      </c>
      <c r="DS125" s="6" t="s">
        <v>158</v>
      </c>
      <c r="DX125" s="6" t="s">
        <v>162</v>
      </c>
      <c r="ER125" s="0" t="str">
        <f aca="false">IF(ISNUMBER(MATCH(U125,{"queued","contacted","replied","call_booked","call_done","yes_in_principle","materials_sent"},0)),"Y","N")</f>
        <v>N</v>
      </c>
      <c r="ES125" s="0" t="str">
        <f aca="false">IF(COUNTIFS($AP$2:$AP$1000,AP125,$ER$2:$ER$1000,"Y")+COUNTIFS($AP$2:$AP$1000,AP125,$T$2:$T$1000,"Y")&gt;0,"Y","N")</f>
        <v>N</v>
      </c>
      <c r="ET125" s="0" t="str">
        <f aca="false">IF(AND(U125="new",T125="N",AT125="Y",AS125="",ES125="N"),"Y","N")</f>
        <v>N</v>
      </c>
      <c r="EU125" s="0" t="str">
        <f aca="false">IF(ET125&lt;&gt;"Y","N",IF(COUNTIFS($AP$2:$AP$1000,AP125,$ET$2:$ET$1000,"Y",$J$2:$J$1000,"&gt;"&amp;J125)+COUNTIFS($AP$2:$AP$1000,AP125,$ET$2:$ET$1000,"Y",$J$2:$J$1000,J125,$EW$2:$EW$1000,"&lt;"&amp;EW125)=0,"Y","N"))</f>
        <v>N</v>
      </c>
      <c r="EV125" s="0" t="str">
        <f aca="false">IF(Y125="","N",IF(Y125&lt;=10,"Y","N"))</f>
        <v>N</v>
      </c>
      <c r="EW125" s="6" t="n">
        <f aca="false">ROW()-1</f>
        <v>124</v>
      </c>
    </row>
    <row r="126" customFormat="false" ht="15" hidden="false" customHeight="false" outlineLevel="0" collapsed="false">
      <c r="A126" s="0" t="s">
        <v>2513</v>
      </c>
      <c r="B126" s="0" t="s">
        <v>2514</v>
      </c>
      <c r="H126" s="5" t="s">
        <v>158</v>
      </c>
      <c r="I126" s="5" t="s">
        <v>159</v>
      </c>
      <c r="J126" s="6" t="n">
        <f aca="false">IF(AX126="pass",ROUND(CU126+CV126+CW126+CX126+CY126+CZ126,1),0)</f>
        <v>36</v>
      </c>
      <c r="K126" s="6" t="s">
        <v>2192</v>
      </c>
      <c r="L126" s="6" t="s">
        <v>163</v>
      </c>
      <c r="R126" s="5" t="s">
        <v>162</v>
      </c>
      <c r="S126" s="6" t="s">
        <v>163</v>
      </c>
      <c r="T126" s="5" t="s">
        <v>162</v>
      </c>
      <c r="U126" s="5" t="s">
        <v>228</v>
      </c>
      <c r="V126" s="6" t="s">
        <v>2515</v>
      </c>
      <c r="W126" s="6" t="s">
        <v>166</v>
      </c>
      <c r="X126" s="6" t="s">
        <v>167</v>
      </c>
      <c r="Y126" s="0" t="str">
        <f aca="false">IF(EU126&lt;&gt;"Y","",COUNTIFS($EU$2:$EU$1000,"Y",$J$2:$J$1000,"&gt;"&amp;J126)+COUNTIFS($EU$2:$EU$1000,"Y",$J$2:$J$1000,J126,$EW$2:$EW$1000,"&lt;"&amp;EW126)+1)</f>
        <v/>
      </c>
      <c r="Z126" s="0" t="n">
        <v>125</v>
      </c>
      <c r="AA126" s="6" t="s">
        <v>162</v>
      </c>
      <c r="AD126" s="6" t="s">
        <v>158</v>
      </c>
      <c r="AH126" s="5" t="s">
        <v>158</v>
      </c>
      <c r="AI126" s="6" t="s">
        <v>754</v>
      </c>
      <c r="AJ126" s="6" t="s">
        <v>2516</v>
      </c>
      <c r="AK126" s="6" t="s">
        <v>178</v>
      </c>
      <c r="AL126" s="6" t="s">
        <v>163</v>
      </c>
      <c r="AM126" s="6" t="s">
        <v>163</v>
      </c>
      <c r="AN126" s="6" t="s">
        <v>158</v>
      </c>
      <c r="AO126" s="6" t="s">
        <v>163</v>
      </c>
      <c r="AP126" s="6" t="s">
        <v>2513</v>
      </c>
      <c r="AQ126" s="5" t="s">
        <v>162</v>
      </c>
      <c r="AT126" s="0" t="str">
        <f aca="false">IF(AND(AX126="pass",AQ126&lt;&gt;"Y",C126&lt;&gt;"",OR(AW126&lt;&gt;"Y",AV126="Y")),"Y","N")</f>
        <v>N</v>
      </c>
      <c r="AU126" s="0" t="str">
        <f aca="false">_xlfn.TEXTJOIN("; ",TRUE(),IF(AX126&lt;&gt;"pass","gated out",""),IF(AQ126="Y","on hold: "&amp;AR126,""),IF(C126="","no contact named on an opened page",""),IF(AND(AW126="Y",AV126&lt;&gt;"Y"),"Tuesday estimate band "&amp;L126&amp;": founder's call",""))</f>
        <v>no contact named on an opened page</v>
      </c>
      <c r="AW126" s="6" t="s">
        <v>162</v>
      </c>
      <c r="AX126" s="6" t="s">
        <v>181</v>
      </c>
      <c r="AY126" s="6" t="s">
        <v>182</v>
      </c>
      <c r="AZ126" s="6" t="s">
        <v>1</v>
      </c>
      <c r="BA126" s="6" t="s">
        <v>2517</v>
      </c>
      <c r="BB126" s="6" t="s">
        <v>2518</v>
      </c>
      <c r="BC126" s="6" t="s">
        <v>653</v>
      </c>
      <c r="BD126" s="6" t="s">
        <v>163</v>
      </c>
      <c r="BF126" s="6" t="s">
        <v>163</v>
      </c>
      <c r="BG126" s="6" t="s">
        <v>163</v>
      </c>
      <c r="BH126" s="6" t="s">
        <v>2196</v>
      </c>
      <c r="BK126" s="6" t="s">
        <v>163</v>
      </c>
      <c r="BL126" s="6" t="s">
        <v>2519</v>
      </c>
      <c r="BM126" s="6" t="s">
        <v>162</v>
      </c>
      <c r="BN126" s="6" t="s">
        <v>163</v>
      </c>
      <c r="BO126" s="6" t="s">
        <v>163</v>
      </c>
      <c r="BP126" s="6" t="s">
        <v>347</v>
      </c>
      <c r="BQ126" s="0" t="n">
        <v>40.743309</v>
      </c>
      <c r="BR126" s="0" t="n">
        <v>-73.987329</v>
      </c>
      <c r="BS126" s="6" t="s">
        <v>168</v>
      </c>
      <c r="BT126" s="0" t="n">
        <v>0</v>
      </c>
      <c r="BU126" s="6" t="s">
        <v>764</v>
      </c>
      <c r="BV126" s="6" t="s">
        <v>765</v>
      </c>
      <c r="BW126" s="6" t="s">
        <v>2515</v>
      </c>
      <c r="BX126" s="6" t="s">
        <v>2520</v>
      </c>
      <c r="BY126" s="6" t="s">
        <v>248</v>
      </c>
      <c r="BZ126" s="6" t="s">
        <v>2521</v>
      </c>
      <c r="CA126" s="6" t="s">
        <v>166</v>
      </c>
      <c r="CC126" s="6" t="s">
        <v>200</v>
      </c>
      <c r="CE126" s="6" t="s">
        <v>162</v>
      </c>
      <c r="CH126" s="6" t="s">
        <v>163</v>
      </c>
      <c r="CJ126" s="6" t="s">
        <v>163</v>
      </c>
      <c r="CK126" s="6" t="s">
        <v>162</v>
      </c>
      <c r="CL126" s="6" t="s">
        <v>163</v>
      </c>
      <c r="CO126" s="6" t="s">
        <v>163</v>
      </c>
      <c r="CQ126" s="6" t="s">
        <v>2197</v>
      </c>
      <c r="CR126" s="6" t="s">
        <v>206</v>
      </c>
      <c r="CS126" s="6" t="s">
        <v>163</v>
      </c>
      <c r="CT126" s="0" t="n">
        <v>36</v>
      </c>
      <c r="CU126" s="0" t="n">
        <v>7</v>
      </c>
      <c r="CV126" s="0" t="n">
        <v>8</v>
      </c>
      <c r="CW126" s="0" t="n">
        <v>6</v>
      </c>
      <c r="CX126" s="0" t="n">
        <v>15</v>
      </c>
      <c r="CY126" s="6" t="n">
        <f aca="false">IF(AH126="exact",10,IF(AH126="adjacent",5,0))</f>
        <v>0</v>
      </c>
      <c r="CZ126" s="6" t="n">
        <f aca="false">IF(R126="Y",15,0)</f>
        <v>0</v>
      </c>
      <c r="DF126" s="6" t="s">
        <v>158</v>
      </c>
      <c r="DG126" s="6" t="s">
        <v>211</v>
      </c>
      <c r="DJ126" s="6" t="s">
        <v>2522</v>
      </c>
      <c r="DK126" s="6" t="s">
        <v>2523</v>
      </c>
      <c r="DS126" s="6" t="s">
        <v>158</v>
      </c>
      <c r="DX126" s="6" t="s">
        <v>162</v>
      </c>
      <c r="ER126" s="0" t="str">
        <f aca="false">IF(ISNUMBER(MATCH(U126,{"queued","contacted","replied","call_booked","call_done","yes_in_principle","materials_sent"},0)),"Y","N")</f>
        <v>N</v>
      </c>
      <c r="ES126" s="0" t="str">
        <f aca="false">IF(COUNTIFS($AP$2:$AP$1000,AP126,$ER$2:$ER$1000,"Y")+COUNTIFS($AP$2:$AP$1000,AP126,$T$2:$T$1000,"Y")&gt;0,"Y","N")</f>
        <v>N</v>
      </c>
      <c r="ET126" s="0" t="str">
        <f aca="false">IF(AND(U126="new",T126="N",AT126="Y",AS126="",ES126="N"),"Y","N")</f>
        <v>N</v>
      </c>
      <c r="EU126" s="0" t="str">
        <f aca="false">IF(ET126&lt;&gt;"Y","N",IF(COUNTIFS($AP$2:$AP$1000,AP126,$ET$2:$ET$1000,"Y",$J$2:$J$1000,"&gt;"&amp;J126)+COUNTIFS($AP$2:$AP$1000,AP126,$ET$2:$ET$1000,"Y",$J$2:$J$1000,J126,$EW$2:$EW$1000,"&lt;"&amp;EW126)=0,"Y","N"))</f>
        <v>N</v>
      </c>
      <c r="EV126" s="0" t="str">
        <f aca="false">IF(Y126="","N",IF(Y126&lt;=10,"Y","N"))</f>
        <v>N</v>
      </c>
      <c r="EW126" s="6" t="n">
        <f aca="false">ROW()-1</f>
        <v>125</v>
      </c>
    </row>
    <row r="127" customFormat="false" ht="15" hidden="false" customHeight="false" outlineLevel="0" collapsed="false">
      <c r="A127" s="0" t="s">
        <v>2524</v>
      </c>
      <c r="B127" s="0" t="s">
        <v>2525</v>
      </c>
      <c r="H127" s="5" t="s">
        <v>158</v>
      </c>
      <c r="I127" s="5" t="s">
        <v>159</v>
      </c>
      <c r="J127" s="6" t="n">
        <f aca="false">IF(AX127="pass",ROUND(CU127+CV127+CW127+CX127+CY127+CZ127,1),0)</f>
        <v>35.6</v>
      </c>
      <c r="K127" s="6" t="s">
        <v>2526</v>
      </c>
      <c r="L127" s="6" t="s">
        <v>1323</v>
      </c>
      <c r="R127" s="5" t="s">
        <v>162</v>
      </c>
      <c r="S127" s="6" t="s">
        <v>163</v>
      </c>
      <c r="T127" s="5" t="s">
        <v>162</v>
      </c>
      <c r="U127" s="5" t="s">
        <v>228</v>
      </c>
      <c r="V127" s="6" t="s">
        <v>2527</v>
      </c>
      <c r="W127" s="6" t="s">
        <v>166</v>
      </c>
      <c r="X127" s="6" t="s">
        <v>167</v>
      </c>
      <c r="Y127" s="0" t="str">
        <f aca="false">IF(EU127&lt;&gt;"Y","",COUNTIFS($EU$2:$EU$1000,"Y",$J$2:$J$1000,"&gt;"&amp;J127)+COUNTIFS($EU$2:$EU$1000,"Y",$J$2:$J$1000,J127,$EW$2:$EW$1000,"&lt;"&amp;EW127)+1)</f>
        <v/>
      </c>
      <c r="Z127" s="0" t="n">
        <v>126</v>
      </c>
      <c r="AA127" s="6" t="s">
        <v>162</v>
      </c>
      <c r="AB127" s="6" t="s">
        <v>2528</v>
      </c>
      <c r="AD127" s="6" t="s">
        <v>158</v>
      </c>
      <c r="AH127" s="5" t="s">
        <v>158</v>
      </c>
      <c r="AI127" s="6" t="s">
        <v>2529</v>
      </c>
      <c r="AJ127" s="6" t="s">
        <v>163</v>
      </c>
      <c r="AK127" s="6" t="s">
        <v>178</v>
      </c>
      <c r="AL127" s="0" t="n">
        <v>128</v>
      </c>
      <c r="AM127" s="0" t="n">
        <v>2555</v>
      </c>
      <c r="AN127" s="6" t="s">
        <v>179</v>
      </c>
      <c r="AO127" s="6" t="s">
        <v>180</v>
      </c>
      <c r="AP127" s="6" t="s">
        <v>2524</v>
      </c>
      <c r="AQ127" s="5" t="s">
        <v>162</v>
      </c>
      <c r="AT127" s="0" t="str">
        <f aca="false">IF(AND(AX127="pass",AQ127&lt;&gt;"Y",C127&lt;&gt;"",OR(AW127&lt;&gt;"Y",AV127="Y")),"Y","N")</f>
        <v>N</v>
      </c>
      <c r="AU127" s="0" t="str">
        <f aca="false">_xlfn.TEXTJOIN("; ",TRUE(),IF(AX127&lt;&gt;"pass","gated out",""),IF(AQ127="Y","on hold: "&amp;AR127,""),IF(C127="","no contact named on an opened page",""),IF(AND(AW127="Y",AV127&lt;&gt;"Y"),"Tuesday estimate band "&amp;L127&amp;": founder's call",""))</f>
        <v>no contact named on an opened page; Tuesday estimate band over-500: founder's call</v>
      </c>
      <c r="AW127" s="6" t="s">
        <v>168</v>
      </c>
      <c r="AX127" s="6" t="s">
        <v>181</v>
      </c>
      <c r="AY127" s="6" t="s">
        <v>182</v>
      </c>
      <c r="AZ127" s="6" t="s">
        <v>1</v>
      </c>
      <c r="BA127" s="6" t="s">
        <v>2530</v>
      </c>
      <c r="BB127" s="6" t="s">
        <v>2531</v>
      </c>
      <c r="BC127" s="6" t="s">
        <v>2532</v>
      </c>
      <c r="BD127" s="6" t="s">
        <v>2533</v>
      </c>
      <c r="BF127" s="6" t="s">
        <v>1323</v>
      </c>
      <c r="BG127" s="6" t="s">
        <v>188</v>
      </c>
      <c r="BH127" s="6" t="s">
        <v>189</v>
      </c>
      <c r="BI127" s="6" t="s">
        <v>2534</v>
      </c>
      <c r="BK127" s="6" t="s">
        <v>1440</v>
      </c>
      <c r="BL127" s="6" t="s">
        <v>2535</v>
      </c>
      <c r="BM127" s="6" t="s">
        <v>162</v>
      </c>
      <c r="BN127" s="6" t="s">
        <v>163</v>
      </c>
      <c r="BO127" s="6" t="s">
        <v>163</v>
      </c>
      <c r="BP127" s="6" t="s">
        <v>378</v>
      </c>
      <c r="BQ127" s="0" t="n">
        <v>40.737788</v>
      </c>
      <c r="BR127" s="0" t="n">
        <v>-73.992555</v>
      </c>
      <c r="BS127" s="6" t="s">
        <v>168</v>
      </c>
      <c r="BT127" s="0" t="n">
        <v>0</v>
      </c>
      <c r="BU127" s="6" t="s">
        <v>2536</v>
      </c>
      <c r="BV127" s="6" t="s">
        <v>2529</v>
      </c>
      <c r="BW127" s="6" t="s">
        <v>2527</v>
      </c>
      <c r="BX127" s="6" t="s">
        <v>2537</v>
      </c>
      <c r="BY127" s="6" t="s">
        <v>248</v>
      </c>
      <c r="CC127" s="6" t="s">
        <v>739</v>
      </c>
      <c r="CE127" s="6" t="s">
        <v>162</v>
      </c>
      <c r="CH127" s="6" t="s">
        <v>163</v>
      </c>
      <c r="CJ127" s="6" t="s">
        <v>163</v>
      </c>
      <c r="CK127" s="6" t="s">
        <v>162</v>
      </c>
      <c r="CL127" s="6" t="s">
        <v>2538</v>
      </c>
      <c r="CM127" s="6" t="s">
        <v>2539</v>
      </c>
      <c r="CN127" s="6" t="s">
        <v>174</v>
      </c>
      <c r="CO127" s="0" t="n">
        <v>572</v>
      </c>
      <c r="CP127" s="6" t="s">
        <v>251</v>
      </c>
      <c r="CQ127" s="6" t="s">
        <v>2540</v>
      </c>
      <c r="CR127" s="6" t="s">
        <v>206</v>
      </c>
      <c r="CS127" s="0" t="n">
        <v>0.22</v>
      </c>
      <c r="CT127" s="0" t="n">
        <v>35.6</v>
      </c>
      <c r="CU127" s="0" t="n">
        <v>5.6</v>
      </c>
      <c r="CV127" s="0" t="n">
        <v>2</v>
      </c>
      <c r="CW127" s="0" t="n">
        <v>15</v>
      </c>
      <c r="CX127" s="0" t="n">
        <v>13</v>
      </c>
      <c r="CY127" s="6" t="n">
        <f aca="false">IF(AH127="exact",10,IF(AH127="adjacent",5,0))</f>
        <v>0</v>
      </c>
      <c r="CZ127" s="6" t="n">
        <f aca="false">IF(R127="Y",15,0)</f>
        <v>0</v>
      </c>
      <c r="DF127" s="6" t="s">
        <v>158</v>
      </c>
      <c r="DG127" s="6" t="s">
        <v>1336</v>
      </c>
      <c r="DH127" s="6" t="s">
        <v>1447</v>
      </c>
      <c r="DI127" s="6" t="s">
        <v>168</v>
      </c>
      <c r="DK127" s="6" t="s">
        <v>2541</v>
      </c>
      <c r="DS127" s="6" t="s">
        <v>158</v>
      </c>
      <c r="DX127" s="6" t="s">
        <v>162</v>
      </c>
      <c r="ER127" s="0" t="str">
        <f aca="false">IF(ISNUMBER(MATCH(U127,{"queued","contacted","replied","call_booked","call_done","yes_in_principle","materials_sent"},0)),"Y","N")</f>
        <v>N</v>
      </c>
      <c r="ES127" s="0" t="str">
        <f aca="false">IF(COUNTIFS($AP$2:$AP$1000,AP127,$ER$2:$ER$1000,"Y")+COUNTIFS($AP$2:$AP$1000,AP127,$T$2:$T$1000,"Y")&gt;0,"Y","N")</f>
        <v>N</v>
      </c>
      <c r="ET127" s="0" t="str">
        <f aca="false">IF(AND(U127="new",T127="N",AT127="Y",AS127="",ES127="N"),"Y","N")</f>
        <v>N</v>
      </c>
      <c r="EU127" s="0" t="str">
        <f aca="false">IF(ET127&lt;&gt;"Y","N",IF(COUNTIFS($AP$2:$AP$1000,AP127,$ET$2:$ET$1000,"Y",$J$2:$J$1000,"&gt;"&amp;J127)+COUNTIFS($AP$2:$AP$1000,AP127,$ET$2:$ET$1000,"Y",$J$2:$J$1000,J127,$EW$2:$EW$1000,"&lt;"&amp;EW127)=0,"Y","N"))</f>
        <v>N</v>
      </c>
      <c r="EV127" s="0" t="str">
        <f aca="false">IF(Y127="","N",IF(Y127&lt;=10,"Y","N"))</f>
        <v>N</v>
      </c>
      <c r="EW127" s="6" t="n">
        <f aca="false">ROW()-1</f>
        <v>126</v>
      </c>
    </row>
    <row r="128" customFormat="false" ht="15" hidden="false" customHeight="false" outlineLevel="0" collapsed="false">
      <c r="A128" s="0" t="s">
        <v>2542</v>
      </c>
      <c r="B128" s="0" t="s">
        <v>2543</v>
      </c>
      <c r="H128" s="5" t="s">
        <v>158</v>
      </c>
      <c r="I128" s="5" t="s">
        <v>159</v>
      </c>
      <c r="J128" s="6" t="n">
        <f aca="false">IF(AX128="pass",ROUND(CU128+CV128+CW128+CX128+CY128+CZ128,1),0)</f>
        <v>35.4</v>
      </c>
      <c r="K128" s="6" t="s">
        <v>2544</v>
      </c>
      <c r="L128" s="6" t="s">
        <v>240</v>
      </c>
      <c r="R128" s="5" t="s">
        <v>162</v>
      </c>
      <c r="S128" s="6" t="s">
        <v>163</v>
      </c>
      <c r="T128" s="5" t="s">
        <v>162</v>
      </c>
      <c r="U128" s="5" t="s">
        <v>228</v>
      </c>
      <c r="V128" s="6" t="s">
        <v>1786</v>
      </c>
      <c r="W128" s="6" t="s">
        <v>166</v>
      </c>
      <c r="X128" s="6" t="s">
        <v>167</v>
      </c>
      <c r="Y128" s="0" t="str">
        <f aca="false">IF(EU128&lt;&gt;"Y","",COUNTIFS($EU$2:$EU$1000,"Y",$J$2:$J$1000,"&gt;"&amp;J128)+COUNTIFS($EU$2:$EU$1000,"Y",$J$2:$J$1000,J128,$EW$2:$EW$1000,"&lt;"&amp;EW128)+1)</f>
        <v/>
      </c>
      <c r="Z128" s="0" t="n">
        <v>127</v>
      </c>
      <c r="AA128" s="6" t="s">
        <v>162</v>
      </c>
      <c r="AB128" s="6" t="s">
        <v>1662</v>
      </c>
      <c r="AD128" s="6" t="s">
        <v>158</v>
      </c>
      <c r="AH128" s="5" t="s">
        <v>158</v>
      </c>
      <c r="AI128" s="6" t="s">
        <v>1787</v>
      </c>
      <c r="AJ128" s="6" t="s">
        <v>163</v>
      </c>
      <c r="AK128" s="6" t="s">
        <v>178</v>
      </c>
      <c r="AL128" s="0" t="n">
        <v>81</v>
      </c>
      <c r="AM128" s="0" t="n">
        <v>1621</v>
      </c>
      <c r="AN128" s="6" t="s">
        <v>179</v>
      </c>
      <c r="AO128" s="6" t="s">
        <v>180</v>
      </c>
      <c r="AP128" s="6" t="s">
        <v>2542</v>
      </c>
      <c r="AQ128" s="5" t="s">
        <v>162</v>
      </c>
      <c r="AT128" s="0" t="str">
        <f aca="false">IF(AND(AX128="pass",AQ128&lt;&gt;"Y",C128&lt;&gt;"",OR(AW128&lt;&gt;"Y",AV128="Y")),"Y","N")</f>
        <v>N</v>
      </c>
      <c r="AU128" s="0" t="str">
        <f aca="false">_xlfn.TEXTJOIN("; ",TRUE(),IF(AX128&lt;&gt;"pass","gated out",""),IF(AQ128="Y","on hold: "&amp;AR128,""),IF(C128="","no contact named on an opened page",""),IF(AND(AW128="Y",AV128&lt;&gt;"Y"),"Tuesday estimate band "&amp;L128&amp;": founder's call",""))</f>
        <v>no contact named on an opened page; Tuesday estimate band 251-500: founder's call</v>
      </c>
      <c r="AW128" s="6" t="s">
        <v>168</v>
      </c>
      <c r="AX128" s="6" t="s">
        <v>181</v>
      </c>
      <c r="AY128" s="6" t="s">
        <v>182</v>
      </c>
      <c r="AZ128" s="6" t="s">
        <v>1</v>
      </c>
      <c r="BA128" s="6" t="s">
        <v>2545</v>
      </c>
      <c r="BB128" s="6" t="s">
        <v>2546</v>
      </c>
      <c r="BC128" s="6" t="s">
        <v>2547</v>
      </c>
      <c r="BD128" s="6" t="s">
        <v>2548</v>
      </c>
      <c r="BF128" s="6" t="s">
        <v>1323</v>
      </c>
      <c r="BG128" s="6" t="s">
        <v>188</v>
      </c>
      <c r="BH128" s="6" t="s">
        <v>189</v>
      </c>
      <c r="BI128" s="6" t="s">
        <v>2549</v>
      </c>
      <c r="BK128" s="6" t="s">
        <v>1440</v>
      </c>
      <c r="BL128" s="6" t="s">
        <v>2550</v>
      </c>
      <c r="BM128" s="6" t="s">
        <v>162</v>
      </c>
      <c r="BN128" s="6" t="s">
        <v>2551</v>
      </c>
      <c r="BO128" s="6" t="s">
        <v>163</v>
      </c>
      <c r="BP128" s="6" t="s">
        <v>193</v>
      </c>
      <c r="BQ128" s="0" t="n">
        <v>40.737054</v>
      </c>
      <c r="BR128" s="0" t="n">
        <v>-73.992635</v>
      </c>
      <c r="BS128" s="6" t="s">
        <v>168</v>
      </c>
      <c r="BT128" s="0" t="n">
        <v>0</v>
      </c>
      <c r="BU128" s="6" t="s">
        <v>1795</v>
      </c>
      <c r="BV128" s="6" t="s">
        <v>1787</v>
      </c>
      <c r="BW128" s="6" t="s">
        <v>1786</v>
      </c>
      <c r="BX128" s="6" t="s">
        <v>1492</v>
      </c>
      <c r="BY128" s="6" t="s">
        <v>248</v>
      </c>
      <c r="CC128" s="6" t="s">
        <v>739</v>
      </c>
      <c r="CE128" s="6" t="s">
        <v>162</v>
      </c>
      <c r="CH128" s="6" t="s">
        <v>163</v>
      </c>
      <c r="CJ128" s="6" t="s">
        <v>163</v>
      </c>
      <c r="CK128" s="6" t="s">
        <v>162</v>
      </c>
      <c r="CL128" s="6" t="s">
        <v>577</v>
      </c>
      <c r="CM128" s="6" t="s">
        <v>2552</v>
      </c>
      <c r="CN128" s="6" t="s">
        <v>174</v>
      </c>
      <c r="CO128" s="0" t="n">
        <v>362</v>
      </c>
      <c r="CP128" s="6" t="s">
        <v>251</v>
      </c>
      <c r="CQ128" s="6" t="s">
        <v>2553</v>
      </c>
      <c r="CR128" s="6" t="s">
        <v>206</v>
      </c>
      <c r="CS128" s="0" t="n">
        <v>0.38</v>
      </c>
      <c r="CT128" s="0" t="n">
        <v>35.4</v>
      </c>
      <c r="CU128" s="0" t="n">
        <v>9.4</v>
      </c>
      <c r="CV128" s="0" t="n">
        <v>-2</v>
      </c>
      <c r="CW128" s="0" t="n">
        <v>15</v>
      </c>
      <c r="CX128" s="0" t="n">
        <v>13</v>
      </c>
      <c r="CY128" s="6" t="n">
        <f aca="false">IF(AH128="exact",10,IF(AH128="adjacent",5,0))</f>
        <v>0</v>
      </c>
      <c r="CZ128" s="6" t="n">
        <f aca="false">IF(R128="Y",15,0)</f>
        <v>0</v>
      </c>
      <c r="DF128" s="6" t="s">
        <v>158</v>
      </c>
      <c r="DG128" s="6" t="s">
        <v>1336</v>
      </c>
      <c r="DH128" s="6" t="s">
        <v>1447</v>
      </c>
      <c r="DI128" s="6" t="s">
        <v>162</v>
      </c>
      <c r="DK128" s="6" t="s">
        <v>2554</v>
      </c>
      <c r="DS128" s="6" t="s">
        <v>158</v>
      </c>
      <c r="DX128" s="6" t="s">
        <v>162</v>
      </c>
      <c r="ER128" s="0" t="str">
        <f aca="false">IF(ISNUMBER(MATCH(U128,{"queued","contacted","replied","call_booked","call_done","yes_in_principle","materials_sent"},0)),"Y","N")</f>
        <v>N</v>
      </c>
      <c r="ES128" s="0" t="str">
        <f aca="false">IF(COUNTIFS($AP$2:$AP$1000,AP128,$ER$2:$ER$1000,"Y")+COUNTIFS($AP$2:$AP$1000,AP128,$T$2:$T$1000,"Y")&gt;0,"Y","N")</f>
        <v>N</v>
      </c>
      <c r="ET128" s="0" t="str">
        <f aca="false">IF(AND(U128="new",T128="N",AT128="Y",AS128="",ES128="N"),"Y","N")</f>
        <v>N</v>
      </c>
      <c r="EU128" s="0" t="str">
        <f aca="false">IF(ET128&lt;&gt;"Y","N",IF(COUNTIFS($AP$2:$AP$1000,AP128,$ET$2:$ET$1000,"Y",$J$2:$J$1000,"&gt;"&amp;J128)+COUNTIFS($AP$2:$AP$1000,AP128,$ET$2:$ET$1000,"Y",$J$2:$J$1000,J128,$EW$2:$EW$1000,"&lt;"&amp;EW128)=0,"Y","N"))</f>
        <v>N</v>
      </c>
      <c r="EV128" s="0" t="str">
        <f aca="false">IF(Y128="","N",IF(Y128&lt;=10,"Y","N"))</f>
        <v>N</v>
      </c>
      <c r="EW128" s="6" t="n">
        <f aca="false">ROW()-1</f>
        <v>127</v>
      </c>
    </row>
    <row r="129" customFormat="false" ht="15" hidden="false" customHeight="false" outlineLevel="0" collapsed="false">
      <c r="A129" s="0" t="s">
        <v>2555</v>
      </c>
      <c r="B129" s="0" t="s">
        <v>2556</v>
      </c>
      <c r="H129" s="5" t="s">
        <v>158</v>
      </c>
      <c r="I129" s="5" t="s">
        <v>159</v>
      </c>
      <c r="J129" s="6" t="n">
        <f aca="false">IF(AX129="pass",ROUND(CU129+CV129+CW129+CX129+CY129+CZ129,1),0)</f>
        <v>34.9</v>
      </c>
      <c r="K129" s="6" t="s">
        <v>2557</v>
      </c>
      <c r="L129" s="6" t="s">
        <v>561</v>
      </c>
      <c r="O129" s="6" t="s">
        <v>2558</v>
      </c>
      <c r="P129" s="6" t="s">
        <v>2389</v>
      </c>
      <c r="Q129" s="6" t="s">
        <v>2390</v>
      </c>
      <c r="R129" s="5" t="s">
        <v>162</v>
      </c>
      <c r="S129" s="6" t="s">
        <v>163</v>
      </c>
      <c r="T129" s="5" t="s">
        <v>162</v>
      </c>
      <c r="U129" s="5" t="s">
        <v>228</v>
      </c>
      <c r="V129" s="6" t="s">
        <v>2389</v>
      </c>
      <c r="W129" s="6" t="s">
        <v>166</v>
      </c>
      <c r="X129" s="6" t="s">
        <v>167</v>
      </c>
      <c r="Y129" s="0" t="str">
        <f aca="false">IF(EU129&lt;&gt;"Y","",COUNTIFS($EU$2:$EU$1000,"Y",$J$2:$J$1000,"&gt;"&amp;J129)+COUNTIFS($EU$2:$EU$1000,"Y",$J$2:$J$1000,J129,$EW$2:$EW$1000,"&lt;"&amp;EW129)+1)</f>
        <v/>
      </c>
      <c r="Z129" s="0" t="n">
        <v>128</v>
      </c>
      <c r="AA129" s="6" t="s">
        <v>162</v>
      </c>
      <c r="AB129" s="6" t="s">
        <v>1562</v>
      </c>
      <c r="AD129" s="6" t="s">
        <v>158</v>
      </c>
      <c r="AH129" s="5" t="s">
        <v>158</v>
      </c>
      <c r="AI129" s="6" t="s">
        <v>2383</v>
      </c>
      <c r="AJ129" s="6" t="s">
        <v>2371</v>
      </c>
      <c r="AK129" s="6" t="s">
        <v>890</v>
      </c>
      <c r="AL129" s="0" t="n">
        <v>5</v>
      </c>
      <c r="AM129" s="0" t="n">
        <v>155</v>
      </c>
      <c r="AN129" s="6" t="s">
        <v>179</v>
      </c>
      <c r="AO129" s="6" t="s">
        <v>862</v>
      </c>
      <c r="AP129" s="6" t="s">
        <v>2555</v>
      </c>
      <c r="AQ129" s="5" t="s">
        <v>168</v>
      </c>
      <c r="AR129" s="6" t="s">
        <v>891</v>
      </c>
      <c r="AT129" s="0" t="str">
        <f aca="false">IF(AND(AX129="pass",AQ129&lt;&gt;"Y",C129&lt;&gt;"",OR(AW129&lt;&gt;"Y",AV129="Y")),"Y","N")</f>
        <v>N</v>
      </c>
      <c r="AU129" s="0" t="str">
        <f aca="false">_xlfn.TEXTJOIN("; ",TRUE(),IF(AX129&lt;&gt;"pass","gated out",""),IF(AQ129="Y","on hold: "&amp;AR129,""),IF(C129="","no contact named on an opened page",""),IF(AND(AW129="Y",AV129&lt;&gt;"Y"),"Tuesday estimate band "&amp;L129&amp;": founder's call",""))</f>
        <v>on hold: lease signed, move not confirmed: check the lobby directory before outreach (B); no contact named on an opened page; Tuesday estimate band under-40: founder's call</v>
      </c>
      <c r="AW129" s="6" t="s">
        <v>168</v>
      </c>
      <c r="AX129" s="6" t="s">
        <v>181</v>
      </c>
      <c r="AY129" s="6" t="s">
        <v>182</v>
      </c>
      <c r="AZ129" s="6" t="s">
        <v>1</v>
      </c>
      <c r="BA129" s="6" t="s">
        <v>2559</v>
      </c>
      <c r="BB129" s="6" t="s">
        <v>2560</v>
      </c>
      <c r="BC129" s="6" t="s">
        <v>2561</v>
      </c>
      <c r="BD129" s="6" t="s">
        <v>2562</v>
      </c>
      <c r="BE129" s="6" t="s">
        <v>2563</v>
      </c>
      <c r="BF129" s="6" t="s">
        <v>187</v>
      </c>
      <c r="BG129" s="6" t="s">
        <v>188</v>
      </c>
      <c r="BH129" s="6" t="s">
        <v>241</v>
      </c>
      <c r="BI129" s="6" t="s">
        <v>2564</v>
      </c>
      <c r="BJ129" s="6" t="s">
        <v>2565</v>
      </c>
      <c r="BK129" s="6" t="s">
        <v>191</v>
      </c>
      <c r="BL129" s="6" t="s">
        <v>656</v>
      </c>
      <c r="BM129" s="6" t="s">
        <v>162</v>
      </c>
      <c r="BN129" s="6" t="s">
        <v>163</v>
      </c>
      <c r="BO129" s="6" t="s">
        <v>163</v>
      </c>
      <c r="BP129" s="6" t="s">
        <v>193</v>
      </c>
      <c r="BQ129" s="0" t="n">
        <v>40.73827</v>
      </c>
      <c r="BR129" s="0" t="n">
        <v>-73.988199</v>
      </c>
      <c r="BS129" s="6" t="s">
        <v>168</v>
      </c>
      <c r="BT129" s="0" t="n">
        <v>0</v>
      </c>
      <c r="BU129" s="6" t="s">
        <v>2387</v>
      </c>
      <c r="BV129" s="6" t="s">
        <v>2388</v>
      </c>
      <c r="BW129" s="6" t="s">
        <v>2389</v>
      </c>
      <c r="BX129" s="6" t="s">
        <v>2390</v>
      </c>
      <c r="BY129" s="6" t="s">
        <v>248</v>
      </c>
      <c r="BZ129" s="6" t="s">
        <v>2566</v>
      </c>
      <c r="CA129" s="6" t="s">
        <v>2364</v>
      </c>
      <c r="CC129" s="6" t="s">
        <v>739</v>
      </c>
      <c r="CD129" s="6" t="s">
        <v>163</v>
      </c>
      <c r="CE129" s="6" t="s">
        <v>162</v>
      </c>
      <c r="CH129" s="6" t="s">
        <v>163</v>
      </c>
      <c r="CJ129" s="6" t="s">
        <v>163</v>
      </c>
      <c r="CK129" s="6" t="s">
        <v>162</v>
      </c>
      <c r="CL129" s="6" t="s">
        <v>2567</v>
      </c>
      <c r="CM129" s="6" t="s">
        <v>2568</v>
      </c>
      <c r="CN129" s="6" t="s">
        <v>174</v>
      </c>
      <c r="CO129" s="0" t="n">
        <v>28</v>
      </c>
      <c r="CP129" s="6" t="s">
        <v>1727</v>
      </c>
      <c r="CQ129" s="6" t="s">
        <v>2569</v>
      </c>
      <c r="CR129" s="6" t="s">
        <v>206</v>
      </c>
      <c r="CS129" s="0" t="n">
        <v>0.39</v>
      </c>
      <c r="CT129" s="0" t="n">
        <v>34.9</v>
      </c>
      <c r="CU129" s="0" t="n">
        <v>9.9</v>
      </c>
      <c r="CV129" s="0" t="n">
        <v>15</v>
      </c>
      <c r="CW129" s="0" t="n">
        <v>5</v>
      </c>
      <c r="CX129" s="0" t="n">
        <v>5</v>
      </c>
      <c r="CY129" s="6" t="n">
        <f aca="false">IF(AH129="exact",10,IF(AH129="adjacent",5,0))</f>
        <v>0</v>
      </c>
      <c r="CZ129" s="6" t="n">
        <f aca="false">IF(R129="Y",15,0)</f>
        <v>0</v>
      </c>
      <c r="DF129" s="6" t="s">
        <v>158</v>
      </c>
      <c r="DG129" s="6" t="s">
        <v>211</v>
      </c>
      <c r="DK129" s="6" t="s">
        <v>2570</v>
      </c>
      <c r="DS129" s="6" t="s">
        <v>158</v>
      </c>
      <c r="DX129" s="6" t="s">
        <v>162</v>
      </c>
      <c r="ER129" s="0" t="str">
        <f aca="false">IF(ISNUMBER(MATCH(U129,{"queued","contacted","replied","call_booked","call_done","yes_in_principle","materials_sent"},0)),"Y","N")</f>
        <v>N</v>
      </c>
      <c r="ES129" s="0" t="str">
        <f aca="false">IF(COUNTIFS($AP$2:$AP$1000,AP129,$ER$2:$ER$1000,"Y")+COUNTIFS($AP$2:$AP$1000,AP129,$T$2:$T$1000,"Y")&gt;0,"Y","N")</f>
        <v>N</v>
      </c>
      <c r="ET129" s="0" t="str">
        <f aca="false">IF(AND(U129="new",T129="N",AT129="Y",AS129="",ES129="N"),"Y","N")</f>
        <v>N</v>
      </c>
      <c r="EU129" s="0" t="str">
        <f aca="false">IF(ET129&lt;&gt;"Y","N",IF(COUNTIFS($AP$2:$AP$1000,AP129,$ET$2:$ET$1000,"Y",$J$2:$J$1000,"&gt;"&amp;J129)+COUNTIFS($AP$2:$AP$1000,AP129,$ET$2:$ET$1000,"Y",$J$2:$J$1000,J129,$EW$2:$EW$1000,"&lt;"&amp;EW129)=0,"Y","N"))</f>
        <v>N</v>
      </c>
      <c r="EV129" s="0" t="str">
        <f aca="false">IF(Y129="","N",IF(Y129&lt;=10,"Y","N"))</f>
        <v>N</v>
      </c>
      <c r="EW129" s="6" t="n">
        <f aca="false">ROW()-1</f>
        <v>128</v>
      </c>
    </row>
    <row r="130" customFormat="false" ht="15" hidden="false" customHeight="false" outlineLevel="0" collapsed="false">
      <c r="A130" s="0" t="s">
        <v>2571</v>
      </c>
      <c r="B130" s="0" t="s">
        <v>2572</v>
      </c>
      <c r="H130" s="5" t="s">
        <v>158</v>
      </c>
      <c r="I130" s="5" t="s">
        <v>159</v>
      </c>
      <c r="J130" s="6" t="n">
        <f aca="false">IF(AX130="pass",ROUND(CU130+CV130+CW130+CX130+CY130+CZ130,1),0)</f>
        <v>34</v>
      </c>
      <c r="K130" s="6" t="s">
        <v>2573</v>
      </c>
      <c r="L130" s="6" t="s">
        <v>163</v>
      </c>
      <c r="R130" s="5" t="s">
        <v>162</v>
      </c>
      <c r="S130" s="6" t="s">
        <v>163</v>
      </c>
      <c r="T130" s="5" t="s">
        <v>162</v>
      </c>
      <c r="U130" s="5" t="s">
        <v>228</v>
      </c>
      <c r="V130" s="6" t="s">
        <v>2574</v>
      </c>
      <c r="W130" s="6" t="s">
        <v>166</v>
      </c>
      <c r="X130" s="6" t="s">
        <v>167</v>
      </c>
      <c r="Y130" s="0" t="str">
        <f aca="false">IF(EU130&lt;&gt;"Y","",COUNTIFS($EU$2:$EU$1000,"Y",$J$2:$J$1000,"&gt;"&amp;J130)+COUNTIFS($EU$2:$EU$1000,"Y",$J$2:$J$1000,J130,$EW$2:$EW$1000,"&lt;"&amp;EW130)+1)</f>
        <v/>
      </c>
      <c r="Z130" s="0" t="n">
        <v>129</v>
      </c>
      <c r="AA130" s="6" t="s">
        <v>162</v>
      </c>
      <c r="AD130" s="6" t="s">
        <v>158</v>
      </c>
      <c r="AH130" s="5" t="s">
        <v>158</v>
      </c>
      <c r="AI130" s="6" t="s">
        <v>728</v>
      </c>
      <c r="AJ130" s="6" t="s">
        <v>2575</v>
      </c>
      <c r="AK130" s="6" t="s">
        <v>178</v>
      </c>
      <c r="AL130" s="6" t="s">
        <v>163</v>
      </c>
      <c r="AM130" s="6" t="s">
        <v>163</v>
      </c>
      <c r="AN130" s="6" t="s">
        <v>158</v>
      </c>
      <c r="AO130" s="6" t="s">
        <v>163</v>
      </c>
      <c r="AP130" s="6" t="s">
        <v>2571</v>
      </c>
      <c r="AQ130" s="5" t="s">
        <v>162</v>
      </c>
      <c r="AT130" s="0" t="str">
        <f aca="false">IF(AND(AX130="pass",AQ130&lt;&gt;"Y",C130&lt;&gt;"",OR(AW130&lt;&gt;"Y",AV130="Y")),"Y","N")</f>
        <v>N</v>
      </c>
      <c r="AU130" s="0" t="str">
        <f aca="false">_xlfn.TEXTJOIN("; ",TRUE(),IF(AX130&lt;&gt;"pass","gated out",""),IF(AQ130="Y","on hold: "&amp;AR130,""),IF(C130="","no contact named on an opened page",""),IF(AND(AW130="Y",AV130&lt;&gt;"Y"),"Tuesday estimate band "&amp;L130&amp;": founder's call",""))</f>
        <v>no contact named on an opened page</v>
      </c>
      <c r="AW130" s="6" t="s">
        <v>162</v>
      </c>
      <c r="AX130" s="6" t="s">
        <v>181</v>
      </c>
      <c r="AY130" s="6" t="s">
        <v>182</v>
      </c>
      <c r="AZ130" s="6" t="s">
        <v>1</v>
      </c>
      <c r="BA130" s="6" t="s">
        <v>2576</v>
      </c>
      <c r="BB130" s="6" t="s">
        <v>163</v>
      </c>
      <c r="BC130" s="6" t="s">
        <v>2577</v>
      </c>
      <c r="BD130" s="6" t="s">
        <v>163</v>
      </c>
      <c r="BF130" s="6" t="s">
        <v>163</v>
      </c>
      <c r="BG130" s="6" t="s">
        <v>163</v>
      </c>
      <c r="BH130" s="6" t="s">
        <v>2196</v>
      </c>
      <c r="BK130" s="6" t="s">
        <v>163</v>
      </c>
      <c r="BL130" s="6" t="s">
        <v>163</v>
      </c>
      <c r="BM130" s="6" t="s">
        <v>163</v>
      </c>
      <c r="BN130" s="6" t="s">
        <v>163</v>
      </c>
      <c r="BO130" s="6" t="s">
        <v>163</v>
      </c>
      <c r="BP130" s="6" t="s">
        <v>193</v>
      </c>
      <c r="BQ130" s="0" t="n">
        <v>40.734626</v>
      </c>
      <c r="BR130" s="0" t="n">
        <v>-73.9911</v>
      </c>
      <c r="BS130" s="6" t="s">
        <v>168</v>
      </c>
      <c r="BT130" s="0" t="n">
        <v>0</v>
      </c>
      <c r="BU130" s="6" t="s">
        <v>736</v>
      </c>
      <c r="BV130" s="6" t="s">
        <v>737</v>
      </c>
      <c r="BW130" s="6" t="s">
        <v>2574</v>
      </c>
      <c r="BX130" s="6" t="s">
        <v>913</v>
      </c>
      <c r="BY130" s="6" t="s">
        <v>248</v>
      </c>
      <c r="BZ130" s="6" t="s">
        <v>2578</v>
      </c>
      <c r="CA130" s="6" t="s">
        <v>2579</v>
      </c>
      <c r="CC130" s="6" t="s">
        <v>739</v>
      </c>
      <c r="CE130" s="6" t="s">
        <v>162</v>
      </c>
      <c r="CH130" s="6" t="s">
        <v>201</v>
      </c>
      <c r="CI130" s="6" t="s">
        <v>740</v>
      </c>
      <c r="CJ130" s="6" t="s">
        <v>163</v>
      </c>
      <c r="CK130" s="6" t="s">
        <v>162</v>
      </c>
      <c r="CL130" s="6" t="s">
        <v>163</v>
      </c>
      <c r="CO130" s="6" t="s">
        <v>163</v>
      </c>
      <c r="CQ130" s="6" t="s">
        <v>2197</v>
      </c>
      <c r="CR130" s="6" t="s">
        <v>206</v>
      </c>
      <c r="CS130" s="6" t="s">
        <v>163</v>
      </c>
      <c r="CT130" s="0" t="n">
        <v>34</v>
      </c>
      <c r="CU130" s="0" t="n">
        <v>7</v>
      </c>
      <c r="CV130" s="0" t="n">
        <v>8</v>
      </c>
      <c r="CW130" s="0" t="n">
        <v>6</v>
      </c>
      <c r="CX130" s="0" t="n">
        <v>13</v>
      </c>
      <c r="CY130" s="6" t="n">
        <f aca="false">IF(AH130="exact",10,IF(AH130="adjacent",5,0))</f>
        <v>0</v>
      </c>
      <c r="CZ130" s="6" t="n">
        <f aca="false">IF(R130="Y",15,0)</f>
        <v>0</v>
      </c>
      <c r="DF130" s="6" t="s">
        <v>158</v>
      </c>
      <c r="DG130" s="6" t="s">
        <v>211</v>
      </c>
      <c r="DJ130" s="6" t="s">
        <v>2580</v>
      </c>
      <c r="DK130" s="6" t="s">
        <v>2581</v>
      </c>
      <c r="DS130" s="6" t="s">
        <v>158</v>
      </c>
      <c r="DX130" s="6" t="s">
        <v>162</v>
      </c>
      <c r="ER130" s="0" t="str">
        <f aca="false">IF(ISNUMBER(MATCH(U130,{"queued","contacted","replied","call_booked","call_done","yes_in_principle","materials_sent"},0)),"Y","N")</f>
        <v>N</v>
      </c>
      <c r="ES130" s="0" t="str">
        <f aca="false">IF(COUNTIFS($AP$2:$AP$1000,AP130,$ER$2:$ER$1000,"Y")+COUNTIFS($AP$2:$AP$1000,AP130,$T$2:$T$1000,"Y")&gt;0,"Y","N")</f>
        <v>N</v>
      </c>
      <c r="ET130" s="0" t="str">
        <f aca="false">IF(AND(U130="new",T130="N",AT130="Y",AS130="",ES130="N"),"Y","N")</f>
        <v>N</v>
      </c>
      <c r="EU130" s="0" t="str">
        <f aca="false">IF(ET130&lt;&gt;"Y","N",IF(COUNTIFS($AP$2:$AP$1000,AP130,$ET$2:$ET$1000,"Y",$J$2:$J$1000,"&gt;"&amp;J130)+COUNTIFS($AP$2:$AP$1000,AP130,$ET$2:$ET$1000,"Y",$J$2:$J$1000,J130,$EW$2:$EW$1000,"&lt;"&amp;EW130)=0,"Y","N"))</f>
        <v>N</v>
      </c>
      <c r="EV130" s="0" t="str">
        <f aca="false">IF(Y130="","N",IF(Y130&lt;=10,"Y","N"))</f>
        <v>N</v>
      </c>
      <c r="EW130" s="6" t="n">
        <f aca="false">ROW()-1</f>
        <v>129</v>
      </c>
    </row>
    <row r="131" customFormat="false" ht="15" hidden="false" customHeight="false" outlineLevel="0" collapsed="false">
      <c r="A131" s="0" t="s">
        <v>2582</v>
      </c>
      <c r="B131" s="0" t="s">
        <v>2583</v>
      </c>
      <c r="H131" s="5" t="s">
        <v>158</v>
      </c>
      <c r="I131" s="5" t="s">
        <v>159</v>
      </c>
      <c r="J131" s="6" t="n">
        <f aca="false">IF(AX131="pass",ROUND(CU131+CV131+CW131+CX131+CY131+CZ131,1),0)</f>
        <v>34</v>
      </c>
      <c r="K131" s="6" t="s">
        <v>2573</v>
      </c>
      <c r="L131" s="6" t="s">
        <v>163</v>
      </c>
      <c r="R131" s="5" t="s">
        <v>162</v>
      </c>
      <c r="S131" s="6" t="s">
        <v>163</v>
      </c>
      <c r="T131" s="5" t="s">
        <v>162</v>
      </c>
      <c r="U131" s="5" t="s">
        <v>228</v>
      </c>
      <c r="V131" s="6" t="s">
        <v>1028</v>
      </c>
      <c r="W131" s="6" t="s">
        <v>166</v>
      </c>
      <c r="X131" s="6" t="s">
        <v>167</v>
      </c>
      <c r="Y131" s="0" t="str">
        <f aca="false">IF(EU131&lt;&gt;"Y","",COUNTIFS($EU$2:$EU$1000,"Y",$J$2:$J$1000,"&gt;"&amp;J131)+COUNTIFS($EU$2:$EU$1000,"Y",$J$2:$J$1000,J131,$EW$2:$EW$1000,"&lt;"&amp;EW131)+1)</f>
        <v/>
      </c>
      <c r="Z131" s="0" t="n">
        <v>130</v>
      </c>
      <c r="AA131" s="6" t="s">
        <v>162</v>
      </c>
      <c r="AD131" s="6" t="s">
        <v>158</v>
      </c>
      <c r="AH131" s="5" t="s">
        <v>158</v>
      </c>
      <c r="AI131" s="6" t="s">
        <v>1031</v>
      </c>
      <c r="AJ131" s="6" t="s">
        <v>163</v>
      </c>
      <c r="AK131" s="6" t="s">
        <v>178</v>
      </c>
      <c r="AL131" s="6" t="s">
        <v>163</v>
      </c>
      <c r="AM131" s="6" t="s">
        <v>163</v>
      </c>
      <c r="AN131" s="6" t="s">
        <v>158</v>
      </c>
      <c r="AO131" s="6" t="s">
        <v>163</v>
      </c>
      <c r="AP131" s="6" t="s">
        <v>2582</v>
      </c>
      <c r="AQ131" s="5" t="s">
        <v>162</v>
      </c>
      <c r="AT131" s="0" t="str">
        <f aca="false">IF(AND(AX131="pass",AQ131&lt;&gt;"Y",C131&lt;&gt;"",OR(AW131&lt;&gt;"Y",AV131="Y")),"Y","N")</f>
        <v>N</v>
      </c>
      <c r="AU131" s="0" t="str">
        <f aca="false">_xlfn.TEXTJOIN("; ",TRUE(),IF(AX131&lt;&gt;"pass","gated out",""),IF(AQ131="Y","on hold: "&amp;AR131,""),IF(C131="","no contact named on an opened page",""),IF(AND(AW131="Y",AV131&lt;&gt;"Y"),"Tuesday estimate band "&amp;L131&amp;": founder's call",""))</f>
        <v>no contact named on an opened page</v>
      </c>
      <c r="AW131" s="6" t="s">
        <v>162</v>
      </c>
      <c r="AX131" s="6" t="s">
        <v>181</v>
      </c>
      <c r="AY131" s="6" t="s">
        <v>182</v>
      </c>
      <c r="AZ131" s="6" t="s">
        <v>1</v>
      </c>
      <c r="BA131" s="6" t="s">
        <v>2584</v>
      </c>
      <c r="BB131" s="6" t="s">
        <v>2585</v>
      </c>
      <c r="BC131" s="6" t="s">
        <v>2586</v>
      </c>
      <c r="BD131" s="6" t="s">
        <v>163</v>
      </c>
      <c r="BF131" s="6" t="s">
        <v>163</v>
      </c>
      <c r="BG131" s="6" t="s">
        <v>163</v>
      </c>
      <c r="BH131" s="6" t="s">
        <v>2196</v>
      </c>
      <c r="BK131" s="6" t="s">
        <v>163</v>
      </c>
      <c r="BL131" s="6" t="s">
        <v>163</v>
      </c>
      <c r="BM131" s="6" t="s">
        <v>163</v>
      </c>
      <c r="BN131" s="6" t="s">
        <v>163</v>
      </c>
      <c r="BO131" s="6" t="s">
        <v>163</v>
      </c>
      <c r="BP131" s="6" t="s">
        <v>712</v>
      </c>
      <c r="BQ131" s="0" t="n">
        <v>40.744899</v>
      </c>
      <c r="BR131" s="0" t="n">
        <v>-73.989082</v>
      </c>
      <c r="BS131" s="6" t="s">
        <v>168</v>
      </c>
      <c r="BT131" s="0" t="n">
        <v>0</v>
      </c>
      <c r="BU131" s="6" t="s">
        <v>1041</v>
      </c>
      <c r="BV131" s="6" t="s">
        <v>1042</v>
      </c>
      <c r="BW131" s="6" t="s">
        <v>1028</v>
      </c>
      <c r="BX131" s="6" t="s">
        <v>1043</v>
      </c>
      <c r="BY131" s="6" t="s">
        <v>248</v>
      </c>
      <c r="CC131" s="6" t="s">
        <v>739</v>
      </c>
      <c r="CE131" s="6" t="s">
        <v>162</v>
      </c>
      <c r="CH131" s="6" t="s">
        <v>163</v>
      </c>
      <c r="CJ131" s="6" t="s">
        <v>163</v>
      </c>
      <c r="CK131" s="6" t="s">
        <v>162</v>
      </c>
      <c r="CL131" s="6" t="s">
        <v>163</v>
      </c>
      <c r="CO131" s="6" t="s">
        <v>163</v>
      </c>
      <c r="CQ131" s="6" t="s">
        <v>2197</v>
      </c>
      <c r="CR131" s="6" t="s">
        <v>206</v>
      </c>
      <c r="CS131" s="6" t="s">
        <v>163</v>
      </c>
      <c r="CT131" s="0" t="n">
        <v>34</v>
      </c>
      <c r="CU131" s="0" t="n">
        <v>7</v>
      </c>
      <c r="CV131" s="0" t="n">
        <v>8</v>
      </c>
      <c r="CW131" s="0" t="n">
        <v>6</v>
      </c>
      <c r="CX131" s="0" t="n">
        <v>13</v>
      </c>
      <c r="CY131" s="6" t="n">
        <f aca="false">IF(AH131="exact",10,IF(AH131="adjacent",5,0))</f>
        <v>0</v>
      </c>
      <c r="CZ131" s="6" t="n">
        <f aca="false">IF(R131="Y",15,0)</f>
        <v>0</v>
      </c>
      <c r="DF131" s="6" t="s">
        <v>158</v>
      </c>
      <c r="DG131" s="6" t="s">
        <v>211</v>
      </c>
      <c r="DJ131" s="6" t="s">
        <v>2587</v>
      </c>
      <c r="DK131" s="6" t="s">
        <v>2588</v>
      </c>
      <c r="DS131" s="6" t="s">
        <v>158</v>
      </c>
      <c r="DX131" s="6" t="s">
        <v>162</v>
      </c>
      <c r="ER131" s="0" t="str">
        <f aca="false">IF(ISNUMBER(MATCH(U131,{"queued","contacted","replied","call_booked","call_done","yes_in_principle","materials_sent"},0)),"Y","N")</f>
        <v>N</v>
      </c>
      <c r="ES131" s="0" t="str">
        <f aca="false">IF(COUNTIFS($AP$2:$AP$1000,AP131,$ER$2:$ER$1000,"Y")+COUNTIFS($AP$2:$AP$1000,AP131,$T$2:$T$1000,"Y")&gt;0,"Y","N")</f>
        <v>N</v>
      </c>
      <c r="ET131" s="0" t="str">
        <f aca="false">IF(AND(U131="new",T131="N",AT131="Y",AS131="",ES131="N"),"Y","N")</f>
        <v>N</v>
      </c>
      <c r="EU131" s="0" t="str">
        <f aca="false">IF(ET131&lt;&gt;"Y","N",IF(COUNTIFS($AP$2:$AP$1000,AP131,$ET$2:$ET$1000,"Y",$J$2:$J$1000,"&gt;"&amp;J131)+COUNTIFS($AP$2:$AP$1000,AP131,$ET$2:$ET$1000,"Y",$J$2:$J$1000,J131,$EW$2:$EW$1000,"&lt;"&amp;EW131)=0,"Y","N"))</f>
        <v>N</v>
      </c>
      <c r="EV131" s="0" t="str">
        <f aca="false">IF(Y131="","N",IF(Y131&lt;=10,"Y","N"))</f>
        <v>N</v>
      </c>
      <c r="EW131" s="6" t="n">
        <f aca="false">ROW()-1</f>
        <v>130</v>
      </c>
    </row>
    <row r="132" customFormat="false" ht="15" hidden="false" customHeight="false" outlineLevel="0" collapsed="false">
      <c r="A132" s="0" t="s">
        <v>2589</v>
      </c>
      <c r="B132" s="0" t="s">
        <v>2590</v>
      </c>
      <c r="H132" s="5" t="s">
        <v>158</v>
      </c>
      <c r="I132" s="5" t="s">
        <v>159</v>
      </c>
      <c r="J132" s="6" t="n">
        <f aca="false">IF(AX132="pass",ROUND(CU132+CV132+CW132+CX132+CY132+CZ132,1),0)</f>
        <v>34</v>
      </c>
      <c r="K132" s="6" t="s">
        <v>2591</v>
      </c>
      <c r="L132" s="6" t="s">
        <v>163</v>
      </c>
      <c r="R132" s="5" t="s">
        <v>162</v>
      </c>
      <c r="S132" s="6" t="s">
        <v>163</v>
      </c>
      <c r="T132" s="5" t="s">
        <v>162</v>
      </c>
      <c r="U132" s="5" t="s">
        <v>228</v>
      </c>
      <c r="V132" s="6" t="s">
        <v>2592</v>
      </c>
      <c r="W132" s="6" t="s">
        <v>166</v>
      </c>
      <c r="X132" s="6" t="s">
        <v>167</v>
      </c>
      <c r="Y132" s="0" t="str">
        <f aca="false">IF(EU132&lt;&gt;"Y","",COUNTIFS($EU$2:$EU$1000,"Y",$J$2:$J$1000,"&gt;"&amp;J132)+COUNTIFS($EU$2:$EU$1000,"Y",$J$2:$J$1000,J132,$EW$2:$EW$1000,"&lt;"&amp;EW132)+1)</f>
        <v/>
      </c>
      <c r="Z132" s="0" t="n">
        <v>131</v>
      </c>
      <c r="AA132" s="6" t="s">
        <v>162</v>
      </c>
      <c r="AD132" s="6" t="s">
        <v>158</v>
      </c>
      <c r="AH132" s="5" t="s">
        <v>158</v>
      </c>
      <c r="AI132" s="6" t="s">
        <v>2593</v>
      </c>
      <c r="AJ132" s="6" t="s">
        <v>163</v>
      </c>
      <c r="AK132" s="6" t="s">
        <v>2228</v>
      </c>
      <c r="AL132" s="6" t="s">
        <v>163</v>
      </c>
      <c r="AM132" s="6" t="s">
        <v>163</v>
      </c>
      <c r="AN132" s="6" t="s">
        <v>158</v>
      </c>
      <c r="AO132" s="6" t="s">
        <v>163</v>
      </c>
      <c r="AP132" s="6" t="s">
        <v>2589</v>
      </c>
      <c r="AQ132" s="5" t="s">
        <v>162</v>
      </c>
      <c r="AT132" s="0" t="str">
        <f aca="false">IF(AND(AX132="pass",AQ132&lt;&gt;"Y",C132&lt;&gt;"",OR(AW132&lt;&gt;"Y",AV132="Y")),"Y","N")</f>
        <v>N</v>
      </c>
      <c r="AU132" s="0" t="str">
        <f aca="false">_xlfn.TEXTJOIN("; ",TRUE(),IF(AX132&lt;&gt;"pass","gated out",""),IF(AQ132="Y","on hold: "&amp;AR132,""),IF(C132="","no contact named on an opened page",""),IF(AND(AW132="Y",AV132&lt;&gt;"Y"),"Tuesday estimate band "&amp;L132&amp;": founder's call",""))</f>
        <v>no contact named on an opened page</v>
      </c>
      <c r="AW132" s="6" t="s">
        <v>162</v>
      </c>
      <c r="AX132" s="6" t="s">
        <v>181</v>
      </c>
      <c r="AY132" s="6" t="s">
        <v>182</v>
      </c>
      <c r="AZ132" s="6" t="s">
        <v>2229</v>
      </c>
      <c r="BA132" s="6" t="s">
        <v>2594</v>
      </c>
      <c r="BB132" s="6" t="s">
        <v>2595</v>
      </c>
      <c r="BC132" s="6" t="s">
        <v>2232</v>
      </c>
      <c r="BD132" s="6" t="s">
        <v>163</v>
      </c>
      <c r="BF132" s="6" t="s">
        <v>163</v>
      </c>
      <c r="BG132" s="6" t="s">
        <v>163</v>
      </c>
      <c r="BK132" s="6" t="s">
        <v>163</v>
      </c>
      <c r="BL132" s="6" t="s">
        <v>2233</v>
      </c>
      <c r="BM132" s="6" t="s">
        <v>163</v>
      </c>
      <c r="BN132" s="6" t="s">
        <v>2596</v>
      </c>
      <c r="BP132" s="6" t="s">
        <v>193</v>
      </c>
      <c r="BQ132" s="0" t="n">
        <v>40.733674</v>
      </c>
      <c r="BR132" s="0" t="n">
        <v>-73.988766</v>
      </c>
      <c r="BS132" s="6" t="s">
        <v>168</v>
      </c>
      <c r="BT132" s="0" t="n">
        <v>0</v>
      </c>
      <c r="BU132" s="6" t="s">
        <v>657</v>
      </c>
      <c r="BV132" s="6" t="s">
        <v>658</v>
      </c>
      <c r="BW132" s="6" t="s">
        <v>2592</v>
      </c>
      <c r="BX132" s="6" t="s">
        <v>166</v>
      </c>
      <c r="BY132" s="6" t="s">
        <v>2237</v>
      </c>
      <c r="CC132" s="6" t="s">
        <v>739</v>
      </c>
      <c r="CE132" s="6" t="s">
        <v>162</v>
      </c>
      <c r="CF132" s="6" t="s">
        <v>2594</v>
      </c>
      <c r="CG132" s="6" t="s">
        <v>2239</v>
      </c>
      <c r="CH132" s="6" t="s">
        <v>163</v>
      </c>
      <c r="CJ132" s="6" t="s">
        <v>163</v>
      </c>
      <c r="CK132" s="6" t="s">
        <v>162</v>
      </c>
      <c r="CL132" s="6" t="s">
        <v>163</v>
      </c>
      <c r="CO132" s="6" t="s">
        <v>163</v>
      </c>
      <c r="CQ132" s="6" t="s">
        <v>2240</v>
      </c>
      <c r="CR132" s="6" t="s">
        <v>206</v>
      </c>
      <c r="CS132" s="6" t="s">
        <v>163</v>
      </c>
      <c r="CT132" s="0" t="n">
        <v>34</v>
      </c>
      <c r="CU132" s="0" t="n">
        <v>7</v>
      </c>
      <c r="CV132" s="0" t="n">
        <v>8</v>
      </c>
      <c r="CW132" s="0" t="n">
        <v>6</v>
      </c>
      <c r="CX132" s="0" t="n">
        <v>13</v>
      </c>
      <c r="CY132" s="6" t="n">
        <f aca="false">IF(AH132="exact",10,IF(AH132="adjacent",5,0))</f>
        <v>0</v>
      </c>
      <c r="CZ132" s="6" t="n">
        <f aca="false">IF(R132="Y",15,0)</f>
        <v>0</v>
      </c>
      <c r="DF132" s="6" t="s">
        <v>158</v>
      </c>
      <c r="DG132" s="6" t="s">
        <v>2229</v>
      </c>
      <c r="DK132" s="6" t="s">
        <v>2597</v>
      </c>
      <c r="DS132" s="6" t="s">
        <v>158</v>
      </c>
      <c r="DX132" s="6" t="s">
        <v>162</v>
      </c>
      <c r="ER132" s="0" t="str">
        <f aca="false">IF(ISNUMBER(MATCH(U132,{"queued","contacted","replied","call_booked","call_done","yes_in_principle","materials_sent"},0)),"Y","N")</f>
        <v>N</v>
      </c>
      <c r="ES132" s="0" t="str">
        <f aca="false">IF(COUNTIFS($AP$2:$AP$1000,AP132,$ER$2:$ER$1000,"Y")+COUNTIFS($AP$2:$AP$1000,AP132,$T$2:$T$1000,"Y")&gt;0,"Y","N")</f>
        <v>N</v>
      </c>
      <c r="ET132" s="0" t="str">
        <f aca="false">IF(AND(U132="new",T132="N",AT132="Y",AS132="",ES132="N"),"Y","N")</f>
        <v>N</v>
      </c>
      <c r="EU132" s="0" t="str">
        <f aca="false">IF(ET132&lt;&gt;"Y","N",IF(COUNTIFS($AP$2:$AP$1000,AP132,$ET$2:$ET$1000,"Y",$J$2:$J$1000,"&gt;"&amp;J132)+COUNTIFS($AP$2:$AP$1000,AP132,$ET$2:$ET$1000,"Y",$J$2:$J$1000,J132,$EW$2:$EW$1000,"&lt;"&amp;EW132)=0,"Y","N"))</f>
        <v>N</v>
      </c>
      <c r="EV132" s="0" t="str">
        <f aca="false">IF(Y132="","N",IF(Y132&lt;=10,"Y","N"))</f>
        <v>N</v>
      </c>
      <c r="EW132" s="6" t="n">
        <f aca="false">ROW()-1</f>
        <v>131</v>
      </c>
    </row>
    <row r="133" customFormat="false" ht="15" hidden="false" customHeight="false" outlineLevel="0" collapsed="false">
      <c r="A133" s="0" t="s">
        <v>2598</v>
      </c>
      <c r="B133" s="0" t="s">
        <v>2599</v>
      </c>
      <c r="H133" s="5" t="s">
        <v>158</v>
      </c>
      <c r="I133" s="5" t="s">
        <v>159</v>
      </c>
      <c r="J133" s="6" t="n">
        <f aca="false">IF(AX133="pass",ROUND(CU133+CV133+CW133+CX133+CY133+CZ133,1),0)</f>
        <v>34</v>
      </c>
      <c r="K133" s="6" t="s">
        <v>2573</v>
      </c>
      <c r="L133" s="6" t="s">
        <v>163</v>
      </c>
      <c r="R133" s="5" t="s">
        <v>162</v>
      </c>
      <c r="S133" s="6" t="s">
        <v>163</v>
      </c>
      <c r="T133" s="5" t="s">
        <v>162</v>
      </c>
      <c r="U133" s="5" t="s">
        <v>228</v>
      </c>
      <c r="V133" s="6" t="s">
        <v>2600</v>
      </c>
      <c r="W133" s="6" t="s">
        <v>166</v>
      </c>
      <c r="X133" s="6" t="s">
        <v>167</v>
      </c>
      <c r="Y133" s="0" t="str">
        <f aca="false">IF(EU133&lt;&gt;"Y","",COUNTIFS($EU$2:$EU$1000,"Y",$J$2:$J$1000,"&gt;"&amp;J133)+COUNTIFS($EU$2:$EU$1000,"Y",$J$2:$J$1000,J133,$EW$2:$EW$1000,"&lt;"&amp;EW133)+1)</f>
        <v/>
      </c>
      <c r="Z133" s="0" t="n">
        <v>132</v>
      </c>
      <c r="AA133" s="6" t="s">
        <v>162</v>
      </c>
      <c r="AD133" s="6" t="s">
        <v>158</v>
      </c>
      <c r="AH133" s="5" t="s">
        <v>158</v>
      </c>
      <c r="AI133" s="6" t="s">
        <v>1411</v>
      </c>
      <c r="AJ133" s="6" t="s">
        <v>163</v>
      </c>
      <c r="AK133" s="6" t="s">
        <v>178</v>
      </c>
      <c r="AL133" s="6" t="s">
        <v>163</v>
      </c>
      <c r="AM133" s="6" t="s">
        <v>163</v>
      </c>
      <c r="AN133" s="6" t="s">
        <v>158</v>
      </c>
      <c r="AO133" s="6" t="s">
        <v>163</v>
      </c>
      <c r="AP133" s="6" t="s">
        <v>2598</v>
      </c>
      <c r="AQ133" s="5" t="s">
        <v>162</v>
      </c>
      <c r="AT133" s="0" t="str">
        <f aca="false">IF(AND(AX133="pass",AQ133&lt;&gt;"Y",C133&lt;&gt;"",OR(AW133&lt;&gt;"Y",AV133="Y")),"Y","N")</f>
        <v>N</v>
      </c>
      <c r="AU133" s="0" t="str">
        <f aca="false">_xlfn.TEXTJOIN("; ",TRUE(),IF(AX133&lt;&gt;"pass","gated out",""),IF(AQ133="Y","on hold: "&amp;AR133,""),IF(C133="","no contact named on an opened page",""),IF(AND(AW133="Y",AV133&lt;&gt;"Y"),"Tuesday estimate band "&amp;L133&amp;": founder's call",""))</f>
        <v>no contact named on an opened page</v>
      </c>
      <c r="AW133" s="6" t="s">
        <v>162</v>
      </c>
      <c r="AX133" s="6" t="s">
        <v>181</v>
      </c>
      <c r="AY133" s="6" t="s">
        <v>182</v>
      </c>
      <c r="AZ133" s="6" t="s">
        <v>1</v>
      </c>
      <c r="BA133" s="6" t="s">
        <v>2601</v>
      </c>
      <c r="BB133" s="6" t="s">
        <v>2602</v>
      </c>
      <c r="BC133" s="6" t="s">
        <v>2603</v>
      </c>
      <c r="BD133" s="6" t="s">
        <v>163</v>
      </c>
      <c r="BF133" s="6" t="s">
        <v>163</v>
      </c>
      <c r="BG133" s="6" t="s">
        <v>163</v>
      </c>
      <c r="BH133" s="6" t="s">
        <v>2196</v>
      </c>
      <c r="BK133" s="6" t="s">
        <v>163</v>
      </c>
      <c r="BL133" s="6" t="s">
        <v>163</v>
      </c>
      <c r="BM133" s="6" t="s">
        <v>163</v>
      </c>
      <c r="BN133" s="6" t="s">
        <v>163</v>
      </c>
      <c r="BO133" s="6" t="s">
        <v>163</v>
      </c>
      <c r="BP133" s="6" t="s">
        <v>347</v>
      </c>
      <c r="BQ133" s="0" t="n">
        <v>40.741548</v>
      </c>
      <c r="BR133" s="0" t="n">
        <v>-73.993007</v>
      </c>
      <c r="BS133" s="6" t="s">
        <v>168</v>
      </c>
      <c r="BT133" s="0" t="n">
        <v>0</v>
      </c>
      <c r="BU133" s="6" t="s">
        <v>1420</v>
      </c>
      <c r="BV133" s="6" t="s">
        <v>1421</v>
      </c>
      <c r="BW133" s="6" t="s">
        <v>2600</v>
      </c>
      <c r="BX133" s="6" t="s">
        <v>2604</v>
      </c>
      <c r="BY133" s="6" t="s">
        <v>248</v>
      </c>
      <c r="BZ133" s="6" t="s">
        <v>1410</v>
      </c>
      <c r="CA133" s="6" t="s">
        <v>1422</v>
      </c>
      <c r="CC133" s="6" t="s">
        <v>739</v>
      </c>
      <c r="CE133" s="6" t="s">
        <v>162</v>
      </c>
      <c r="CH133" s="6" t="s">
        <v>163</v>
      </c>
      <c r="CJ133" s="6" t="s">
        <v>163</v>
      </c>
      <c r="CK133" s="6" t="s">
        <v>162</v>
      </c>
      <c r="CL133" s="6" t="s">
        <v>163</v>
      </c>
      <c r="CO133" s="6" t="s">
        <v>163</v>
      </c>
      <c r="CQ133" s="6" t="s">
        <v>2197</v>
      </c>
      <c r="CR133" s="6" t="s">
        <v>206</v>
      </c>
      <c r="CS133" s="6" t="s">
        <v>163</v>
      </c>
      <c r="CT133" s="0" t="n">
        <v>34</v>
      </c>
      <c r="CU133" s="0" t="n">
        <v>7</v>
      </c>
      <c r="CV133" s="0" t="n">
        <v>8</v>
      </c>
      <c r="CW133" s="0" t="n">
        <v>6</v>
      </c>
      <c r="CX133" s="0" t="n">
        <v>13</v>
      </c>
      <c r="CY133" s="6" t="n">
        <f aca="false">IF(AH133="exact",10,IF(AH133="adjacent",5,0))</f>
        <v>0</v>
      </c>
      <c r="CZ133" s="6" t="n">
        <f aca="false">IF(R133="Y",15,0)</f>
        <v>0</v>
      </c>
      <c r="DF133" s="6" t="s">
        <v>158</v>
      </c>
      <c r="DG133" s="6" t="s">
        <v>211</v>
      </c>
      <c r="DJ133" s="6" t="s">
        <v>2605</v>
      </c>
      <c r="DK133" s="6" t="s">
        <v>2606</v>
      </c>
      <c r="DS133" s="6" t="s">
        <v>158</v>
      </c>
      <c r="DX133" s="6" t="s">
        <v>162</v>
      </c>
      <c r="ER133" s="0" t="str">
        <f aca="false">IF(ISNUMBER(MATCH(U133,{"queued","contacted","replied","call_booked","call_done","yes_in_principle","materials_sent"},0)),"Y","N")</f>
        <v>N</v>
      </c>
      <c r="ES133" s="0" t="str">
        <f aca="false">IF(COUNTIFS($AP$2:$AP$1000,AP133,$ER$2:$ER$1000,"Y")+COUNTIFS($AP$2:$AP$1000,AP133,$T$2:$T$1000,"Y")&gt;0,"Y","N")</f>
        <v>N</v>
      </c>
      <c r="ET133" s="0" t="str">
        <f aca="false">IF(AND(U133="new",T133="N",AT133="Y",AS133="",ES133="N"),"Y","N")</f>
        <v>N</v>
      </c>
      <c r="EU133" s="0" t="str">
        <f aca="false">IF(ET133&lt;&gt;"Y","N",IF(COUNTIFS($AP$2:$AP$1000,AP133,$ET$2:$ET$1000,"Y",$J$2:$J$1000,"&gt;"&amp;J133)+COUNTIFS($AP$2:$AP$1000,AP133,$ET$2:$ET$1000,"Y",$J$2:$J$1000,J133,$EW$2:$EW$1000,"&lt;"&amp;EW133)=0,"Y","N"))</f>
        <v>N</v>
      </c>
      <c r="EV133" s="0" t="str">
        <f aca="false">IF(Y133="","N",IF(Y133&lt;=10,"Y","N"))</f>
        <v>N</v>
      </c>
      <c r="EW133" s="6" t="n">
        <f aca="false">ROW()-1</f>
        <v>132</v>
      </c>
    </row>
    <row r="134" customFormat="false" ht="15" hidden="false" customHeight="false" outlineLevel="0" collapsed="false">
      <c r="A134" s="0" t="s">
        <v>2607</v>
      </c>
      <c r="B134" s="0" t="s">
        <v>2608</v>
      </c>
      <c r="H134" s="5" t="s">
        <v>158</v>
      </c>
      <c r="I134" s="5" t="s">
        <v>159</v>
      </c>
      <c r="J134" s="6" t="n">
        <f aca="false">IF(AX134="pass",ROUND(CU134+CV134+CW134+CX134+CY134+CZ134,1),0)</f>
        <v>34</v>
      </c>
      <c r="K134" s="6" t="s">
        <v>2573</v>
      </c>
      <c r="L134" s="6" t="s">
        <v>163</v>
      </c>
      <c r="R134" s="5" t="s">
        <v>162</v>
      </c>
      <c r="S134" s="6" t="s">
        <v>163</v>
      </c>
      <c r="T134" s="5" t="s">
        <v>162</v>
      </c>
      <c r="U134" s="5" t="s">
        <v>228</v>
      </c>
      <c r="V134" s="6" t="s">
        <v>2609</v>
      </c>
      <c r="W134" s="6" t="s">
        <v>166</v>
      </c>
      <c r="X134" s="6" t="s">
        <v>167</v>
      </c>
      <c r="Y134" s="0" t="str">
        <f aca="false">IF(EU134&lt;&gt;"Y","",COUNTIFS($EU$2:$EU$1000,"Y",$J$2:$J$1000,"&gt;"&amp;J134)+COUNTIFS($EU$2:$EU$1000,"Y",$J$2:$J$1000,J134,$EW$2:$EW$1000,"&lt;"&amp;EW134)+1)</f>
        <v/>
      </c>
      <c r="Z134" s="0" t="n">
        <v>133</v>
      </c>
      <c r="AA134" s="6" t="s">
        <v>162</v>
      </c>
      <c r="AD134" s="6" t="s">
        <v>158</v>
      </c>
      <c r="AH134" s="5" t="s">
        <v>158</v>
      </c>
      <c r="AI134" s="6" t="s">
        <v>2610</v>
      </c>
      <c r="AJ134" s="6" t="s">
        <v>163</v>
      </c>
      <c r="AK134" s="6" t="s">
        <v>178</v>
      </c>
      <c r="AL134" s="6" t="s">
        <v>163</v>
      </c>
      <c r="AM134" s="6" t="s">
        <v>163</v>
      </c>
      <c r="AN134" s="6" t="s">
        <v>158</v>
      </c>
      <c r="AO134" s="6" t="s">
        <v>163</v>
      </c>
      <c r="AP134" s="6" t="s">
        <v>2607</v>
      </c>
      <c r="AQ134" s="5" t="s">
        <v>162</v>
      </c>
      <c r="AT134" s="0" t="str">
        <f aca="false">IF(AND(AX134="pass",AQ134&lt;&gt;"Y",C134&lt;&gt;"",OR(AW134&lt;&gt;"Y",AV134="Y")),"Y","N")</f>
        <v>N</v>
      </c>
      <c r="AU134" s="0" t="str">
        <f aca="false">_xlfn.TEXTJOIN("; ",TRUE(),IF(AX134&lt;&gt;"pass","gated out",""),IF(AQ134="Y","on hold: "&amp;AR134,""),IF(C134="","no contact named on an opened page",""),IF(AND(AW134="Y",AV134&lt;&gt;"Y"),"Tuesday estimate band "&amp;L134&amp;": founder's call",""))</f>
        <v>no contact named on an opened page</v>
      </c>
      <c r="AW134" s="6" t="s">
        <v>162</v>
      </c>
      <c r="AX134" s="6" t="s">
        <v>181</v>
      </c>
      <c r="AY134" s="6" t="s">
        <v>182</v>
      </c>
      <c r="AZ134" s="6" t="s">
        <v>1</v>
      </c>
      <c r="BA134" s="6" t="s">
        <v>2611</v>
      </c>
      <c r="BB134" s="6" t="s">
        <v>163</v>
      </c>
      <c r="BC134" s="6" t="s">
        <v>2612</v>
      </c>
      <c r="BD134" s="6" t="s">
        <v>163</v>
      </c>
      <c r="BF134" s="6" t="s">
        <v>163</v>
      </c>
      <c r="BG134" s="6" t="s">
        <v>163</v>
      </c>
      <c r="BH134" s="6" t="s">
        <v>2196</v>
      </c>
      <c r="BK134" s="6" t="s">
        <v>163</v>
      </c>
      <c r="BL134" s="6" t="s">
        <v>163</v>
      </c>
      <c r="BM134" s="6" t="s">
        <v>163</v>
      </c>
      <c r="BN134" s="6" t="s">
        <v>163</v>
      </c>
      <c r="BO134" s="6" t="s">
        <v>163</v>
      </c>
      <c r="BP134" s="6" t="s">
        <v>378</v>
      </c>
      <c r="BQ134" s="0" t="n">
        <v>40.738186</v>
      </c>
      <c r="BR134" s="0" t="n">
        <v>-73.992429</v>
      </c>
      <c r="BS134" s="6" t="s">
        <v>168</v>
      </c>
      <c r="BT134" s="0" t="n">
        <v>0</v>
      </c>
      <c r="BU134" s="6" t="s">
        <v>2613</v>
      </c>
      <c r="BV134" s="6" t="s">
        <v>2610</v>
      </c>
      <c r="BW134" s="6" t="s">
        <v>2609</v>
      </c>
      <c r="BX134" s="6" t="s">
        <v>2614</v>
      </c>
      <c r="BY134" s="6" t="s">
        <v>248</v>
      </c>
      <c r="CC134" s="6" t="s">
        <v>739</v>
      </c>
      <c r="CE134" s="6" t="s">
        <v>162</v>
      </c>
      <c r="CH134" s="6" t="s">
        <v>163</v>
      </c>
      <c r="CJ134" s="6" t="s">
        <v>163</v>
      </c>
      <c r="CK134" s="6" t="s">
        <v>162</v>
      </c>
      <c r="CL134" s="6" t="s">
        <v>163</v>
      </c>
      <c r="CO134" s="6" t="s">
        <v>163</v>
      </c>
      <c r="CQ134" s="6" t="s">
        <v>2197</v>
      </c>
      <c r="CR134" s="6" t="s">
        <v>206</v>
      </c>
      <c r="CS134" s="6" t="s">
        <v>163</v>
      </c>
      <c r="CT134" s="0" t="n">
        <v>34</v>
      </c>
      <c r="CU134" s="0" t="n">
        <v>7</v>
      </c>
      <c r="CV134" s="0" t="n">
        <v>8</v>
      </c>
      <c r="CW134" s="0" t="n">
        <v>6</v>
      </c>
      <c r="CX134" s="0" t="n">
        <v>13</v>
      </c>
      <c r="CY134" s="6" t="n">
        <f aca="false">IF(AH134="exact",10,IF(AH134="adjacent",5,0))</f>
        <v>0</v>
      </c>
      <c r="CZ134" s="6" t="n">
        <f aca="false">IF(R134="Y",15,0)</f>
        <v>0</v>
      </c>
      <c r="DF134" s="6" t="s">
        <v>158</v>
      </c>
      <c r="DG134" s="6" t="s">
        <v>211</v>
      </c>
      <c r="DK134" s="6" t="s">
        <v>2615</v>
      </c>
      <c r="DS134" s="6" t="s">
        <v>158</v>
      </c>
      <c r="DX134" s="6" t="s">
        <v>162</v>
      </c>
      <c r="ER134" s="0" t="str">
        <f aca="false">IF(ISNUMBER(MATCH(U134,{"queued","contacted","replied","call_booked","call_done","yes_in_principle","materials_sent"},0)),"Y","N")</f>
        <v>N</v>
      </c>
      <c r="ES134" s="0" t="str">
        <f aca="false">IF(COUNTIFS($AP$2:$AP$1000,AP134,$ER$2:$ER$1000,"Y")+COUNTIFS($AP$2:$AP$1000,AP134,$T$2:$T$1000,"Y")&gt;0,"Y","N")</f>
        <v>N</v>
      </c>
      <c r="ET134" s="0" t="str">
        <f aca="false">IF(AND(U134="new",T134="N",AT134="Y",AS134="",ES134="N"),"Y","N")</f>
        <v>N</v>
      </c>
      <c r="EU134" s="0" t="str">
        <f aca="false">IF(ET134&lt;&gt;"Y","N",IF(COUNTIFS($AP$2:$AP$1000,AP134,$ET$2:$ET$1000,"Y",$J$2:$J$1000,"&gt;"&amp;J134)+COUNTIFS($AP$2:$AP$1000,AP134,$ET$2:$ET$1000,"Y",$J$2:$J$1000,J134,$EW$2:$EW$1000,"&lt;"&amp;EW134)=0,"Y","N"))</f>
        <v>N</v>
      </c>
      <c r="EV134" s="0" t="str">
        <f aca="false">IF(Y134="","N",IF(Y134&lt;=10,"Y","N"))</f>
        <v>N</v>
      </c>
      <c r="EW134" s="6" t="n">
        <f aca="false">ROW()-1</f>
        <v>133</v>
      </c>
    </row>
    <row r="135" customFormat="false" ht="15" hidden="false" customHeight="false" outlineLevel="0" collapsed="false">
      <c r="A135" s="0" t="s">
        <v>2616</v>
      </c>
      <c r="B135" s="0" t="s">
        <v>2617</v>
      </c>
      <c r="H135" s="5" t="s">
        <v>158</v>
      </c>
      <c r="I135" s="5" t="s">
        <v>159</v>
      </c>
      <c r="J135" s="6" t="n">
        <f aca="false">IF(AX135="pass",ROUND(CU135+CV135+CW135+CX135+CY135+CZ135,1),0)</f>
        <v>34</v>
      </c>
      <c r="K135" s="6" t="s">
        <v>2573</v>
      </c>
      <c r="L135" s="6" t="s">
        <v>163</v>
      </c>
      <c r="R135" s="5" t="s">
        <v>162</v>
      </c>
      <c r="S135" s="6" t="s">
        <v>163</v>
      </c>
      <c r="T135" s="5" t="s">
        <v>162</v>
      </c>
      <c r="U135" s="5" t="s">
        <v>228</v>
      </c>
      <c r="V135" s="6" t="s">
        <v>2618</v>
      </c>
      <c r="W135" s="6" t="s">
        <v>166</v>
      </c>
      <c r="X135" s="6" t="s">
        <v>167</v>
      </c>
      <c r="Y135" s="0" t="str">
        <f aca="false">IF(EU135&lt;&gt;"Y","",COUNTIFS($EU$2:$EU$1000,"Y",$J$2:$J$1000,"&gt;"&amp;J135)+COUNTIFS($EU$2:$EU$1000,"Y",$J$2:$J$1000,J135,$EW$2:$EW$1000,"&lt;"&amp;EW135)+1)</f>
        <v/>
      </c>
      <c r="Z135" s="0" t="n">
        <v>134</v>
      </c>
      <c r="AA135" s="6" t="s">
        <v>162</v>
      </c>
      <c r="AD135" s="6" t="s">
        <v>158</v>
      </c>
      <c r="AH135" s="5" t="s">
        <v>158</v>
      </c>
      <c r="AI135" s="6" t="s">
        <v>2441</v>
      </c>
      <c r="AJ135" s="6" t="s">
        <v>163</v>
      </c>
      <c r="AK135" s="6" t="s">
        <v>178</v>
      </c>
      <c r="AL135" s="6" t="s">
        <v>163</v>
      </c>
      <c r="AM135" s="6" t="s">
        <v>163</v>
      </c>
      <c r="AN135" s="6" t="s">
        <v>158</v>
      </c>
      <c r="AO135" s="6" t="s">
        <v>163</v>
      </c>
      <c r="AP135" s="6" t="s">
        <v>2616</v>
      </c>
      <c r="AQ135" s="5" t="s">
        <v>162</v>
      </c>
      <c r="AT135" s="0" t="str">
        <f aca="false">IF(AND(AX135="pass",AQ135&lt;&gt;"Y",C135&lt;&gt;"",OR(AW135&lt;&gt;"Y",AV135="Y")),"Y","N")</f>
        <v>N</v>
      </c>
      <c r="AU135" s="0" t="str">
        <f aca="false">_xlfn.TEXTJOIN("; ",TRUE(),IF(AX135&lt;&gt;"pass","gated out",""),IF(AQ135="Y","on hold: "&amp;AR135,""),IF(C135="","no contact named on an opened page",""),IF(AND(AW135="Y",AV135&lt;&gt;"Y"),"Tuesday estimate band "&amp;L135&amp;": founder's call",""))</f>
        <v>no contact named on an opened page</v>
      </c>
      <c r="AW135" s="6" t="s">
        <v>162</v>
      </c>
      <c r="AX135" s="6" t="s">
        <v>181</v>
      </c>
      <c r="AY135" s="6" t="s">
        <v>182</v>
      </c>
      <c r="AZ135" s="6" t="s">
        <v>1</v>
      </c>
      <c r="BA135" s="6" t="s">
        <v>2619</v>
      </c>
      <c r="BB135" s="6" t="s">
        <v>163</v>
      </c>
      <c r="BC135" s="6" t="s">
        <v>2620</v>
      </c>
      <c r="BD135" s="6" t="s">
        <v>163</v>
      </c>
      <c r="BF135" s="6" t="s">
        <v>163</v>
      </c>
      <c r="BG135" s="6" t="s">
        <v>163</v>
      </c>
      <c r="BH135" s="6" t="s">
        <v>2196</v>
      </c>
      <c r="BK135" s="6" t="s">
        <v>163</v>
      </c>
      <c r="BL135" s="6" t="s">
        <v>163</v>
      </c>
      <c r="BM135" s="6" t="s">
        <v>163</v>
      </c>
      <c r="BN135" s="6" t="s">
        <v>163</v>
      </c>
      <c r="BO135" s="6" t="s">
        <v>163</v>
      </c>
      <c r="BP135" s="6" t="s">
        <v>712</v>
      </c>
      <c r="BQ135" s="0" t="n">
        <v>40.743942</v>
      </c>
      <c r="BR135" s="0" t="n">
        <v>-73.988072</v>
      </c>
      <c r="BS135" s="6" t="s">
        <v>168</v>
      </c>
      <c r="BT135" s="0" t="n">
        <v>0</v>
      </c>
      <c r="BU135" s="6" t="s">
        <v>2447</v>
      </c>
      <c r="BV135" s="6" t="s">
        <v>2448</v>
      </c>
      <c r="BW135" s="6" t="s">
        <v>2618</v>
      </c>
      <c r="BX135" s="6" t="s">
        <v>738</v>
      </c>
      <c r="BY135" s="6" t="s">
        <v>248</v>
      </c>
      <c r="CC135" s="6" t="s">
        <v>739</v>
      </c>
      <c r="CE135" s="6" t="s">
        <v>162</v>
      </c>
      <c r="CH135" s="6" t="s">
        <v>163</v>
      </c>
      <c r="CJ135" s="6" t="s">
        <v>163</v>
      </c>
      <c r="CK135" s="6" t="s">
        <v>162</v>
      </c>
      <c r="CL135" s="6" t="s">
        <v>163</v>
      </c>
      <c r="CO135" s="6" t="s">
        <v>163</v>
      </c>
      <c r="CQ135" s="6" t="s">
        <v>2197</v>
      </c>
      <c r="CR135" s="6" t="s">
        <v>206</v>
      </c>
      <c r="CS135" s="6" t="s">
        <v>163</v>
      </c>
      <c r="CT135" s="0" t="n">
        <v>34</v>
      </c>
      <c r="CU135" s="0" t="n">
        <v>7</v>
      </c>
      <c r="CV135" s="0" t="n">
        <v>8</v>
      </c>
      <c r="CW135" s="0" t="n">
        <v>6</v>
      </c>
      <c r="CX135" s="0" t="n">
        <v>13</v>
      </c>
      <c r="CY135" s="6" t="n">
        <f aca="false">IF(AH135="exact",10,IF(AH135="adjacent",5,0))</f>
        <v>0</v>
      </c>
      <c r="CZ135" s="6" t="n">
        <f aca="false">IF(R135="Y",15,0)</f>
        <v>0</v>
      </c>
      <c r="DF135" s="6" t="s">
        <v>158</v>
      </c>
      <c r="DG135" s="6" t="s">
        <v>211</v>
      </c>
      <c r="DJ135" s="6" t="s">
        <v>2621</v>
      </c>
      <c r="DK135" s="6" t="s">
        <v>2622</v>
      </c>
      <c r="DS135" s="6" t="s">
        <v>158</v>
      </c>
      <c r="DX135" s="6" t="s">
        <v>162</v>
      </c>
      <c r="ER135" s="0" t="str">
        <f aca="false">IF(ISNUMBER(MATCH(U135,{"queued","contacted","replied","call_booked","call_done","yes_in_principle","materials_sent"},0)),"Y","N")</f>
        <v>N</v>
      </c>
      <c r="ES135" s="0" t="str">
        <f aca="false">IF(COUNTIFS($AP$2:$AP$1000,AP135,$ER$2:$ER$1000,"Y")+COUNTIFS($AP$2:$AP$1000,AP135,$T$2:$T$1000,"Y")&gt;0,"Y","N")</f>
        <v>N</v>
      </c>
      <c r="ET135" s="0" t="str">
        <f aca="false">IF(AND(U135="new",T135="N",AT135="Y",AS135="",ES135="N"),"Y","N")</f>
        <v>N</v>
      </c>
      <c r="EU135" s="0" t="str">
        <f aca="false">IF(ET135&lt;&gt;"Y","N",IF(COUNTIFS($AP$2:$AP$1000,AP135,$ET$2:$ET$1000,"Y",$J$2:$J$1000,"&gt;"&amp;J135)+COUNTIFS($AP$2:$AP$1000,AP135,$ET$2:$ET$1000,"Y",$J$2:$J$1000,J135,$EW$2:$EW$1000,"&lt;"&amp;EW135)=0,"Y","N"))</f>
        <v>N</v>
      </c>
      <c r="EV135" s="0" t="str">
        <f aca="false">IF(Y135="","N",IF(Y135&lt;=10,"Y","N"))</f>
        <v>N</v>
      </c>
      <c r="EW135" s="6" t="n">
        <f aca="false">ROW()-1</f>
        <v>134</v>
      </c>
    </row>
    <row r="136" customFormat="false" ht="15" hidden="false" customHeight="false" outlineLevel="0" collapsed="false">
      <c r="A136" s="0" t="s">
        <v>2623</v>
      </c>
      <c r="B136" s="0" t="s">
        <v>2624</v>
      </c>
      <c r="H136" s="5" t="s">
        <v>158</v>
      </c>
      <c r="I136" s="5" t="s">
        <v>159</v>
      </c>
      <c r="J136" s="6" t="n">
        <f aca="false">IF(AX136="pass",ROUND(CU136+CV136+CW136+CX136+CY136+CZ136,1),0)</f>
        <v>34</v>
      </c>
      <c r="K136" s="6" t="s">
        <v>2573</v>
      </c>
      <c r="L136" s="6" t="s">
        <v>163</v>
      </c>
      <c r="R136" s="5" t="s">
        <v>162</v>
      </c>
      <c r="S136" s="6" t="s">
        <v>163</v>
      </c>
      <c r="T136" s="5" t="s">
        <v>162</v>
      </c>
      <c r="U136" s="5" t="s">
        <v>228</v>
      </c>
      <c r="V136" s="6" t="s">
        <v>2625</v>
      </c>
      <c r="W136" s="6" t="s">
        <v>166</v>
      </c>
      <c r="X136" s="6" t="s">
        <v>167</v>
      </c>
      <c r="Y136" s="0" t="str">
        <f aca="false">IF(EU136&lt;&gt;"Y","",COUNTIFS($EU$2:$EU$1000,"Y",$J$2:$J$1000,"&gt;"&amp;J136)+COUNTIFS($EU$2:$EU$1000,"Y",$J$2:$J$1000,J136,$EW$2:$EW$1000,"&lt;"&amp;EW136)+1)</f>
        <v/>
      </c>
      <c r="Z136" s="0" t="n">
        <v>135</v>
      </c>
      <c r="AA136" s="6" t="s">
        <v>162</v>
      </c>
      <c r="AD136" s="6" t="s">
        <v>158</v>
      </c>
      <c r="AH136" s="5" t="s">
        <v>158</v>
      </c>
      <c r="AI136" s="6" t="s">
        <v>2051</v>
      </c>
      <c r="AJ136" s="6" t="s">
        <v>2213</v>
      </c>
      <c r="AK136" s="6" t="s">
        <v>178</v>
      </c>
      <c r="AL136" s="6" t="s">
        <v>163</v>
      </c>
      <c r="AM136" s="6" t="s">
        <v>163</v>
      </c>
      <c r="AN136" s="6" t="s">
        <v>158</v>
      </c>
      <c r="AO136" s="6" t="s">
        <v>163</v>
      </c>
      <c r="AP136" s="6" t="s">
        <v>2623</v>
      </c>
      <c r="AQ136" s="5" t="s">
        <v>162</v>
      </c>
      <c r="AT136" s="0" t="str">
        <f aca="false">IF(AND(AX136="pass",AQ136&lt;&gt;"Y",C136&lt;&gt;"",OR(AW136&lt;&gt;"Y",AV136="Y")),"Y","N")</f>
        <v>N</v>
      </c>
      <c r="AU136" s="0" t="str">
        <f aca="false">_xlfn.TEXTJOIN("; ",TRUE(),IF(AX136&lt;&gt;"pass","gated out",""),IF(AQ136="Y","on hold: "&amp;AR136,""),IF(C136="","no contact named on an opened page",""),IF(AND(AW136="Y",AV136&lt;&gt;"Y"),"Tuesday estimate band "&amp;L136&amp;": founder's call",""))</f>
        <v>no contact named on an opened page</v>
      </c>
      <c r="AW136" s="6" t="s">
        <v>162</v>
      </c>
      <c r="AX136" s="6" t="s">
        <v>181</v>
      </c>
      <c r="AY136" s="6" t="s">
        <v>182</v>
      </c>
      <c r="AZ136" s="6" t="s">
        <v>1</v>
      </c>
      <c r="BA136" s="6" t="s">
        <v>2626</v>
      </c>
      <c r="BB136" s="6" t="s">
        <v>2627</v>
      </c>
      <c r="BC136" s="6" t="s">
        <v>2628</v>
      </c>
      <c r="BD136" s="6" t="s">
        <v>163</v>
      </c>
      <c r="BF136" s="6" t="s">
        <v>163</v>
      </c>
      <c r="BG136" s="6" t="s">
        <v>163</v>
      </c>
      <c r="BH136" s="6" t="s">
        <v>2196</v>
      </c>
      <c r="BK136" s="6" t="s">
        <v>163</v>
      </c>
      <c r="BL136" s="6" t="s">
        <v>163</v>
      </c>
      <c r="BM136" s="6" t="s">
        <v>163</v>
      </c>
      <c r="BN136" s="6" t="s">
        <v>163</v>
      </c>
      <c r="BO136" s="6" t="s">
        <v>163</v>
      </c>
      <c r="BP136" s="6" t="s">
        <v>347</v>
      </c>
      <c r="BQ136" s="0" t="n">
        <v>40.74118</v>
      </c>
      <c r="BR136" s="0" t="n">
        <v>-73.99129</v>
      </c>
      <c r="BS136" s="6" t="s">
        <v>168</v>
      </c>
      <c r="BT136" s="0" t="n">
        <v>0</v>
      </c>
      <c r="BU136" s="6" t="s">
        <v>2058</v>
      </c>
      <c r="BV136" s="6" t="s">
        <v>2059</v>
      </c>
      <c r="BW136" s="6" t="s">
        <v>2625</v>
      </c>
      <c r="BX136" s="6" t="s">
        <v>166</v>
      </c>
      <c r="BY136" s="6" t="s">
        <v>196</v>
      </c>
      <c r="BZ136" s="6" t="s">
        <v>2629</v>
      </c>
      <c r="CA136" s="6" t="s">
        <v>2630</v>
      </c>
      <c r="CC136" s="6" t="s">
        <v>739</v>
      </c>
      <c r="CE136" s="6" t="s">
        <v>162</v>
      </c>
      <c r="CH136" s="6" t="s">
        <v>163</v>
      </c>
      <c r="CJ136" s="6" t="s">
        <v>163</v>
      </c>
      <c r="CK136" s="6" t="s">
        <v>162</v>
      </c>
      <c r="CL136" s="6" t="s">
        <v>163</v>
      </c>
      <c r="CO136" s="6" t="s">
        <v>163</v>
      </c>
      <c r="CQ136" s="6" t="s">
        <v>2197</v>
      </c>
      <c r="CR136" s="6" t="s">
        <v>206</v>
      </c>
      <c r="CS136" s="6" t="s">
        <v>163</v>
      </c>
      <c r="CT136" s="0" t="n">
        <v>34</v>
      </c>
      <c r="CU136" s="0" t="n">
        <v>7</v>
      </c>
      <c r="CV136" s="0" t="n">
        <v>8</v>
      </c>
      <c r="CW136" s="0" t="n">
        <v>6</v>
      </c>
      <c r="CX136" s="0" t="n">
        <v>13</v>
      </c>
      <c r="CY136" s="6" t="n">
        <f aca="false">IF(AH136="exact",10,IF(AH136="adjacent",5,0))</f>
        <v>0</v>
      </c>
      <c r="CZ136" s="6" t="n">
        <f aca="false">IF(R136="Y",15,0)</f>
        <v>0</v>
      </c>
      <c r="DF136" s="6" t="s">
        <v>158</v>
      </c>
      <c r="DG136" s="6" t="s">
        <v>211</v>
      </c>
      <c r="DJ136" s="6" t="s">
        <v>2631</v>
      </c>
      <c r="DK136" s="6" t="s">
        <v>2632</v>
      </c>
      <c r="DS136" s="6" t="s">
        <v>158</v>
      </c>
      <c r="DX136" s="6" t="s">
        <v>162</v>
      </c>
      <c r="ER136" s="0" t="str">
        <f aca="false">IF(ISNUMBER(MATCH(U136,{"queued","contacted","replied","call_booked","call_done","yes_in_principle","materials_sent"},0)),"Y","N")</f>
        <v>N</v>
      </c>
      <c r="ES136" s="0" t="str">
        <f aca="false">IF(COUNTIFS($AP$2:$AP$1000,AP136,$ER$2:$ER$1000,"Y")+COUNTIFS($AP$2:$AP$1000,AP136,$T$2:$T$1000,"Y")&gt;0,"Y","N")</f>
        <v>N</v>
      </c>
      <c r="ET136" s="0" t="str">
        <f aca="false">IF(AND(U136="new",T136="N",AT136="Y",AS136="",ES136="N"),"Y","N")</f>
        <v>N</v>
      </c>
      <c r="EU136" s="0" t="str">
        <f aca="false">IF(ET136&lt;&gt;"Y","N",IF(COUNTIFS($AP$2:$AP$1000,AP136,$ET$2:$ET$1000,"Y",$J$2:$J$1000,"&gt;"&amp;J136)+COUNTIFS($AP$2:$AP$1000,AP136,$ET$2:$ET$1000,"Y",$J$2:$J$1000,J136,$EW$2:$EW$1000,"&lt;"&amp;EW136)=0,"Y","N"))</f>
        <v>N</v>
      </c>
      <c r="EV136" s="0" t="str">
        <f aca="false">IF(Y136="","N",IF(Y136&lt;=10,"Y","N"))</f>
        <v>N</v>
      </c>
      <c r="EW136" s="6" t="n">
        <f aca="false">ROW()-1</f>
        <v>135</v>
      </c>
    </row>
    <row r="137" customFormat="false" ht="15" hidden="false" customHeight="false" outlineLevel="0" collapsed="false">
      <c r="A137" s="0" t="s">
        <v>2633</v>
      </c>
      <c r="B137" s="0" t="s">
        <v>2634</v>
      </c>
      <c r="H137" s="5" t="s">
        <v>158</v>
      </c>
      <c r="I137" s="5" t="s">
        <v>159</v>
      </c>
      <c r="J137" s="6" t="n">
        <f aca="false">IF(AX137="pass",ROUND(CU137+CV137+CW137+CX137+CY137+CZ137,1),0)</f>
        <v>34</v>
      </c>
      <c r="K137" s="6" t="s">
        <v>2573</v>
      </c>
      <c r="L137" s="6" t="s">
        <v>163</v>
      </c>
      <c r="R137" s="5" t="s">
        <v>162</v>
      </c>
      <c r="S137" s="6" t="s">
        <v>163</v>
      </c>
      <c r="T137" s="5" t="s">
        <v>162</v>
      </c>
      <c r="U137" s="5" t="s">
        <v>228</v>
      </c>
      <c r="V137" s="6" t="s">
        <v>2068</v>
      </c>
      <c r="W137" s="6" t="s">
        <v>166</v>
      </c>
      <c r="X137" s="6" t="s">
        <v>167</v>
      </c>
      <c r="Y137" s="0" t="str">
        <f aca="false">IF(EU137&lt;&gt;"Y","",COUNTIFS($EU$2:$EU$1000,"Y",$J$2:$J$1000,"&gt;"&amp;J137)+COUNTIFS($EU$2:$EU$1000,"Y",$J$2:$J$1000,J137,$EW$2:$EW$1000,"&lt;"&amp;EW137)+1)</f>
        <v/>
      </c>
      <c r="Z137" s="0" t="n">
        <v>136</v>
      </c>
      <c r="AA137" s="6" t="s">
        <v>162</v>
      </c>
      <c r="AD137" s="6" t="s">
        <v>158</v>
      </c>
      <c r="AH137" s="5" t="s">
        <v>158</v>
      </c>
      <c r="AI137" s="6" t="s">
        <v>754</v>
      </c>
      <c r="AJ137" s="6" t="s">
        <v>163</v>
      </c>
      <c r="AK137" s="6" t="s">
        <v>178</v>
      </c>
      <c r="AL137" s="6" t="s">
        <v>163</v>
      </c>
      <c r="AM137" s="6" t="s">
        <v>163</v>
      </c>
      <c r="AN137" s="6" t="s">
        <v>158</v>
      </c>
      <c r="AO137" s="6" t="s">
        <v>163</v>
      </c>
      <c r="AP137" s="6" t="s">
        <v>2633</v>
      </c>
      <c r="AQ137" s="5" t="s">
        <v>162</v>
      </c>
      <c r="AT137" s="0" t="str">
        <f aca="false">IF(AND(AX137="pass",AQ137&lt;&gt;"Y",C137&lt;&gt;"",OR(AW137&lt;&gt;"Y",AV137="Y")),"Y","N")</f>
        <v>N</v>
      </c>
      <c r="AU137" s="0" t="str">
        <f aca="false">_xlfn.TEXTJOIN("; ",TRUE(),IF(AX137&lt;&gt;"pass","gated out",""),IF(AQ137="Y","on hold: "&amp;AR137,""),IF(C137="","no contact named on an opened page",""),IF(AND(AW137="Y",AV137&lt;&gt;"Y"),"Tuesday estimate band "&amp;L137&amp;": founder's call",""))</f>
        <v>no contact named on an opened page</v>
      </c>
      <c r="AW137" s="6" t="s">
        <v>162</v>
      </c>
      <c r="AX137" s="6" t="s">
        <v>181</v>
      </c>
      <c r="AY137" s="6" t="s">
        <v>182</v>
      </c>
      <c r="AZ137" s="6" t="s">
        <v>1</v>
      </c>
      <c r="BA137" s="6" t="s">
        <v>2635</v>
      </c>
      <c r="BB137" s="6" t="s">
        <v>2636</v>
      </c>
      <c r="BC137" s="6" t="s">
        <v>2352</v>
      </c>
      <c r="BD137" s="6" t="s">
        <v>163</v>
      </c>
      <c r="BF137" s="6" t="s">
        <v>163</v>
      </c>
      <c r="BG137" s="6" t="s">
        <v>163</v>
      </c>
      <c r="BH137" s="6" t="s">
        <v>2196</v>
      </c>
      <c r="BK137" s="6" t="s">
        <v>163</v>
      </c>
      <c r="BL137" s="6" t="s">
        <v>163</v>
      </c>
      <c r="BM137" s="6" t="s">
        <v>163</v>
      </c>
      <c r="BN137" s="6" t="s">
        <v>163</v>
      </c>
      <c r="BO137" s="6" t="s">
        <v>163</v>
      </c>
      <c r="BP137" s="6" t="s">
        <v>347</v>
      </c>
      <c r="BQ137" s="0" t="n">
        <v>40.743309</v>
      </c>
      <c r="BR137" s="0" t="n">
        <v>-73.987329</v>
      </c>
      <c r="BS137" s="6" t="s">
        <v>168</v>
      </c>
      <c r="BT137" s="0" t="n">
        <v>0</v>
      </c>
      <c r="BU137" s="6" t="s">
        <v>764</v>
      </c>
      <c r="BV137" s="6" t="s">
        <v>765</v>
      </c>
      <c r="BW137" s="6" t="s">
        <v>2068</v>
      </c>
      <c r="BX137" s="6" t="s">
        <v>2076</v>
      </c>
      <c r="BY137" s="6" t="s">
        <v>248</v>
      </c>
      <c r="BZ137" s="6" t="s">
        <v>2637</v>
      </c>
      <c r="CA137" s="6" t="s">
        <v>2638</v>
      </c>
      <c r="CC137" s="6" t="s">
        <v>739</v>
      </c>
      <c r="CE137" s="6" t="s">
        <v>162</v>
      </c>
      <c r="CH137" s="6" t="s">
        <v>163</v>
      </c>
      <c r="CJ137" s="6" t="s">
        <v>163</v>
      </c>
      <c r="CK137" s="6" t="s">
        <v>162</v>
      </c>
      <c r="CL137" s="6" t="s">
        <v>163</v>
      </c>
      <c r="CO137" s="6" t="s">
        <v>163</v>
      </c>
      <c r="CQ137" s="6" t="s">
        <v>2197</v>
      </c>
      <c r="CR137" s="6" t="s">
        <v>206</v>
      </c>
      <c r="CS137" s="6" t="s">
        <v>163</v>
      </c>
      <c r="CT137" s="0" t="n">
        <v>34</v>
      </c>
      <c r="CU137" s="0" t="n">
        <v>7</v>
      </c>
      <c r="CV137" s="0" t="n">
        <v>8</v>
      </c>
      <c r="CW137" s="0" t="n">
        <v>6</v>
      </c>
      <c r="CX137" s="0" t="n">
        <v>13</v>
      </c>
      <c r="CY137" s="6" t="n">
        <f aca="false">IF(AH137="exact",10,IF(AH137="adjacent",5,0))</f>
        <v>0</v>
      </c>
      <c r="CZ137" s="6" t="n">
        <f aca="false">IF(R137="Y",15,0)</f>
        <v>0</v>
      </c>
      <c r="DF137" s="6" t="s">
        <v>158</v>
      </c>
      <c r="DG137" s="6" t="s">
        <v>211</v>
      </c>
      <c r="DJ137" s="6" t="s">
        <v>2639</v>
      </c>
      <c r="DK137" s="6" t="s">
        <v>2640</v>
      </c>
      <c r="DS137" s="6" t="s">
        <v>158</v>
      </c>
      <c r="DX137" s="6" t="s">
        <v>162</v>
      </c>
      <c r="ER137" s="0" t="str">
        <f aca="false">IF(ISNUMBER(MATCH(U137,{"queued","contacted","replied","call_booked","call_done","yes_in_principle","materials_sent"},0)),"Y","N")</f>
        <v>N</v>
      </c>
      <c r="ES137" s="0" t="str">
        <f aca="false">IF(COUNTIFS($AP$2:$AP$1000,AP137,$ER$2:$ER$1000,"Y")+COUNTIFS($AP$2:$AP$1000,AP137,$T$2:$T$1000,"Y")&gt;0,"Y","N")</f>
        <v>N</v>
      </c>
      <c r="ET137" s="0" t="str">
        <f aca="false">IF(AND(U137="new",T137="N",AT137="Y",AS137="",ES137="N"),"Y","N")</f>
        <v>N</v>
      </c>
      <c r="EU137" s="0" t="str">
        <f aca="false">IF(ET137&lt;&gt;"Y","N",IF(COUNTIFS($AP$2:$AP$1000,AP137,$ET$2:$ET$1000,"Y",$J$2:$J$1000,"&gt;"&amp;J137)+COUNTIFS($AP$2:$AP$1000,AP137,$ET$2:$ET$1000,"Y",$J$2:$J$1000,J137,$EW$2:$EW$1000,"&lt;"&amp;EW137)=0,"Y","N"))</f>
        <v>N</v>
      </c>
      <c r="EV137" s="0" t="str">
        <f aca="false">IF(Y137="","N",IF(Y137&lt;=10,"Y","N"))</f>
        <v>N</v>
      </c>
      <c r="EW137" s="6" t="n">
        <f aca="false">ROW()-1</f>
        <v>136</v>
      </c>
    </row>
    <row r="138" customFormat="false" ht="15" hidden="false" customHeight="false" outlineLevel="0" collapsed="false">
      <c r="A138" s="0" t="s">
        <v>2641</v>
      </c>
      <c r="B138" s="0" t="s">
        <v>2642</v>
      </c>
      <c r="H138" s="5" t="s">
        <v>158</v>
      </c>
      <c r="I138" s="5" t="s">
        <v>159</v>
      </c>
      <c r="J138" s="6" t="n">
        <f aca="false">IF(AX138="pass",ROUND(CU138+CV138+CW138+CX138+CY138+CZ138,1),0)</f>
        <v>34</v>
      </c>
      <c r="K138" s="6" t="s">
        <v>2573</v>
      </c>
      <c r="L138" s="6" t="s">
        <v>163</v>
      </c>
      <c r="R138" s="5" t="s">
        <v>162</v>
      </c>
      <c r="S138" s="6" t="s">
        <v>163</v>
      </c>
      <c r="T138" s="5" t="s">
        <v>162</v>
      </c>
      <c r="U138" s="5" t="s">
        <v>228</v>
      </c>
      <c r="V138" s="6" t="s">
        <v>1473</v>
      </c>
      <c r="W138" s="6" t="s">
        <v>166</v>
      </c>
      <c r="X138" s="6" t="s">
        <v>167</v>
      </c>
      <c r="Y138" s="0" t="str">
        <f aca="false">IF(EU138&lt;&gt;"Y","",COUNTIFS($EU$2:$EU$1000,"Y",$J$2:$J$1000,"&gt;"&amp;J138)+COUNTIFS($EU$2:$EU$1000,"Y",$J$2:$J$1000,J138,$EW$2:$EW$1000,"&lt;"&amp;EW138)+1)</f>
        <v/>
      </c>
      <c r="Z138" s="0" t="n">
        <v>137</v>
      </c>
      <c r="AA138" s="6" t="s">
        <v>162</v>
      </c>
      <c r="AD138" s="6" t="s">
        <v>158</v>
      </c>
      <c r="AH138" s="5" t="s">
        <v>158</v>
      </c>
      <c r="AI138" s="6" t="s">
        <v>1474</v>
      </c>
      <c r="AJ138" s="6" t="s">
        <v>163</v>
      </c>
      <c r="AK138" s="6" t="s">
        <v>178</v>
      </c>
      <c r="AL138" s="6" t="s">
        <v>163</v>
      </c>
      <c r="AM138" s="6" t="s">
        <v>163</v>
      </c>
      <c r="AN138" s="6" t="s">
        <v>158</v>
      </c>
      <c r="AO138" s="6" t="s">
        <v>163</v>
      </c>
      <c r="AP138" s="6" t="s">
        <v>2641</v>
      </c>
      <c r="AQ138" s="5" t="s">
        <v>162</v>
      </c>
      <c r="AT138" s="0" t="str">
        <f aca="false">IF(AND(AX138="pass",AQ138&lt;&gt;"Y",C138&lt;&gt;"",OR(AW138&lt;&gt;"Y",AV138="Y")),"Y","N")</f>
        <v>N</v>
      </c>
      <c r="AU138" s="0" t="str">
        <f aca="false">_xlfn.TEXTJOIN("; ",TRUE(),IF(AX138&lt;&gt;"pass","gated out",""),IF(AQ138="Y","on hold: "&amp;AR138,""),IF(C138="","no contact named on an opened page",""),IF(AND(AW138="Y",AV138&lt;&gt;"Y"),"Tuesday estimate band "&amp;L138&amp;": founder's call",""))</f>
        <v>no contact named on an opened page</v>
      </c>
      <c r="AW138" s="6" t="s">
        <v>162</v>
      </c>
      <c r="AX138" s="6" t="s">
        <v>181</v>
      </c>
      <c r="AY138" s="6" t="s">
        <v>182</v>
      </c>
      <c r="AZ138" s="6" t="s">
        <v>1</v>
      </c>
      <c r="BA138" s="6" t="s">
        <v>2643</v>
      </c>
      <c r="BB138" s="6" t="s">
        <v>2644</v>
      </c>
      <c r="BC138" s="6" t="s">
        <v>2645</v>
      </c>
      <c r="BD138" s="6" t="s">
        <v>163</v>
      </c>
      <c r="BF138" s="6" t="s">
        <v>163</v>
      </c>
      <c r="BG138" s="6" t="s">
        <v>163</v>
      </c>
      <c r="BH138" s="6" t="s">
        <v>2196</v>
      </c>
      <c r="BK138" s="6" t="s">
        <v>163</v>
      </c>
      <c r="BL138" s="6" t="s">
        <v>656</v>
      </c>
      <c r="BM138" s="6" t="s">
        <v>162</v>
      </c>
      <c r="BN138" s="6" t="s">
        <v>163</v>
      </c>
      <c r="BO138" s="6" t="s">
        <v>163</v>
      </c>
      <c r="BP138" s="6" t="s">
        <v>347</v>
      </c>
      <c r="BQ138" s="0" t="n">
        <v>40.741968</v>
      </c>
      <c r="BR138" s="0" t="n">
        <v>-73.985327</v>
      </c>
      <c r="BS138" s="6" t="s">
        <v>168</v>
      </c>
      <c r="BT138" s="0" t="n">
        <v>0</v>
      </c>
      <c r="BU138" s="6" t="s">
        <v>1481</v>
      </c>
      <c r="BV138" s="6" t="s">
        <v>1482</v>
      </c>
      <c r="BW138" s="6" t="s">
        <v>1473</v>
      </c>
      <c r="BX138" s="6" t="s">
        <v>1483</v>
      </c>
      <c r="BY138" s="6" t="s">
        <v>248</v>
      </c>
      <c r="CC138" s="6" t="s">
        <v>739</v>
      </c>
      <c r="CE138" s="6" t="s">
        <v>162</v>
      </c>
      <c r="CH138" s="6" t="s">
        <v>163</v>
      </c>
      <c r="CJ138" s="6" t="s">
        <v>163</v>
      </c>
      <c r="CK138" s="6" t="s">
        <v>162</v>
      </c>
      <c r="CL138" s="6" t="s">
        <v>163</v>
      </c>
      <c r="CO138" s="6" t="s">
        <v>163</v>
      </c>
      <c r="CQ138" s="6" t="s">
        <v>2197</v>
      </c>
      <c r="CR138" s="6" t="s">
        <v>206</v>
      </c>
      <c r="CS138" s="6" t="s">
        <v>163</v>
      </c>
      <c r="CT138" s="0" t="n">
        <v>34</v>
      </c>
      <c r="CU138" s="0" t="n">
        <v>7</v>
      </c>
      <c r="CV138" s="0" t="n">
        <v>8</v>
      </c>
      <c r="CW138" s="0" t="n">
        <v>6</v>
      </c>
      <c r="CX138" s="0" t="n">
        <v>13</v>
      </c>
      <c r="CY138" s="6" t="n">
        <f aca="false">IF(AH138="exact",10,IF(AH138="adjacent",5,0))</f>
        <v>0</v>
      </c>
      <c r="CZ138" s="6" t="n">
        <f aca="false">IF(R138="Y",15,0)</f>
        <v>0</v>
      </c>
      <c r="DF138" s="6" t="s">
        <v>158</v>
      </c>
      <c r="DG138" s="6" t="s">
        <v>211</v>
      </c>
      <c r="DK138" s="6" t="s">
        <v>2646</v>
      </c>
      <c r="DS138" s="6" t="s">
        <v>158</v>
      </c>
      <c r="DX138" s="6" t="s">
        <v>162</v>
      </c>
      <c r="ER138" s="0" t="str">
        <f aca="false">IF(ISNUMBER(MATCH(U138,{"queued","contacted","replied","call_booked","call_done","yes_in_principle","materials_sent"},0)),"Y","N")</f>
        <v>N</v>
      </c>
      <c r="ES138" s="0" t="str">
        <f aca="false">IF(COUNTIFS($AP$2:$AP$1000,AP138,$ER$2:$ER$1000,"Y")+COUNTIFS($AP$2:$AP$1000,AP138,$T$2:$T$1000,"Y")&gt;0,"Y","N")</f>
        <v>N</v>
      </c>
      <c r="ET138" s="0" t="str">
        <f aca="false">IF(AND(U138="new",T138="N",AT138="Y",AS138="",ES138="N"),"Y","N")</f>
        <v>N</v>
      </c>
      <c r="EU138" s="0" t="str">
        <f aca="false">IF(ET138&lt;&gt;"Y","N",IF(COUNTIFS($AP$2:$AP$1000,AP138,$ET$2:$ET$1000,"Y",$J$2:$J$1000,"&gt;"&amp;J138)+COUNTIFS($AP$2:$AP$1000,AP138,$ET$2:$ET$1000,"Y",$J$2:$J$1000,J138,$EW$2:$EW$1000,"&lt;"&amp;EW138)=0,"Y","N"))</f>
        <v>N</v>
      </c>
      <c r="EV138" s="0" t="str">
        <f aca="false">IF(Y138="","N",IF(Y138&lt;=10,"Y","N"))</f>
        <v>N</v>
      </c>
      <c r="EW138" s="6" t="n">
        <f aca="false">ROW()-1</f>
        <v>137</v>
      </c>
    </row>
    <row r="139" customFormat="false" ht="15" hidden="false" customHeight="false" outlineLevel="0" collapsed="false">
      <c r="A139" s="0" t="s">
        <v>2647</v>
      </c>
      <c r="B139" s="0" t="s">
        <v>2648</v>
      </c>
      <c r="H139" s="5" t="s">
        <v>158</v>
      </c>
      <c r="I139" s="5" t="s">
        <v>159</v>
      </c>
      <c r="J139" s="6" t="n">
        <f aca="false">IF(AX139="pass",ROUND(CU139+CV139+CW139+CX139+CY139+CZ139,1),0)</f>
        <v>34</v>
      </c>
      <c r="K139" s="6" t="s">
        <v>2573</v>
      </c>
      <c r="L139" s="6" t="s">
        <v>163</v>
      </c>
      <c r="O139" s="6" t="s">
        <v>2649</v>
      </c>
      <c r="P139" s="6" t="s">
        <v>2650</v>
      </c>
      <c r="Q139" s="6" t="s">
        <v>2651</v>
      </c>
      <c r="R139" s="5" t="s">
        <v>162</v>
      </c>
      <c r="S139" s="6" t="s">
        <v>163</v>
      </c>
      <c r="T139" s="5" t="s">
        <v>162</v>
      </c>
      <c r="U139" s="5" t="s">
        <v>228</v>
      </c>
      <c r="V139" s="6" t="s">
        <v>2650</v>
      </c>
      <c r="W139" s="6" t="s">
        <v>166</v>
      </c>
      <c r="X139" s="6" t="s">
        <v>167</v>
      </c>
      <c r="Y139" s="0" t="str">
        <f aca="false">IF(EU139&lt;&gt;"Y","",COUNTIFS($EU$2:$EU$1000,"Y",$J$2:$J$1000,"&gt;"&amp;J139)+COUNTIFS($EU$2:$EU$1000,"Y",$J$2:$J$1000,J139,$EW$2:$EW$1000,"&lt;"&amp;EW139)+1)</f>
        <v/>
      </c>
      <c r="Z139" s="0" t="n">
        <v>138</v>
      </c>
      <c r="AA139" s="6" t="s">
        <v>162</v>
      </c>
      <c r="AD139" s="6" t="s">
        <v>158</v>
      </c>
      <c r="AH139" s="5" t="s">
        <v>158</v>
      </c>
      <c r="AI139" s="6" t="s">
        <v>1612</v>
      </c>
      <c r="AJ139" s="6" t="s">
        <v>472</v>
      </c>
      <c r="AK139" s="6" t="s">
        <v>178</v>
      </c>
      <c r="AL139" s="6" t="s">
        <v>163</v>
      </c>
      <c r="AM139" s="6" t="s">
        <v>163</v>
      </c>
      <c r="AN139" s="6" t="s">
        <v>158</v>
      </c>
      <c r="AO139" s="6" t="s">
        <v>163</v>
      </c>
      <c r="AP139" s="6" t="s">
        <v>2647</v>
      </c>
      <c r="AQ139" s="5" t="s">
        <v>162</v>
      </c>
      <c r="AT139" s="0" t="str">
        <f aca="false">IF(AND(AX139="pass",AQ139&lt;&gt;"Y",C139&lt;&gt;"",OR(AW139&lt;&gt;"Y",AV139="Y")),"Y","N")</f>
        <v>N</v>
      </c>
      <c r="AU139" s="0" t="str">
        <f aca="false">_xlfn.TEXTJOIN("; ",TRUE(),IF(AX139&lt;&gt;"pass","gated out",""),IF(AQ139="Y","on hold: "&amp;AR139,""),IF(C139="","no contact named on an opened page",""),IF(AND(AW139="Y",AV139&lt;&gt;"Y"),"Tuesday estimate band "&amp;L139&amp;": founder's call",""))</f>
        <v>no contact named on an opened page</v>
      </c>
      <c r="AW139" s="6" t="s">
        <v>162</v>
      </c>
      <c r="AX139" s="6" t="s">
        <v>181</v>
      </c>
      <c r="AY139" s="6" t="s">
        <v>182</v>
      </c>
      <c r="AZ139" s="6" t="s">
        <v>1</v>
      </c>
      <c r="BA139" s="6" t="s">
        <v>2652</v>
      </c>
      <c r="BB139" s="6" t="s">
        <v>2653</v>
      </c>
      <c r="BC139" s="6" t="s">
        <v>2654</v>
      </c>
      <c r="BD139" s="6" t="s">
        <v>163</v>
      </c>
      <c r="BF139" s="6" t="s">
        <v>163</v>
      </c>
      <c r="BG139" s="6" t="s">
        <v>163</v>
      </c>
      <c r="BH139" s="6" t="s">
        <v>2196</v>
      </c>
      <c r="BK139" s="6" t="s">
        <v>163</v>
      </c>
      <c r="BL139" s="6" t="s">
        <v>163</v>
      </c>
      <c r="BM139" s="6" t="s">
        <v>163</v>
      </c>
      <c r="BN139" s="6" t="s">
        <v>163</v>
      </c>
      <c r="BO139" s="6" t="s">
        <v>163</v>
      </c>
      <c r="BP139" s="6" t="s">
        <v>347</v>
      </c>
      <c r="BQ139" s="0" t="n">
        <v>40.738577</v>
      </c>
      <c r="BR139" s="0" t="n">
        <v>-73.987151</v>
      </c>
      <c r="BS139" s="6" t="s">
        <v>168</v>
      </c>
      <c r="BT139" s="0" t="n">
        <v>0</v>
      </c>
      <c r="BU139" s="6" t="s">
        <v>1618</v>
      </c>
      <c r="BV139" s="6" t="s">
        <v>1619</v>
      </c>
      <c r="BW139" s="6" t="s">
        <v>2650</v>
      </c>
      <c r="BX139" s="6" t="s">
        <v>2651</v>
      </c>
      <c r="BY139" s="6" t="s">
        <v>248</v>
      </c>
      <c r="CC139" s="6" t="s">
        <v>739</v>
      </c>
      <c r="CE139" s="6" t="s">
        <v>162</v>
      </c>
      <c r="CH139" s="6" t="s">
        <v>163</v>
      </c>
      <c r="CJ139" s="6" t="s">
        <v>163</v>
      </c>
      <c r="CK139" s="6" t="s">
        <v>162</v>
      </c>
      <c r="CL139" s="6" t="s">
        <v>163</v>
      </c>
      <c r="CO139" s="6" t="s">
        <v>163</v>
      </c>
      <c r="CQ139" s="6" t="s">
        <v>2197</v>
      </c>
      <c r="CR139" s="6" t="s">
        <v>206</v>
      </c>
      <c r="CS139" s="6" t="s">
        <v>163</v>
      </c>
      <c r="CT139" s="0" t="n">
        <v>34</v>
      </c>
      <c r="CU139" s="0" t="n">
        <v>7</v>
      </c>
      <c r="CV139" s="0" t="n">
        <v>8</v>
      </c>
      <c r="CW139" s="0" t="n">
        <v>6</v>
      </c>
      <c r="CX139" s="0" t="n">
        <v>13</v>
      </c>
      <c r="CY139" s="6" t="n">
        <f aca="false">IF(AH139="exact",10,IF(AH139="adjacent",5,0))</f>
        <v>0</v>
      </c>
      <c r="CZ139" s="6" t="n">
        <f aca="false">IF(R139="Y",15,0)</f>
        <v>0</v>
      </c>
      <c r="DF139" s="6" t="s">
        <v>158</v>
      </c>
      <c r="DG139" s="6" t="s">
        <v>211</v>
      </c>
      <c r="DJ139" s="6" t="s">
        <v>2631</v>
      </c>
      <c r="DK139" s="6" t="s">
        <v>2655</v>
      </c>
      <c r="DS139" s="6" t="s">
        <v>158</v>
      </c>
      <c r="DX139" s="6" t="s">
        <v>162</v>
      </c>
      <c r="ER139" s="0" t="str">
        <f aca="false">IF(ISNUMBER(MATCH(U139,{"queued","contacted","replied","call_booked","call_done","yes_in_principle","materials_sent"},0)),"Y","N")</f>
        <v>N</v>
      </c>
      <c r="ES139" s="0" t="str">
        <f aca="false">IF(COUNTIFS($AP$2:$AP$1000,AP139,$ER$2:$ER$1000,"Y")+COUNTIFS($AP$2:$AP$1000,AP139,$T$2:$T$1000,"Y")&gt;0,"Y","N")</f>
        <v>N</v>
      </c>
      <c r="ET139" s="0" t="str">
        <f aca="false">IF(AND(U139="new",T139="N",AT139="Y",AS139="",ES139="N"),"Y","N")</f>
        <v>N</v>
      </c>
      <c r="EU139" s="0" t="str">
        <f aca="false">IF(ET139&lt;&gt;"Y","N",IF(COUNTIFS($AP$2:$AP$1000,AP139,$ET$2:$ET$1000,"Y",$J$2:$J$1000,"&gt;"&amp;J139)+COUNTIFS($AP$2:$AP$1000,AP139,$ET$2:$ET$1000,"Y",$J$2:$J$1000,J139,$EW$2:$EW$1000,"&lt;"&amp;EW139)=0,"Y","N"))</f>
        <v>N</v>
      </c>
      <c r="EV139" s="0" t="str">
        <f aca="false">IF(Y139="","N",IF(Y139&lt;=10,"Y","N"))</f>
        <v>N</v>
      </c>
      <c r="EW139" s="6" t="n">
        <f aca="false">ROW()-1</f>
        <v>138</v>
      </c>
    </row>
    <row r="140" customFormat="false" ht="15" hidden="false" customHeight="false" outlineLevel="0" collapsed="false">
      <c r="A140" s="0" t="s">
        <v>2656</v>
      </c>
      <c r="B140" s="0" t="s">
        <v>2657</v>
      </c>
      <c r="H140" s="5" t="s">
        <v>158</v>
      </c>
      <c r="I140" s="5" t="s">
        <v>159</v>
      </c>
      <c r="J140" s="6" t="n">
        <f aca="false">IF(AX140="pass",ROUND(CU140+CV140+CW140+CX140+CY140+CZ140,1),0)</f>
        <v>34</v>
      </c>
      <c r="K140" s="6" t="s">
        <v>2591</v>
      </c>
      <c r="L140" s="6" t="s">
        <v>163</v>
      </c>
      <c r="R140" s="5" t="s">
        <v>162</v>
      </c>
      <c r="S140" s="6" t="s">
        <v>163</v>
      </c>
      <c r="T140" s="5" t="s">
        <v>162</v>
      </c>
      <c r="U140" s="5" t="s">
        <v>228</v>
      </c>
      <c r="V140" s="6" t="s">
        <v>2277</v>
      </c>
      <c r="W140" s="6" t="s">
        <v>166</v>
      </c>
      <c r="X140" s="6" t="s">
        <v>167</v>
      </c>
      <c r="Y140" s="0" t="str">
        <f aca="false">IF(EU140&lt;&gt;"Y","",COUNTIFS($EU$2:$EU$1000,"Y",$J$2:$J$1000,"&gt;"&amp;J140)+COUNTIFS($EU$2:$EU$1000,"Y",$J$2:$J$1000,J140,$EW$2:$EW$1000,"&lt;"&amp;EW140)+1)</f>
        <v/>
      </c>
      <c r="Z140" s="0" t="n">
        <v>139</v>
      </c>
      <c r="AA140" s="6" t="s">
        <v>162</v>
      </c>
      <c r="AD140" s="6" t="s">
        <v>158</v>
      </c>
      <c r="AH140" s="5" t="s">
        <v>158</v>
      </c>
      <c r="AI140" s="6" t="s">
        <v>2658</v>
      </c>
      <c r="AJ140" s="6" t="s">
        <v>2659</v>
      </c>
      <c r="AK140" s="6" t="s">
        <v>2228</v>
      </c>
      <c r="AL140" s="6" t="s">
        <v>163</v>
      </c>
      <c r="AM140" s="6" t="s">
        <v>163</v>
      </c>
      <c r="AN140" s="6" t="s">
        <v>158</v>
      </c>
      <c r="AO140" s="6" t="s">
        <v>163</v>
      </c>
      <c r="AP140" s="6" t="s">
        <v>2280</v>
      </c>
      <c r="AQ140" s="5" t="s">
        <v>162</v>
      </c>
      <c r="AT140" s="0" t="str">
        <f aca="false">IF(AND(AX140="pass",AQ140&lt;&gt;"Y",C140&lt;&gt;"",OR(AW140&lt;&gt;"Y",AV140="Y")),"Y","N")</f>
        <v>N</v>
      </c>
      <c r="AU140" s="0" t="str">
        <f aca="false">_xlfn.TEXTJOIN("; ",TRUE(),IF(AX140&lt;&gt;"pass","gated out",""),IF(AQ140="Y","on hold: "&amp;AR140,""),IF(C140="","no contact named on an opened page",""),IF(AND(AW140="Y",AV140&lt;&gt;"Y"),"Tuesday estimate band "&amp;L140&amp;": founder's call",""))</f>
        <v>no contact named on an opened page</v>
      </c>
      <c r="AW140" s="6" t="s">
        <v>162</v>
      </c>
      <c r="AX140" s="6" t="s">
        <v>181</v>
      </c>
      <c r="AY140" s="6" t="s">
        <v>182</v>
      </c>
      <c r="AZ140" s="6" t="s">
        <v>2229</v>
      </c>
      <c r="BA140" s="6" t="s">
        <v>2660</v>
      </c>
      <c r="BB140" s="6" t="s">
        <v>2282</v>
      </c>
      <c r="BC140" s="6" t="s">
        <v>2232</v>
      </c>
      <c r="BD140" s="6" t="s">
        <v>163</v>
      </c>
      <c r="BF140" s="6" t="s">
        <v>163</v>
      </c>
      <c r="BG140" s="6" t="s">
        <v>163</v>
      </c>
      <c r="BK140" s="6" t="s">
        <v>163</v>
      </c>
      <c r="BL140" s="6" t="s">
        <v>2233</v>
      </c>
      <c r="BM140" s="6" t="s">
        <v>163</v>
      </c>
      <c r="BN140" s="6" t="s">
        <v>2283</v>
      </c>
      <c r="BP140" s="6" t="s">
        <v>193</v>
      </c>
      <c r="BQ140" s="0" t="n">
        <v>40.73716</v>
      </c>
      <c r="BR140" s="0" t="n">
        <v>-73.990073</v>
      </c>
      <c r="BS140" s="6" t="s">
        <v>168</v>
      </c>
      <c r="BT140" s="0" t="n">
        <v>0</v>
      </c>
      <c r="BU140" s="6" t="s">
        <v>1327</v>
      </c>
      <c r="BV140" s="6" t="s">
        <v>1317</v>
      </c>
      <c r="BW140" s="6" t="s">
        <v>2277</v>
      </c>
      <c r="BX140" s="6" t="s">
        <v>166</v>
      </c>
      <c r="BY140" s="6" t="s">
        <v>2237</v>
      </c>
      <c r="BZ140" s="6" t="s">
        <v>2661</v>
      </c>
      <c r="CC140" s="6" t="s">
        <v>739</v>
      </c>
      <c r="CE140" s="6" t="s">
        <v>162</v>
      </c>
      <c r="CF140" s="6" t="s">
        <v>2660</v>
      </c>
      <c r="CG140" s="6" t="s">
        <v>2239</v>
      </c>
      <c r="CH140" s="6" t="s">
        <v>163</v>
      </c>
      <c r="CJ140" s="6" t="s">
        <v>163</v>
      </c>
      <c r="CK140" s="6" t="s">
        <v>162</v>
      </c>
      <c r="CL140" s="6" t="s">
        <v>163</v>
      </c>
      <c r="CO140" s="6" t="s">
        <v>163</v>
      </c>
      <c r="CQ140" s="6" t="s">
        <v>2240</v>
      </c>
      <c r="CR140" s="6" t="s">
        <v>206</v>
      </c>
      <c r="CS140" s="6" t="s">
        <v>163</v>
      </c>
      <c r="CT140" s="0" t="n">
        <v>34</v>
      </c>
      <c r="CU140" s="0" t="n">
        <v>7</v>
      </c>
      <c r="CV140" s="0" t="n">
        <v>8</v>
      </c>
      <c r="CW140" s="0" t="n">
        <v>6</v>
      </c>
      <c r="CX140" s="0" t="n">
        <v>13</v>
      </c>
      <c r="CY140" s="6" t="n">
        <f aca="false">IF(AH140="exact",10,IF(AH140="adjacent",5,0))</f>
        <v>0</v>
      </c>
      <c r="CZ140" s="6" t="n">
        <f aca="false">IF(R140="Y",15,0)</f>
        <v>0</v>
      </c>
      <c r="DF140" s="6" t="s">
        <v>158</v>
      </c>
      <c r="DG140" s="6" t="s">
        <v>2229</v>
      </c>
      <c r="DK140" s="6" t="s">
        <v>2662</v>
      </c>
      <c r="DS140" s="6" t="s">
        <v>158</v>
      </c>
      <c r="DX140" s="6" t="s">
        <v>162</v>
      </c>
      <c r="DZ140" s="6" t="s">
        <v>2663</v>
      </c>
      <c r="ER140" s="0" t="str">
        <f aca="false">IF(ISNUMBER(MATCH(U140,{"queued","contacted","replied","call_booked","call_done","yes_in_principle","materials_sent"},0)),"Y","N")</f>
        <v>N</v>
      </c>
      <c r="ES140" s="0" t="str">
        <f aca="false">IF(COUNTIFS($AP$2:$AP$1000,AP140,$ER$2:$ER$1000,"Y")+COUNTIFS($AP$2:$AP$1000,AP140,$T$2:$T$1000,"Y")&gt;0,"Y","N")</f>
        <v>N</v>
      </c>
      <c r="ET140" s="0" t="str">
        <f aca="false">IF(AND(U140="new",T140="N",AT140="Y",AS140="",ES140="N"),"Y","N")</f>
        <v>N</v>
      </c>
      <c r="EU140" s="0" t="str">
        <f aca="false">IF(ET140&lt;&gt;"Y","N",IF(COUNTIFS($AP$2:$AP$1000,AP140,$ET$2:$ET$1000,"Y",$J$2:$J$1000,"&gt;"&amp;J140)+COUNTIFS($AP$2:$AP$1000,AP140,$ET$2:$ET$1000,"Y",$J$2:$J$1000,J140,$EW$2:$EW$1000,"&lt;"&amp;EW140)=0,"Y","N"))</f>
        <v>N</v>
      </c>
      <c r="EV140" s="0" t="str">
        <f aca="false">IF(Y140="","N",IF(Y140&lt;=10,"Y","N"))</f>
        <v>N</v>
      </c>
      <c r="EW140" s="6" t="n">
        <f aca="false">ROW()-1</f>
        <v>139</v>
      </c>
    </row>
    <row r="141" customFormat="false" ht="15" hidden="false" customHeight="false" outlineLevel="0" collapsed="false">
      <c r="A141" s="0" t="s">
        <v>2664</v>
      </c>
      <c r="B141" s="0" t="s">
        <v>2665</v>
      </c>
      <c r="H141" s="5" t="s">
        <v>158</v>
      </c>
      <c r="I141" s="5" t="s">
        <v>159</v>
      </c>
      <c r="J141" s="6" t="n">
        <f aca="false">IF(AX141="pass",ROUND(CU141+CV141+CW141+CX141+CY141+CZ141,1),0)</f>
        <v>34</v>
      </c>
      <c r="K141" s="6" t="s">
        <v>2573</v>
      </c>
      <c r="L141" s="6" t="s">
        <v>163</v>
      </c>
      <c r="R141" s="5" t="s">
        <v>162</v>
      </c>
      <c r="S141" s="6" t="s">
        <v>163</v>
      </c>
      <c r="T141" s="5" t="s">
        <v>162</v>
      </c>
      <c r="U141" s="5" t="s">
        <v>228</v>
      </c>
      <c r="V141" s="6" t="s">
        <v>2666</v>
      </c>
      <c r="W141" s="6" t="s">
        <v>166</v>
      </c>
      <c r="X141" s="6" t="s">
        <v>167</v>
      </c>
      <c r="Y141" s="0" t="str">
        <f aca="false">IF(EU141&lt;&gt;"Y","",COUNTIFS($EU$2:$EU$1000,"Y",$J$2:$J$1000,"&gt;"&amp;J141)+COUNTIFS($EU$2:$EU$1000,"Y",$J$2:$J$1000,J141,$EW$2:$EW$1000,"&lt;"&amp;EW141)+1)</f>
        <v/>
      </c>
      <c r="Z141" s="0" t="n">
        <v>140</v>
      </c>
      <c r="AA141" s="6" t="s">
        <v>162</v>
      </c>
      <c r="AD141" s="6" t="s">
        <v>158</v>
      </c>
      <c r="AH141" s="5" t="s">
        <v>158</v>
      </c>
      <c r="AI141" s="6" t="s">
        <v>2667</v>
      </c>
      <c r="AJ141" s="6" t="s">
        <v>2371</v>
      </c>
      <c r="AK141" s="6" t="s">
        <v>178</v>
      </c>
      <c r="AL141" s="6" t="s">
        <v>163</v>
      </c>
      <c r="AM141" s="6" t="s">
        <v>163</v>
      </c>
      <c r="AN141" s="6" t="s">
        <v>158</v>
      </c>
      <c r="AO141" s="6" t="s">
        <v>163</v>
      </c>
      <c r="AP141" s="6" t="s">
        <v>2664</v>
      </c>
      <c r="AQ141" s="5" t="s">
        <v>162</v>
      </c>
      <c r="AT141" s="0" t="str">
        <f aca="false">IF(AND(AX141="pass",AQ141&lt;&gt;"Y",C141&lt;&gt;"",OR(AW141&lt;&gt;"Y",AV141="Y")),"Y","N")</f>
        <v>N</v>
      </c>
      <c r="AU141" s="0" t="str">
        <f aca="false">_xlfn.TEXTJOIN("; ",TRUE(),IF(AX141&lt;&gt;"pass","gated out",""),IF(AQ141="Y","on hold: "&amp;AR141,""),IF(C141="","no contact named on an opened page",""),IF(AND(AW141="Y",AV141&lt;&gt;"Y"),"Tuesday estimate band "&amp;L141&amp;": founder's call",""))</f>
        <v>no contact named on an opened page</v>
      </c>
      <c r="AW141" s="6" t="s">
        <v>162</v>
      </c>
      <c r="AX141" s="6" t="s">
        <v>181</v>
      </c>
      <c r="AY141" s="6" t="s">
        <v>182</v>
      </c>
      <c r="AZ141" s="6" t="s">
        <v>1</v>
      </c>
      <c r="BA141" s="6" t="s">
        <v>2668</v>
      </c>
      <c r="BB141" s="6" t="s">
        <v>163</v>
      </c>
      <c r="BC141" s="6" t="s">
        <v>2669</v>
      </c>
      <c r="BD141" s="6" t="s">
        <v>163</v>
      </c>
      <c r="BF141" s="6" t="s">
        <v>163</v>
      </c>
      <c r="BG141" s="6" t="s">
        <v>163</v>
      </c>
      <c r="BH141" s="6" t="s">
        <v>2196</v>
      </c>
      <c r="BK141" s="6" t="s">
        <v>163</v>
      </c>
      <c r="BL141" s="6" t="s">
        <v>163</v>
      </c>
      <c r="BM141" s="6" t="s">
        <v>163</v>
      </c>
      <c r="BN141" s="6" t="s">
        <v>163</v>
      </c>
      <c r="BO141" s="6" t="s">
        <v>163</v>
      </c>
      <c r="BP141" s="6" t="s">
        <v>244</v>
      </c>
      <c r="BQ141" s="0" t="n">
        <v>40.74441</v>
      </c>
      <c r="BR141" s="0" t="n">
        <v>-73.987275</v>
      </c>
      <c r="BS141" s="6" t="s">
        <v>168</v>
      </c>
      <c r="BT141" s="0" t="n">
        <v>0</v>
      </c>
      <c r="BU141" s="6" t="s">
        <v>2670</v>
      </c>
      <c r="BV141" s="6" t="s">
        <v>2671</v>
      </c>
      <c r="BW141" s="6" t="s">
        <v>2666</v>
      </c>
      <c r="BX141" s="6" t="s">
        <v>2672</v>
      </c>
      <c r="BY141" s="6" t="s">
        <v>248</v>
      </c>
      <c r="CC141" s="6" t="s">
        <v>739</v>
      </c>
      <c r="CE141" s="6" t="s">
        <v>162</v>
      </c>
      <c r="CH141" s="6" t="s">
        <v>201</v>
      </c>
      <c r="CI141" s="6" t="s">
        <v>2673</v>
      </c>
      <c r="CJ141" s="6" t="s">
        <v>163</v>
      </c>
      <c r="CK141" s="6" t="s">
        <v>162</v>
      </c>
      <c r="CL141" s="6" t="s">
        <v>163</v>
      </c>
      <c r="CO141" s="6" t="s">
        <v>163</v>
      </c>
      <c r="CQ141" s="6" t="s">
        <v>2197</v>
      </c>
      <c r="CR141" s="6" t="s">
        <v>206</v>
      </c>
      <c r="CS141" s="6" t="s">
        <v>163</v>
      </c>
      <c r="CT141" s="0" t="n">
        <v>34</v>
      </c>
      <c r="CU141" s="0" t="n">
        <v>7</v>
      </c>
      <c r="CV141" s="0" t="n">
        <v>8</v>
      </c>
      <c r="CW141" s="0" t="n">
        <v>6</v>
      </c>
      <c r="CX141" s="0" t="n">
        <v>13</v>
      </c>
      <c r="CY141" s="6" t="n">
        <f aca="false">IF(AH141="exact",10,IF(AH141="adjacent",5,0))</f>
        <v>0</v>
      </c>
      <c r="CZ141" s="6" t="n">
        <f aca="false">IF(R141="Y",15,0)</f>
        <v>0</v>
      </c>
      <c r="DF141" s="6" t="s">
        <v>158</v>
      </c>
      <c r="DG141" s="6" t="s">
        <v>211</v>
      </c>
      <c r="DJ141" s="6" t="s">
        <v>2674</v>
      </c>
      <c r="DK141" s="6" t="s">
        <v>2675</v>
      </c>
      <c r="DS141" s="6" t="s">
        <v>158</v>
      </c>
      <c r="DX141" s="6" t="s">
        <v>162</v>
      </c>
      <c r="ER141" s="0" t="str">
        <f aca="false">IF(ISNUMBER(MATCH(U141,{"queued","contacted","replied","call_booked","call_done","yes_in_principle","materials_sent"},0)),"Y","N")</f>
        <v>N</v>
      </c>
      <c r="ES141" s="0" t="str">
        <f aca="false">IF(COUNTIFS($AP$2:$AP$1000,AP141,$ER$2:$ER$1000,"Y")+COUNTIFS($AP$2:$AP$1000,AP141,$T$2:$T$1000,"Y")&gt;0,"Y","N")</f>
        <v>N</v>
      </c>
      <c r="ET141" s="0" t="str">
        <f aca="false">IF(AND(U141="new",T141="N",AT141="Y",AS141="",ES141="N"),"Y","N")</f>
        <v>N</v>
      </c>
      <c r="EU141" s="0" t="str">
        <f aca="false">IF(ET141&lt;&gt;"Y","N",IF(COUNTIFS($AP$2:$AP$1000,AP141,$ET$2:$ET$1000,"Y",$J$2:$J$1000,"&gt;"&amp;J141)+COUNTIFS($AP$2:$AP$1000,AP141,$ET$2:$ET$1000,"Y",$J$2:$J$1000,J141,$EW$2:$EW$1000,"&lt;"&amp;EW141)=0,"Y","N"))</f>
        <v>N</v>
      </c>
      <c r="EV141" s="0" t="str">
        <f aca="false">IF(Y141="","N",IF(Y141&lt;=10,"Y","N"))</f>
        <v>N</v>
      </c>
      <c r="EW141" s="6" t="n">
        <f aca="false">ROW()-1</f>
        <v>140</v>
      </c>
    </row>
    <row r="142" customFormat="false" ht="15" hidden="false" customHeight="false" outlineLevel="0" collapsed="false">
      <c r="A142" s="0" t="s">
        <v>2676</v>
      </c>
      <c r="B142" s="0" t="s">
        <v>2677</v>
      </c>
      <c r="H142" s="5" t="s">
        <v>158</v>
      </c>
      <c r="I142" s="5" t="s">
        <v>159</v>
      </c>
      <c r="J142" s="6" t="n">
        <f aca="false">IF(AX142="pass",ROUND(CU142+CV142+CW142+CX142+CY142+CZ142,1),0)</f>
        <v>34</v>
      </c>
      <c r="K142" s="6" t="s">
        <v>2573</v>
      </c>
      <c r="L142" s="6" t="s">
        <v>163</v>
      </c>
      <c r="R142" s="5" t="s">
        <v>162</v>
      </c>
      <c r="S142" s="6" t="s">
        <v>163</v>
      </c>
      <c r="T142" s="5" t="s">
        <v>162</v>
      </c>
      <c r="U142" s="5" t="s">
        <v>228</v>
      </c>
      <c r="V142" s="6" t="s">
        <v>1684</v>
      </c>
      <c r="W142" s="6" t="s">
        <v>166</v>
      </c>
      <c r="X142" s="6" t="s">
        <v>167</v>
      </c>
      <c r="Y142" s="0" t="str">
        <f aca="false">IF(EU142&lt;&gt;"Y","",COUNTIFS($EU$2:$EU$1000,"Y",$J$2:$J$1000,"&gt;"&amp;J142)+COUNTIFS($EU$2:$EU$1000,"Y",$J$2:$J$1000,J142,$EW$2:$EW$1000,"&lt;"&amp;EW142)+1)</f>
        <v/>
      </c>
      <c r="Z142" s="0" t="n">
        <v>141</v>
      </c>
      <c r="AA142" s="6" t="s">
        <v>162</v>
      </c>
      <c r="AD142" s="6" t="s">
        <v>158</v>
      </c>
      <c r="AH142" s="5" t="s">
        <v>158</v>
      </c>
      <c r="AI142" s="6" t="s">
        <v>861</v>
      </c>
      <c r="AJ142" s="6" t="s">
        <v>163</v>
      </c>
      <c r="AK142" s="6" t="s">
        <v>178</v>
      </c>
      <c r="AL142" s="6" t="s">
        <v>163</v>
      </c>
      <c r="AM142" s="6" t="s">
        <v>163</v>
      </c>
      <c r="AN142" s="6" t="s">
        <v>158</v>
      </c>
      <c r="AO142" s="6" t="s">
        <v>163</v>
      </c>
      <c r="AP142" s="6" t="s">
        <v>2676</v>
      </c>
      <c r="AQ142" s="5" t="s">
        <v>162</v>
      </c>
      <c r="AT142" s="0" t="str">
        <f aca="false">IF(AND(AX142="pass",AQ142&lt;&gt;"Y",C142&lt;&gt;"",OR(AW142&lt;&gt;"Y",AV142="Y")),"Y","N")</f>
        <v>N</v>
      </c>
      <c r="AU142" s="0" t="str">
        <f aca="false">_xlfn.TEXTJOIN("; ",TRUE(),IF(AX142&lt;&gt;"pass","gated out",""),IF(AQ142="Y","on hold: "&amp;AR142,""),IF(C142="","no contact named on an opened page",""),IF(AND(AW142="Y",AV142&lt;&gt;"Y"),"Tuesday estimate band "&amp;L142&amp;": founder's call",""))</f>
        <v>no contact named on an opened page</v>
      </c>
      <c r="AW142" s="6" t="s">
        <v>162</v>
      </c>
      <c r="AX142" s="6" t="s">
        <v>181</v>
      </c>
      <c r="AY142" s="6" t="s">
        <v>182</v>
      </c>
      <c r="AZ142" s="6" t="s">
        <v>1</v>
      </c>
      <c r="BA142" s="6" t="s">
        <v>2678</v>
      </c>
      <c r="BB142" s="6" t="s">
        <v>2679</v>
      </c>
      <c r="BC142" s="6" t="s">
        <v>2680</v>
      </c>
      <c r="BD142" s="6" t="s">
        <v>163</v>
      </c>
      <c r="BF142" s="6" t="s">
        <v>163</v>
      </c>
      <c r="BG142" s="6" t="s">
        <v>163</v>
      </c>
      <c r="BH142" s="6" t="s">
        <v>2196</v>
      </c>
      <c r="BK142" s="6" t="s">
        <v>163</v>
      </c>
      <c r="BL142" s="6" t="s">
        <v>163</v>
      </c>
      <c r="BM142" s="6" t="s">
        <v>163</v>
      </c>
      <c r="BN142" s="6" t="s">
        <v>163</v>
      </c>
      <c r="BO142" s="6" t="s">
        <v>163</v>
      </c>
      <c r="BP142" s="6" t="s">
        <v>347</v>
      </c>
      <c r="BQ142" s="0" t="n">
        <v>40.742654</v>
      </c>
      <c r="BR142" s="0" t="n">
        <v>-73.991559</v>
      </c>
      <c r="BS142" s="6" t="s">
        <v>168</v>
      </c>
      <c r="BT142" s="0" t="n">
        <v>0</v>
      </c>
      <c r="BU142" s="6" t="s">
        <v>870</v>
      </c>
      <c r="BV142" s="6" t="s">
        <v>871</v>
      </c>
      <c r="BW142" s="6" t="s">
        <v>1684</v>
      </c>
      <c r="BX142" s="6" t="s">
        <v>1685</v>
      </c>
      <c r="BY142" s="6" t="s">
        <v>248</v>
      </c>
      <c r="CC142" s="6" t="s">
        <v>739</v>
      </c>
      <c r="CE142" s="6" t="s">
        <v>162</v>
      </c>
      <c r="CH142" s="6" t="s">
        <v>201</v>
      </c>
      <c r="CI142" s="6" t="s">
        <v>872</v>
      </c>
      <c r="CJ142" s="6" t="s">
        <v>163</v>
      </c>
      <c r="CK142" s="6" t="s">
        <v>162</v>
      </c>
      <c r="CL142" s="6" t="s">
        <v>163</v>
      </c>
      <c r="CO142" s="6" t="s">
        <v>163</v>
      </c>
      <c r="CQ142" s="6" t="s">
        <v>2197</v>
      </c>
      <c r="CR142" s="6" t="s">
        <v>206</v>
      </c>
      <c r="CS142" s="6" t="s">
        <v>163</v>
      </c>
      <c r="CT142" s="0" t="n">
        <v>34</v>
      </c>
      <c r="CU142" s="0" t="n">
        <v>7</v>
      </c>
      <c r="CV142" s="0" t="n">
        <v>8</v>
      </c>
      <c r="CW142" s="0" t="n">
        <v>6</v>
      </c>
      <c r="CX142" s="0" t="n">
        <v>13</v>
      </c>
      <c r="CY142" s="6" t="n">
        <f aca="false">IF(AH142="exact",10,IF(AH142="adjacent",5,0))</f>
        <v>0</v>
      </c>
      <c r="CZ142" s="6" t="n">
        <f aca="false">IF(R142="Y",15,0)</f>
        <v>0</v>
      </c>
      <c r="DF142" s="6" t="s">
        <v>158</v>
      </c>
      <c r="DG142" s="6" t="s">
        <v>211</v>
      </c>
      <c r="DK142" s="6" t="s">
        <v>2681</v>
      </c>
      <c r="DS142" s="6" t="s">
        <v>158</v>
      </c>
      <c r="DX142" s="6" t="s">
        <v>162</v>
      </c>
      <c r="ER142" s="0" t="str">
        <f aca="false">IF(ISNUMBER(MATCH(U142,{"queued","contacted","replied","call_booked","call_done","yes_in_principle","materials_sent"},0)),"Y","N")</f>
        <v>N</v>
      </c>
      <c r="ES142" s="0" t="str">
        <f aca="false">IF(COUNTIFS($AP$2:$AP$1000,AP142,$ER$2:$ER$1000,"Y")+COUNTIFS($AP$2:$AP$1000,AP142,$T$2:$T$1000,"Y")&gt;0,"Y","N")</f>
        <v>N</v>
      </c>
      <c r="ET142" s="0" t="str">
        <f aca="false">IF(AND(U142="new",T142="N",AT142="Y",AS142="",ES142="N"),"Y","N")</f>
        <v>N</v>
      </c>
      <c r="EU142" s="0" t="str">
        <f aca="false">IF(ET142&lt;&gt;"Y","N",IF(COUNTIFS($AP$2:$AP$1000,AP142,$ET$2:$ET$1000,"Y",$J$2:$J$1000,"&gt;"&amp;J142)+COUNTIFS($AP$2:$AP$1000,AP142,$ET$2:$ET$1000,"Y",$J$2:$J$1000,J142,$EW$2:$EW$1000,"&lt;"&amp;EW142)=0,"Y","N"))</f>
        <v>N</v>
      </c>
      <c r="EV142" s="0" t="str">
        <f aca="false">IF(Y142="","N",IF(Y142&lt;=10,"Y","N"))</f>
        <v>N</v>
      </c>
      <c r="EW142" s="6" t="n">
        <f aca="false">ROW()-1</f>
        <v>141</v>
      </c>
    </row>
    <row r="143" customFormat="false" ht="15" hidden="false" customHeight="false" outlineLevel="0" collapsed="false">
      <c r="A143" s="0" t="s">
        <v>2682</v>
      </c>
      <c r="B143" s="0" t="s">
        <v>2683</v>
      </c>
      <c r="H143" s="5" t="s">
        <v>158</v>
      </c>
      <c r="I143" s="5" t="s">
        <v>159</v>
      </c>
      <c r="J143" s="6" t="n">
        <f aca="false">IF(AX143="pass",ROUND(CU143+CV143+CW143+CX143+CY143+CZ143,1),0)</f>
        <v>34</v>
      </c>
      <c r="K143" s="6" t="s">
        <v>2573</v>
      </c>
      <c r="L143" s="6" t="s">
        <v>163</v>
      </c>
      <c r="R143" s="5" t="s">
        <v>162</v>
      </c>
      <c r="S143" s="6" t="s">
        <v>163</v>
      </c>
      <c r="T143" s="5" t="s">
        <v>162</v>
      </c>
      <c r="U143" s="5" t="s">
        <v>228</v>
      </c>
      <c r="V143" s="6" t="s">
        <v>2684</v>
      </c>
      <c r="W143" s="6" t="s">
        <v>166</v>
      </c>
      <c r="X143" s="6" t="s">
        <v>167</v>
      </c>
      <c r="Y143" s="0" t="str">
        <f aca="false">IF(EU143&lt;&gt;"Y","",COUNTIFS($EU$2:$EU$1000,"Y",$J$2:$J$1000,"&gt;"&amp;J143)+COUNTIFS($EU$2:$EU$1000,"Y",$J$2:$J$1000,J143,$EW$2:$EW$1000,"&lt;"&amp;EW143)+1)</f>
        <v/>
      </c>
      <c r="Z143" s="0" t="n">
        <v>142</v>
      </c>
      <c r="AA143" s="6" t="s">
        <v>162</v>
      </c>
      <c r="AD143" s="6" t="s">
        <v>158</v>
      </c>
      <c r="AH143" s="5" t="s">
        <v>158</v>
      </c>
      <c r="AI143" s="6" t="s">
        <v>601</v>
      </c>
      <c r="AJ143" s="6" t="s">
        <v>1258</v>
      </c>
      <c r="AK143" s="6" t="s">
        <v>178</v>
      </c>
      <c r="AL143" s="6" t="s">
        <v>163</v>
      </c>
      <c r="AM143" s="6" t="s">
        <v>163</v>
      </c>
      <c r="AN143" s="6" t="s">
        <v>158</v>
      </c>
      <c r="AO143" s="6" t="s">
        <v>163</v>
      </c>
      <c r="AP143" s="6" t="s">
        <v>2682</v>
      </c>
      <c r="AQ143" s="5" t="s">
        <v>162</v>
      </c>
      <c r="AT143" s="0" t="str">
        <f aca="false">IF(AND(AX143="pass",AQ143&lt;&gt;"Y",C143&lt;&gt;"",OR(AW143&lt;&gt;"Y",AV143="Y")),"Y","N")</f>
        <v>N</v>
      </c>
      <c r="AU143" s="0" t="str">
        <f aca="false">_xlfn.TEXTJOIN("; ",TRUE(),IF(AX143&lt;&gt;"pass","gated out",""),IF(AQ143="Y","on hold: "&amp;AR143,""),IF(C143="","no contact named on an opened page",""),IF(AND(AW143="Y",AV143&lt;&gt;"Y"),"Tuesday estimate band "&amp;L143&amp;": founder's call",""))</f>
        <v>no contact named on an opened page</v>
      </c>
      <c r="AW143" s="6" t="s">
        <v>162</v>
      </c>
      <c r="AX143" s="6" t="s">
        <v>181</v>
      </c>
      <c r="AY143" s="6" t="s">
        <v>182</v>
      </c>
      <c r="AZ143" s="6" t="s">
        <v>1</v>
      </c>
      <c r="BA143" s="6" t="s">
        <v>2685</v>
      </c>
      <c r="BB143" s="6" t="s">
        <v>2686</v>
      </c>
      <c r="BC143" s="6" t="s">
        <v>2687</v>
      </c>
      <c r="BD143" s="6" t="s">
        <v>163</v>
      </c>
      <c r="BF143" s="6" t="s">
        <v>163</v>
      </c>
      <c r="BG143" s="6" t="s">
        <v>163</v>
      </c>
      <c r="BH143" s="6" t="s">
        <v>2196</v>
      </c>
      <c r="BK143" s="6" t="s">
        <v>163</v>
      </c>
      <c r="BL143" s="6" t="s">
        <v>163</v>
      </c>
      <c r="BM143" s="6" t="s">
        <v>163</v>
      </c>
      <c r="BN143" s="6" t="s">
        <v>163</v>
      </c>
      <c r="BO143" s="6" t="s">
        <v>163</v>
      </c>
      <c r="BP143" s="6" t="s">
        <v>193</v>
      </c>
      <c r="BQ143" s="0" t="n">
        <v>40.73865</v>
      </c>
      <c r="BR143" s="0" t="n">
        <v>-73.991471</v>
      </c>
      <c r="BS143" s="6" t="s">
        <v>168</v>
      </c>
      <c r="BT143" s="0" t="n">
        <v>0</v>
      </c>
      <c r="BU143" s="6" t="s">
        <v>608</v>
      </c>
      <c r="BV143" s="6" t="s">
        <v>609</v>
      </c>
      <c r="BW143" s="6" t="s">
        <v>2684</v>
      </c>
      <c r="BX143" s="6" t="s">
        <v>2688</v>
      </c>
      <c r="BY143" s="6" t="s">
        <v>248</v>
      </c>
      <c r="CC143" s="6" t="s">
        <v>739</v>
      </c>
      <c r="CE143" s="6" t="s">
        <v>162</v>
      </c>
      <c r="CH143" s="6" t="s">
        <v>163</v>
      </c>
      <c r="CJ143" s="6" t="s">
        <v>163</v>
      </c>
      <c r="CK143" s="6" t="s">
        <v>162</v>
      </c>
      <c r="CL143" s="6" t="s">
        <v>163</v>
      </c>
      <c r="CO143" s="6" t="s">
        <v>163</v>
      </c>
      <c r="CQ143" s="6" t="s">
        <v>2197</v>
      </c>
      <c r="CR143" s="6" t="s">
        <v>206</v>
      </c>
      <c r="CS143" s="6" t="s">
        <v>163</v>
      </c>
      <c r="CT143" s="0" t="n">
        <v>34</v>
      </c>
      <c r="CU143" s="0" t="n">
        <v>7</v>
      </c>
      <c r="CV143" s="0" t="n">
        <v>8</v>
      </c>
      <c r="CW143" s="0" t="n">
        <v>6</v>
      </c>
      <c r="CX143" s="0" t="n">
        <v>13</v>
      </c>
      <c r="CY143" s="6" t="n">
        <f aca="false">IF(AH143="exact",10,IF(AH143="adjacent",5,0))</f>
        <v>0</v>
      </c>
      <c r="CZ143" s="6" t="n">
        <f aca="false">IF(R143="Y",15,0)</f>
        <v>0</v>
      </c>
      <c r="DF143" s="6" t="s">
        <v>158</v>
      </c>
      <c r="DG143" s="6" t="s">
        <v>211</v>
      </c>
      <c r="DJ143" s="6" t="s">
        <v>1656</v>
      </c>
      <c r="DK143" s="6" t="s">
        <v>2689</v>
      </c>
      <c r="DS143" s="6" t="s">
        <v>158</v>
      </c>
      <c r="DX143" s="6" t="s">
        <v>162</v>
      </c>
      <c r="ER143" s="0" t="str">
        <f aca="false">IF(ISNUMBER(MATCH(U143,{"queued","contacted","replied","call_booked","call_done","yes_in_principle","materials_sent"},0)),"Y","N")</f>
        <v>N</v>
      </c>
      <c r="ES143" s="0" t="str">
        <f aca="false">IF(COUNTIFS($AP$2:$AP$1000,AP143,$ER$2:$ER$1000,"Y")+COUNTIFS($AP$2:$AP$1000,AP143,$T$2:$T$1000,"Y")&gt;0,"Y","N")</f>
        <v>N</v>
      </c>
      <c r="ET143" s="0" t="str">
        <f aca="false">IF(AND(U143="new",T143="N",AT143="Y",AS143="",ES143="N"),"Y","N")</f>
        <v>N</v>
      </c>
      <c r="EU143" s="0" t="str">
        <f aca="false">IF(ET143&lt;&gt;"Y","N",IF(COUNTIFS($AP$2:$AP$1000,AP143,$ET$2:$ET$1000,"Y",$J$2:$J$1000,"&gt;"&amp;J143)+COUNTIFS($AP$2:$AP$1000,AP143,$ET$2:$ET$1000,"Y",$J$2:$J$1000,J143,$EW$2:$EW$1000,"&lt;"&amp;EW143)=0,"Y","N"))</f>
        <v>N</v>
      </c>
      <c r="EV143" s="0" t="str">
        <f aca="false">IF(Y143="","N",IF(Y143&lt;=10,"Y","N"))</f>
        <v>N</v>
      </c>
      <c r="EW143" s="6" t="n">
        <f aca="false">ROW()-1</f>
        <v>142</v>
      </c>
    </row>
    <row r="144" customFormat="false" ht="15" hidden="false" customHeight="false" outlineLevel="0" collapsed="false">
      <c r="A144" s="0" t="s">
        <v>2690</v>
      </c>
      <c r="B144" s="0" t="s">
        <v>2691</v>
      </c>
      <c r="H144" s="5" t="s">
        <v>158</v>
      </c>
      <c r="I144" s="5" t="s">
        <v>159</v>
      </c>
      <c r="J144" s="6" t="n">
        <f aca="false">IF(AX144="pass",ROUND(CU144+CV144+CW144+CX144+CY144+CZ144,1),0)</f>
        <v>34</v>
      </c>
      <c r="K144" s="6" t="s">
        <v>2591</v>
      </c>
      <c r="L144" s="6" t="s">
        <v>163</v>
      </c>
      <c r="R144" s="5" t="s">
        <v>162</v>
      </c>
      <c r="S144" s="6" t="s">
        <v>163</v>
      </c>
      <c r="T144" s="5" t="s">
        <v>162</v>
      </c>
      <c r="U144" s="5" t="s">
        <v>228</v>
      </c>
      <c r="V144" s="6" t="s">
        <v>2692</v>
      </c>
      <c r="W144" s="6" t="s">
        <v>166</v>
      </c>
      <c r="X144" s="6" t="s">
        <v>167</v>
      </c>
      <c r="Y144" s="0" t="str">
        <f aca="false">IF(EU144&lt;&gt;"Y","",COUNTIFS($EU$2:$EU$1000,"Y",$J$2:$J$1000,"&gt;"&amp;J144)+COUNTIFS($EU$2:$EU$1000,"Y",$J$2:$J$1000,J144,$EW$2:$EW$1000,"&lt;"&amp;EW144)+1)</f>
        <v/>
      </c>
      <c r="Z144" s="0" t="n">
        <v>143</v>
      </c>
      <c r="AA144" s="6" t="s">
        <v>162</v>
      </c>
      <c r="AD144" s="6" t="s">
        <v>158</v>
      </c>
      <c r="AH144" s="5" t="s">
        <v>158</v>
      </c>
      <c r="AI144" s="6" t="s">
        <v>2693</v>
      </c>
      <c r="AJ144" s="6" t="s">
        <v>2279</v>
      </c>
      <c r="AK144" s="6" t="s">
        <v>2228</v>
      </c>
      <c r="AL144" s="6" t="s">
        <v>163</v>
      </c>
      <c r="AM144" s="6" t="s">
        <v>163</v>
      </c>
      <c r="AN144" s="6" t="s">
        <v>158</v>
      </c>
      <c r="AO144" s="6" t="s">
        <v>163</v>
      </c>
      <c r="AP144" s="6" t="s">
        <v>2690</v>
      </c>
      <c r="AQ144" s="5" t="s">
        <v>162</v>
      </c>
      <c r="AT144" s="0" t="str">
        <f aca="false">IF(AND(AX144="pass",AQ144&lt;&gt;"Y",C144&lt;&gt;"",OR(AW144&lt;&gt;"Y",AV144="Y")),"Y","N")</f>
        <v>N</v>
      </c>
      <c r="AU144" s="0" t="str">
        <f aca="false">_xlfn.TEXTJOIN("; ",TRUE(),IF(AX144&lt;&gt;"pass","gated out",""),IF(AQ144="Y","on hold: "&amp;AR144,""),IF(C144="","no contact named on an opened page",""),IF(AND(AW144="Y",AV144&lt;&gt;"Y"),"Tuesday estimate band "&amp;L144&amp;": founder's call",""))</f>
        <v>no contact named on an opened page</v>
      </c>
      <c r="AW144" s="6" t="s">
        <v>162</v>
      </c>
      <c r="AX144" s="6" t="s">
        <v>181</v>
      </c>
      <c r="AY144" s="6" t="s">
        <v>182</v>
      </c>
      <c r="AZ144" s="6" t="s">
        <v>2229</v>
      </c>
      <c r="BA144" s="6" t="s">
        <v>2694</v>
      </c>
      <c r="BB144" s="6" t="s">
        <v>2695</v>
      </c>
      <c r="BC144" s="6" t="s">
        <v>2232</v>
      </c>
      <c r="BD144" s="6" t="s">
        <v>163</v>
      </c>
      <c r="BF144" s="6" t="s">
        <v>163</v>
      </c>
      <c r="BG144" s="6" t="s">
        <v>163</v>
      </c>
      <c r="BK144" s="6" t="s">
        <v>163</v>
      </c>
      <c r="BL144" s="6" t="s">
        <v>2233</v>
      </c>
      <c r="BM144" s="6" t="s">
        <v>163</v>
      </c>
      <c r="BN144" s="6" t="s">
        <v>2691</v>
      </c>
      <c r="BP144" s="6" t="s">
        <v>712</v>
      </c>
      <c r="BQ144" s="0" t="n">
        <v>40.746321</v>
      </c>
      <c r="BR144" s="0" t="n">
        <v>-73.988259</v>
      </c>
      <c r="BS144" s="6" t="s">
        <v>168</v>
      </c>
      <c r="BT144" s="0" t="n">
        <v>0</v>
      </c>
      <c r="BV144" s="6" t="s">
        <v>163</v>
      </c>
      <c r="BW144" s="6" t="s">
        <v>2692</v>
      </c>
      <c r="BX144" s="6" t="s">
        <v>166</v>
      </c>
      <c r="BY144" s="6" t="s">
        <v>2237</v>
      </c>
      <c r="BZ144" s="6" t="s">
        <v>2696</v>
      </c>
      <c r="CC144" s="6" t="s">
        <v>739</v>
      </c>
      <c r="CE144" s="6" t="s">
        <v>162</v>
      </c>
      <c r="CF144" s="6" t="s">
        <v>2694</v>
      </c>
      <c r="CG144" s="6" t="s">
        <v>2239</v>
      </c>
      <c r="CH144" s="6" t="s">
        <v>163</v>
      </c>
      <c r="CJ144" s="6" t="s">
        <v>163</v>
      </c>
      <c r="CK144" s="6" t="s">
        <v>162</v>
      </c>
      <c r="CL144" s="6" t="s">
        <v>163</v>
      </c>
      <c r="CO144" s="6" t="s">
        <v>163</v>
      </c>
      <c r="CQ144" s="6" t="s">
        <v>2240</v>
      </c>
      <c r="CR144" s="6" t="s">
        <v>206</v>
      </c>
      <c r="CS144" s="6" t="s">
        <v>163</v>
      </c>
      <c r="CT144" s="0" t="n">
        <v>34</v>
      </c>
      <c r="CU144" s="0" t="n">
        <v>7</v>
      </c>
      <c r="CV144" s="0" t="n">
        <v>8</v>
      </c>
      <c r="CW144" s="0" t="n">
        <v>6</v>
      </c>
      <c r="CX144" s="0" t="n">
        <v>13</v>
      </c>
      <c r="CY144" s="6" t="n">
        <f aca="false">IF(AH144="exact",10,IF(AH144="adjacent",5,0))</f>
        <v>0</v>
      </c>
      <c r="CZ144" s="6" t="n">
        <f aca="false">IF(R144="Y",15,0)</f>
        <v>0</v>
      </c>
      <c r="DF144" s="6" t="s">
        <v>158</v>
      </c>
      <c r="DG144" s="6" t="s">
        <v>2229</v>
      </c>
      <c r="DK144" s="6" t="s">
        <v>2697</v>
      </c>
      <c r="DS144" s="6" t="s">
        <v>158</v>
      </c>
      <c r="DX144" s="6" t="s">
        <v>162</v>
      </c>
      <c r="ER144" s="0" t="str">
        <f aca="false">IF(ISNUMBER(MATCH(U144,{"queued","contacted","replied","call_booked","call_done","yes_in_principle","materials_sent"},0)),"Y","N")</f>
        <v>N</v>
      </c>
      <c r="ES144" s="0" t="str">
        <f aca="false">IF(COUNTIFS($AP$2:$AP$1000,AP144,$ER$2:$ER$1000,"Y")+COUNTIFS($AP$2:$AP$1000,AP144,$T$2:$T$1000,"Y")&gt;0,"Y","N")</f>
        <v>N</v>
      </c>
      <c r="ET144" s="0" t="str">
        <f aca="false">IF(AND(U144="new",T144="N",AT144="Y",AS144="",ES144="N"),"Y","N")</f>
        <v>N</v>
      </c>
      <c r="EU144" s="0" t="str">
        <f aca="false">IF(ET144&lt;&gt;"Y","N",IF(COUNTIFS($AP$2:$AP$1000,AP144,$ET$2:$ET$1000,"Y",$J$2:$J$1000,"&gt;"&amp;J144)+COUNTIFS($AP$2:$AP$1000,AP144,$ET$2:$ET$1000,"Y",$J$2:$J$1000,J144,$EW$2:$EW$1000,"&lt;"&amp;EW144)=0,"Y","N"))</f>
        <v>N</v>
      </c>
      <c r="EV144" s="0" t="str">
        <f aca="false">IF(Y144="","N",IF(Y144&lt;=10,"Y","N"))</f>
        <v>N</v>
      </c>
      <c r="EW144" s="6" t="n">
        <f aca="false">ROW()-1</f>
        <v>143</v>
      </c>
    </row>
    <row r="145" customFormat="false" ht="15" hidden="false" customHeight="false" outlineLevel="0" collapsed="false">
      <c r="A145" s="0" t="s">
        <v>2698</v>
      </c>
      <c r="B145" s="0" t="s">
        <v>2699</v>
      </c>
      <c r="H145" s="5" t="s">
        <v>158</v>
      </c>
      <c r="I145" s="5" t="s">
        <v>159</v>
      </c>
      <c r="J145" s="6" t="n">
        <f aca="false">IF(AX145="pass",ROUND(CU145+CV145+CW145+CX145+CY145+CZ145,1),0)</f>
        <v>34</v>
      </c>
      <c r="K145" s="6" t="s">
        <v>2573</v>
      </c>
      <c r="L145" s="6" t="s">
        <v>163</v>
      </c>
      <c r="R145" s="5" t="s">
        <v>162</v>
      </c>
      <c r="S145" s="6" t="s">
        <v>163</v>
      </c>
      <c r="T145" s="5" t="s">
        <v>162</v>
      </c>
      <c r="U145" s="5" t="s">
        <v>228</v>
      </c>
      <c r="V145" s="6" t="s">
        <v>2700</v>
      </c>
      <c r="W145" s="6" t="s">
        <v>166</v>
      </c>
      <c r="X145" s="6" t="s">
        <v>167</v>
      </c>
      <c r="Y145" s="0" t="str">
        <f aca="false">IF(EU145&lt;&gt;"Y","",COUNTIFS($EU$2:$EU$1000,"Y",$J$2:$J$1000,"&gt;"&amp;J145)+COUNTIFS($EU$2:$EU$1000,"Y",$J$2:$J$1000,J145,$EW$2:$EW$1000,"&lt;"&amp;EW145)+1)</f>
        <v/>
      </c>
      <c r="Z145" s="0" t="n">
        <v>144</v>
      </c>
      <c r="AA145" s="6" t="s">
        <v>162</v>
      </c>
      <c r="AD145" s="6" t="s">
        <v>158</v>
      </c>
      <c r="AH145" s="5" t="s">
        <v>158</v>
      </c>
      <c r="AI145" s="6" t="s">
        <v>1694</v>
      </c>
      <c r="AJ145" s="6" t="s">
        <v>177</v>
      </c>
      <c r="AK145" s="6" t="s">
        <v>178</v>
      </c>
      <c r="AL145" s="6" t="s">
        <v>163</v>
      </c>
      <c r="AM145" s="6" t="s">
        <v>163</v>
      </c>
      <c r="AN145" s="6" t="s">
        <v>158</v>
      </c>
      <c r="AO145" s="6" t="s">
        <v>163</v>
      </c>
      <c r="AP145" s="6" t="s">
        <v>2698</v>
      </c>
      <c r="AQ145" s="5" t="s">
        <v>162</v>
      </c>
      <c r="AT145" s="0" t="str">
        <f aca="false">IF(AND(AX145="pass",AQ145&lt;&gt;"Y",C145&lt;&gt;"",OR(AW145&lt;&gt;"Y",AV145="Y")),"Y","N")</f>
        <v>N</v>
      </c>
      <c r="AU145" s="0" t="str">
        <f aca="false">_xlfn.TEXTJOIN("; ",TRUE(),IF(AX145&lt;&gt;"pass","gated out",""),IF(AQ145="Y","on hold: "&amp;AR145,""),IF(C145="","no contact named on an opened page",""),IF(AND(AW145="Y",AV145&lt;&gt;"Y"),"Tuesday estimate band "&amp;L145&amp;": founder's call",""))</f>
        <v>no contact named on an opened page</v>
      </c>
      <c r="AW145" s="6" t="s">
        <v>162</v>
      </c>
      <c r="AX145" s="6" t="s">
        <v>181</v>
      </c>
      <c r="AY145" s="6" t="s">
        <v>182</v>
      </c>
      <c r="AZ145" s="6" t="s">
        <v>1</v>
      </c>
      <c r="BA145" s="6" t="s">
        <v>2701</v>
      </c>
      <c r="BB145" s="6" t="s">
        <v>2702</v>
      </c>
      <c r="BC145" s="6" t="s">
        <v>2703</v>
      </c>
      <c r="BD145" s="6" t="s">
        <v>163</v>
      </c>
      <c r="BF145" s="6" t="s">
        <v>163</v>
      </c>
      <c r="BG145" s="6" t="s">
        <v>163</v>
      </c>
      <c r="BH145" s="6" t="s">
        <v>2196</v>
      </c>
      <c r="BK145" s="6" t="s">
        <v>163</v>
      </c>
      <c r="BL145" s="6" t="s">
        <v>163</v>
      </c>
      <c r="BM145" s="6" t="s">
        <v>163</v>
      </c>
      <c r="BN145" s="6" t="s">
        <v>163</v>
      </c>
      <c r="BO145" s="6" t="s">
        <v>163</v>
      </c>
      <c r="BP145" s="6" t="s">
        <v>347</v>
      </c>
      <c r="BQ145" s="0" t="n">
        <v>40.741761</v>
      </c>
      <c r="BR145" s="0" t="n">
        <v>-73.987033</v>
      </c>
      <c r="BS145" s="6" t="s">
        <v>168</v>
      </c>
      <c r="BT145" s="0" t="n">
        <v>0</v>
      </c>
      <c r="BU145" s="6" t="s">
        <v>1703</v>
      </c>
      <c r="BV145" s="6" t="s">
        <v>1704</v>
      </c>
      <c r="BW145" s="6" t="s">
        <v>2700</v>
      </c>
      <c r="BX145" s="6" t="s">
        <v>174</v>
      </c>
      <c r="BY145" s="6" t="s">
        <v>196</v>
      </c>
      <c r="CC145" s="6" t="s">
        <v>739</v>
      </c>
      <c r="CE145" s="6" t="s">
        <v>162</v>
      </c>
      <c r="CH145" s="6" t="s">
        <v>1707</v>
      </c>
      <c r="CI145" s="6" t="s">
        <v>1708</v>
      </c>
      <c r="CJ145" s="6" t="s">
        <v>163</v>
      </c>
      <c r="CK145" s="6" t="s">
        <v>162</v>
      </c>
      <c r="CL145" s="6" t="s">
        <v>163</v>
      </c>
      <c r="CO145" s="6" t="s">
        <v>163</v>
      </c>
      <c r="CQ145" s="6" t="s">
        <v>2197</v>
      </c>
      <c r="CR145" s="6" t="s">
        <v>206</v>
      </c>
      <c r="CS145" s="6" t="s">
        <v>163</v>
      </c>
      <c r="CT145" s="0" t="n">
        <v>34</v>
      </c>
      <c r="CU145" s="0" t="n">
        <v>7</v>
      </c>
      <c r="CV145" s="0" t="n">
        <v>8</v>
      </c>
      <c r="CW145" s="0" t="n">
        <v>6</v>
      </c>
      <c r="CX145" s="0" t="n">
        <v>13</v>
      </c>
      <c r="CY145" s="6" t="n">
        <f aca="false">IF(AH145="exact",10,IF(AH145="adjacent",5,0))</f>
        <v>0</v>
      </c>
      <c r="CZ145" s="6" t="n">
        <f aca="false">IF(R145="Y",15,0)</f>
        <v>0</v>
      </c>
      <c r="DF145" s="6" t="s">
        <v>158</v>
      </c>
      <c r="DG145" s="6" t="s">
        <v>211</v>
      </c>
      <c r="DK145" s="6" t="s">
        <v>2704</v>
      </c>
      <c r="DS145" s="6" t="s">
        <v>158</v>
      </c>
      <c r="DX145" s="6" t="s">
        <v>162</v>
      </c>
      <c r="ER145" s="0" t="str">
        <f aca="false">IF(ISNUMBER(MATCH(U145,{"queued","contacted","replied","call_booked","call_done","yes_in_principle","materials_sent"},0)),"Y","N")</f>
        <v>N</v>
      </c>
      <c r="ES145" s="0" t="str">
        <f aca="false">IF(COUNTIFS($AP$2:$AP$1000,AP145,$ER$2:$ER$1000,"Y")+COUNTIFS($AP$2:$AP$1000,AP145,$T$2:$T$1000,"Y")&gt;0,"Y","N")</f>
        <v>N</v>
      </c>
      <c r="ET145" s="0" t="str">
        <f aca="false">IF(AND(U145="new",T145="N",AT145="Y",AS145="",ES145="N"),"Y","N")</f>
        <v>N</v>
      </c>
      <c r="EU145" s="0" t="str">
        <f aca="false">IF(ET145&lt;&gt;"Y","N",IF(COUNTIFS($AP$2:$AP$1000,AP145,$ET$2:$ET$1000,"Y",$J$2:$J$1000,"&gt;"&amp;J145)+COUNTIFS($AP$2:$AP$1000,AP145,$ET$2:$ET$1000,"Y",$J$2:$J$1000,J145,$EW$2:$EW$1000,"&lt;"&amp;EW145)=0,"Y","N"))</f>
        <v>N</v>
      </c>
      <c r="EV145" s="0" t="str">
        <f aca="false">IF(Y145="","N",IF(Y145&lt;=10,"Y","N"))</f>
        <v>N</v>
      </c>
      <c r="EW145" s="6" t="n">
        <f aca="false">ROW()-1</f>
        <v>144</v>
      </c>
    </row>
    <row r="146" customFormat="false" ht="15" hidden="false" customHeight="false" outlineLevel="0" collapsed="false">
      <c r="A146" s="0" t="s">
        <v>2705</v>
      </c>
      <c r="B146" s="0" t="s">
        <v>2706</v>
      </c>
      <c r="H146" s="5" t="s">
        <v>158</v>
      </c>
      <c r="I146" s="5" t="s">
        <v>159</v>
      </c>
      <c r="J146" s="6" t="n">
        <f aca="false">IF(AX146="pass",ROUND(CU146+CV146+CW146+CX146+CY146+CZ146,1),0)</f>
        <v>34</v>
      </c>
      <c r="K146" s="6" t="s">
        <v>2573</v>
      </c>
      <c r="L146" s="6" t="s">
        <v>163</v>
      </c>
      <c r="R146" s="5" t="s">
        <v>162</v>
      </c>
      <c r="S146" s="6" t="s">
        <v>163</v>
      </c>
      <c r="T146" s="5" t="s">
        <v>162</v>
      </c>
      <c r="U146" s="5" t="s">
        <v>228</v>
      </c>
      <c r="V146" s="6" t="s">
        <v>2707</v>
      </c>
      <c r="W146" s="6" t="s">
        <v>166</v>
      </c>
      <c r="X146" s="6" t="s">
        <v>167</v>
      </c>
      <c r="Y146" s="0" t="str">
        <f aca="false">IF(EU146&lt;&gt;"Y","",COUNTIFS($EU$2:$EU$1000,"Y",$J$2:$J$1000,"&gt;"&amp;J146)+COUNTIFS($EU$2:$EU$1000,"Y",$J$2:$J$1000,J146,$EW$2:$EW$1000,"&lt;"&amp;EW146)+1)</f>
        <v/>
      </c>
      <c r="Z146" s="0" t="n">
        <v>145</v>
      </c>
      <c r="AA146" s="6" t="s">
        <v>162</v>
      </c>
      <c r="AD146" s="6" t="s">
        <v>158</v>
      </c>
      <c r="AH146" s="5" t="s">
        <v>158</v>
      </c>
      <c r="AI146" s="6" t="s">
        <v>1563</v>
      </c>
      <c r="AJ146" s="6" t="s">
        <v>163</v>
      </c>
      <c r="AK146" s="6" t="s">
        <v>178</v>
      </c>
      <c r="AL146" s="6" t="s">
        <v>163</v>
      </c>
      <c r="AM146" s="6" t="s">
        <v>163</v>
      </c>
      <c r="AN146" s="6" t="s">
        <v>158</v>
      </c>
      <c r="AO146" s="6" t="s">
        <v>163</v>
      </c>
      <c r="AP146" s="6" t="s">
        <v>2705</v>
      </c>
      <c r="AQ146" s="5" t="s">
        <v>162</v>
      </c>
      <c r="AT146" s="0" t="str">
        <f aca="false">IF(AND(AX146="pass",AQ146&lt;&gt;"Y",C146&lt;&gt;"",OR(AW146&lt;&gt;"Y",AV146="Y")),"Y","N")</f>
        <v>N</v>
      </c>
      <c r="AU146" s="0" t="str">
        <f aca="false">_xlfn.TEXTJOIN("; ",TRUE(),IF(AX146&lt;&gt;"pass","gated out",""),IF(AQ146="Y","on hold: "&amp;AR146,""),IF(C146="","no contact named on an opened page",""),IF(AND(AW146="Y",AV146&lt;&gt;"Y"),"Tuesday estimate band "&amp;L146&amp;": founder's call",""))</f>
        <v>no contact named on an opened page</v>
      </c>
      <c r="AW146" s="6" t="s">
        <v>162</v>
      </c>
      <c r="AX146" s="6" t="s">
        <v>181</v>
      </c>
      <c r="AY146" s="6" t="s">
        <v>182</v>
      </c>
      <c r="AZ146" s="6" t="s">
        <v>1</v>
      </c>
      <c r="BA146" s="6" t="s">
        <v>2708</v>
      </c>
      <c r="BB146" s="6" t="s">
        <v>2709</v>
      </c>
      <c r="BC146" s="6" t="s">
        <v>2710</v>
      </c>
      <c r="BD146" s="6" t="s">
        <v>163</v>
      </c>
      <c r="BF146" s="6" t="s">
        <v>163</v>
      </c>
      <c r="BG146" s="6" t="s">
        <v>163</v>
      </c>
      <c r="BH146" s="6" t="s">
        <v>2196</v>
      </c>
      <c r="BK146" s="6" t="s">
        <v>163</v>
      </c>
      <c r="BL146" s="6" t="s">
        <v>163</v>
      </c>
      <c r="BM146" s="6" t="s">
        <v>163</v>
      </c>
      <c r="BN146" s="6" t="s">
        <v>163</v>
      </c>
      <c r="BO146" s="6" t="s">
        <v>163</v>
      </c>
      <c r="BP146" s="6" t="s">
        <v>347</v>
      </c>
      <c r="BQ146" s="0" t="n">
        <v>40.743751</v>
      </c>
      <c r="BR146" s="0" t="n">
        <v>-73.991374</v>
      </c>
      <c r="BS146" s="6" t="s">
        <v>168</v>
      </c>
      <c r="BT146" s="0" t="n">
        <v>0</v>
      </c>
      <c r="BU146" s="6" t="s">
        <v>1570</v>
      </c>
      <c r="BV146" s="6" t="s">
        <v>1571</v>
      </c>
      <c r="BW146" s="6" t="s">
        <v>2707</v>
      </c>
      <c r="BX146" s="6" t="s">
        <v>2711</v>
      </c>
      <c r="BY146" s="6" t="s">
        <v>248</v>
      </c>
      <c r="CC146" s="6" t="s">
        <v>739</v>
      </c>
      <c r="CE146" s="6" t="s">
        <v>162</v>
      </c>
      <c r="CH146" s="6" t="s">
        <v>163</v>
      </c>
      <c r="CJ146" s="6" t="s">
        <v>163</v>
      </c>
      <c r="CK146" s="6" t="s">
        <v>162</v>
      </c>
      <c r="CL146" s="6" t="s">
        <v>163</v>
      </c>
      <c r="CO146" s="6" t="s">
        <v>163</v>
      </c>
      <c r="CQ146" s="6" t="s">
        <v>2197</v>
      </c>
      <c r="CR146" s="6" t="s">
        <v>206</v>
      </c>
      <c r="CS146" s="6" t="s">
        <v>163</v>
      </c>
      <c r="CT146" s="0" t="n">
        <v>34</v>
      </c>
      <c r="CU146" s="0" t="n">
        <v>7</v>
      </c>
      <c r="CV146" s="0" t="n">
        <v>8</v>
      </c>
      <c r="CW146" s="0" t="n">
        <v>6</v>
      </c>
      <c r="CX146" s="0" t="n">
        <v>13</v>
      </c>
      <c r="CY146" s="6" t="n">
        <f aca="false">IF(AH146="exact",10,IF(AH146="adjacent",5,0))</f>
        <v>0</v>
      </c>
      <c r="CZ146" s="6" t="n">
        <f aca="false">IF(R146="Y",15,0)</f>
        <v>0</v>
      </c>
      <c r="DF146" s="6" t="s">
        <v>158</v>
      </c>
      <c r="DG146" s="6" t="s">
        <v>211</v>
      </c>
      <c r="DJ146" s="6" t="s">
        <v>2712</v>
      </c>
      <c r="DK146" s="6" t="s">
        <v>2713</v>
      </c>
      <c r="DS146" s="6" t="s">
        <v>158</v>
      </c>
      <c r="DX146" s="6" t="s">
        <v>162</v>
      </c>
      <c r="ER146" s="0" t="str">
        <f aca="false">IF(ISNUMBER(MATCH(U146,{"queued","contacted","replied","call_booked","call_done","yes_in_principle","materials_sent"},0)),"Y","N")</f>
        <v>N</v>
      </c>
      <c r="ES146" s="0" t="str">
        <f aca="false">IF(COUNTIFS($AP$2:$AP$1000,AP146,$ER$2:$ER$1000,"Y")+COUNTIFS($AP$2:$AP$1000,AP146,$T$2:$T$1000,"Y")&gt;0,"Y","N")</f>
        <v>N</v>
      </c>
      <c r="ET146" s="0" t="str">
        <f aca="false">IF(AND(U146="new",T146="N",AT146="Y",AS146="",ES146="N"),"Y","N")</f>
        <v>N</v>
      </c>
      <c r="EU146" s="0" t="str">
        <f aca="false">IF(ET146&lt;&gt;"Y","N",IF(COUNTIFS($AP$2:$AP$1000,AP146,$ET$2:$ET$1000,"Y",$J$2:$J$1000,"&gt;"&amp;J146)+COUNTIFS($AP$2:$AP$1000,AP146,$ET$2:$ET$1000,"Y",$J$2:$J$1000,J146,$EW$2:$EW$1000,"&lt;"&amp;EW146)=0,"Y","N"))</f>
        <v>N</v>
      </c>
      <c r="EV146" s="0" t="str">
        <f aca="false">IF(Y146="","N",IF(Y146&lt;=10,"Y","N"))</f>
        <v>N</v>
      </c>
      <c r="EW146" s="6" t="n">
        <f aca="false">ROW()-1</f>
        <v>145</v>
      </c>
    </row>
    <row r="147" customFormat="false" ht="15" hidden="false" customHeight="false" outlineLevel="0" collapsed="false">
      <c r="A147" s="0" t="s">
        <v>2714</v>
      </c>
      <c r="B147" s="0" t="s">
        <v>2715</v>
      </c>
      <c r="H147" s="5" t="s">
        <v>158</v>
      </c>
      <c r="I147" s="5" t="s">
        <v>159</v>
      </c>
      <c r="J147" s="6" t="n">
        <f aca="false">IF(AX147="pass",ROUND(CU147+CV147+CW147+CX147+CY147+CZ147,1),0)</f>
        <v>34</v>
      </c>
      <c r="K147" s="6" t="s">
        <v>2573</v>
      </c>
      <c r="L147" s="6" t="s">
        <v>163</v>
      </c>
      <c r="R147" s="5" t="s">
        <v>162</v>
      </c>
      <c r="S147" s="6" t="s">
        <v>163</v>
      </c>
      <c r="T147" s="5" t="s">
        <v>162</v>
      </c>
      <c r="U147" s="5" t="s">
        <v>228</v>
      </c>
      <c r="V147" s="6" t="s">
        <v>751</v>
      </c>
      <c r="W147" s="6" t="s">
        <v>166</v>
      </c>
      <c r="X147" s="6" t="s">
        <v>167</v>
      </c>
      <c r="Y147" s="0" t="str">
        <f aca="false">IF(EU147&lt;&gt;"Y","",COUNTIFS($EU$2:$EU$1000,"Y",$J$2:$J$1000,"&gt;"&amp;J147)+COUNTIFS($EU$2:$EU$1000,"Y",$J$2:$J$1000,J147,$EW$2:$EW$1000,"&lt;"&amp;EW147)+1)</f>
        <v/>
      </c>
      <c r="Z147" s="0" t="n">
        <v>146</v>
      </c>
      <c r="AA147" s="6" t="s">
        <v>162</v>
      </c>
      <c r="AD147" s="6" t="s">
        <v>158</v>
      </c>
      <c r="AH147" s="5" t="s">
        <v>158</v>
      </c>
      <c r="AI147" s="6" t="s">
        <v>754</v>
      </c>
      <c r="AJ147" s="6" t="s">
        <v>163</v>
      </c>
      <c r="AK147" s="6" t="s">
        <v>178</v>
      </c>
      <c r="AL147" s="6" t="s">
        <v>163</v>
      </c>
      <c r="AM147" s="6" t="s">
        <v>163</v>
      </c>
      <c r="AN147" s="6" t="s">
        <v>158</v>
      </c>
      <c r="AO147" s="6" t="s">
        <v>163</v>
      </c>
      <c r="AP147" s="6" t="s">
        <v>2714</v>
      </c>
      <c r="AQ147" s="5" t="s">
        <v>162</v>
      </c>
      <c r="AT147" s="0" t="str">
        <f aca="false">IF(AND(AX147="pass",AQ147&lt;&gt;"Y",C147&lt;&gt;"",OR(AW147&lt;&gt;"Y",AV147="Y")),"Y","N")</f>
        <v>N</v>
      </c>
      <c r="AU147" s="0" t="str">
        <f aca="false">_xlfn.TEXTJOIN("; ",TRUE(),IF(AX147&lt;&gt;"pass","gated out",""),IF(AQ147="Y","on hold: "&amp;AR147,""),IF(C147="","no contact named on an opened page",""),IF(AND(AW147="Y",AV147&lt;&gt;"Y"),"Tuesday estimate band "&amp;L147&amp;": founder's call",""))</f>
        <v>no contact named on an opened page</v>
      </c>
      <c r="AW147" s="6" t="s">
        <v>162</v>
      </c>
      <c r="AX147" s="6" t="s">
        <v>181</v>
      </c>
      <c r="AY147" s="6" t="s">
        <v>182</v>
      </c>
      <c r="AZ147" s="6" t="s">
        <v>1</v>
      </c>
      <c r="BA147" s="6" t="s">
        <v>2716</v>
      </c>
      <c r="BB147" s="6" t="s">
        <v>163</v>
      </c>
      <c r="BC147" s="6" t="s">
        <v>2717</v>
      </c>
      <c r="BD147" s="6" t="s">
        <v>163</v>
      </c>
      <c r="BF147" s="6" t="s">
        <v>163</v>
      </c>
      <c r="BG147" s="6" t="s">
        <v>163</v>
      </c>
      <c r="BH147" s="6" t="s">
        <v>2196</v>
      </c>
      <c r="BK147" s="6" t="s">
        <v>163</v>
      </c>
      <c r="BL147" s="6" t="s">
        <v>163</v>
      </c>
      <c r="BM147" s="6" t="s">
        <v>163</v>
      </c>
      <c r="BN147" s="6" t="s">
        <v>163</v>
      </c>
      <c r="BO147" s="6" t="s">
        <v>163</v>
      </c>
      <c r="BP147" s="6" t="s">
        <v>347</v>
      </c>
      <c r="BQ147" s="0" t="n">
        <v>40.743309</v>
      </c>
      <c r="BR147" s="0" t="n">
        <v>-73.987329</v>
      </c>
      <c r="BS147" s="6" t="s">
        <v>168</v>
      </c>
      <c r="BT147" s="0" t="n">
        <v>0</v>
      </c>
      <c r="BU147" s="6" t="s">
        <v>764</v>
      </c>
      <c r="BV147" s="6" t="s">
        <v>765</v>
      </c>
      <c r="BW147" s="6" t="s">
        <v>751</v>
      </c>
      <c r="BX147" s="6" t="s">
        <v>766</v>
      </c>
      <c r="BY147" s="6" t="s">
        <v>248</v>
      </c>
      <c r="CC147" s="6" t="s">
        <v>739</v>
      </c>
      <c r="CE147" s="6" t="s">
        <v>162</v>
      </c>
      <c r="CH147" s="6" t="s">
        <v>163</v>
      </c>
      <c r="CJ147" s="6" t="s">
        <v>163</v>
      </c>
      <c r="CK147" s="6" t="s">
        <v>162</v>
      </c>
      <c r="CL147" s="6" t="s">
        <v>163</v>
      </c>
      <c r="CO147" s="6" t="s">
        <v>163</v>
      </c>
      <c r="CQ147" s="6" t="s">
        <v>2197</v>
      </c>
      <c r="CR147" s="6" t="s">
        <v>206</v>
      </c>
      <c r="CS147" s="6" t="s">
        <v>163</v>
      </c>
      <c r="CT147" s="0" t="n">
        <v>34</v>
      </c>
      <c r="CU147" s="0" t="n">
        <v>7</v>
      </c>
      <c r="CV147" s="0" t="n">
        <v>8</v>
      </c>
      <c r="CW147" s="0" t="n">
        <v>6</v>
      </c>
      <c r="CX147" s="0" t="n">
        <v>13</v>
      </c>
      <c r="CY147" s="6" t="n">
        <f aca="false">IF(AH147="exact",10,IF(AH147="adjacent",5,0))</f>
        <v>0</v>
      </c>
      <c r="CZ147" s="6" t="n">
        <f aca="false">IF(R147="Y",15,0)</f>
        <v>0</v>
      </c>
      <c r="DF147" s="6" t="s">
        <v>158</v>
      </c>
      <c r="DG147" s="6" t="s">
        <v>211</v>
      </c>
      <c r="DK147" s="6" t="s">
        <v>2718</v>
      </c>
      <c r="DS147" s="6" t="s">
        <v>158</v>
      </c>
      <c r="DX147" s="6" t="s">
        <v>162</v>
      </c>
      <c r="ER147" s="0" t="str">
        <f aca="false">IF(ISNUMBER(MATCH(U147,{"queued","contacted","replied","call_booked","call_done","yes_in_principle","materials_sent"},0)),"Y","N")</f>
        <v>N</v>
      </c>
      <c r="ES147" s="0" t="str">
        <f aca="false">IF(COUNTIFS($AP$2:$AP$1000,AP147,$ER$2:$ER$1000,"Y")+COUNTIFS($AP$2:$AP$1000,AP147,$T$2:$T$1000,"Y")&gt;0,"Y","N")</f>
        <v>N</v>
      </c>
      <c r="ET147" s="0" t="str">
        <f aca="false">IF(AND(U147="new",T147="N",AT147="Y",AS147="",ES147="N"),"Y","N")</f>
        <v>N</v>
      </c>
      <c r="EU147" s="0" t="str">
        <f aca="false">IF(ET147&lt;&gt;"Y","N",IF(COUNTIFS($AP$2:$AP$1000,AP147,$ET$2:$ET$1000,"Y",$J$2:$J$1000,"&gt;"&amp;J147)+COUNTIFS($AP$2:$AP$1000,AP147,$ET$2:$ET$1000,"Y",$J$2:$J$1000,J147,$EW$2:$EW$1000,"&lt;"&amp;EW147)=0,"Y","N"))</f>
        <v>N</v>
      </c>
      <c r="EV147" s="0" t="str">
        <f aca="false">IF(Y147="","N",IF(Y147&lt;=10,"Y","N"))</f>
        <v>N</v>
      </c>
      <c r="EW147" s="6" t="n">
        <f aca="false">ROW()-1</f>
        <v>146</v>
      </c>
    </row>
    <row r="148" customFormat="false" ht="15" hidden="false" customHeight="false" outlineLevel="0" collapsed="false">
      <c r="A148" s="0" t="s">
        <v>2719</v>
      </c>
      <c r="B148" s="0" t="s">
        <v>2720</v>
      </c>
      <c r="H148" s="5" t="s">
        <v>158</v>
      </c>
      <c r="I148" s="5" t="s">
        <v>159</v>
      </c>
      <c r="J148" s="6" t="n">
        <f aca="false">IF(AX148="pass",ROUND(CU148+CV148+CW148+CX148+CY148+CZ148,1),0)</f>
        <v>34</v>
      </c>
      <c r="K148" s="6" t="s">
        <v>2591</v>
      </c>
      <c r="L148" s="6" t="s">
        <v>163</v>
      </c>
      <c r="R148" s="5" t="s">
        <v>162</v>
      </c>
      <c r="S148" s="6" t="s">
        <v>163</v>
      </c>
      <c r="T148" s="5" t="s">
        <v>162</v>
      </c>
      <c r="U148" s="5" t="s">
        <v>228</v>
      </c>
      <c r="V148" s="6" t="s">
        <v>2721</v>
      </c>
      <c r="W148" s="6" t="s">
        <v>166</v>
      </c>
      <c r="X148" s="6" t="s">
        <v>167</v>
      </c>
      <c r="Y148" s="0" t="str">
        <f aca="false">IF(EU148&lt;&gt;"Y","",COUNTIFS($EU$2:$EU$1000,"Y",$J$2:$J$1000,"&gt;"&amp;J148)+COUNTIFS($EU$2:$EU$1000,"Y",$J$2:$J$1000,J148,$EW$2:$EW$1000,"&lt;"&amp;EW148)+1)</f>
        <v/>
      </c>
      <c r="Z148" s="0" t="n">
        <v>147</v>
      </c>
      <c r="AA148" s="6" t="s">
        <v>162</v>
      </c>
      <c r="AD148" s="6" t="s">
        <v>158</v>
      </c>
      <c r="AH148" s="5" t="s">
        <v>158</v>
      </c>
      <c r="AI148" s="6" t="s">
        <v>2722</v>
      </c>
      <c r="AJ148" s="6" t="s">
        <v>2723</v>
      </c>
      <c r="AK148" s="6" t="s">
        <v>2228</v>
      </c>
      <c r="AL148" s="6" t="s">
        <v>163</v>
      </c>
      <c r="AM148" s="6" t="s">
        <v>163</v>
      </c>
      <c r="AN148" s="6" t="s">
        <v>158</v>
      </c>
      <c r="AO148" s="6" t="s">
        <v>163</v>
      </c>
      <c r="AP148" s="6" t="s">
        <v>2719</v>
      </c>
      <c r="AQ148" s="5" t="s">
        <v>162</v>
      </c>
      <c r="AT148" s="0" t="str">
        <f aca="false">IF(AND(AX148="pass",AQ148&lt;&gt;"Y",C148&lt;&gt;"",OR(AW148&lt;&gt;"Y",AV148="Y")),"Y","N")</f>
        <v>N</v>
      </c>
      <c r="AU148" s="0" t="str">
        <f aca="false">_xlfn.TEXTJOIN("; ",TRUE(),IF(AX148&lt;&gt;"pass","gated out",""),IF(AQ148="Y","on hold: "&amp;AR148,""),IF(C148="","no contact named on an opened page",""),IF(AND(AW148="Y",AV148&lt;&gt;"Y"),"Tuesday estimate band "&amp;L148&amp;": founder's call",""))</f>
        <v>no contact named on an opened page</v>
      </c>
      <c r="AW148" s="6" t="s">
        <v>162</v>
      </c>
      <c r="AX148" s="6" t="s">
        <v>181</v>
      </c>
      <c r="AY148" s="6" t="s">
        <v>182</v>
      </c>
      <c r="AZ148" s="6" t="s">
        <v>2229</v>
      </c>
      <c r="BA148" s="6" t="s">
        <v>2724</v>
      </c>
      <c r="BB148" s="6" t="s">
        <v>2725</v>
      </c>
      <c r="BC148" s="6" t="s">
        <v>2232</v>
      </c>
      <c r="BD148" s="6" t="s">
        <v>163</v>
      </c>
      <c r="BF148" s="6" t="s">
        <v>163</v>
      </c>
      <c r="BG148" s="6" t="s">
        <v>163</v>
      </c>
      <c r="BK148" s="6" t="s">
        <v>163</v>
      </c>
      <c r="BL148" s="6" t="s">
        <v>2233</v>
      </c>
      <c r="BM148" s="6" t="s">
        <v>163</v>
      </c>
      <c r="BN148" s="6" t="s">
        <v>2726</v>
      </c>
      <c r="BP148" s="6" t="s">
        <v>712</v>
      </c>
      <c r="BQ148" s="0" t="n">
        <v>40.746574</v>
      </c>
      <c r="BR148" s="0" t="n">
        <v>-73.98833</v>
      </c>
      <c r="BS148" s="6" t="s">
        <v>168</v>
      </c>
      <c r="BT148" s="0" t="n">
        <v>0</v>
      </c>
      <c r="BV148" s="6" t="s">
        <v>163</v>
      </c>
      <c r="BW148" s="6" t="s">
        <v>2721</v>
      </c>
      <c r="BX148" s="6" t="s">
        <v>166</v>
      </c>
      <c r="BY148" s="6" t="s">
        <v>2237</v>
      </c>
      <c r="BZ148" s="6" t="s">
        <v>2727</v>
      </c>
      <c r="CC148" s="6" t="s">
        <v>739</v>
      </c>
      <c r="CE148" s="6" t="s">
        <v>162</v>
      </c>
      <c r="CF148" s="6" t="s">
        <v>2724</v>
      </c>
      <c r="CG148" s="6" t="s">
        <v>2239</v>
      </c>
      <c r="CH148" s="6" t="s">
        <v>163</v>
      </c>
      <c r="CJ148" s="6" t="s">
        <v>163</v>
      </c>
      <c r="CK148" s="6" t="s">
        <v>162</v>
      </c>
      <c r="CL148" s="6" t="s">
        <v>163</v>
      </c>
      <c r="CO148" s="6" t="s">
        <v>163</v>
      </c>
      <c r="CQ148" s="6" t="s">
        <v>2240</v>
      </c>
      <c r="CR148" s="6" t="s">
        <v>206</v>
      </c>
      <c r="CS148" s="6" t="s">
        <v>163</v>
      </c>
      <c r="CT148" s="0" t="n">
        <v>34</v>
      </c>
      <c r="CU148" s="0" t="n">
        <v>7</v>
      </c>
      <c r="CV148" s="0" t="n">
        <v>8</v>
      </c>
      <c r="CW148" s="0" t="n">
        <v>6</v>
      </c>
      <c r="CX148" s="0" t="n">
        <v>13</v>
      </c>
      <c r="CY148" s="6" t="n">
        <f aca="false">IF(AH148="exact",10,IF(AH148="adjacent",5,0))</f>
        <v>0</v>
      </c>
      <c r="CZ148" s="6" t="n">
        <f aca="false">IF(R148="Y",15,0)</f>
        <v>0</v>
      </c>
      <c r="DF148" s="6" t="s">
        <v>158</v>
      </c>
      <c r="DG148" s="6" t="s">
        <v>2229</v>
      </c>
      <c r="DK148" s="6" t="s">
        <v>2728</v>
      </c>
      <c r="DS148" s="6" t="s">
        <v>158</v>
      </c>
      <c r="DX148" s="6" t="s">
        <v>162</v>
      </c>
      <c r="ER148" s="0" t="str">
        <f aca="false">IF(ISNUMBER(MATCH(U148,{"queued","contacted","replied","call_booked","call_done","yes_in_principle","materials_sent"},0)),"Y","N")</f>
        <v>N</v>
      </c>
      <c r="ES148" s="0" t="str">
        <f aca="false">IF(COUNTIFS($AP$2:$AP$1000,AP148,$ER$2:$ER$1000,"Y")+COUNTIFS($AP$2:$AP$1000,AP148,$T$2:$T$1000,"Y")&gt;0,"Y","N")</f>
        <v>N</v>
      </c>
      <c r="ET148" s="0" t="str">
        <f aca="false">IF(AND(U148="new",T148="N",AT148="Y",AS148="",ES148="N"),"Y","N")</f>
        <v>N</v>
      </c>
      <c r="EU148" s="0" t="str">
        <f aca="false">IF(ET148&lt;&gt;"Y","N",IF(COUNTIFS($AP$2:$AP$1000,AP148,$ET$2:$ET$1000,"Y",$J$2:$J$1000,"&gt;"&amp;J148)+COUNTIFS($AP$2:$AP$1000,AP148,$ET$2:$ET$1000,"Y",$J$2:$J$1000,J148,$EW$2:$EW$1000,"&lt;"&amp;EW148)=0,"Y","N"))</f>
        <v>N</v>
      </c>
      <c r="EV148" s="0" t="str">
        <f aca="false">IF(Y148="","N",IF(Y148&lt;=10,"Y","N"))</f>
        <v>N</v>
      </c>
      <c r="EW148" s="6" t="n">
        <f aca="false">ROW()-1</f>
        <v>147</v>
      </c>
    </row>
    <row r="149" customFormat="false" ht="15" hidden="false" customHeight="false" outlineLevel="0" collapsed="false">
      <c r="A149" s="0" t="s">
        <v>2729</v>
      </c>
      <c r="B149" s="0" t="s">
        <v>2730</v>
      </c>
      <c r="H149" s="5" t="s">
        <v>158</v>
      </c>
      <c r="I149" s="5" t="s">
        <v>159</v>
      </c>
      <c r="J149" s="6" t="n">
        <f aca="false">IF(AX149="pass",ROUND(CU149+CV149+CW149+CX149+CY149+CZ149,1),0)</f>
        <v>34</v>
      </c>
      <c r="K149" s="6" t="s">
        <v>2591</v>
      </c>
      <c r="L149" s="6" t="s">
        <v>163</v>
      </c>
      <c r="R149" s="5" t="s">
        <v>162</v>
      </c>
      <c r="S149" s="6" t="s">
        <v>163</v>
      </c>
      <c r="T149" s="5" t="s">
        <v>162</v>
      </c>
      <c r="U149" s="5" t="s">
        <v>228</v>
      </c>
      <c r="V149" s="6" t="s">
        <v>2731</v>
      </c>
      <c r="W149" s="6" t="s">
        <v>166</v>
      </c>
      <c r="X149" s="6" t="s">
        <v>167</v>
      </c>
      <c r="Y149" s="0" t="str">
        <f aca="false">IF(EU149&lt;&gt;"Y","",COUNTIFS($EU$2:$EU$1000,"Y",$J$2:$J$1000,"&gt;"&amp;J149)+COUNTIFS($EU$2:$EU$1000,"Y",$J$2:$J$1000,J149,$EW$2:$EW$1000,"&lt;"&amp;EW149)+1)</f>
        <v/>
      </c>
      <c r="Z149" s="0" t="n">
        <v>148</v>
      </c>
      <c r="AA149" s="6" t="s">
        <v>162</v>
      </c>
      <c r="AD149" s="6" t="s">
        <v>158</v>
      </c>
      <c r="AH149" s="5" t="s">
        <v>158</v>
      </c>
      <c r="AI149" s="6" t="s">
        <v>2732</v>
      </c>
      <c r="AJ149" s="6" t="s">
        <v>2733</v>
      </c>
      <c r="AK149" s="6" t="s">
        <v>2228</v>
      </c>
      <c r="AL149" s="6" t="s">
        <v>163</v>
      </c>
      <c r="AM149" s="6" t="s">
        <v>163</v>
      </c>
      <c r="AN149" s="6" t="s">
        <v>158</v>
      </c>
      <c r="AO149" s="6" t="s">
        <v>163</v>
      </c>
      <c r="AP149" s="6" t="s">
        <v>2729</v>
      </c>
      <c r="AQ149" s="5" t="s">
        <v>162</v>
      </c>
      <c r="AT149" s="0" t="str">
        <f aca="false">IF(AND(AX149="pass",AQ149&lt;&gt;"Y",C149&lt;&gt;"",OR(AW149&lt;&gt;"Y",AV149="Y")),"Y","N")</f>
        <v>N</v>
      </c>
      <c r="AU149" s="0" t="str">
        <f aca="false">_xlfn.TEXTJOIN("; ",TRUE(),IF(AX149&lt;&gt;"pass","gated out",""),IF(AQ149="Y","on hold: "&amp;AR149,""),IF(C149="","no contact named on an opened page",""),IF(AND(AW149="Y",AV149&lt;&gt;"Y"),"Tuesday estimate band "&amp;L149&amp;": founder's call",""))</f>
        <v>no contact named on an opened page</v>
      </c>
      <c r="AW149" s="6" t="s">
        <v>162</v>
      </c>
      <c r="AX149" s="6" t="s">
        <v>181</v>
      </c>
      <c r="AY149" s="6" t="s">
        <v>182</v>
      </c>
      <c r="AZ149" s="6" t="s">
        <v>2229</v>
      </c>
      <c r="BA149" s="6" t="s">
        <v>2734</v>
      </c>
      <c r="BB149" s="6" t="s">
        <v>2735</v>
      </c>
      <c r="BC149" s="6" t="s">
        <v>2232</v>
      </c>
      <c r="BD149" s="6" t="s">
        <v>163</v>
      </c>
      <c r="BF149" s="6" t="s">
        <v>163</v>
      </c>
      <c r="BG149" s="6" t="s">
        <v>163</v>
      </c>
      <c r="BK149" s="6" t="s">
        <v>163</v>
      </c>
      <c r="BL149" s="6" t="s">
        <v>2233</v>
      </c>
      <c r="BM149" s="6" t="s">
        <v>163</v>
      </c>
      <c r="BN149" s="6" t="s">
        <v>2736</v>
      </c>
      <c r="BP149" s="6" t="s">
        <v>712</v>
      </c>
      <c r="BQ149" s="0" t="n">
        <v>40.745792</v>
      </c>
      <c r="BR149" s="0" t="n">
        <v>-73.986723</v>
      </c>
      <c r="BS149" s="6" t="s">
        <v>168</v>
      </c>
      <c r="BT149" s="0" t="n">
        <v>0</v>
      </c>
      <c r="BV149" s="6" t="s">
        <v>163</v>
      </c>
      <c r="BW149" s="6" t="s">
        <v>2731</v>
      </c>
      <c r="BX149" s="6" t="s">
        <v>166</v>
      </c>
      <c r="BY149" s="6" t="s">
        <v>2237</v>
      </c>
      <c r="BZ149" s="6" t="s">
        <v>2737</v>
      </c>
      <c r="CC149" s="6" t="s">
        <v>739</v>
      </c>
      <c r="CE149" s="6" t="s">
        <v>162</v>
      </c>
      <c r="CF149" s="6" t="s">
        <v>2734</v>
      </c>
      <c r="CG149" s="6" t="s">
        <v>2239</v>
      </c>
      <c r="CH149" s="6" t="s">
        <v>163</v>
      </c>
      <c r="CJ149" s="6" t="s">
        <v>163</v>
      </c>
      <c r="CK149" s="6" t="s">
        <v>162</v>
      </c>
      <c r="CL149" s="6" t="s">
        <v>163</v>
      </c>
      <c r="CO149" s="6" t="s">
        <v>163</v>
      </c>
      <c r="CQ149" s="6" t="s">
        <v>2240</v>
      </c>
      <c r="CR149" s="6" t="s">
        <v>206</v>
      </c>
      <c r="CS149" s="6" t="s">
        <v>163</v>
      </c>
      <c r="CT149" s="0" t="n">
        <v>34</v>
      </c>
      <c r="CU149" s="0" t="n">
        <v>7</v>
      </c>
      <c r="CV149" s="0" t="n">
        <v>8</v>
      </c>
      <c r="CW149" s="0" t="n">
        <v>6</v>
      </c>
      <c r="CX149" s="0" t="n">
        <v>13</v>
      </c>
      <c r="CY149" s="6" t="n">
        <f aca="false">IF(AH149="exact",10,IF(AH149="adjacent",5,0))</f>
        <v>0</v>
      </c>
      <c r="CZ149" s="6" t="n">
        <f aca="false">IF(R149="Y",15,0)</f>
        <v>0</v>
      </c>
      <c r="DF149" s="6" t="s">
        <v>158</v>
      </c>
      <c r="DG149" s="6" t="s">
        <v>2229</v>
      </c>
      <c r="DK149" s="6" t="s">
        <v>2738</v>
      </c>
      <c r="DS149" s="6" t="s">
        <v>158</v>
      </c>
      <c r="DX149" s="6" t="s">
        <v>162</v>
      </c>
      <c r="ER149" s="0" t="str">
        <f aca="false">IF(ISNUMBER(MATCH(U149,{"queued","contacted","replied","call_booked","call_done","yes_in_principle","materials_sent"},0)),"Y","N")</f>
        <v>N</v>
      </c>
      <c r="ES149" s="0" t="str">
        <f aca="false">IF(COUNTIFS($AP$2:$AP$1000,AP149,$ER$2:$ER$1000,"Y")+COUNTIFS($AP$2:$AP$1000,AP149,$T$2:$T$1000,"Y")&gt;0,"Y","N")</f>
        <v>N</v>
      </c>
      <c r="ET149" s="0" t="str">
        <f aca="false">IF(AND(U149="new",T149="N",AT149="Y",AS149="",ES149="N"),"Y","N")</f>
        <v>N</v>
      </c>
      <c r="EU149" s="0" t="str">
        <f aca="false">IF(ET149&lt;&gt;"Y","N",IF(COUNTIFS($AP$2:$AP$1000,AP149,$ET$2:$ET$1000,"Y",$J$2:$J$1000,"&gt;"&amp;J149)+COUNTIFS($AP$2:$AP$1000,AP149,$ET$2:$ET$1000,"Y",$J$2:$J$1000,J149,$EW$2:$EW$1000,"&lt;"&amp;EW149)=0,"Y","N"))</f>
        <v>N</v>
      </c>
      <c r="EV149" s="0" t="str">
        <f aca="false">IF(Y149="","N",IF(Y149&lt;=10,"Y","N"))</f>
        <v>N</v>
      </c>
      <c r="EW149" s="6" t="n">
        <f aca="false">ROW()-1</f>
        <v>148</v>
      </c>
    </row>
    <row r="150" customFormat="false" ht="15" hidden="false" customHeight="false" outlineLevel="0" collapsed="false">
      <c r="A150" s="0" t="s">
        <v>2739</v>
      </c>
      <c r="B150" s="0" t="s">
        <v>2740</v>
      </c>
      <c r="H150" s="5" t="s">
        <v>158</v>
      </c>
      <c r="I150" s="5" t="s">
        <v>159</v>
      </c>
      <c r="J150" s="6" t="n">
        <f aca="false">IF(AX150="pass",ROUND(CU150+CV150+CW150+CX150+CY150+CZ150,1),0)</f>
        <v>34</v>
      </c>
      <c r="K150" s="6" t="s">
        <v>2591</v>
      </c>
      <c r="L150" s="6" t="s">
        <v>163</v>
      </c>
      <c r="R150" s="5" t="s">
        <v>162</v>
      </c>
      <c r="S150" s="6" t="s">
        <v>163</v>
      </c>
      <c r="T150" s="5" t="s">
        <v>162</v>
      </c>
      <c r="U150" s="5" t="s">
        <v>228</v>
      </c>
      <c r="V150" s="6" t="s">
        <v>2741</v>
      </c>
      <c r="W150" s="6" t="s">
        <v>166</v>
      </c>
      <c r="X150" s="6" t="s">
        <v>167</v>
      </c>
      <c r="Y150" s="0" t="str">
        <f aca="false">IF(EU150&lt;&gt;"Y","",COUNTIFS($EU$2:$EU$1000,"Y",$J$2:$J$1000,"&gt;"&amp;J150)+COUNTIFS($EU$2:$EU$1000,"Y",$J$2:$J$1000,J150,$EW$2:$EW$1000,"&lt;"&amp;EW150)+1)</f>
        <v/>
      </c>
      <c r="Z150" s="0" t="n">
        <v>149</v>
      </c>
      <c r="AA150" s="6" t="s">
        <v>162</v>
      </c>
      <c r="AD150" s="6" t="s">
        <v>158</v>
      </c>
      <c r="AH150" s="5" t="s">
        <v>158</v>
      </c>
      <c r="AI150" s="6" t="s">
        <v>2742</v>
      </c>
      <c r="AJ150" s="6" t="s">
        <v>2743</v>
      </c>
      <c r="AK150" s="6" t="s">
        <v>2228</v>
      </c>
      <c r="AL150" s="6" t="s">
        <v>163</v>
      </c>
      <c r="AM150" s="6" t="s">
        <v>163</v>
      </c>
      <c r="AN150" s="6" t="s">
        <v>158</v>
      </c>
      <c r="AO150" s="6" t="s">
        <v>163</v>
      </c>
      <c r="AP150" s="6" t="s">
        <v>2739</v>
      </c>
      <c r="AQ150" s="5" t="s">
        <v>162</v>
      </c>
      <c r="AT150" s="0" t="str">
        <f aca="false">IF(AND(AX150="pass",AQ150&lt;&gt;"Y",C150&lt;&gt;"",OR(AW150&lt;&gt;"Y",AV150="Y")),"Y","N")</f>
        <v>N</v>
      </c>
      <c r="AU150" s="0" t="str">
        <f aca="false">_xlfn.TEXTJOIN("; ",TRUE(),IF(AX150&lt;&gt;"pass","gated out",""),IF(AQ150="Y","on hold: "&amp;AR150,""),IF(C150="","no contact named on an opened page",""),IF(AND(AW150="Y",AV150&lt;&gt;"Y"),"Tuesday estimate band "&amp;L150&amp;": founder's call",""))</f>
        <v>no contact named on an opened page</v>
      </c>
      <c r="AW150" s="6" t="s">
        <v>162</v>
      </c>
      <c r="AX150" s="6" t="s">
        <v>181</v>
      </c>
      <c r="AY150" s="6" t="s">
        <v>182</v>
      </c>
      <c r="AZ150" s="6" t="s">
        <v>2229</v>
      </c>
      <c r="BA150" s="6" t="s">
        <v>2744</v>
      </c>
      <c r="BB150" s="6" t="s">
        <v>2745</v>
      </c>
      <c r="BC150" s="6" t="s">
        <v>2232</v>
      </c>
      <c r="BD150" s="6" t="s">
        <v>163</v>
      </c>
      <c r="BF150" s="6" t="s">
        <v>163</v>
      </c>
      <c r="BG150" s="6" t="s">
        <v>163</v>
      </c>
      <c r="BK150" s="6" t="s">
        <v>163</v>
      </c>
      <c r="BL150" s="6" t="s">
        <v>2233</v>
      </c>
      <c r="BM150" s="6" t="s">
        <v>163</v>
      </c>
      <c r="BN150" s="6" t="s">
        <v>2746</v>
      </c>
      <c r="BP150" s="6" t="s">
        <v>347</v>
      </c>
      <c r="BQ150" s="0" t="n">
        <v>40.74293</v>
      </c>
      <c r="BR150" s="0" t="n">
        <v>-73.989315</v>
      </c>
      <c r="BS150" s="6" t="s">
        <v>168</v>
      </c>
      <c r="BT150" s="0" t="n">
        <v>0</v>
      </c>
      <c r="BU150" s="6" t="s">
        <v>843</v>
      </c>
      <c r="BV150" s="6" t="s">
        <v>844</v>
      </c>
      <c r="BW150" s="6" t="s">
        <v>2741</v>
      </c>
      <c r="BX150" s="6" t="s">
        <v>166</v>
      </c>
      <c r="BY150" s="6" t="s">
        <v>2237</v>
      </c>
      <c r="BZ150" s="6" t="s">
        <v>2747</v>
      </c>
      <c r="CC150" s="6" t="s">
        <v>739</v>
      </c>
      <c r="CE150" s="6" t="s">
        <v>162</v>
      </c>
      <c r="CF150" s="6" t="s">
        <v>2744</v>
      </c>
      <c r="CG150" s="6" t="s">
        <v>2239</v>
      </c>
      <c r="CH150" s="6" t="s">
        <v>201</v>
      </c>
      <c r="CI150" s="6" t="s">
        <v>846</v>
      </c>
      <c r="CJ150" s="6" t="s">
        <v>163</v>
      </c>
      <c r="CK150" s="6" t="s">
        <v>162</v>
      </c>
      <c r="CL150" s="6" t="s">
        <v>163</v>
      </c>
      <c r="CO150" s="6" t="s">
        <v>163</v>
      </c>
      <c r="CQ150" s="6" t="s">
        <v>2240</v>
      </c>
      <c r="CR150" s="6" t="s">
        <v>206</v>
      </c>
      <c r="CS150" s="6" t="s">
        <v>163</v>
      </c>
      <c r="CT150" s="0" t="n">
        <v>34</v>
      </c>
      <c r="CU150" s="0" t="n">
        <v>7</v>
      </c>
      <c r="CV150" s="0" t="n">
        <v>8</v>
      </c>
      <c r="CW150" s="0" t="n">
        <v>6</v>
      </c>
      <c r="CX150" s="0" t="n">
        <v>13</v>
      </c>
      <c r="CY150" s="6" t="n">
        <f aca="false">IF(AH150="exact",10,IF(AH150="adjacent",5,0))</f>
        <v>0</v>
      </c>
      <c r="CZ150" s="6" t="n">
        <f aca="false">IF(R150="Y",15,0)</f>
        <v>0</v>
      </c>
      <c r="DF150" s="6" t="s">
        <v>158</v>
      </c>
      <c r="DG150" s="6" t="s">
        <v>2229</v>
      </c>
      <c r="DK150" s="6" t="s">
        <v>2748</v>
      </c>
      <c r="DS150" s="6" t="s">
        <v>158</v>
      </c>
      <c r="DX150" s="6" t="s">
        <v>162</v>
      </c>
      <c r="ER150" s="0" t="str">
        <f aca="false">IF(ISNUMBER(MATCH(U150,{"queued","contacted","replied","call_booked","call_done","yes_in_principle","materials_sent"},0)),"Y","N")</f>
        <v>N</v>
      </c>
      <c r="ES150" s="0" t="str">
        <f aca="false">IF(COUNTIFS($AP$2:$AP$1000,AP150,$ER$2:$ER$1000,"Y")+COUNTIFS($AP$2:$AP$1000,AP150,$T$2:$T$1000,"Y")&gt;0,"Y","N")</f>
        <v>N</v>
      </c>
      <c r="ET150" s="0" t="str">
        <f aca="false">IF(AND(U150="new",T150="N",AT150="Y",AS150="",ES150="N"),"Y","N")</f>
        <v>N</v>
      </c>
      <c r="EU150" s="0" t="str">
        <f aca="false">IF(ET150&lt;&gt;"Y","N",IF(COUNTIFS($AP$2:$AP$1000,AP150,$ET$2:$ET$1000,"Y",$J$2:$J$1000,"&gt;"&amp;J150)+COUNTIFS($AP$2:$AP$1000,AP150,$ET$2:$ET$1000,"Y",$J$2:$J$1000,J150,$EW$2:$EW$1000,"&lt;"&amp;EW150)=0,"Y","N"))</f>
        <v>N</v>
      </c>
      <c r="EV150" s="0" t="str">
        <f aca="false">IF(Y150="","N",IF(Y150&lt;=10,"Y","N"))</f>
        <v>N</v>
      </c>
      <c r="EW150" s="6" t="n">
        <f aca="false">ROW()-1</f>
        <v>149</v>
      </c>
    </row>
    <row r="151" customFormat="false" ht="15" hidden="false" customHeight="false" outlineLevel="0" collapsed="false">
      <c r="A151" s="0" t="s">
        <v>2749</v>
      </c>
      <c r="B151" s="0" t="s">
        <v>2750</v>
      </c>
      <c r="H151" s="5" t="s">
        <v>158</v>
      </c>
      <c r="I151" s="5" t="s">
        <v>159</v>
      </c>
      <c r="J151" s="6" t="n">
        <f aca="false">IF(AX151="pass",ROUND(CU151+CV151+CW151+CX151+CY151+CZ151,1),0)</f>
        <v>34</v>
      </c>
      <c r="K151" s="6" t="s">
        <v>2573</v>
      </c>
      <c r="L151" s="6" t="s">
        <v>163</v>
      </c>
      <c r="R151" s="5" t="s">
        <v>162</v>
      </c>
      <c r="S151" s="6" t="s">
        <v>163</v>
      </c>
      <c r="T151" s="5" t="s">
        <v>162</v>
      </c>
      <c r="U151" s="5" t="s">
        <v>228</v>
      </c>
      <c r="V151" s="6" t="s">
        <v>197</v>
      </c>
      <c r="W151" s="6" t="s">
        <v>166</v>
      </c>
      <c r="X151" s="6" t="s">
        <v>167</v>
      </c>
      <c r="Y151" s="0" t="str">
        <f aca="false">IF(EU151&lt;&gt;"Y","",COUNTIFS($EU$2:$EU$1000,"Y",$J$2:$J$1000,"&gt;"&amp;J151)+COUNTIFS($EU$2:$EU$1000,"Y",$J$2:$J$1000,J151,$EW$2:$EW$1000,"&lt;"&amp;EW151)+1)</f>
        <v/>
      </c>
      <c r="Z151" s="0" t="n">
        <v>150</v>
      </c>
      <c r="AA151" s="6" t="s">
        <v>162</v>
      </c>
      <c r="AD151" s="6" t="s">
        <v>158</v>
      </c>
      <c r="AH151" s="5" t="s">
        <v>158</v>
      </c>
      <c r="AI151" s="6" t="s">
        <v>176</v>
      </c>
      <c r="AJ151" s="6" t="s">
        <v>163</v>
      </c>
      <c r="AK151" s="6" t="s">
        <v>178</v>
      </c>
      <c r="AL151" s="6" t="s">
        <v>163</v>
      </c>
      <c r="AM151" s="6" t="s">
        <v>163</v>
      </c>
      <c r="AN151" s="6" t="s">
        <v>158</v>
      </c>
      <c r="AO151" s="6" t="s">
        <v>163</v>
      </c>
      <c r="AP151" s="6" t="s">
        <v>2749</v>
      </c>
      <c r="AQ151" s="5" t="s">
        <v>162</v>
      </c>
      <c r="AT151" s="0" t="str">
        <f aca="false">IF(AND(AX151="pass",AQ151&lt;&gt;"Y",C151&lt;&gt;"",OR(AW151&lt;&gt;"Y",AV151="Y")),"Y","N")</f>
        <v>N</v>
      </c>
      <c r="AU151" s="0" t="str">
        <f aca="false">_xlfn.TEXTJOIN("; ",TRUE(),IF(AX151&lt;&gt;"pass","gated out",""),IF(AQ151="Y","on hold: "&amp;AR151,""),IF(C151="","no contact named on an opened page",""),IF(AND(AW151="Y",AV151&lt;&gt;"Y"),"Tuesday estimate band "&amp;L151&amp;": founder's call",""))</f>
        <v>no contact named on an opened page</v>
      </c>
      <c r="AW151" s="6" t="s">
        <v>162</v>
      </c>
      <c r="AX151" s="6" t="s">
        <v>181</v>
      </c>
      <c r="AY151" s="6" t="s">
        <v>182</v>
      </c>
      <c r="AZ151" s="6" t="s">
        <v>1</v>
      </c>
      <c r="BA151" s="6" t="s">
        <v>2751</v>
      </c>
      <c r="BB151" s="6" t="s">
        <v>163</v>
      </c>
      <c r="BC151" s="6" t="s">
        <v>2752</v>
      </c>
      <c r="BD151" s="6" t="s">
        <v>163</v>
      </c>
      <c r="BF151" s="6" t="s">
        <v>163</v>
      </c>
      <c r="BG151" s="6" t="s">
        <v>163</v>
      </c>
      <c r="BH151" s="6" t="s">
        <v>2196</v>
      </c>
      <c r="BK151" s="6" t="s">
        <v>163</v>
      </c>
      <c r="BL151" s="6" t="s">
        <v>163</v>
      </c>
      <c r="BM151" s="6" t="s">
        <v>163</v>
      </c>
      <c r="BN151" s="6" t="s">
        <v>163</v>
      </c>
      <c r="BO151" s="6" t="s">
        <v>163</v>
      </c>
      <c r="BP151" s="6" t="s">
        <v>193</v>
      </c>
      <c r="BQ151" s="0" t="n">
        <v>40.73686</v>
      </c>
      <c r="BR151" s="0" t="n">
        <v>-73.988546</v>
      </c>
      <c r="BS151" s="6" t="s">
        <v>168</v>
      </c>
      <c r="BT151" s="0" t="n">
        <v>0</v>
      </c>
      <c r="BU151" s="6" t="s">
        <v>194</v>
      </c>
      <c r="BV151" s="6" t="s">
        <v>195</v>
      </c>
      <c r="BW151" s="6" t="s">
        <v>197</v>
      </c>
      <c r="BX151" s="6" t="s">
        <v>198</v>
      </c>
      <c r="BY151" s="6" t="s">
        <v>283</v>
      </c>
      <c r="CB151" s="6" t="s">
        <v>199</v>
      </c>
      <c r="CC151" s="6" t="s">
        <v>739</v>
      </c>
      <c r="CE151" s="6" t="s">
        <v>162</v>
      </c>
      <c r="CH151" s="6" t="s">
        <v>201</v>
      </c>
      <c r="CI151" s="6" t="s">
        <v>202</v>
      </c>
      <c r="CJ151" s="6" t="s">
        <v>163</v>
      </c>
      <c r="CK151" s="6" t="s">
        <v>162</v>
      </c>
      <c r="CL151" s="6" t="s">
        <v>163</v>
      </c>
      <c r="CO151" s="6" t="s">
        <v>163</v>
      </c>
      <c r="CQ151" s="6" t="s">
        <v>2197</v>
      </c>
      <c r="CR151" s="6" t="s">
        <v>206</v>
      </c>
      <c r="CS151" s="6" t="s">
        <v>163</v>
      </c>
      <c r="CT151" s="0" t="n">
        <v>34</v>
      </c>
      <c r="CU151" s="0" t="n">
        <v>7</v>
      </c>
      <c r="CV151" s="0" t="n">
        <v>8</v>
      </c>
      <c r="CW151" s="0" t="n">
        <v>6</v>
      </c>
      <c r="CX151" s="0" t="n">
        <v>13</v>
      </c>
      <c r="CY151" s="6" t="n">
        <f aca="false">IF(AH151="exact",10,IF(AH151="adjacent",5,0))</f>
        <v>0</v>
      </c>
      <c r="CZ151" s="6" t="n">
        <f aca="false">IF(R151="Y",15,0)</f>
        <v>0</v>
      </c>
      <c r="DF151" s="6" t="s">
        <v>158</v>
      </c>
      <c r="DG151" s="6" t="s">
        <v>211</v>
      </c>
      <c r="DJ151" s="6" t="s">
        <v>2753</v>
      </c>
      <c r="DK151" s="6" t="s">
        <v>2754</v>
      </c>
      <c r="DS151" s="6" t="s">
        <v>158</v>
      </c>
      <c r="DX151" s="6" t="s">
        <v>162</v>
      </c>
      <c r="ER151" s="0" t="str">
        <f aca="false">IF(ISNUMBER(MATCH(U151,{"queued","contacted","replied","call_booked","call_done","yes_in_principle","materials_sent"},0)),"Y","N")</f>
        <v>N</v>
      </c>
      <c r="ES151" s="0" t="str">
        <f aca="false">IF(COUNTIFS($AP$2:$AP$1000,AP151,$ER$2:$ER$1000,"Y")+COUNTIFS($AP$2:$AP$1000,AP151,$T$2:$T$1000,"Y")&gt;0,"Y","N")</f>
        <v>N</v>
      </c>
      <c r="ET151" s="0" t="str">
        <f aca="false">IF(AND(U151="new",T151="N",AT151="Y",AS151="",ES151="N"),"Y","N")</f>
        <v>N</v>
      </c>
      <c r="EU151" s="0" t="str">
        <f aca="false">IF(ET151&lt;&gt;"Y","N",IF(COUNTIFS($AP$2:$AP$1000,AP151,$ET$2:$ET$1000,"Y",$J$2:$J$1000,"&gt;"&amp;J151)+COUNTIFS($AP$2:$AP$1000,AP151,$ET$2:$ET$1000,"Y",$J$2:$J$1000,J151,$EW$2:$EW$1000,"&lt;"&amp;EW151)=0,"Y","N"))</f>
        <v>N</v>
      </c>
      <c r="EV151" s="0" t="str">
        <f aca="false">IF(Y151="","N",IF(Y151&lt;=10,"Y","N"))</f>
        <v>N</v>
      </c>
      <c r="EW151" s="6" t="n">
        <f aca="false">ROW()-1</f>
        <v>150</v>
      </c>
    </row>
    <row r="152" customFormat="false" ht="15" hidden="false" customHeight="false" outlineLevel="0" collapsed="false">
      <c r="A152" s="0" t="s">
        <v>2755</v>
      </c>
      <c r="B152" s="0" t="s">
        <v>2756</v>
      </c>
      <c r="H152" s="5" t="s">
        <v>158</v>
      </c>
      <c r="I152" s="5" t="s">
        <v>159</v>
      </c>
      <c r="J152" s="6" t="n">
        <f aca="false">IF(AX152="pass",ROUND(CU152+CV152+CW152+CX152+CY152+CZ152,1),0)</f>
        <v>34</v>
      </c>
      <c r="K152" s="6" t="s">
        <v>2573</v>
      </c>
      <c r="L152" s="6" t="s">
        <v>163</v>
      </c>
      <c r="R152" s="5" t="s">
        <v>162</v>
      </c>
      <c r="S152" s="6" t="s">
        <v>163</v>
      </c>
      <c r="T152" s="5" t="s">
        <v>162</v>
      </c>
      <c r="U152" s="5" t="s">
        <v>228</v>
      </c>
      <c r="V152" s="6" t="s">
        <v>2757</v>
      </c>
      <c r="W152" s="6" t="s">
        <v>166</v>
      </c>
      <c r="X152" s="6" t="s">
        <v>167</v>
      </c>
      <c r="Y152" s="0" t="str">
        <f aca="false">IF(EU152&lt;&gt;"Y","",COUNTIFS($EU$2:$EU$1000,"Y",$J$2:$J$1000,"&gt;"&amp;J152)+COUNTIFS($EU$2:$EU$1000,"Y",$J$2:$J$1000,J152,$EW$2:$EW$1000,"&lt;"&amp;EW152)+1)</f>
        <v/>
      </c>
      <c r="Z152" s="0" t="n">
        <v>151</v>
      </c>
      <c r="AA152" s="6" t="s">
        <v>162</v>
      </c>
      <c r="AD152" s="6" t="s">
        <v>158</v>
      </c>
      <c r="AH152" s="5" t="s">
        <v>158</v>
      </c>
      <c r="AI152" s="6" t="s">
        <v>2758</v>
      </c>
      <c r="AJ152" s="6" t="s">
        <v>2759</v>
      </c>
      <c r="AK152" s="6" t="s">
        <v>178</v>
      </c>
      <c r="AL152" s="6" t="s">
        <v>163</v>
      </c>
      <c r="AM152" s="6" t="s">
        <v>163</v>
      </c>
      <c r="AN152" s="6" t="s">
        <v>158</v>
      </c>
      <c r="AO152" s="6" t="s">
        <v>163</v>
      </c>
      <c r="AP152" s="6" t="s">
        <v>2755</v>
      </c>
      <c r="AQ152" s="5" t="s">
        <v>162</v>
      </c>
      <c r="AT152" s="0" t="str">
        <f aca="false">IF(AND(AX152="pass",AQ152&lt;&gt;"Y",C152&lt;&gt;"",OR(AW152&lt;&gt;"Y",AV152="Y")),"Y","N")</f>
        <v>N</v>
      </c>
      <c r="AU152" s="0" t="str">
        <f aca="false">_xlfn.TEXTJOIN("; ",TRUE(),IF(AX152&lt;&gt;"pass","gated out",""),IF(AQ152="Y","on hold: "&amp;AR152,""),IF(C152="","no contact named on an opened page",""),IF(AND(AW152="Y",AV152&lt;&gt;"Y"),"Tuesday estimate band "&amp;L152&amp;": founder's call",""))</f>
        <v>no contact named on an opened page</v>
      </c>
      <c r="AW152" s="6" t="s">
        <v>162</v>
      </c>
      <c r="AX152" s="6" t="s">
        <v>181</v>
      </c>
      <c r="AY152" s="6" t="s">
        <v>182</v>
      </c>
      <c r="AZ152" s="6" t="s">
        <v>1</v>
      </c>
      <c r="BA152" s="6" t="s">
        <v>2760</v>
      </c>
      <c r="BB152" s="6" t="s">
        <v>2761</v>
      </c>
      <c r="BC152" s="6" t="s">
        <v>2762</v>
      </c>
      <c r="BD152" s="6" t="s">
        <v>163</v>
      </c>
      <c r="BF152" s="6" t="s">
        <v>163</v>
      </c>
      <c r="BG152" s="6" t="s">
        <v>163</v>
      </c>
      <c r="BH152" s="6" t="s">
        <v>2196</v>
      </c>
      <c r="BK152" s="6" t="s">
        <v>163</v>
      </c>
      <c r="BL152" s="6" t="s">
        <v>656</v>
      </c>
      <c r="BM152" s="6" t="s">
        <v>162</v>
      </c>
      <c r="BN152" s="6" t="s">
        <v>163</v>
      </c>
      <c r="BO152" s="6" t="s">
        <v>163</v>
      </c>
      <c r="BP152" s="6" t="s">
        <v>347</v>
      </c>
      <c r="BQ152" s="0" t="n">
        <v>40.74129</v>
      </c>
      <c r="BR152" s="0" t="n">
        <v>-73.991589</v>
      </c>
      <c r="BS152" s="6" t="s">
        <v>168</v>
      </c>
      <c r="BT152" s="0" t="n">
        <v>0</v>
      </c>
      <c r="BU152" s="6" t="s">
        <v>2763</v>
      </c>
      <c r="BV152" s="6" t="s">
        <v>2764</v>
      </c>
      <c r="BW152" s="6" t="s">
        <v>2757</v>
      </c>
      <c r="BX152" s="6" t="s">
        <v>166</v>
      </c>
      <c r="BY152" s="6" t="s">
        <v>196</v>
      </c>
      <c r="BZ152" s="6" t="s">
        <v>2765</v>
      </c>
      <c r="CA152" s="6" t="s">
        <v>2766</v>
      </c>
      <c r="CC152" s="6" t="s">
        <v>739</v>
      </c>
      <c r="CE152" s="6" t="s">
        <v>162</v>
      </c>
      <c r="CH152" s="6" t="s">
        <v>201</v>
      </c>
      <c r="CI152" s="6" t="s">
        <v>2765</v>
      </c>
      <c r="CJ152" s="6" t="s">
        <v>163</v>
      </c>
      <c r="CK152" s="6" t="s">
        <v>162</v>
      </c>
      <c r="CL152" s="6" t="s">
        <v>163</v>
      </c>
      <c r="CO152" s="6" t="s">
        <v>163</v>
      </c>
      <c r="CQ152" s="6" t="s">
        <v>2197</v>
      </c>
      <c r="CR152" s="6" t="s">
        <v>206</v>
      </c>
      <c r="CS152" s="6" t="s">
        <v>163</v>
      </c>
      <c r="CT152" s="0" t="n">
        <v>34</v>
      </c>
      <c r="CU152" s="0" t="n">
        <v>7</v>
      </c>
      <c r="CV152" s="0" t="n">
        <v>8</v>
      </c>
      <c r="CW152" s="0" t="n">
        <v>6</v>
      </c>
      <c r="CX152" s="0" t="n">
        <v>13</v>
      </c>
      <c r="CY152" s="6" t="n">
        <f aca="false">IF(AH152="exact",10,IF(AH152="adjacent",5,0))</f>
        <v>0</v>
      </c>
      <c r="CZ152" s="6" t="n">
        <f aca="false">IF(R152="Y",15,0)</f>
        <v>0</v>
      </c>
      <c r="DF152" s="6" t="s">
        <v>158</v>
      </c>
      <c r="DG152" s="6" t="s">
        <v>211</v>
      </c>
      <c r="DJ152" s="6" t="s">
        <v>2767</v>
      </c>
      <c r="DK152" s="6" t="s">
        <v>2768</v>
      </c>
      <c r="DS152" s="6" t="s">
        <v>158</v>
      </c>
      <c r="DX152" s="6" t="s">
        <v>162</v>
      </c>
      <c r="ER152" s="0" t="str">
        <f aca="false">IF(ISNUMBER(MATCH(U152,{"queued","contacted","replied","call_booked","call_done","yes_in_principle","materials_sent"},0)),"Y","N")</f>
        <v>N</v>
      </c>
      <c r="ES152" s="0" t="str">
        <f aca="false">IF(COUNTIFS($AP$2:$AP$1000,AP152,$ER$2:$ER$1000,"Y")+COUNTIFS($AP$2:$AP$1000,AP152,$T$2:$T$1000,"Y")&gt;0,"Y","N")</f>
        <v>N</v>
      </c>
      <c r="ET152" s="0" t="str">
        <f aca="false">IF(AND(U152="new",T152="N",AT152="Y",AS152="",ES152="N"),"Y","N")</f>
        <v>N</v>
      </c>
      <c r="EU152" s="0" t="str">
        <f aca="false">IF(ET152&lt;&gt;"Y","N",IF(COUNTIFS($AP$2:$AP$1000,AP152,$ET$2:$ET$1000,"Y",$J$2:$J$1000,"&gt;"&amp;J152)+COUNTIFS($AP$2:$AP$1000,AP152,$ET$2:$ET$1000,"Y",$J$2:$J$1000,J152,$EW$2:$EW$1000,"&lt;"&amp;EW152)=0,"Y","N"))</f>
        <v>N</v>
      </c>
      <c r="EV152" s="0" t="str">
        <f aca="false">IF(Y152="","N",IF(Y152&lt;=10,"Y","N"))</f>
        <v>N</v>
      </c>
      <c r="EW152" s="6" t="n">
        <f aca="false">ROW()-1</f>
        <v>151</v>
      </c>
    </row>
    <row r="153" customFormat="false" ht="15" hidden="false" customHeight="false" outlineLevel="0" collapsed="false">
      <c r="A153" s="0" t="s">
        <v>2769</v>
      </c>
      <c r="B153" s="0" t="s">
        <v>2770</v>
      </c>
      <c r="H153" s="5" t="s">
        <v>158</v>
      </c>
      <c r="I153" s="5" t="s">
        <v>159</v>
      </c>
      <c r="J153" s="6" t="n">
        <f aca="false">IF(AX153="pass",ROUND(CU153+CV153+CW153+CX153+CY153+CZ153,1),0)</f>
        <v>34</v>
      </c>
      <c r="K153" s="6" t="s">
        <v>2591</v>
      </c>
      <c r="L153" s="6" t="s">
        <v>163</v>
      </c>
      <c r="R153" s="5" t="s">
        <v>162</v>
      </c>
      <c r="S153" s="6" t="s">
        <v>163</v>
      </c>
      <c r="T153" s="5" t="s">
        <v>162</v>
      </c>
      <c r="U153" s="5" t="s">
        <v>228</v>
      </c>
      <c r="V153" s="6" t="s">
        <v>2771</v>
      </c>
      <c r="W153" s="6" t="s">
        <v>166</v>
      </c>
      <c r="X153" s="6" t="s">
        <v>167</v>
      </c>
      <c r="Y153" s="0" t="str">
        <f aca="false">IF(EU153&lt;&gt;"Y","",COUNTIFS($EU$2:$EU$1000,"Y",$J$2:$J$1000,"&gt;"&amp;J153)+COUNTIFS($EU$2:$EU$1000,"Y",$J$2:$J$1000,J153,$EW$2:$EW$1000,"&lt;"&amp;EW153)+1)</f>
        <v/>
      </c>
      <c r="Z153" s="0" t="n">
        <v>152</v>
      </c>
      <c r="AA153" s="6" t="s">
        <v>162</v>
      </c>
      <c r="AD153" s="6" t="s">
        <v>158</v>
      </c>
      <c r="AH153" s="5" t="s">
        <v>158</v>
      </c>
      <c r="AI153" s="6" t="s">
        <v>2772</v>
      </c>
      <c r="AJ153" s="6" t="s">
        <v>2773</v>
      </c>
      <c r="AK153" s="6" t="s">
        <v>2228</v>
      </c>
      <c r="AL153" s="6" t="s">
        <v>163</v>
      </c>
      <c r="AM153" s="6" t="s">
        <v>163</v>
      </c>
      <c r="AN153" s="6" t="s">
        <v>158</v>
      </c>
      <c r="AO153" s="6" t="s">
        <v>163</v>
      </c>
      <c r="AP153" s="6" t="s">
        <v>2769</v>
      </c>
      <c r="AQ153" s="5" t="s">
        <v>162</v>
      </c>
      <c r="AT153" s="0" t="str">
        <f aca="false">IF(AND(AX153="pass",AQ153&lt;&gt;"Y",C153&lt;&gt;"",OR(AW153&lt;&gt;"Y",AV153="Y")),"Y","N")</f>
        <v>N</v>
      </c>
      <c r="AU153" s="0" t="str">
        <f aca="false">_xlfn.TEXTJOIN("; ",TRUE(),IF(AX153&lt;&gt;"pass","gated out",""),IF(AQ153="Y","on hold: "&amp;AR153,""),IF(C153="","no contact named on an opened page",""),IF(AND(AW153="Y",AV153&lt;&gt;"Y"),"Tuesday estimate band "&amp;L153&amp;": founder's call",""))</f>
        <v>no contact named on an opened page</v>
      </c>
      <c r="AW153" s="6" t="s">
        <v>162</v>
      </c>
      <c r="AX153" s="6" t="s">
        <v>181</v>
      </c>
      <c r="AY153" s="6" t="s">
        <v>182</v>
      </c>
      <c r="AZ153" s="6" t="s">
        <v>2229</v>
      </c>
      <c r="BA153" s="6" t="s">
        <v>2774</v>
      </c>
      <c r="BB153" s="6" t="s">
        <v>2775</v>
      </c>
      <c r="BC153" s="6" t="s">
        <v>2232</v>
      </c>
      <c r="BD153" s="6" t="s">
        <v>163</v>
      </c>
      <c r="BF153" s="6" t="s">
        <v>163</v>
      </c>
      <c r="BG153" s="6" t="s">
        <v>163</v>
      </c>
      <c r="BK153" s="6" t="s">
        <v>163</v>
      </c>
      <c r="BL153" s="6" t="s">
        <v>2233</v>
      </c>
      <c r="BM153" s="6" t="s">
        <v>163</v>
      </c>
      <c r="BN153" s="6" t="s">
        <v>2776</v>
      </c>
      <c r="BP153" s="6" t="s">
        <v>712</v>
      </c>
      <c r="BQ153" s="0" t="n">
        <v>40.744243</v>
      </c>
      <c r="BR153" s="0" t="n">
        <v>-73.987853</v>
      </c>
      <c r="BS153" s="6" t="s">
        <v>168</v>
      </c>
      <c r="BT153" s="0" t="n">
        <v>0</v>
      </c>
      <c r="BV153" s="6" t="s">
        <v>163</v>
      </c>
      <c r="BW153" s="6" t="s">
        <v>2771</v>
      </c>
      <c r="BX153" s="6" t="s">
        <v>166</v>
      </c>
      <c r="BY153" s="6" t="s">
        <v>2237</v>
      </c>
      <c r="BZ153" s="6" t="s">
        <v>2777</v>
      </c>
      <c r="CC153" s="6" t="s">
        <v>739</v>
      </c>
      <c r="CE153" s="6" t="s">
        <v>162</v>
      </c>
      <c r="CF153" s="6" t="s">
        <v>2774</v>
      </c>
      <c r="CG153" s="6" t="s">
        <v>2239</v>
      </c>
      <c r="CH153" s="6" t="s">
        <v>163</v>
      </c>
      <c r="CJ153" s="6" t="s">
        <v>163</v>
      </c>
      <c r="CK153" s="6" t="s">
        <v>162</v>
      </c>
      <c r="CL153" s="6" t="s">
        <v>163</v>
      </c>
      <c r="CO153" s="6" t="s">
        <v>163</v>
      </c>
      <c r="CQ153" s="6" t="s">
        <v>2240</v>
      </c>
      <c r="CR153" s="6" t="s">
        <v>206</v>
      </c>
      <c r="CS153" s="6" t="s">
        <v>163</v>
      </c>
      <c r="CT153" s="0" t="n">
        <v>34</v>
      </c>
      <c r="CU153" s="0" t="n">
        <v>7</v>
      </c>
      <c r="CV153" s="0" t="n">
        <v>8</v>
      </c>
      <c r="CW153" s="0" t="n">
        <v>6</v>
      </c>
      <c r="CX153" s="0" t="n">
        <v>13</v>
      </c>
      <c r="CY153" s="6" t="n">
        <f aca="false">IF(AH153="exact",10,IF(AH153="adjacent",5,0))</f>
        <v>0</v>
      </c>
      <c r="CZ153" s="6" t="n">
        <f aca="false">IF(R153="Y",15,0)</f>
        <v>0</v>
      </c>
      <c r="DF153" s="6" t="s">
        <v>158</v>
      </c>
      <c r="DG153" s="6" t="s">
        <v>2229</v>
      </c>
      <c r="DK153" s="6" t="s">
        <v>2778</v>
      </c>
      <c r="DS153" s="6" t="s">
        <v>158</v>
      </c>
      <c r="DX153" s="6" t="s">
        <v>162</v>
      </c>
      <c r="ER153" s="0" t="str">
        <f aca="false">IF(ISNUMBER(MATCH(U153,{"queued","contacted","replied","call_booked","call_done","yes_in_principle","materials_sent"},0)),"Y","N")</f>
        <v>N</v>
      </c>
      <c r="ES153" s="0" t="str">
        <f aca="false">IF(COUNTIFS($AP$2:$AP$1000,AP153,$ER$2:$ER$1000,"Y")+COUNTIFS($AP$2:$AP$1000,AP153,$T$2:$T$1000,"Y")&gt;0,"Y","N")</f>
        <v>N</v>
      </c>
      <c r="ET153" s="0" t="str">
        <f aca="false">IF(AND(U153="new",T153="N",AT153="Y",AS153="",ES153="N"),"Y","N")</f>
        <v>N</v>
      </c>
      <c r="EU153" s="0" t="str">
        <f aca="false">IF(ET153&lt;&gt;"Y","N",IF(COUNTIFS($AP$2:$AP$1000,AP153,$ET$2:$ET$1000,"Y",$J$2:$J$1000,"&gt;"&amp;J153)+COUNTIFS($AP$2:$AP$1000,AP153,$ET$2:$ET$1000,"Y",$J$2:$J$1000,J153,$EW$2:$EW$1000,"&lt;"&amp;EW153)=0,"Y","N"))</f>
        <v>N</v>
      </c>
      <c r="EV153" s="0" t="str">
        <f aca="false">IF(Y153="","N",IF(Y153&lt;=10,"Y","N"))</f>
        <v>N</v>
      </c>
      <c r="EW153" s="6" t="n">
        <f aca="false">ROW()-1</f>
        <v>152</v>
      </c>
    </row>
    <row r="154" customFormat="false" ht="15" hidden="false" customHeight="false" outlineLevel="0" collapsed="false">
      <c r="A154" s="0" t="s">
        <v>2779</v>
      </c>
      <c r="B154" s="0" t="s">
        <v>2780</v>
      </c>
      <c r="H154" s="5" t="s">
        <v>158</v>
      </c>
      <c r="I154" s="5" t="s">
        <v>159</v>
      </c>
      <c r="J154" s="6" t="n">
        <f aca="false">IF(AX154="pass",ROUND(CU154+CV154+CW154+CX154+CY154+CZ154,1),0)</f>
        <v>34</v>
      </c>
      <c r="K154" s="6" t="s">
        <v>2573</v>
      </c>
      <c r="L154" s="6" t="s">
        <v>163</v>
      </c>
      <c r="R154" s="5" t="s">
        <v>162</v>
      </c>
      <c r="S154" s="6" t="s">
        <v>163</v>
      </c>
      <c r="T154" s="5" t="s">
        <v>162</v>
      </c>
      <c r="U154" s="5" t="s">
        <v>228</v>
      </c>
      <c r="V154" s="6" t="s">
        <v>2781</v>
      </c>
      <c r="W154" s="6" t="s">
        <v>166</v>
      </c>
      <c r="X154" s="6" t="s">
        <v>167</v>
      </c>
      <c r="Y154" s="0" t="str">
        <f aca="false">IF(EU154&lt;&gt;"Y","",COUNTIFS($EU$2:$EU$1000,"Y",$J$2:$J$1000,"&gt;"&amp;J154)+COUNTIFS($EU$2:$EU$1000,"Y",$J$2:$J$1000,J154,$EW$2:$EW$1000,"&lt;"&amp;EW154)+1)</f>
        <v/>
      </c>
      <c r="Z154" s="0" t="n">
        <v>153</v>
      </c>
      <c r="AA154" s="6" t="s">
        <v>162</v>
      </c>
      <c r="AD154" s="6" t="s">
        <v>158</v>
      </c>
      <c r="AH154" s="5" t="s">
        <v>158</v>
      </c>
      <c r="AI154" s="6" t="s">
        <v>2782</v>
      </c>
      <c r="AJ154" s="6" t="s">
        <v>163</v>
      </c>
      <c r="AK154" s="6" t="s">
        <v>178</v>
      </c>
      <c r="AL154" s="6" t="s">
        <v>163</v>
      </c>
      <c r="AM154" s="6" t="s">
        <v>163</v>
      </c>
      <c r="AN154" s="6" t="s">
        <v>158</v>
      </c>
      <c r="AO154" s="6" t="s">
        <v>163</v>
      </c>
      <c r="AP154" s="6" t="s">
        <v>2779</v>
      </c>
      <c r="AQ154" s="5" t="s">
        <v>162</v>
      </c>
      <c r="AT154" s="0" t="str">
        <f aca="false">IF(AND(AX154="pass",AQ154&lt;&gt;"Y",C154&lt;&gt;"",OR(AW154&lt;&gt;"Y",AV154="Y")),"Y","N")</f>
        <v>N</v>
      </c>
      <c r="AU154" s="0" t="str">
        <f aca="false">_xlfn.TEXTJOIN("; ",TRUE(),IF(AX154&lt;&gt;"pass","gated out",""),IF(AQ154="Y","on hold: "&amp;AR154,""),IF(C154="","no contact named on an opened page",""),IF(AND(AW154="Y",AV154&lt;&gt;"Y"),"Tuesday estimate band "&amp;L154&amp;": founder's call",""))</f>
        <v>no contact named on an opened page</v>
      </c>
      <c r="AW154" s="6" t="s">
        <v>162</v>
      </c>
      <c r="AX154" s="6" t="s">
        <v>181</v>
      </c>
      <c r="AY154" s="6" t="s">
        <v>182</v>
      </c>
      <c r="AZ154" s="6" t="s">
        <v>1</v>
      </c>
      <c r="BA154" s="6" t="s">
        <v>2783</v>
      </c>
      <c r="BB154" s="6" t="s">
        <v>2784</v>
      </c>
      <c r="BC154" s="6" t="s">
        <v>2785</v>
      </c>
      <c r="BD154" s="6" t="s">
        <v>163</v>
      </c>
      <c r="BF154" s="6" t="s">
        <v>163</v>
      </c>
      <c r="BG154" s="6" t="s">
        <v>163</v>
      </c>
      <c r="BH154" s="6" t="s">
        <v>2196</v>
      </c>
      <c r="BK154" s="6" t="s">
        <v>163</v>
      </c>
      <c r="BL154" s="6" t="s">
        <v>163</v>
      </c>
      <c r="BM154" s="6" t="s">
        <v>163</v>
      </c>
      <c r="BN154" s="6" t="s">
        <v>163</v>
      </c>
      <c r="BO154" s="6" t="s">
        <v>163</v>
      </c>
      <c r="BP154" s="6" t="s">
        <v>347</v>
      </c>
      <c r="BQ154" s="0" t="n">
        <v>40.740438</v>
      </c>
      <c r="BR154" s="0" t="n">
        <v>-73.990034</v>
      </c>
      <c r="BS154" s="6" t="s">
        <v>168</v>
      </c>
      <c r="BT154" s="0" t="n">
        <v>0</v>
      </c>
      <c r="BU154" s="6" t="s">
        <v>2786</v>
      </c>
      <c r="BV154" s="6" t="s">
        <v>2787</v>
      </c>
      <c r="BW154" s="6" t="s">
        <v>2781</v>
      </c>
      <c r="BX154" s="6" t="s">
        <v>2788</v>
      </c>
      <c r="BY154" s="6" t="s">
        <v>248</v>
      </c>
      <c r="CC154" s="6" t="s">
        <v>739</v>
      </c>
      <c r="CE154" s="6" t="s">
        <v>162</v>
      </c>
      <c r="CH154" s="6" t="s">
        <v>163</v>
      </c>
      <c r="CJ154" s="6" t="s">
        <v>163</v>
      </c>
      <c r="CK154" s="6" t="s">
        <v>162</v>
      </c>
      <c r="CL154" s="6" t="s">
        <v>163</v>
      </c>
      <c r="CO154" s="6" t="s">
        <v>163</v>
      </c>
      <c r="CQ154" s="6" t="s">
        <v>2197</v>
      </c>
      <c r="CR154" s="6" t="s">
        <v>206</v>
      </c>
      <c r="CS154" s="6" t="s">
        <v>163</v>
      </c>
      <c r="CT154" s="0" t="n">
        <v>34</v>
      </c>
      <c r="CU154" s="0" t="n">
        <v>7</v>
      </c>
      <c r="CV154" s="0" t="n">
        <v>8</v>
      </c>
      <c r="CW154" s="0" t="n">
        <v>6</v>
      </c>
      <c r="CX154" s="0" t="n">
        <v>13</v>
      </c>
      <c r="CY154" s="6" t="n">
        <f aca="false">IF(AH154="exact",10,IF(AH154="adjacent",5,0))</f>
        <v>0</v>
      </c>
      <c r="CZ154" s="6" t="n">
        <f aca="false">IF(R154="Y",15,0)</f>
        <v>0</v>
      </c>
      <c r="DF154" s="6" t="s">
        <v>158</v>
      </c>
      <c r="DG154" s="6" t="s">
        <v>211</v>
      </c>
      <c r="DK154" s="6" t="s">
        <v>2789</v>
      </c>
      <c r="DS154" s="6" t="s">
        <v>158</v>
      </c>
      <c r="DX154" s="6" t="s">
        <v>162</v>
      </c>
      <c r="ER154" s="0" t="str">
        <f aca="false">IF(ISNUMBER(MATCH(U154,{"queued","contacted","replied","call_booked","call_done","yes_in_principle","materials_sent"},0)),"Y","N")</f>
        <v>N</v>
      </c>
      <c r="ES154" s="0" t="str">
        <f aca="false">IF(COUNTIFS($AP$2:$AP$1000,AP154,$ER$2:$ER$1000,"Y")+COUNTIFS($AP$2:$AP$1000,AP154,$T$2:$T$1000,"Y")&gt;0,"Y","N")</f>
        <v>N</v>
      </c>
      <c r="ET154" s="0" t="str">
        <f aca="false">IF(AND(U154="new",T154="N",AT154="Y",AS154="",ES154="N"),"Y","N")</f>
        <v>N</v>
      </c>
      <c r="EU154" s="0" t="str">
        <f aca="false">IF(ET154&lt;&gt;"Y","N",IF(COUNTIFS($AP$2:$AP$1000,AP154,$ET$2:$ET$1000,"Y",$J$2:$J$1000,"&gt;"&amp;J154)+COUNTIFS($AP$2:$AP$1000,AP154,$ET$2:$ET$1000,"Y",$J$2:$J$1000,J154,$EW$2:$EW$1000,"&lt;"&amp;EW154)=0,"Y","N"))</f>
        <v>N</v>
      </c>
      <c r="EV154" s="0" t="str">
        <f aca="false">IF(Y154="","N",IF(Y154&lt;=10,"Y","N"))</f>
        <v>N</v>
      </c>
      <c r="EW154" s="6" t="n">
        <f aca="false">ROW()-1</f>
        <v>153</v>
      </c>
    </row>
    <row r="155" customFormat="false" ht="15" hidden="false" customHeight="false" outlineLevel="0" collapsed="false">
      <c r="A155" s="0" t="s">
        <v>2790</v>
      </c>
      <c r="B155" s="0" t="s">
        <v>2791</v>
      </c>
      <c r="H155" s="5" t="s">
        <v>158</v>
      </c>
      <c r="I155" s="5" t="s">
        <v>159</v>
      </c>
      <c r="J155" s="6" t="n">
        <f aca="false">IF(AX155="pass",ROUND(CU155+CV155+CW155+CX155+CY155+CZ155,1),0)</f>
        <v>34</v>
      </c>
      <c r="K155" s="6" t="s">
        <v>2573</v>
      </c>
      <c r="L155" s="6" t="s">
        <v>163</v>
      </c>
      <c r="R155" s="5" t="s">
        <v>162</v>
      </c>
      <c r="S155" s="6" t="s">
        <v>163</v>
      </c>
      <c r="T155" s="5" t="s">
        <v>162</v>
      </c>
      <c r="U155" s="5" t="s">
        <v>228</v>
      </c>
      <c r="V155" s="6" t="s">
        <v>2609</v>
      </c>
      <c r="W155" s="6" t="s">
        <v>166</v>
      </c>
      <c r="X155" s="6" t="s">
        <v>167</v>
      </c>
      <c r="Y155" s="0" t="str">
        <f aca="false">IF(EU155&lt;&gt;"Y","",COUNTIFS($EU$2:$EU$1000,"Y",$J$2:$J$1000,"&gt;"&amp;J155)+COUNTIFS($EU$2:$EU$1000,"Y",$J$2:$J$1000,J155,$EW$2:$EW$1000,"&lt;"&amp;EW155)+1)</f>
        <v/>
      </c>
      <c r="Z155" s="0" t="n">
        <v>154</v>
      </c>
      <c r="AA155" s="6" t="s">
        <v>162</v>
      </c>
      <c r="AD155" s="6" t="s">
        <v>158</v>
      </c>
      <c r="AH155" s="5" t="s">
        <v>158</v>
      </c>
      <c r="AI155" s="6" t="s">
        <v>2610</v>
      </c>
      <c r="AJ155" s="6" t="s">
        <v>163</v>
      </c>
      <c r="AK155" s="6" t="s">
        <v>178</v>
      </c>
      <c r="AL155" s="6" t="s">
        <v>163</v>
      </c>
      <c r="AM155" s="6" t="s">
        <v>163</v>
      </c>
      <c r="AN155" s="6" t="s">
        <v>158</v>
      </c>
      <c r="AO155" s="6" t="s">
        <v>163</v>
      </c>
      <c r="AP155" s="6" t="s">
        <v>2790</v>
      </c>
      <c r="AQ155" s="5" t="s">
        <v>162</v>
      </c>
      <c r="AT155" s="0" t="str">
        <f aca="false">IF(AND(AX155="pass",AQ155&lt;&gt;"Y",C155&lt;&gt;"",OR(AW155&lt;&gt;"Y",AV155="Y")),"Y","N")</f>
        <v>N</v>
      </c>
      <c r="AU155" s="0" t="str">
        <f aca="false">_xlfn.TEXTJOIN("; ",TRUE(),IF(AX155&lt;&gt;"pass","gated out",""),IF(AQ155="Y","on hold: "&amp;AR155,""),IF(C155="","no contact named on an opened page",""),IF(AND(AW155="Y",AV155&lt;&gt;"Y"),"Tuesday estimate band "&amp;L155&amp;": founder's call",""))</f>
        <v>no contact named on an opened page</v>
      </c>
      <c r="AW155" s="6" t="s">
        <v>162</v>
      </c>
      <c r="AX155" s="6" t="s">
        <v>181</v>
      </c>
      <c r="AY155" s="6" t="s">
        <v>182</v>
      </c>
      <c r="AZ155" s="6" t="s">
        <v>1</v>
      </c>
      <c r="BA155" s="6" t="s">
        <v>2792</v>
      </c>
      <c r="BB155" s="6" t="s">
        <v>163</v>
      </c>
      <c r="BC155" s="6" t="s">
        <v>2793</v>
      </c>
      <c r="BD155" s="6" t="s">
        <v>163</v>
      </c>
      <c r="BF155" s="6" t="s">
        <v>163</v>
      </c>
      <c r="BG155" s="6" t="s">
        <v>163</v>
      </c>
      <c r="BH155" s="6" t="s">
        <v>2196</v>
      </c>
      <c r="BK155" s="6" t="s">
        <v>163</v>
      </c>
      <c r="BL155" s="6" t="s">
        <v>163</v>
      </c>
      <c r="BM155" s="6" t="s">
        <v>163</v>
      </c>
      <c r="BN155" s="6" t="s">
        <v>163</v>
      </c>
      <c r="BO155" s="6" t="s">
        <v>163</v>
      </c>
      <c r="BP155" s="6" t="s">
        <v>378</v>
      </c>
      <c r="BQ155" s="0" t="n">
        <v>40.738186</v>
      </c>
      <c r="BR155" s="0" t="n">
        <v>-73.992429</v>
      </c>
      <c r="BS155" s="6" t="s">
        <v>168</v>
      </c>
      <c r="BT155" s="0" t="n">
        <v>0</v>
      </c>
      <c r="BU155" s="6" t="s">
        <v>2613</v>
      </c>
      <c r="BV155" s="6" t="s">
        <v>2610</v>
      </c>
      <c r="BW155" s="6" t="s">
        <v>2609</v>
      </c>
      <c r="BX155" s="6" t="s">
        <v>2614</v>
      </c>
      <c r="BY155" s="6" t="s">
        <v>248</v>
      </c>
      <c r="CC155" s="6" t="s">
        <v>739</v>
      </c>
      <c r="CE155" s="6" t="s">
        <v>162</v>
      </c>
      <c r="CH155" s="6" t="s">
        <v>163</v>
      </c>
      <c r="CJ155" s="6" t="s">
        <v>163</v>
      </c>
      <c r="CK155" s="6" t="s">
        <v>162</v>
      </c>
      <c r="CL155" s="6" t="s">
        <v>163</v>
      </c>
      <c r="CO155" s="6" t="s">
        <v>163</v>
      </c>
      <c r="CQ155" s="6" t="s">
        <v>2197</v>
      </c>
      <c r="CR155" s="6" t="s">
        <v>206</v>
      </c>
      <c r="CS155" s="6" t="s">
        <v>163</v>
      </c>
      <c r="CT155" s="0" t="n">
        <v>34</v>
      </c>
      <c r="CU155" s="0" t="n">
        <v>7</v>
      </c>
      <c r="CV155" s="0" t="n">
        <v>8</v>
      </c>
      <c r="CW155" s="0" t="n">
        <v>6</v>
      </c>
      <c r="CX155" s="0" t="n">
        <v>13</v>
      </c>
      <c r="CY155" s="6" t="n">
        <f aca="false">IF(AH155="exact",10,IF(AH155="adjacent",5,0))</f>
        <v>0</v>
      </c>
      <c r="CZ155" s="6" t="n">
        <f aca="false">IF(R155="Y",15,0)</f>
        <v>0</v>
      </c>
      <c r="DF155" s="6" t="s">
        <v>158</v>
      </c>
      <c r="DG155" s="6" t="s">
        <v>211</v>
      </c>
      <c r="DK155" s="6" t="s">
        <v>2794</v>
      </c>
      <c r="DS155" s="6" t="s">
        <v>158</v>
      </c>
      <c r="DX155" s="6" t="s">
        <v>162</v>
      </c>
      <c r="ER155" s="0" t="str">
        <f aca="false">IF(ISNUMBER(MATCH(U155,{"queued","contacted","replied","call_booked","call_done","yes_in_principle","materials_sent"},0)),"Y","N")</f>
        <v>N</v>
      </c>
      <c r="ES155" s="0" t="str">
        <f aca="false">IF(COUNTIFS($AP$2:$AP$1000,AP155,$ER$2:$ER$1000,"Y")+COUNTIFS($AP$2:$AP$1000,AP155,$T$2:$T$1000,"Y")&gt;0,"Y","N")</f>
        <v>N</v>
      </c>
      <c r="ET155" s="0" t="str">
        <f aca="false">IF(AND(U155="new",T155="N",AT155="Y",AS155="",ES155="N"),"Y","N")</f>
        <v>N</v>
      </c>
      <c r="EU155" s="0" t="str">
        <f aca="false">IF(ET155&lt;&gt;"Y","N",IF(COUNTIFS($AP$2:$AP$1000,AP155,$ET$2:$ET$1000,"Y",$J$2:$J$1000,"&gt;"&amp;J155)+COUNTIFS($AP$2:$AP$1000,AP155,$ET$2:$ET$1000,"Y",$J$2:$J$1000,J155,$EW$2:$EW$1000,"&lt;"&amp;EW155)=0,"Y","N"))</f>
        <v>N</v>
      </c>
      <c r="EV155" s="0" t="str">
        <f aca="false">IF(Y155="","N",IF(Y155&lt;=10,"Y","N"))</f>
        <v>N</v>
      </c>
      <c r="EW155" s="6" t="n">
        <f aca="false">ROW()-1</f>
        <v>154</v>
      </c>
    </row>
    <row r="156" customFormat="false" ht="15" hidden="false" customHeight="false" outlineLevel="0" collapsed="false">
      <c r="A156" s="0" t="s">
        <v>2795</v>
      </c>
      <c r="B156" s="0" t="s">
        <v>2796</v>
      </c>
      <c r="H156" s="5" t="s">
        <v>158</v>
      </c>
      <c r="I156" s="5" t="s">
        <v>159</v>
      </c>
      <c r="J156" s="6" t="n">
        <f aca="false">IF(AX156="pass",ROUND(CU156+CV156+CW156+CX156+CY156+CZ156,1),0)</f>
        <v>34</v>
      </c>
      <c r="K156" s="6" t="s">
        <v>2591</v>
      </c>
      <c r="L156" s="6" t="s">
        <v>163</v>
      </c>
      <c r="R156" s="5" t="s">
        <v>162</v>
      </c>
      <c r="S156" s="6" t="s">
        <v>163</v>
      </c>
      <c r="T156" s="5" t="s">
        <v>162</v>
      </c>
      <c r="U156" s="5" t="s">
        <v>228</v>
      </c>
      <c r="V156" s="6" t="s">
        <v>2797</v>
      </c>
      <c r="W156" s="6" t="s">
        <v>166</v>
      </c>
      <c r="X156" s="6" t="s">
        <v>167</v>
      </c>
      <c r="Y156" s="0" t="str">
        <f aca="false">IF(EU156&lt;&gt;"Y","",COUNTIFS($EU$2:$EU$1000,"Y",$J$2:$J$1000,"&gt;"&amp;J156)+COUNTIFS($EU$2:$EU$1000,"Y",$J$2:$J$1000,J156,$EW$2:$EW$1000,"&lt;"&amp;EW156)+1)</f>
        <v/>
      </c>
      <c r="Z156" s="0" t="n">
        <v>155</v>
      </c>
      <c r="AA156" s="6" t="s">
        <v>162</v>
      </c>
      <c r="AD156" s="6" t="s">
        <v>158</v>
      </c>
      <c r="AH156" s="5" t="s">
        <v>158</v>
      </c>
      <c r="AI156" s="6" t="s">
        <v>2798</v>
      </c>
      <c r="AJ156" s="6" t="s">
        <v>163</v>
      </c>
      <c r="AK156" s="6" t="s">
        <v>2228</v>
      </c>
      <c r="AL156" s="6" t="s">
        <v>163</v>
      </c>
      <c r="AM156" s="6" t="s">
        <v>163</v>
      </c>
      <c r="AN156" s="6" t="s">
        <v>158</v>
      </c>
      <c r="AO156" s="6" t="s">
        <v>163</v>
      </c>
      <c r="AP156" s="6" t="s">
        <v>2799</v>
      </c>
      <c r="AQ156" s="5" t="s">
        <v>162</v>
      </c>
      <c r="AT156" s="0" t="str">
        <f aca="false">IF(AND(AX156="pass",AQ156&lt;&gt;"Y",C156&lt;&gt;"",OR(AW156&lt;&gt;"Y",AV156="Y")),"Y","N")</f>
        <v>N</v>
      </c>
      <c r="AU156" s="0" t="str">
        <f aca="false">_xlfn.TEXTJOIN("; ",TRUE(),IF(AX156&lt;&gt;"pass","gated out",""),IF(AQ156="Y","on hold: "&amp;AR156,""),IF(C156="","no contact named on an opened page",""),IF(AND(AW156="Y",AV156&lt;&gt;"Y"),"Tuesday estimate band "&amp;L156&amp;": founder's call",""))</f>
        <v>no contact named on an opened page</v>
      </c>
      <c r="AW156" s="6" t="s">
        <v>162</v>
      </c>
      <c r="AX156" s="6" t="s">
        <v>181</v>
      </c>
      <c r="AY156" s="6" t="s">
        <v>182</v>
      </c>
      <c r="AZ156" s="6" t="s">
        <v>2229</v>
      </c>
      <c r="BA156" s="6" t="s">
        <v>2800</v>
      </c>
      <c r="BB156" s="6" t="s">
        <v>2801</v>
      </c>
      <c r="BC156" s="6" t="s">
        <v>2232</v>
      </c>
      <c r="BD156" s="6" t="s">
        <v>163</v>
      </c>
      <c r="BF156" s="6" t="s">
        <v>163</v>
      </c>
      <c r="BG156" s="6" t="s">
        <v>163</v>
      </c>
      <c r="BK156" s="6" t="s">
        <v>163</v>
      </c>
      <c r="BL156" s="6" t="s">
        <v>2233</v>
      </c>
      <c r="BM156" s="6" t="s">
        <v>163</v>
      </c>
      <c r="BN156" s="6" t="s">
        <v>2802</v>
      </c>
      <c r="BP156" s="6" t="s">
        <v>378</v>
      </c>
      <c r="BQ156" s="0" t="n">
        <v>40.738939</v>
      </c>
      <c r="BR156" s="0" t="n">
        <v>-73.993331</v>
      </c>
      <c r="BS156" s="6" t="s">
        <v>168</v>
      </c>
      <c r="BT156" s="0" t="n">
        <v>0</v>
      </c>
      <c r="BU156" s="6" t="s">
        <v>2803</v>
      </c>
      <c r="BV156" s="6" t="s">
        <v>2804</v>
      </c>
      <c r="BW156" s="6" t="s">
        <v>2797</v>
      </c>
      <c r="BX156" s="6" t="s">
        <v>166</v>
      </c>
      <c r="BY156" s="6" t="s">
        <v>2237</v>
      </c>
      <c r="CC156" s="6" t="s">
        <v>739</v>
      </c>
      <c r="CE156" s="6" t="s">
        <v>162</v>
      </c>
      <c r="CF156" s="6" t="s">
        <v>2800</v>
      </c>
      <c r="CG156" s="6" t="s">
        <v>2239</v>
      </c>
      <c r="CH156" s="6" t="s">
        <v>163</v>
      </c>
      <c r="CJ156" s="6" t="s">
        <v>163</v>
      </c>
      <c r="CK156" s="6" t="s">
        <v>162</v>
      </c>
      <c r="CL156" s="6" t="s">
        <v>163</v>
      </c>
      <c r="CO156" s="6" t="s">
        <v>163</v>
      </c>
      <c r="CQ156" s="6" t="s">
        <v>2240</v>
      </c>
      <c r="CR156" s="6" t="s">
        <v>206</v>
      </c>
      <c r="CS156" s="6" t="s">
        <v>163</v>
      </c>
      <c r="CT156" s="0" t="n">
        <v>34</v>
      </c>
      <c r="CU156" s="0" t="n">
        <v>7</v>
      </c>
      <c r="CV156" s="0" t="n">
        <v>8</v>
      </c>
      <c r="CW156" s="0" t="n">
        <v>6</v>
      </c>
      <c r="CX156" s="0" t="n">
        <v>13</v>
      </c>
      <c r="CY156" s="6" t="n">
        <f aca="false">IF(AH156="exact",10,IF(AH156="adjacent",5,0))</f>
        <v>0</v>
      </c>
      <c r="CZ156" s="6" t="n">
        <f aca="false">IF(R156="Y",15,0)</f>
        <v>0</v>
      </c>
      <c r="DF156" s="6" t="s">
        <v>158</v>
      </c>
      <c r="DG156" s="6" t="s">
        <v>2229</v>
      </c>
      <c r="DK156" s="6" t="s">
        <v>2805</v>
      </c>
      <c r="DS156" s="6" t="s">
        <v>158</v>
      </c>
      <c r="DX156" s="6" t="s">
        <v>162</v>
      </c>
      <c r="DZ156" s="6" t="s">
        <v>2806</v>
      </c>
      <c r="ER156" s="0" t="str">
        <f aca="false">IF(ISNUMBER(MATCH(U156,{"queued","contacted","replied","call_booked","call_done","yes_in_principle","materials_sent"},0)),"Y","N")</f>
        <v>N</v>
      </c>
      <c r="ES156" s="0" t="str">
        <f aca="false">IF(COUNTIFS($AP$2:$AP$1000,AP156,$ER$2:$ER$1000,"Y")+COUNTIFS($AP$2:$AP$1000,AP156,$T$2:$T$1000,"Y")&gt;0,"Y","N")</f>
        <v>N</v>
      </c>
      <c r="ET156" s="0" t="str">
        <f aca="false">IF(AND(U156="new",T156="N",AT156="Y",AS156="",ES156="N"),"Y","N")</f>
        <v>N</v>
      </c>
      <c r="EU156" s="0" t="str">
        <f aca="false">IF(ET156&lt;&gt;"Y","N",IF(COUNTIFS($AP$2:$AP$1000,AP156,$ET$2:$ET$1000,"Y",$J$2:$J$1000,"&gt;"&amp;J156)+COUNTIFS($AP$2:$AP$1000,AP156,$ET$2:$ET$1000,"Y",$J$2:$J$1000,J156,$EW$2:$EW$1000,"&lt;"&amp;EW156)=0,"Y","N"))</f>
        <v>N</v>
      </c>
      <c r="EV156" s="0" t="str">
        <f aca="false">IF(Y156="","N",IF(Y156&lt;=10,"Y","N"))</f>
        <v>N</v>
      </c>
      <c r="EW156" s="6" t="n">
        <f aca="false">ROW()-1</f>
        <v>155</v>
      </c>
    </row>
    <row r="157" customFormat="false" ht="15" hidden="false" customHeight="false" outlineLevel="0" collapsed="false">
      <c r="A157" s="0" t="s">
        <v>2807</v>
      </c>
      <c r="B157" s="0" t="s">
        <v>2808</v>
      </c>
      <c r="H157" s="5" t="s">
        <v>158</v>
      </c>
      <c r="I157" s="5" t="s">
        <v>159</v>
      </c>
      <c r="J157" s="6" t="n">
        <f aca="false">IF(AX157="pass",ROUND(CU157+CV157+CW157+CX157+CY157+CZ157,1),0)</f>
        <v>34</v>
      </c>
      <c r="K157" s="6" t="s">
        <v>2591</v>
      </c>
      <c r="L157" s="6" t="s">
        <v>163</v>
      </c>
      <c r="R157" s="5" t="s">
        <v>162</v>
      </c>
      <c r="S157" s="6" t="s">
        <v>163</v>
      </c>
      <c r="T157" s="5" t="s">
        <v>162</v>
      </c>
      <c r="U157" s="5" t="s">
        <v>228</v>
      </c>
      <c r="V157" s="6" t="s">
        <v>2809</v>
      </c>
      <c r="W157" s="6" t="s">
        <v>166</v>
      </c>
      <c r="X157" s="6" t="s">
        <v>167</v>
      </c>
      <c r="Y157" s="0" t="str">
        <f aca="false">IF(EU157&lt;&gt;"Y","",COUNTIFS($EU$2:$EU$1000,"Y",$J$2:$J$1000,"&gt;"&amp;J157)+COUNTIFS($EU$2:$EU$1000,"Y",$J$2:$J$1000,J157,$EW$2:$EW$1000,"&lt;"&amp;EW157)+1)</f>
        <v/>
      </c>
      <c r="Z157" s="0" t="n">
        <v>156</v>
      </c>
      <c r="AA157" s="6" t="s">
        <v>162</v>
      </c>
      <c r="AD157" s="6" t="s">
        <v>158</v>
      </c>
      <c r="AH157" s="5" t="s">
        <v>158</v>
      </c>
      <c r="AI157" s="6" t="s">
        <v>2810</v>
      </c>
      <c r="AJ157" s="6" t="s">
        <v>163</v>
      </c>
      <c r="AK157" s="6" t="s">
        <v>2228</v>
      </c>
      <c r="AL157" s="6" t="s">
        <v>163</v>
      </c>
      <c r="AM157" s="6" t="s">
        <v>163</v>
      </c>
      <c r="AN157" s="6" t="s">
        <v>158</v>
      </c>
      <c r="AO157" s="6" t="s">
        <v>163</v>
      </c>
      <c r="AP157" s="6" t="s">
        <v>2799</v>
      </c>
      <c r="AQ157" s="5" t="s">
        <v>162</v>
      </c>
      <c r="AT157" s="0" t="str">
        <f aca="false">IF(AND(AX157="pass",AQ157&lt;&gt;"Y",C157&lt;&gt;"",OR(AW157&lt;&gt;"Y",AV157="Y")),"Y","N")</f>
        <v>N</v>
      </c>
      <c r="AU157" s="0" t="str">
        <f aca="false">_xlfn.TEXTJOIN("; ",TRUE(),IF(AX157&lt;&gt;"pass","gated out",""),IF(AQ157="Y","on hold: "&amp;AR157,""),IF(C157="","no contact named on an opened page",""),IF(AND(AW157="Y",AV157&lt;&gt;"Y"),"Tuesday estimate band "&amp;L157&amp;": founder's call",""))</f>
        <v>no contact named on an opened page</v>
      </c>
      <c r="AW157" s="6" t="s">
        <v>162</v>
      </c>
      <c r="AX157" s="6" t="s">
        <v>181</v>
      </c>
      <c r="AY157" s="6" t="s">
        <v>182</v>
      </c>
      <c r="AZ157" s="6" t="s">
        <v>2229</v>
      </c>
      <c r="BA157" s="6" t="s">
        <v>2811</v>
      </c>
      <c r="BB157" s="6" t="s">
        <v>2801</v>
      </c>
      <c r="BC157" s="6" t="s">
        <v>2232</v>
      </c>
      <c r="BD157" s="6" t="s">
        <v>163</v>
      </c>
      <c r="BF157" s="6" t="s">
        <v>163</v>
      </c>
      <c r="BG157" s="6" t="s">
        <v>163</v>
      </c>
      <c r="BK157" s="6" t="s">
        <v>163</v>
      </c>
      <c r="BL157" s="6" t="s">
        <v>2233</v>
      </c>
      <c r="BM157" s="6" t="s">
        <v>163</v>
      </c>
      <c r="BN157" s="6" t="s">
        <v>2802</v>
      </c>
      <c r="BP157" s="6" t="s">
        <v>244</v>
      </c>
      <c r="BQ157" s="0" t="n">
        <v>40.744997</v>
      </c>
      <c r="BR157" s="0" t="n">
        <v>-73.983237</v>
      </c>
      <c r="BS157" s="6" t="s">
        <v>168</v>
      </c>
      <c r="BT157" s="0" t="n">
        <v>0</v>
      </c>
      <c r="BU157" s="6" t="s">
        <v>2812</v>
      </c>
      <c r="BV157" s="6" t="s">
        <v>2813</v>
      </c>
      <c r="BW157" s="6" t="s">
        <v>2809</v>
      </c>
      <c r="BX157" s="6" t="s">
        <v>166</v>
      </c>
      <c r="BY157" s="6" t="s">
        <v>2237</v>
      </c>
      <c r="CC157" s="6" t="s">
        <v>739</v>
      </c>
      <c r="CE157" s="6" t="s">
        <v>162</v>
      </c>
      <c r="CF157" s="6" t="s">
        <v>2811</v>
      </c>
      <c r="CG157" s="6" t="s">
        <v>2239</v>
      </c>
      <c r="CH157" s="6" t="s">
        <v>163</v>
      </c>
      <c r="CJ157" s="6" t="s">
        <v>163</v>
      </c>
      <c r="CK157" s="6" t="s">
        <v>162</v>
      </c>
      <c r="CL157" s="6" t="s">
        <v>163</v>
      </c>
      <c r="CO157" s="6" t="s">
        <v>163</v>
      </c>
      <c r="CQ157" s="6" t="s">
        <v>2240</v>
      </c>
      <c r="CR157" s="6" t="s">
        <v>206</v>
      </c>
      <c r="CS157" s="6" t="s">
        <v>163</v>
      </c>
      <c r="CT157" s="0" t="n">
        <v>34</v>
      </c>
      <c r="CU157" s="0" t="n">
        <v>7</v>
      </c>
      <c r="CV157" s="0" t="n">
        <v>8</v>
      </c>
      <c r="CW157" s="0" t="n">
        <v>6</v>
      </c>
      <c r="CX157" s="0" t="n">
        <v>13</v>
      </c>
      <c r="CY157" s="6" t="n">
        <f aca="false">IF(AH157="exact",10,IF(AH157="adjacent",5,0))</f>
        <v>0</v>
      </c>
      <c r="CZ157" s="6" t="n">
        <f aca="false">IF(R157="Y",15,0)</f>
        <v>0</v>
      </c>
      <c r="DF157" s="6" t="s">
        <v>158</v>
      </c>
      <c r="DG157" s="6" t="s">
        <v>2229</v>
      </c>
      <c r="DK157" s="6" t="s">
        <v>2814</v>
      </c>
      <c r="DS157" s="6" t="s">
        <v>158</v>
      </c>
      <c r="DX157" s="6" t="s">
        <v>162</v>
      </c>
      <c r="DZ157" s="6" t="s">
        <v>2815</v>
      </c>
      <c r="ER157" s="0" t="str">
        <f aca="false">IF(ISNUMBER(MATCH(U157,{"queued","contacted","replied","call_booked","call_done","yes_in_principle","materials_sent"},0)),"Y","N")</f>
        <v>N</v>
      </c>
      <c r="ES157" s="0" t="str">
        <f aca="false">IF(COUNTIFS($AP$2:$AP$1000,AP157,$ER$2:$ER$1000,"Y")+COUNTIFS($AP$2:$AP$1000,AP157,$T$2:$T$1000,"Y")&gt;0,"Y","N")</f>
        <v>N</v>
      </c>
      <c r="ET157" s="0" t="str">
        <f aca="false">IF(AND(U157="new",T157="N",AT157="Y",AS157="",ES157="N"),"Y","N")</f>
        <v>N</v>
      </c>
      <c r="EU157" s="0" t="str">
        <f aca="false">IF(ET157&lt;&gt;"Y","N",IF(COUNTIFS($AP$2:$AP$1000,AP157,$ET$2:$ET$1000,"Y",$J$2:$J$1000,"&gt;"&amp;J157)+COUNTIFS($AP$2:$AP$1000,AP157,$ET$2:$ET$1000,"Y",$J$2:$J$1000,J157,$EW$2:$EW$1000,"&lt;"&amp;EW157)=0,"Y","N"))</f>
        <v>N</v>
      </c>
      <c r="EV157" s="0" t="str">
        <f aca="false">IF(Y157="","N",IF(Y157&lt;=10,"Y","N"))</f>
        <v>N</v>
      </c>
      <c r="EW157" s="6" t="n">
        <f aca="false">ROW()-1</f>
        <v>156</v>
      </c>
    </row>
    <row r="158" customFormat="false" ht="15" hidden="false" customHeight="false" outlineLevel="0" collapsed="false">
      <c r="A158" s="0" t="s">
        <v>2816</v>
      </c>
      <c r="B158" s="0" t="s">
        <v>2817</v>
      </c>
      <c r="H158" s="5" t="s">
        <v>158</v>
      </c>
      <c r="I158" s="5" t="s">
        <v>159</v>
      </c>
      <c r="J158" s="6" t="n">
        <f aca="false">IF(AX158="pass",ROUND(CU158+CV158+CW158+CX158+CY158+CZ158,1),0)</f>
        <v>34</v>
      </c>
      <c r="K158" s="6" t="s">
        <v>2573</v>
      </c>
      <c r="L158" s="6" t="s">
        <v>163</v>
      </c>
      <c r="R158" s="5" t="s">
        <v>162</v>
      </c>
      <c r="S158" s="6" t="s">
        <v>163</v>
      </c>
      <c r="T158" s="5" t="s">
        <v>162</v>
      </c>
      <c r="U158" s="5" t="s">
        <v>228</v>
      </c>
      <c r="V158" s="6" t="s">
        <v>2818</v>
      </c>
      <c r="W158" s="6" t="s">
        <v>166</v>
      </c>
      <c r="X158" s="6" t="s">
        <v>167</v>
      </c>
      <c r="Y158" s="0" t="str">
        <f aca="false">IF(EU158&lt;&gt;"Y","",COUNTIFS($EU$2:$EU$1000,"Y",$J$2:$J$1000,"&gt;"&amp;J158)+COUNTIFS($EU$2:$EU$1000,"Y",$J$2:$J$1000,J158,$EW$2:$EW$1000,"&lt;"&amp;EW158)+1)</f>
        <v/>
      </c>
      <c r="Z158" s="0" t="n">
        <v>157</v>
      </c>
      <c r="AA158" s="6" t="s">
        <v>162</v>
      </c>
      <c r="AD158" s="6" t="s">
        <v>158</v>
      </c>
      <c r="AH158" s="5" t="s">
        <v>158</v>
      </c>
      <c r="AI158" s="6" t="s">
        <v>1433</v>
      </c>
      <c r="AJ158" s="6" t="s">
        <v>1365</v>
      </c>
      <c r="AK158" s="6" t="s">
        <v>178</v>
      </c>
      <c r="AL158" s="6" t="s">
        <v>163</v>
      </c>
      <c r="AM158" s="6" t="s">
        <v>163</v>
      </c>
      <c r="AN158" s="6" t="s">
        <v>158</v>
      </c>
      <c r="AO158" s="6" t="s">
        <v>163</v>
      </c>
      <c r="AP158" s="6" t="s">
        <v>2816</v>
      </c>
      <c r="AQ158" s="5" t="s">
        <v>162</v>
      </c>
      <c r="AT158" s="0" t="str">
        <f aca="false">IF(AND(AX158="pass",AQ158&lt;&gt;"Y",C158&lt;&gt;"",OR(AW158&lt;&gt;"Y",AV158="Y")),"Y","N")</f>
        <v>N</v>
      </c>
      <c r="AU158" s="0" t="str">
        <f aca="false">_xlfn.TEXTJOIN("; ",TRUE(),IF(AX158&lt;&gt;"pass","gated out",""),IF(AQ158="Y","on hold: "&amp;AR158,""),IF(C158="","no contact named on an opened page",""),IF(AND(AW158="Y",AV158&lt;&gt;"Y"),"Tuesday estimate band "&amp;L158&amp;": founder's call",""))</f>
        <v>no contact named on an opened page</v>
      </c>
      <c r="AW158" s="6" t="s">
        <v>162</v>
      </c>
      <c r="AX158" s="6" t="s">
        <v>181</v>
      </c>
      <c r="AY158" s="6" t="s">
        <v>182</v>
      </c>
      <c r="AZ158" s="6" t="s">
        <v>1</v>
      </c>
      <c r="BA158" s="6" t="s">
        <v>2819</v>
      </c>
      <c r="BB158" s="6" t="s">
        <v>2820</v>
      </c>
      <c r="BC158" s="6" t="s">
        <v>2821</v>
      </c>
      <c r="BD158" s="6" t="s">
        <v>163</v>
      </c>
      <c r="BF158" s="6" t="s">
        <v>163</v>
      </c>
      <c r="BG158" s="6" t="s">
        <v>163</v>
      </c>
      <c r="BH158" s="6" t="s">
        <v>2196</v>
      </c>
      <c r="BK158" s="6" t="s">
        <v>163</v>
      </c>
      <c r="BL158" s="6" t="s">
        <v>163</v>
      </c>
      <c r="BM158" s="6" t="s">
        <v>163</v>
      </c>
      <c r="BN158" s="6" t="s">
        <v>163</v>
      </c>
      <c r="BO158" s="6" t="s">
        <v>163</v>
      </c>
      <c r="BP158" s="6" t="s">
        <v>347</v>
      </c>
      <c r="BQ158" s="0" t="n">
        <v>40.739363</v>
      </c>
      <c r="BR158" s="0" t="n">
        <v>-73.989534</v>
      </c>
      <c r="BS158" s="6" t="s">
        <v>168</v>
      </c>
      <c r="BT158" s="0" t="n">
        <v>0</v>
      </c>
      <c r="BU158" s="6" t="s">
        <v>1442</v>
      </c>
      <c r="BV158" s="6" t="s">
        <v>1443</v>
      </c>
      <c r="BW158" s="6" t="s">
        <v>2818</v>
      </c>
      <c r="BX158" s="6" t="s">
        <v>2822</v>
      </c>
      <c r="BY158" s="6" t="s">
        <v>248</v>
      </c>
      <c r="BZ158" s="6" t="s">
        <v>2823</v>
      </c>
      <c r="CA158" s="6" t="s">
        <v>2824</v>
      </c>
      <c r="CC158" s="6" t="s">
        <v>739</v>
      </c>
      <c r="CE158" s="6" t="s">
        <v>162</v>
      </c>
      <c r="CH158" s="6" t="s">
        <v>201</v>
      </c>
      <c r="CI158" s="6" t="s">
        <v>1445</v>
      </c>
      <c r="CJ158" s="6" t="s">
        <v>163</v>
      </c>
      <c r="CK158" s="6" t="s">
        <v>162</v>
      </c>
      <c r="CL158" s="6" t="s">
        <v>163</v>
      </c>
      <c r="CO158" s="6" t="s">
        <v>163</v>
      </c>
      <c r="CQ158" s="6" t="s">
        <v>2197</v>
      </c>
      <c r="CR158" s="6" t="s">
        <v>206</v>
      </c>
      <c r="CS158" s="6" t="s">
        <v>163</v>
      </c>
      <c r="CT158" s="0" t="n">
        <v>34</v>
      </c>
      <c r="CU158" s="0" t="n">
        <v>7</v>
      </c>
      <c r="CV158" s="0" t="n">
        <v>8</v>
      </c>
      <c r="CW158" s="0" t="n">
        <v>6</v>
      </c>
      <c r="CX158" s="0" t="n">
        <v>13</v>
      </c>
      <c r="CY158" s="6" t="n">
        <f aca="false">IF(AH158="exact",10,IF(AH158="adjacent",5,0))</f>
        <v>0</v>
      </c>
      <c r="CZ158" s="6" t="n">
        <f aca="false">IF(R158="Y",15,0)</f>
        <v>0</v>
      </c>
      <c r="DF158" s="6" t="s">
        <v>158</v>
      </c>
      <c r="DG158" s="6" t="s">
        <v>211</v>
      </c>
      <c r="DJ158" s="6" t="s">
        <v>2825</v>
      </c>
      <c r="DK158" s="6" t="s">
        <v>2826</v>
      </c>
      <c r="DS158" s="6" t="s">
        <v>158</v>
      </c>
      <c r="DX158" s="6" t="s">
        <v>162</v>
      </c>
      <c r="ER158" s="0" t="str">
        <f aca="false">IF(ISNUMBER(MATCH(U158,{"queued","contacted","replied","call_booked","call_done","yes_in_principle","materials_sent"},0)),"Y","N")</f>
        <v>N</v>
      </c>
      <c r="ES158" s="0" t="str">
        <f aca="false">IF(COUNTIFS($AP$2:$AP$1000,AP158,$ER$2:$ER$1000,"Y")+COUNTIFS($AP$2:$AP$1000,AP158,$T$2:$T$1000,"Y")&gt;0,"Y","N")</f>
        <v>N</v>
      </c>
      <c r="ET158" s="0" t="str">
        <f aca="false">IF(AND(U158="new",T158="N",AT158="Y",AS158="",ES158="N"),"Y","N")</f>
        <v>N</v>
      </c>
      <c r="EU158" s="0" t="str">
        <f aca="false">IF(ET158&lt;&gt;"Y","N",IF(COUNTIFS($AP$2:$AP$1000,AP158,$ET$2:$ET$1000,"Y",$J$2:$J$1000,"&gt;"&amp;J158)+COUNTIFS($AP$2:$AP$1000,AP158,$ET$2:$ET$1000,"Y",$J$2:$J$1000,J158,$EW$2:$EW$1000,"&lt;"&amp;EW158)=0,"Y","N"))</f>
        <v>N</v>
      </c>
      <c r="EV158" s="0" t="str">
        <f aca="false">IF(Y158="","N",IF(Y158&lt;=10,"Y","N"))</f>
        <v>N</v>
      </c>
      <c r="EW158" s="6" t="n">
        <f aca="false">ROW()-1</f>
        <v>157</v>
      </c>
    </row>
    <row r="159" customFormat="false" ht="15" hidden="false" customHeight="false" outlineLevel="0" collapsed="false">
      <c r="A159" s="0" t="s">
        <v>2827</v>
      </c>
      <c r="B159" s="0" t="s">
        <v>2828</v>
      </c>
      <c r="H159" s="5" t="s">
        <v>158</v>
      </c>
      <c r="I159" s="5" t="s">
        <v>159</v>
      </c>
      <c r="J159" s="6" t="n">
        <f aca="false">IF(AX159="pass",ROUND(CU159+CV159+CW159+CX159+CY159+CZ159,1),0)</f>
        <v>33.8</v>
      </c>
      <c r="K159" s="6" t="s">
        <v>2829</v>
      </c>
      <c r="L159" s="6" t="s">
        <v>395</v>
      </c>
      <c r="R159" s="5" t="s">
        <v>162</v>
      </c>
      <c r="S159" s="6" t="s">
        <v>163</v>
      </c>
      <c r="T159" s="5" t="s">
        <v>162</v>
      </c>
      <c r="U159" s="5" t="s">
        <v>228</v>
      </c>
      <c r="V159" s="6" t="s">
        <v>1750</v>
      </c>
      <c r="W159" s="6" t="s">
        <v>166</v>
      </c>
      <c r="X159" s="6" t="s">
        <v>167</v>
      </c>
      <c r="Y159" s="0" t="str">
        <f aca="false">IF(EU159&lt;&gt;"Y","",COUNTIFS($EU$2:$EU$1000,"Y",$J$2:$J$1000,"&gt;"&amp;J159)+COUNTIFS($EU$2:$EU$1000,"Y",$J$2:$J$1000,J159,$EW$2:$EW$1000,"&lt;"&amp;EW159)+1)</f>
        <v/>
      </c>
      <c r="Z159" s="0" t="n">
        <v>158</v>
      </c>
      <c r="AA159" s="6" t="s">
        <v>162</v>
      </c>
      <c r="AD159" s="6" t="s">
        <v>158</v>
      </c>
      <c r="AH159" s="5" t="s">
        <v>158</v>
      </c>
      <c r="AI159" s="6" t="s">
        <v>1751</v>
      </c>
      <c r="AJ159" s="6" t="s">
        <v>472</v>
      </c>
      <c r="AK159" s="6" t="s">
        <v>435</v>
      </c>
      <c r="AL159" s="0" t="n">
        <v>4</v>
      </c>
      <c r="AM159" s="0" t="n">
        <v>729</v>
      </c>
      <c r="AN159" s="6" t="s">
        <v>179</v>
      </c>
      <c r="AO159" s="6" t="s">
        <v>180</v>
      </c>
      <c r="AP159" s="6" t="s">
        <v>2827</v>
      </c>
      <c r="AQ159" s="5" t="s">
        <v>162</v>
      </c>
      <c r="AT159" s="0" t="str">
        <f aca="false">IF(AND(AX159="pass",AQ159&lt;&gt;"Y",C159&lt;&gt;"",OR(AW159&lt;&gt;"Y",AV159="Y")),"Y","N")</f>
        <v>N</v>
      </c>
      <c r="AU159" s="0" t="str">
        <f aca="false">_xlfn.TEXTJOIN("; ",TRUE(),IF(AX159&lt;&gt;"pass","gated out",""),IF(AQ159="Y","on hold: "&amp;AR159,""),IF(C159="","no contact named on an opened page",""),IF(AND(AW159="Y",AV159&lt;&gt;"Y"),"Tuesday estimate band "&amp;L159&amp;": founder's call",""))</f>
        <v>no contact named on an opened page</v>
      </c>
      <c r="AW159" s="6" t="s">
        <v>162</v>
      </c>
      <c r="AX159" s="6" t="s">
        <v>181</v>
      </c>
      <c r="AY159" s="6" t="s">
        <v>182</v>
      </c>
      <c r="AZ159" s="6" t="s">
        <v>1</v>
      </c>
      <c r="BA159" s="6" t="s">
        <v>2830</v>
      </c>
      <c r="BB159" s="6" t="s">
        <v>2831</v>
      </c>
      <c r="BC159" s="6" t="s">
        <v>2832</v>
      </c>
      <c r="BD159" s="6" t="s">
        <v>2833</v>
      </c>
      <c r="BE159" s="6" t="s">
        <v>278</v>
      </c>
      <c r="BF159" s="6" t="s">
        <v>1323</v>
      </c>
      <c r="BG159" s="6" t="s">
        <v>188</v>
      </c>
      <c r="BH159" s="6" t="s">
        <v>1324</v>
      </c>
      <c r="BI159" s="6" t="s">
        <v>2834</v>
      </c>
      <c r="BJ159" s="6" t="s">
        <v>2835</v>
      </c>
      <c r="BK159" s="6" t="s">
        <v>1440</v>
      </c>
      <c r="BL159" s="6" t="s">
        <v>656</v>
      </c>
      <c r="BM159" s="6" t="s">
        <v>162</v>
      </c>
      <c r="BN159" s="6" t="s">
        <v>163</v>
      </c>
      <c r="BO159" s="6" t="s">
        <v>163</v>
      </c>
      <c r="BP159" s="6" t="s">
        <v>378</v>
      </c>
      <c r="BQ159" s="0" t="n">
        <v>40.738405</v>
      </c>
      <c r="BR159" s="0" t="n">
        <v>-73.99394</v>
      </c>
      <c r="BS159" s="6" t="s">
        <v>168</v>
      </c>
      <c r="BT159" s="0" t="n">
        <v>0</v>
      </c>
      <c r="BU159" s="6" t="s">
        <v>1758</v>
      </c>
      <c r="BV159" s="6" t="s">
        <v>1751</v>
      </c>
      <c r="BW159" s="6" t="s">
        <v>1750</v>
      </c>
      <c r="BX159" s="6" t="s">
        <v>1759</v>
      </c>
      <c r="BY159" s="6" t="s">
        <v>248</v>
      </c>
      <c r="CC159" s="6" t="s">
        <v>739</v>
      </c>
      <c r="CE159" s="6" t="s">
        <v>162</v>
      </c>
      <c r="CH159" s="6" t="s">
        <v>163</v>
      </c>
      <c r="CJ159" s="6" t="s">
        <v>163</v>
      </c>
      <c r="CK159" s="6" t="s">
        <v>162</v>
      </c>
      <c r="CL159" s="6" t="s">
        <v>449</v>
      </c>
      <c r="CM159" s="6" t="s">
        <v>2836</v>
      </c>
      <c r="CN159" s="6" t="s">
        <v>174</v>
      </c>
      <c r="CO159" s="0" t="n">
        <v>54</v>
      </c>
      <c r="CP159" s="6" t="s">
        <v>768</v>
      </c>
      <c r="CQ159" s="6" t="s">
        <v>2837</v>
      </c>
      <c r="CR159" s="6" t="s">
        <v>206</v>
      </c>
      <c r="CS159" s="0" t="n">
        <v>0.35</v>
      </c>
      <c r="CT159" s="0" t="n">
        <v>33.8</v>
      </c>
      <c r="CU159" s="0" t="n">
        <v>8.8</v>
      </c>
      <c r="CV159" s="0" t="n">
        <v>2</v>
      </c>
      <c r="CW159" s="0" t="n">
        <v>15</v>
      </c>
      <c r="CX159" s="0" t="n">
        <v>8</v>
      </c>
      <c r="CY159" s="6" t="n">
        <f aca="false">IF(AH159="exact",10,IF(AH159="adjacent",5,0))</f>
        <v>0</v>
      </c>
      <c r="CZ159" s="6" t="n">
        <f aca="false">IF(R159="Y",15,0)</f>
        <v>0</v>
      </c>
      <c r="DF159" s="6" t="s">
        <v>158</v>
      </c>
      <c r="DG159" s="6" t="s">
        <v>1336</v>
      </c>
      <c r="DH159" s="6" t="s">
        <v>1447</v>
      </c>
      <c r="DI159" s="6" t="s">
        <v>168</v>
      </c>
      <c r="DJ159" s="6" t="s">
        <v>1590</v>
      </c>
      <c r="DK159" s="6" t="s">
        <v>2838</v>
      </c>
      <c r="DS159" s="6" t="s">
        <v>158</v>
      </c>
      <c r="DX159" s="6" t="s">
        <v>162</v>
      </c>
      <c r="ER159" s="0" t="str">
        <f aca="false">IF(ISNUMBER(MATCH(U159,{"queued","contacted","replied","call_booked","call_done","yes_in_principle","materials_sent"},0)),"Y","N")</f>
        <v>N</v>
      </c>
      <c r="ES159" s="0" t="str">
        <f aca="false">IF(COUNTIFS($AP$2:$AP$1000,AP159,$ER$2:$ER$1000,"Y")+COUNTIFS($AP$2:$AP$1000,AP159,$T$2:$T$1000,"Y")&gt;0,"Y","N")</f>
        <v>N</v>
      </c>
      <c r="ET159" s="0" t="str">
        <f aca="false">IF(AND(U159="new",T159="N",AT159="Y",AS159="",ES159="N"),"Y","N")</f>
        <v>N</v>
      </c>
      <c r="EU159" s="0" t="str">
        <f aca="false">IF(ET159&lt;&gt;"Y","N",IF(COUNTIFS($AP$2:$AP$1000,AP159,$ET$2:$ET$1000,"Y",$J$2:$J$1000,"&gt;"&amp;J159)+COUNTIFS($AP$2:$AP$1000,AP159,$ET$2:$ET$1000,"Y",$J$2:$J$1000,J159,$EW$2:$EW$1000,"&lt;"&amp;EW159)=0,"Y","N"))</f>
        <v>N</v>
      </c>
      <c r="EV159" s="0" t="str">
        <f aca="false">IF(Y159="","N",IF(Y159&lt;=10,"Y","N"))</f>
        <v>N</v>
      </c>
      <c r="EW159" s="6" t="n">
        <f aca="false">ROW()-1</f>
        <v>158</v>
      </c>
    </row>
    <row r="160" customFormat="false" ht="15" hidden="false" customHeight="false" outlineLevel="0" collapsed="false">
      <c r="A160" s="0" t="s">
        <v>2839</v>
      </c>
      <c r="B160" s="0" t="s">
        <v>2840</v>
      </c>
      <c r="H160" s="5" t="s">
        <v>158</v>
      </c>
      <c r="I160" s="5" t="s">
        <v>159</v>
      </c>
      <c r="J160" s="6" t="n">
        <f aca="false">IF(AX160="pass",ROUND(CU160+CV160+CW160+CX160+CY160+CZ160,1),0)</f>
        <v>33.6</v>
      </c>
      <c r="K160" s="6" t="s">
        <v>2841</v>
      </c>
      <c r="L160" s="6" t="s">
        <v>1323</v>
      </c>
      <c r="R160" s="5" t="s">
        <v>162</v>
      </c>
      <c r="S160" s="6" t="s">
        <v>163</v>
      </c>
      <c r="T160" s="5" t="s">
        <v>162</v>
      </c>
      <c r="U160" s="5" t="s">
        <v>228</v>
      </c>
      <c r="V160" s="6" t="s">
        <v>2842</v>
      </c>
      <c r="W160" s="6" t="s">
        <v>166</v>
      </c>
      <c r="X160" s="6" t="s">
        <v>167</v>
      </c>
      <c r="Y160" s="0" t="str">
        <f aca="false">IF(EU160&lt;&gt;"Y","",COUNTIFS($EU$2:$EU$1000,"Y",$J$2:$J$1000,"&gt;"&amp;J160)+COUNTIFS($EU$2:$EU$1000,"Y",$J$2:$J$1000,J160,$EW$2:$EW$1000,"&lt;"&amp;EW160)+1)</f>
        <v/>
      </c>
      <c r="Z160" s="0" t="n">
        <v>159</v>
      </c>
      <c r="AA160" s="6" t="s">
        <v>162</v>
      </c>
      <c r="AB160" s="6" t="s">
        <v>2528</v>
      </c>
      <c r="AD160" s="6" t="s">
        <v>158</v>
      </c>
      <c r="AH160" s="5" t="s">
        <v>158</v>
      </c>
      <c r="AI160" s="6" t="s">
        <v>2408</v>
      </c>
      <c r="AJ160" s="6" t="s">
        <v>163</v>
      </c>
      <c r="AK160" s="6" t="s">
        <v>178</v>
      </c>
      <c r="AL160" s="0" t="n">
        <v>114</v>
      </c>
      <c r="AM160" s="0" t="n">
        <v>2280</v>
      </c>
      <c r="AN160" s="6" t="s">
        <v>179</v>
      </c>
      <c r="AO160" s="6" t="s">
        <v>274</v>
      </c>
      <c r="AP160" s="6" t="s">
        <v>2839</v>
      </c>
      <c r="AQ160" s="5" t="s">
        <v>162</v>
      </c>
      <c r="AT160" s="0" t="str">
        <f aca="false">IF(AND(AX160="pass",AQ160&lt;&gt;"Y",C160&lt;&gt;"",OR(AW160&lt;&gt;"Y",AV160="Y")),"Y","N")</f>
        <v>N</v>
      </c>
      <c r="AU160" s="0" t="str">
        <f aca="false">_xlfn.TEXTJOIN("; ",TRUE(),IF(AX160&lt;&gt;"pass","gated out",""),IF(AQ160="Y","on hold: "&amp;AR160,""),IF(C160="","no contact named on an opened page",""),IF(AND(AW160="Y",AV160&lt;&gt;"Y"),"Tuesday estimate band "&amp;L160&amp;": founder's call",""))</f>
        <v>no contact named on an opened page; Tuesday estimate band over-500: founder's call</v>
      </c>
      <c r="AW160" s="6" t="s">
        <v>168</v>
      </c>
      <c r="AX160" s="6" t="s">
        <v>181</v>
      </c>
      <c r="AY160" s="6" t="s">
        <v>182</v>
      </c>
      <c r="AZ160" s="6" t="s">
        <v>1</v>
      </c>
      <c r="BA160" s="6" t="s">
        <v>2843</v>
      </c>
      <c r="BB160" s="6" t="s">
        <v>2844</v>
      </c>
      <c r="BC160" s="6" t="s">
        <v>2845</v>
      </c>
      <c r="BD160" s="6" t="s">
        <v>2846</v>
      </c>
      <c r="BF160" s="6" t="s">
        <v>1323</v>
      </c>
      <c r="BG160" s="6" t="s">
        <v>188</v>
      </c>
      <c r="BH160" s="6" t="s">
        <v>189</v>
      </c>
      <c r="BI160" s="6" t="s">
        <v>2847</v>
      </c>
      <c r="BK160" s="6" t="s">
        <v>1440</v>
      </c>
      <c r="BL160" s="6" t="s">
        <v>2848</v>
      </c>
      <c r="BM160" s="6" t="s">
        <v>162</v>
      </c>
      <c r="BN160" s="6" t="s">
        <v>163</v>
      </c>
      <c r="BO160" s="6" t="s">
        <v>163</v>
      </c>
      <c r="BP160" s="6" t="s">
        <v>347</v>
      </c>
      <c r="BQ160" s="0" t="n">
        <v>40.742477</v>
      </c>
      <c r="BR160" s="0" t="n">
        <v>-73.986608</v>
      </c>
      <c r="BS160" s="6" t="s">
        <v>168</v>
      </c>
      <c r="BT160" s="0" t="n">
        <v>0</v>
      </c>
      <c r="BU160" s="6" t="s">
        <v>2413</v>
      </c>
      <c r="BV160" s="6" t="s">
        <v>2414</v>
      </c>
      <c r="BW160" s="6" t="s">
        <v>2842</v>
      </c>
      <c r="BX160" s="6" t="s">
        <v>2849</v>
      </c>
      <c r="BY160" s="6" t="s">
        <v>445</v>
      </c>
      <c r="BZ160" s="6" t="s">
        <v>2850</v>
      </c>
      <c r="CA160" s="6" t="s">
        <v>2851</v>
      </c>
      <c r="CC160" s="6" t="s">
        <v>200</v>
      </c>
      <c r="CE160" s="6" t="s">
        <v>162</v>
      </c>
      <c r="CH160" s="6" t="s">
        <v>201</v>
      </c>
      <c r="CI160" s="6" t="s">
        <v>2416</v>
      </c>
      <c r="CJ160" s="6" t="s">
        <v>163</v>
      </c>
      <c r="CK160" s="6" t="s">
        <v>162</v>
      </c>
      <c r="CL160" s="6" t="s">
        <v>2852</v>
      </c>
      <c r="CM160" s="6" t="s">
        <v>2847</v>
      </c>
      <c r="CN160" s="6" t="s">
        <v>174</v>
      </c>
      <c r="CO160" s="0" t="n">
        <v>510</v>
      </c>
      <c r="CP160" s="6" t="s">
        <v>251</v>
      </c>
      <c r="CQ160" s="6" t="s">
        <v>2853</v>
      </c>
      <c r="CR160" s="6" t="s">
        <v>206</v>
      </c>
      <c r="CS160" s="0" t="n">
        <v>0.26</v>
      </c>
      <c r="CT160" s="0" t="n">
        <v>33.6</v>
      </c>
      <c r="CU160" s="0" t="n">
        <v>6.6</v>
      </c>
      <c r="CV160" s="0" t="n">
        <v>2</v>
      </c>
      <c r="CW160" s="0" t="n">
        <v>10</v>
      </c>
      <c r="CX160" s="0" t="n">
        <v>15</v>
      </c>
      <c r="CY160" s="6" t="n">
        <f aca="false">IF(AH160="exact",10,IF(AH160="adjacent",5,0))</f>
        <v>0</v>
      </c>
      <c r="CZ160" s="6" t="n">
        <f aca="false">IF(R160="Y",15,0)</f>
        <v>0</v>
      </c>
      <c r="DF160" s="6" t="s">
        <v>158</v>
      </c>
      <c r="DG160" s="6" t="s">
        <v>1336</v>
      </c>
      <c r="DH160" s="6" t="s">
        <v>1447</v>
      </c>
      <c r="DI160" s="6" t="s">
        <v>168</v>
      </c>
      <c r="DJ160" s="6" t="s">
        <v>2854</v>
      </c>
      <c r="DK160" s="6" t="s">
        <v>2855</v>
      </c>
      <c r="DS160" s="6" t="s">
        <v>158</v>
      </c>
      <c r="DX160" s="6" t="s">
        <v>162</v>
      </c>
      <c r="ER160" s="0" t="str">
        <f aca="false">IF(ISNUMBER(MATCH(U160,{"queued","contacted","replied","call_booked","call_done","yes_in_principle","materials_sent"},0)),"Y","N")</f>
        <v>N</v>
      </c>
      <c r="ES160" s="0" t="str">
        <f aca="false">IF(COUNTIFS($AP$2:$AP$1000,AP160,$ER$2:$ER$1000,"Y")+COUNTIFS($AP$2:$AP$1000,AP160,$T$2:$T$1000,"Y")&gt;0,"Y","N")</f>
        <v>N</v>
      </c>
      <c r="ET160" s="0" t="str">
        <f aca="false">IF(AND(U160="new",T160="N",AT160="Y",AS160="",ES160="N"),"Y","N")</f>
        <v>N</v>
      </c>
      <c r="EU160" s="0" t="str">
        <f aca="false">IF(ET160&lt;&gt;"Y","N",IF(COUNTIFS($AP$2:$AP$1000,AP160,$ET$2:$ET$1000,"Y",$J$2:$J$1000,"&gt;"&amp;J160)+COUNTIFS($AP$2:$AP$1000,AP160,$ET$2:$ET$1000,"Y",$J$2:$J$1000,J160,$EW$2:$EW$1000,"&lt;"&amp;EW160)=0,"Y","N"))</f>
        <v>N</v>
      </c>
      <c r="EV160" s="0" t="str">
        <f aca="false">IF(Y160="","N",IF(Y160&lt;=10,"Y","N"))</f>
        <v>N</v>
      </c>
      <c r="EW160" s="6" t="n">
        <f aca="false">ROW()-1</f>
        <v>159</v>
      </c>
    </row>
    <row r="161" customFormat="false" ht="15" hidden="false" customHeight="false" outlineLevel="0" collapsed="false">
      <c r="A161" s="0" t="s">
        <v>2856</v>
      </c>
      <c r="B161" s="0" t="s">
        <v>2857</v>
      </c>
      <c r="H161" s="5" t="s">
        <v>158</v>
      </c>
      <c r="I161" s="5" t="s">
        <v>159</v>
      </c>
      <c r="J161" s="6" t="n">
        <f aca="false">IF(AX161="pass",ROUND(CU161+CV161+CW161+CX161+CY161+CZ161,1),0)</f>
        <v>33.3</v>
      </c>
      <c r="K161" s="6" t="s">
        <v>2858</v>
      </c>
      <c r="L161" s="6" t="s">
        <v>240</v>
      </c>
      <c r="R161" s="5" t="s">
        <v>162</v>
      </c>
      <c r="S161" s="6" t="s">
        <v>163</v>
      </c>
      <c r="T161" s="5" t="s">
        <v>162</v>
      </c>
      <c r="U161" s="5" t="s">
        <v>228</v>
      </c>
      <c r="V161" s="6" t="s">
        <v>2068</v>
      </c>
      <c r="W161" s="6" t="s">
        <v>166</v>
      </c>
      <c r="X161" s="6" t="s">
        <v>167</v>
      </c>
      <c r="Y161" s="0" t="str">
        <f aca="false">IF(EU161&lt;&gt;"Y","",COUNTIFS($EU$2:$EU$1000,"Y",$J$2:$J$1000,"&gt;"&amp;J161)+COUNTIFS($EU$2:$EU$1000,"Y",$J$2:$J$1000,J161,$EW$2:$EW$1000,"&lt;"&amp;EW161)+1)</f>
        <v/>
      </c>
      <c r="Z161" s="0" t="n">
        <v>160</v>
      </c>
      <c r="AA161" s="6" t="s">
        <v>162</v>
      </c>
      <c r="AB161" s="6" t="s">
        <v>1662</v>
      </c>
      <c r="AD161" s="6" t="s">
        <v>158</v>
      </c>
      <c r="AH161" s="5" t="s">
        <v>158</v>
      </c>
      <c r="AI161" s="6" t="s">
        <v>754</v>
      </c>
      <c r="AJ161" s="6" t="s">
        <v>163</v>
      </c>
      <c r="AK161" s="6" t="s">
        <v>178</v>
      </c>
      <c r="AL161" s="0" t="n">
        <v>57</v>
      </c>
      <c r="AM161" s="0" t="n">
        <v>1140</v>
      </c>
      <c r="AN161" s="6" t="s">
        <v>179</v>
      </c>
      <c r="AO161" s="6" t="s">
        <v>163</v>
      </c>
      <c r="AP161" s="6" t="s">
        <v>2856</v>
      </c>
      <c r="AQ161" s="5" t="s">
        <v>162</v>
      </c>
      <c r="AT161" s="0" t="str">
        <f aca="false">IF(AND(AX161="pass",AQ161&lt;&gt;"Y",C161&lt;&gt;"",OR(AW161&lt;&gt;"Y",AV161="Y")),"Y","N")</f>
        <v>N</v>
      </c>
      <c r="AU161" s="0" t="str">
        <f aca="false">_xlfn.TEXTJOIN("; ",TRUE(),IF(AX161&lt;&gt;"pass","gated out",""),IF(AQ161="Y","on hold: "&amp;AR161,""),IF(C161="","no contact named on an opened page",""),IF(AND(AW161="Y",AV161&lt;&gt;"Y"),"Tuesday estimate band "&amp;L161&amp;": founder's call",""))</f>
        <v>no contact named on an opened page; Tuesday estimate band 251-500: founder's call</v>
      </c>
      <c r="AW161" s="6" t="s">
        <v>168</v>
      </c>
      <c r="AX161" s="6" t="s">
        <v>181</v>
      </c>
      <c r="AY161" s="6" t="s">
        <v>182</v>
      </c>
      <c r="AZ161" s="6" t="s">
        <v>1</v>
      </c>
      <c r="BA161" s="6" t="s">
        <v>2859</v>
      </c>
      <c r="BB161" s="6" t="s">
        <v>2860</v>
      </c>
      <c r="BC161" s="6" t="s">
        <v>1478</v>
      </c>
      <c r="BD161" s="6" t="s">
        <v>2861</v>
      </c>
      <c r="BF161" s="6" t="s">
        <v>1323</v>
      </c>
      <c r="BG161" s="6" t="s">
        <v>188</v>
      </c>
      <c r="BH161" s="6" t="s">
        <v>189</v>
      </c>
      <c r="BI161" s="6" t="s">
        <v>2862</v>
      </c>
      <c r="BK161" s="6" t="s">
        <v>1440</v>
      </c>
      <c r="BL161" s="6" t="s">
        <v>163</v>
      </c>
      <c r="BM161" s="6" t="s">
        <v>163</v>
      </c>
      <c r="BN161" s="6" t="s">
        <v>163</v>
      </c>
      <c r="BO161" s="6" t="s">
        <v>163</v>
      </c>
      <c r="BP161" s="6" t="s">
        <v>347</v>
      </c>
      <c r="BQ161" s="0" t="n">
        <v>40.743309</v>
      </c>
      <c r="BR161" s="0" t="n">
        <v>-73.987329</v>
      </c>
      <c r="BS161" s="6" t="s">
        <v>168</v>
      </c>
      <c r="BT161" s="0" t="n">
        <v>0</v>
      </c>
      <c r="BU161" s="6" t="s">
        <v>764</v>
      </c>
      <c r="BV161" s="6" t="s">
        <v>765</v>
      </c>
      <c r="BW161" s="6" t="s">
        <v>2068</v>
      </c>
      <c r="BX161" s="6" t="s">
        <v>2076</v>
      </c>
      <c r="BY161" s="6" t="s">
        <v>248</v>
      </c>
      <c r="BZ161" s="6" t="s">
        <v>2637</v>
      </c>
      <c r="CA161" s="6" t="s">
        <v>2638</v>
      </c>
      <c r="CC161" s="6" t="s">
        <v>739</v>
      </c>
      <c r="CE161" s="6" t="s">
        <v>162</v>
      </c>
      <c r="CH161" s="6" t="s">
        <v>163</v>
      </c>
      <c r="CJ161" s="6" t="s">
        <v>163</v>
      </c>
      <c r="CK161" s="6" t="s">
        <v>162</v>
      </c>
      <c r="CL161" s="6" t="s">
        <v>163</v>
      </c>
      <c r="CO161" s="0" t="n">
        <v>255</v>
      </c>
      <c r="CP161" s="6" t="s">
        <v>251</v>
      </c>
      <c r="CQ161" s="6" t="s">
        <v>2863</v>
      </c>
      <c r="CR161" s="6" t="s">
        <v>206</v>
      </c>
      <c r="CS161" s="0" t="n">
        <v>0.49</v>
      </c>
      <c r="CT161" s="0" t="n">
        <v>33.3</v>
      </c>
      <c r="CU161" s="0" t="n">
        <v>12.3</v>
      </c>
      <c r="CV161" s="0" t="n">
        <v>2</v>
      </c>
      <c r="CW161" s="0" t="n">
        <v>6</v>
      </c>
      <c r="CX161" s="0" t="n">
        <v>13</v>
      </c>
      <c r="CY161" s="6" t="n">
        <f aca="false">IF(AH161="exact",10,IF(AH161="adjacent",5,0))</f>
        <v>0</v>
      </c>
      <c r="CZ161" s="6" t="n">
        <f aca="false">IF(R161="Y",15,0)</f>
        <v>0</v>
      </c>
      <c r="DF161" s="6" t="s">
        <v>158</v>
      </c>
      <c r="DG161" s="6" t="s">
        <v>1336</v>
      </c>
      <c r="DH161" s="6" t="s">
        <v>1447</v>
      </c>
      <c r="DI161" s="6" t="s">
        <v>162</v>
      </c>
      <c r="DK161" s="6" t="s">
        <v>2864</v>
      </c>
      <c r="DS161" s="6" t="s">
        <v>158</v>
      </c>
      <c r="DX161" s="6" t="s">
        <v>162</v>
      </c>
      <c r="ER161" s="0" t="str">
        <f aca="false">IF(ISNUMBER(MATCH(U161,{"queued","contacted","replied","call_booked","call_done","yes_in_principle","materials_sent"},0)),"Y","N")</f>
        <v>N</v>
      </c>
      <c r="ES161" s="0" t="str">
        <f aca="false">IF(COUNTIFS($AP$2:$AP$1000,AP161,$ER$2:$ER$1000,"Y")+COUNTIFS($AP$2:$AP$1000,AP161,$T$2:$T$1000,"Y")&gt;0,"Y","N")</f>
        <v>N</v>
      </c>
      <c r="ET161" s="0" t="str">
        <f aca="false">IF(AND(U161="new",T161="N",AT161="Y",AS161="",ES161="N"),"Y","N")</f>
        <v>N</v>
      </c>
      <c r="EU161" s="0" t="str">
        <f aca="false">IF(ET161&lt;&gt;"Y","N",IF(COUNTIFS($AP$2:$AP$1000,AP161,$ET$2:$ET$1000,"Y",$J$2:$J$1000,"&gt;"&amp;J161)+COUNTIFS($AP$2:$AP$1000,AP161,$ET$2:$ET$1000,"Y",$J$2:$J$1000,J161,$EW$2:$EW$1000,"&lt;"&amp;EW161)=0,"Y","N"))</f>
        <v>N</v>
      </c>
      <c r="EV161" s="0" t="str">
        <f aca="false">IF(Y161="","N",IF(Y161&lt;=10,"Y","N"))</f>
        <v>N</v>
      </c>
      <c r="EW161" s="6" t="n">
        <f aca="false">ROW()-1</f>
        <v>160</v>
      </c>
    </row>
    <row r="162" customFormat="false" ht="15" hidden="false" customHeight="false" outlineLevel="0" collapsed="false">
      <c r="A162" s="0" t="s">
        <v>2865</v>
      </c>
      <c r="B162" s="0" t="s">
        <v>2866</v>
      </c>
      <c r="H162" s="5" t="s">
        <v>158</v>
      </c>
      <c r="I162" s="5" t="s">
        <v>159</v>
      </c>
      <c r="J162" s="6" t="n">
        <f aca="false">IF(AX162="pass",ROUND(CU162+CV162+CW162+CX162+CY162+CZ162,1),0)</f>
        <v>32.6</v>
      </c>
      <c r="K162" s="6" t="s">
        <v>2867</v>
      </c>
      <c r="L162" s="6" t="s">
        <v>240</v>
      </c>
      <c r="R162" s="5" t="s">
        <v>162</v>
      </c>
      <c r="S162" s="6" t="s">
        <v>163</v>
      </c>
      <c r="T162" s="5" t="s">
        <v>162</v>
      </c>
      <c r="U162" s="5" t="s">
        <v>228</v>
      </c>
      <c r="V162" s="6" t="s">
        <v>1314</v>
      </c>
      <c r="W162" s="6" t="s">
        <v>166</v>
      </c>
      <c r="X162" s="6" t="s">
        <v>167</v>
      </c>
      <c r="Y162" s="0" t="str">
        <f aca="false">IF(EU162&lt;&gt;"Y","",COUNTIFS($EU$2:$EU$1000,"Y",$J$2:$J$1000,"&gt;"&amp;J162)+COUNTIFS($EU$2:$EU$1000,"Y",$J$2:$J$1000,J162,$EW$2:$EW$1000,"&lt;"&amp;EW162)+1)</f>
        <v/>
      </c>
      <c r="Z162" s="0" t="n">
        <v>161</v>
      </c>
      <c r="AA162" s="6" t="s">
        <v>162</v>
      </c>
      <c r="AB162" s="6" t="s">
        <v>1662</v>
      </c>
      <c r="AD162" s="6" t="s">
        <v>158</v>
      </c>
      <c r="AH162" s="5" t="s">
        <v>158</v>
      </c>
      <c r="AI162" s="6" t="s">
        <v>1317</v>
      </c>
      <c r="AJ162" s="6" t="s">
        <v>624</v>
      </c>
      <c r="AK162" s="6" t="s">
        <v>178</v>
      </c>
      <c r="AL162" s="0" t="n">
        <v>208</v>
      </c>
      <c r="AM162" s="0" t="n">
        <v>416</v>
      </c>
      <c r="AN162" s="6" t="s">
        <v>179</v>
      </c>
      <c r="AO162" s="6" t="s">
        <v>370</v>
      </c>
      <c r="AP162" s="6" t="s">
        <v>2865</v>
      </c>
      <c r="AQ162" s="5" t="s">
        <v>162</v>
      </c>
      <c r="AT162" s="0" t="str">
        <f aca="false">IF(AND(AX162="pass",AQ162&lt;&gt;"Y",C162&lt;&gt;"",OR(AW162&lt;&gt;"Y",AV162="Y")),"Y","N")</f>
        <v>N</v>
      </c>
      <c r="AU162" s="0" t="str">
        <f aca="false">_xlfn.TEXTJOIN("; ",TRUE(),IF(AX162&lt;&gt;"pass","gated out",""),IF(AQ162="Y","on hold: "&amp;AR162,""),IF(C162="","no contact named on an opened page",""),IF(AND(AW162="Y",AV162&lt;&gt;"Y"),"Tuesday estimate band "&amp;L162&amp;": founder's call",""))</f>
        <v>no contact named on an opened page; Tuesday estimate band 251-500: founder's call</v>
      </c>
      <c r="AW162" s="6" t="s">
        <v>168</v>
      </c>
      <c r="AX162" s="6" t="s">
        <v>181</v>
      </c>
      <c r="AY162" s="6" t="s">
        <v>182</v>
      </c>
      <c r="AZ162" s="6" t="s">
        <v>1</v>
      </c>
      <c r="BA162" s="6" t="s">
        <v>2868</v>
      </c>
      <c r="BB162" s="6" t="s">
        <v>2869</v>
      </c>
      <c r="BC162" s="6" t="s">
        <v>2870</v>
      </c>
      <c r="BD162" s="6" t="s">
        <v>2871</v>
      </c>
      <c r="BF162" s="6" t="s">
        <v>1323</v>
      </c>
      <c r="BG162" s="6" t="s">
        <v>188</v>
      </c>
      <c r="BH162" s="6" t="s">
        <v>189</v>
      </c>
      <c r="BI162" s="6" t="s">
        <v>2872</v>
      </c>
      <c r="BK162" s="6" t="s">
        <v>1264</v>
      </c>
      <c r="BL162" s="6" t="s">
        <v>192</v>
      </c>
      <c r="BM162" s="6" t="s">
        <v>168</v>
      </c>
      <c r="BN162" s="6" t="s">
        <v>163</v>
      </c>
      <c r="BO162" s="6" t="s">
        <v>163</v>
      </c>
      <c r="BP162" s="6" t="s">
        <v>193</v>
      </c>
      <c r="BQ162" s="0" t="n">
        <v>40.73716</v>
      </c>
      <c r="BR162" s="0" t="n">
        <v>-73.990073</v>
      </c>
      <c r="BS162" s="6" t="s">
        <v>168</v>
      </c>
      <c r="BT162" s="0" t="n">
        <v>0</v>
      </c>
      <c r="BU162" s="6" t="s">
        <v>1327</v>
      </c>
      <c r="BV162" s="6" t="s">
        <v>1317</v>
      </c>
      <c r="BW162" s="6" t="s">
        <v>1314</v>
      </c>
      <c r="BX162" s="6" t="s">
        <v>1328</v>
      </c>
      <c r="BY162" s="6" t="s">
        <v>248</v>
      </c>
      <c r="BZ162" s="6" t="s">
        <v>2873</v>
      </c>
      <c r="CA162" s="6" t="s">
        <v>2874</v>
      </c>
      <c r="CC162" s="6" t="s">
        <v>739</v>
      </c>
      <c r="CE162" s="6" t="s">
        <v>162</v>
      </c>
      <c r="CH162" s="6" t="s">
        <v>163</v>
      </c>
      <c r="CJ162" s="6" t="s">
        <v>163</v>
      </c>
      <c r="CK162" s="6" t="s">
        <v>162</v>
      </c>
      <c r="CL162" s="6" t="s">
        <v>2875</v>
      </c>
      <c r="CM162" s="6" t="s">
        <v>2876</v>
      </c>
      <c r="CN162" s="6" t="s">
        <v>174</v>
      </c>
      <c r="CO162" s="0" t="n">
        <v>294</v>
      </c>
      <c r="CP162" s="6" t="s">
        <v>251</v>
      </c>
      <c r="CQ162" s="6" t="s">
        <v>2877</v>
      </c>
      <c r="CR162" s="6" t="s">
        <v>206</v>
      </c>
      <c r="CS162" s="0" t="n">
        <v>0.27</v>
      </c>
      <c r="CT162" s="0" t="n">
        <v>32.6</v>
      </c>
      <c r="CU162" s="0" t="n">
        <v>6.6</v>
      </c>
      <c r="CV162" s="0" t="n">
        <v>6</v>
      </c>
      <c r="CW162" s="0" t="n">
        <v>7</v>
      </c>
      <c r="CX162" s="0" t="n">
        <v>13</v>
      </c>
      <c r="CY162" s="6" t="n">
        <f aca="false">IF(AH162="exact",10,IF(AH162="adjacent",5,0))</f>
        <v>0</v>
      </c>
      <c r="CZ162" s="6" t="n">
        <f aca="false">IF(R162="Y",15,0)</f>
        <v>0</v>
      </c>
      <c r="DF162" s="6" t="s">
        <v>158</v>
      </c>
      <c r="DG162" s="6" t="s">
        <v>1336</v>
      </c>
      <c r="DH162" s="6" t="s">
        <v>1337</v>
      </c>
      <c r="DI162" s="6" t="s">
        <v>162</v>
      </c>
      <c r="DK162" s="6" t="s">
        <v>2878</v>
      </c>
      <c r="DS162" s="6" t="s">
        <v>158</v>
      </c>
      <c r="DX162" s="6" t="s">
        <v>162</v>
      </c>
      <c r="ER162" s="0" t="str">
        <f aca="false">IF(ISNUMBER(MATCH(U162,{"queued","contacted","replied","call_booked","call_done","yes_in_principle","materials_sent"},0)),"Y","N")</f>
        <v>N</v>
      </c>
      <c r="ES162" s="0" t="str">
        <f aca="false">IF(COUNTIFS($AP$2:$AP$1000,AP162,$ER$2:$ER$1000,"Y")+COUNTIFS($AP$2:$AP$1000,AP162,$T$2:$T$1000,"Y")&gt;0,"Y","N")</f>
        <v>N</v>
      </c>
      <c r="ET162" s="0" t="str">
        <f aca="false">IF(AND(U162="new",T162="N",AT162="Y",AS162="",ES162="N"),"Y","N")</f>
        <v>N</v>
      </c>
      <c r="EU162" s="0" t="str">
        <f aca="false">IF(ET162&lt;&gt;"Y","N",IF(COUNTIFS($AP$2:$AP$1000,AP162,$ET$2:$ET$1000,"Y",$J$2:$J$1000,"&gt;"&amp;J162)+COUNTIFS($AP$2:$AP$1000,AP162,$ET$2:$ET$1000,"Y",$J$2:$J$1000,J162,$EW$2:$EW$1000,"&lt;"&amp;EW162)=0,"Y","N"))</f>
        <v>N</v>
      </c>
      <c r="EV162" s="0" t="str">
        <f aca="false">IF(Y162="","N",IF(Y162&lt;=10,"Y","N"))</f>
        <v>N</v>
      </c>
      <c r="EW162" s="6" t="n">
        <f aca="false">ROW()-1</f>
        <v>161</v>
      </c>
    </row>
    <row r="163" customFormat="false" ht="15" hidden="false" customHeight="false" outlineLevel="0" collapsed="false">
      <c r="A163" s="0" t="s">
        <v>2879</v>
      </c>
      <c r="B163" s="0" t="s">
        <v>2880</v>
      </c>
      <c r="H163" s="5" t="s">
        <v>158</v>
      </c>
      <c r="I163" s="5" t="s">
        <v>159</v>
      </c>
      <c r="J163" s="6" t="n">
        <f aca="false">IF(AX163="pass",ROUND(CU163+CV163+CW163+CX163+CY163+CZ163,1),0)</f>
        <v>32.3</v>
      </c>
      <c r="K163" s="6" t="s">
        <v>2881</v>
      </c>
      <c r="L163" s="6" t="s">
        <v>187</v>
      </c>
      <c r="R163" s="5" t="s">
        <v>162</v>
      </c>
      <c r="S163" s="6" t="s">
        <v>163</v>
      </c>
      <c r="T163" s="5" t="s">
        <v>162</v>
      </c>
      <c r="U163" s="5" t="s">
        <v>228</v>
      </c>
      <c r="V163" s="6" t="s">
        <v>1750</v>
      </c>
      <c r="W163" s="6" t="s">
        <v>166</v>
      </c>
      <c r="X163" s="6" t="s">
        <v>167</v>
      </c>
      <c r="Y163" s="0" t="str">
        <f aca="false">IF(EU163&lt;&gt;"Y","",COUNTIFS($EU$2:$EU$1000,"Y",$J$2:$J$1000,"&gt;"&amp;J163)+COUNTIFS($EU$2:$EU$1000,"Y",$J$2:$J$1000,J163,$EW$2:$EW$1000,"&lt;"&amp;EW163)+1)</f>
        <v/>
      </c>
      <c r="Z163" s="0" t="n">
        <v>162</v>
      </c>
      <c r="AA163" s="6" t="s">
        <v>162</v>
      </c>
      <c r="AD163" s="6" t="s">
        <v>158</v>
      </c>
      <c r="AH163" s="5" t="s">
        <v>158</v>
      </c>
      <c r="AI163" s="6" t="s">
        <v>1751</v>
      </c>
      <c r="AJ163" s="6" t="s">
        <v>2882</v>
      </c>
      <c r="AK163" s="6" t="s">
        <v>435</v>
      </c>
      <c r="AL163" s="0" t="n">
        <v>34</v>
      </c>
      <c r="AM163" s="0" t="n">
        <v>684</v>
      </c>
      <c r="AN163" s="6" t="s">
        <v>179</v>
      </c>
      <c r="AO163" s="6" t="s">
        <v>370</v>
      </c>
      <c r="AP163" s="6" t="s">
        <v>2879</v>
      </c>
      <c r="AQ163" s="5" t="s">
        <v>162</v>
      </c>
      <c r="AT163" s="0" t="str">
        <f aca="false">IF(AND(AX163="pass",AQ163&lt;&gt;"Y",C163&lt;&gt;"",OR(AW163&lt;&gt;"Y",AV163="Y")),"Y","N")</f>
        <v>N</v>
      </c>
      <c r="AU163" s="0" t="str">
        <f aca="false">_xlfn.TEXTJOIN("; ",TRUE(),IF(AX163&lt;&gt;"pass","gated out",""),IF(AQ163="Y","on hold: "&amp;AR163,""),IF(C163="","no contact named on an opened page",""),IF(AND(AW163="Y",AV163&lt;&gt;"Y"),"Tuesday estimate band "&amp;L163&amp;": founder's call",""))</f>
        <v>no contact named on an opened page</v>
      </c>
      <c r="AW163" s="6" t="s">
        <v>162</v>
      </c>
      <c r="AX163" s="6" t="s">
        <v>181</v>
      </c>
      <c r="AY163" s="6" t="s">
        <v>182</v>
      </c>
      <c r="AZ163" s="6" t="s">
        <v>1</v>
      </c>
      <c r="BA163" s="6" t="s">
        <v>2883</v>
      </c>
      <c r="BB163" s="6" t="s">
        <v>2884</v>
      </c>
      <c r="BC163" s="6" t="s">
        <v>2885</v>
      </c>
      <c r="BD163" s="6" t="s">
        <v>1981</v>
      </c>
      <c r="BF163" s="6" t="s">
        <v>1323</v>
      </c>
      <c r="BG163" s="6" t="s">
        <v>188</v>
      </c>
      <c r="BH163" s="6" t="s">
        <v>189</v>
      </c>
      <c r="BI163" s="6" t="s">
        <v>2886</v>
      </c>
      <c r="BK163" s="6" t="s">
        <v>1440</v>
      </c>
      <c r="BL163" s="6" t="s">
        <v>656</v>
      </c>
      <c r="BM163" s="6" t="s">
        <v>162</v>
      </c>
      <c r="BN163" s="6" t="s">
        <v>163</v>
      </c>
      <c r="BO163" s="6" t="s">
        <v>163</v>
      </c>
      <c r="BP163" s="6" t="s">
        <v>378</v>
      </c>
      <c r="BQ163" s="0" t="n">
        <v>40.738405</v>
      </c>
      <c r="BR163" s="0" t="n">
        <v>-73.99394</v>
      </c>
      <c r="BS163" s="6" t="s">
        <v>168</v>
      </c>
      <c r="BT163" s="0" t="n">
        <v>0</v>
      </c>
      <c r="BU163" s="6" t="s">
        <v>1758</v>
      </c>
      <c r="BV163" s="6" t="s">
        <v>1751</v>
      </c>
      <c r="BW163" s="6" t="s">
        <v>1750</v>
      </c>
      <c r="BX163" s="6" t="s">
        <v>1759</v>
      </c>
      <c r="BY163" s="6" t="s">
        <v>248</v>
      </c>
      <c r="CC163" s="6" t="s">
        <v>739</v>
      </c>
      <c r="CE163" s="6" t="s">
        <v>162</v>
      </c>
      <c r="CH163" s="6" t="s">
        <v>163</v>
      </c>
      <c r="CJ163" s="6" t="s">
        <v>163</v>
      </c>
      <c r="CK163" s="6" t="s">
        <v>162</v>
      </c>
      <c r="CL163" s="6" t="s">
        <v>518</v>
      </c>
      <c r="CM163" s="6" t="s">
        <v>2887</v>
      </c>
      <c r="CN163" s="6" t="s">
        <v>174</v>
      </c>
      <c r="CO163" s="0" t="n">
        <v>152</v>
      </c>
      <c r="CP163" s="6" t="s">
        <v>251</v>
      </c>
      <c r="CQ163" s="6" t="s">
        <v>2888</v>
      </c>
      <c r="CR163" s="6" t="s">
        <v>206</v>
      </c>
      <c r="CS163" s="0" t="n">
        <v>0.61</v>
      </c>
      <c r="CT163" s="0" t="n">
        <v>32.3</v>
      </c>
      <c r="CU163" s="0" t="n">
        <v>15.3</v>
      </c>
      <c r="CV163" s="0" t="n">
        <v>2</v>
      </c>
      <c r="CW163" s="0" t="n">
        <v>7</v>
      </c>
      <c r="CX163" s="0" t="n">
        <v>8</v>
      </c>
      <c r="CY163" s="6" t="n">
        <f aca="false">IF(AH163="exact",10,IF(AH163="adjacent",5,0))</f>
        <v>0</v>
      </c>
      <c r="CZ163" s="6" t="n">
        <f aca="false">IF(R163="Y",15,0)</f>
        <v>0</v>
      </c>
      <c r="DF163" s="6" t="s">
        <v>158</v>
      </c>
      <c r="DG163" s="6" t="s">
        <v>1336</v>
      </c>
      <c r="DH163" s="6" t="s">
        <v>1447</v>
      </c>
      <c r="DI163" s="6" t="s">
        <v>162</v>
      </c>
      <c r="DJ163" s="6" t="s">
        <v>1656</v>
      </c>
      <c r="DK163" s="6" t="s">
        <v>2889</v>
      </c>
      <c r="DS163" s="6" t="s">
        <v>158</v>
      </c>
      <c r="DX163" s="6" t="s">
        <v>162</v>
      </c>
      <c r="ER163" s="0" t="str">
        <f aca="false">IF(ISNUMBER(MATCH(U163,{"queued","contacted","replied","call_booked","call_done","yes_in_principle","materials_sent"},0)),"Y","N")</f>
        <v>N</v>
      </c>
      <c r="ES163" s="0" t="str">
        <f aca="false">IF(COUNTIFS($AP$2:$AP$1000,AP163,$ER$2:$ER$1000,"Y")+COUNTIFS($AP$2:$AP$1000,AP163,$T$2:$T$1000,"Y")&gt;0,"Y","N")</f>
        <v>N</v>
      </c>
      <c r="ET163" s="0" t="str">
        <f aca="false">IF(AND(U163="new",T163="N",AT163="Y",AS163="",ES163="N"),"Y","N")</f>
        <v>N</v>
      </c>
      <c r="EU163" s="0" t="str">
        <f aca="false">IF(ET163&lt;&gt;"Y","N",IF(COUNTIFS($AP$2:$AP$1000,AP163,$ET$2:$ET$1000,"Y",$J$2:$J$1000,"&gt;"&amp;J163)+COUNTIFS($AP$2:$AP$1000,AP163,$ET$2:$ET$1000,"Y",$J$2:$J$1000,J163,$EW$2:$EW$1000,"&lt;"&amp;EW163)=0,"Y","N"))</f>
        <v>N</v>
      </c>
      <c r="EV163" s="0" t="str">
        <f aca="false">IF(Y163="","N",IF(Y163&lt;=10,"Y","N"))</f>
        <v>N</v>
      </c>
      <c r="EW163" s="6" t="n">
        <f aca="false">ROW()-1</f>
        <v>162</v>
      </c>
    </row>
    <row r="164" customFormat="false" ht="15" hidden="false" customHeight="false" outlineLevel="0" collapsed="false">
      <c r="A164" s="0" t="s">
        <v>2890</v>
      </c>
      <c r="B164" s="0" t="s">
        <v>2891</v>
      </c>
      <c r="H164" s="5" t="s">
        <v>158</v>
      </c>
      <c r="I164" s="5" t="s">
        <v>159</v>
      </c>
      <c r="J164" s="6" t="n">
        <f aca="false">IF(AX164="pass",ROUND(CU164+CV164+CW164+CX164+CY164+CZ164,1),0)</f>
        <v>32</v>
      </c>
      <c r="K164" s="6" t="s">
        <v>2892</v>
      </c>
      <c r="L164" s="6" t="s">
        <v>163</v>
      </c>
      <c r="R164" s="5" t="s">
        <v>162</v>
      </c>
      <c r="S164" s="6" t="s">
        <v>163</v>
      </c>
      <c r="T164" s="5" t="s">
        <v>162</v>
      </c>
      <c r="U164" s="5" t="s">
        <v>228</v>
      </c>
      <c r="V164" s="6" t="s">
        <v>2893</v>
      </c>
      <c r="W164" s="6" t="s">
        <v>166</v>
      </c>
      <c r="X164" s="6" t="s">
        <v>167</v>
      </c>
      <c r="Y164" s="0" t="str">
        <f aca="false">IF(EU164&lt;&gt;"Y","",COUNTIFS($EU$2:$EU$1000,"Y",$J$2:$J$1000,"&gt;"&amp;J164)+COUNTIFS($EU$2:$EU$1000,"Y",$J$2:$J$1000,J164,$EW$2:$EW$1000,"&lt;"&amp;EW164)+1)</f>
        <v/>
      </c>
      <c r="Z164" s="0" t="n">
        <v>163</v>
      </c>
      <c r="AA164" s="6" t="s">
        <v>162</v>
      </c>
      <c r="AD164" s="6" t="s">
        <v>158</v>
      </c>
      <c r="AH164" s="5" t="s">
        <v>158</v>
      </c>
      <c r="AI164" s="6" t="s">
        <v>1871</v>
      </c>
      <c r="AJ164" s="6" t="s">
        <v>273</v>
      </c>
      <c r="AK164" s="6" t="s">
        <v>178</v>
      </c>
      <c r="AL164" s="6" t="s">
        <v>163</v>
      </c>
      <c r="AM164" s="6" t="s">
        <v>163</v>
      </c>
      <c r="AN164" s="6" t="s">
        <v>158</v>
      </c>
      <c r="AO164" s="6" t="s">
        <v>163</v>
      </c>
      <c r="AP164" s="6" t="s">
        <v>2890</v>
      </c>
      <c r="AQ164" s="5" t="s">
        <v>162</v>
      </c>
      <c r="AT164" s="0" t="str">
        <f aca="false">IF(AND(AX164="pass",AQ164&lt;&gt;"Y",C164&lt;&gt;"",OR(AW164&lt;&gt;"Y",AV164="Y")),"Y","N")</f>
        <v>N</v>
      </c>
      <c r="AU164" s="0" t="str">
        <f aca="false">_xlfn.TEXTJOIN("; ",TRUE(),IF(AX164&lt;&gt;"pass","gated out",""),IF(AQ164="Y","on hold: "&amp;AR164,""),IF(C164="","no contact named on an opened page",""),IF(AND(AW164="Y",AV164&lt;&gt;"Y"),"Tuesday estimate band "&amp;L164&amp;": founder's call",""))</f>
        <v>no contact named on an opened page</v>
      </c>
      <c r="AW164" s="6" t="s">
        <v>162</v>
      </c>
      <c r="AX164" s="6" t="s">
        <v>181</v>
      </c>
      <c r="AY164" s="6" t="s">
        <v>182</v>
      </c>
      <c r="AZ164" s="6" t="s">
        <v>1</v>
      </c>
      <c r="BA164" s="6" t="s">
        <v>2894</v>
      </c>
      <c r="BB164" s="6" t="s">
        <v>2895</v>
      </c>
      <c r="BC164" s="6" t="s">
        <v>2896</v>
      </c>
      <c r="BD164" s="6" t="s">
        <v>163</v>
      </c>
      <c r="BF164" s="6" t="s">
        <v>163</v>
      </c>
      <c r="BG164" s="6" t="s">
        <v>163</v>
      </c>
      <c r="BH164" s="6" t="s">
        <v>2196</v>
      </c>
      <c r="BK164" s="6" t="s">
        <v>163</v>
      </c>
      <c r="BL164" s="6" t="s">
        <v>163</v>
      </c>
      <c r="BM164" s="6" t="s">
        <v>163</v>
      </c>
      <c r="BN164" s="6" t="s">
        <v>2897</v>
      </c>
      <c r="BO164" s="6" t="s">
        <v>163</v>
      </c>
      <c r="BP164" s="6" t="s">
        <v>378</v>
      </c>
      <c r="BQ164" s="0" t="n">
        <v>40.738793</v>
      </c>
      <c r="BR164" s="0" t="n">
        <v>-73.991823</v>
      </c>
      <c r="BS164" s="6" t="s">
        <v>168</v>
      </c>
      <c r="BT164" s="0" t="n">
        <v>0</v>
      </c>
      <c r="BU164" s="6" t="s">
        <v>1879</v>
      </c>
      <c r="BV164" s="6" t="s">
        <v>1880</v>
      </c>
      <c r="BW164" s="6" t="s">
        <v>2893</v>
      </c>
      <c r="BX164" s="6" t="s">
        <v>166</v>
      </c>
      <c r="BY164" s="6" t="s">
        <v>196</v>
      </c>
      <c r="BZ164" s="6" t="s">
        <v>1870</v>
      </c>
      <c r="CA164" s="6" t="s">
        <v>1881</v>
      </c>
      <c r="CC164" s="6" t="s">
        <v>200</v>
      </c>
      <c r="CE164" s="6" t="s">
        <v>162</v>
      </c>
      <c r="CH164" s="6" t="s">
        <v>163</v>
      </c>
      <c r="CJ164" s="6" t="s">
        <v>163</v>
      </c>
      <c r="CK164" s="6" t="s">
        <v>162</v>
      </c>
      <c r="CL164" s="6" t="s">
        <v>163</v>
      </c>
      <c r="CO164" s="6" t="s">
        <v>163</v>
      </c>
      <c r="CQ164" s="6" t="s">
        <v>2197</v>
      </c>
      <c r="CR164" s="6" t="s">
        <v>206</v>
      </c>
      <c r="CS164" s="6" t="s">
        <v>163</v>
      </c>
      <c r="CT164" s="0" t="n">
        <v>32</v>
      </c>
      <c r="CU164" s="0" t="n">
        <v>7</v>
      </c>
      <c r="CV164" s="0" t="n">
        <v>4</v>
      </c>
      <c r="CW164" s="0" t="n">
        <v>6</v>
      </c>
      <c r="CX164" s="0" t="n">
        <v>15</v>
      </c>
      <c r="CY164" s="6" t="n">
        <f aca="false">IF(AH164="exact",10,IF(AH164="adjacent",5,0))</f>
        <v>0</v>
      </c>
      <c r="CZ164" s="6" t="n">
        <f aca="false">IF(R164="Y",15,0)</f>
        <v>0</v>
      </c>
      <c r="DF164" s="6" t="s">
        <v>158</v>
      </c>
      <c r="DG164" s="6" t="s">
        <v>211</v>
      </c>
      <c r="DK164" s="6" t="s">
        <v>2898</v>
      </c>
      <c r="DS164" s="6" t="s">
        <v>158</v>
      </c>
      <c r="DX164" s="6" t="s">
        <v>162</v>
      </c>
      <c r="ER164" s="0" t="str">
        <f aca="false">IF(ISNUMBER(MATCH(U164,{"queued","contacted","replied","call_booked","call_done","yes_in_principle","materials_sent"},0)),"Y","N")</f>
        <v>N</v>
      </c>
      <c r="ES164" s="0" t="str">
        <f aca="false">IF(COUNTIFS($AP$2:$AP$1000,AP164,$ER$2:$ER$1000,"Y")+COUNTIFS($AP$2:$AP$1000,AP164,$T$2:$T$1000,"Y")&gt;0,"Y","N")</f>
        <v>N</v>
      </c>
      <c r="ET164" s="0" t="str">
        <f aca="false">IF(AND(U164="new",T164="N",AT164="Y",AS164="",ES164="N"),"Y","N")</f>
        <v>N</v>
      </c>
      <c r="EU164" s="0" t="str">
        <f aca="false">IF(ET164&lt;&gt;"Y","N",IF(COUNTIFS($AP$2:$AP$1000,AP164,$ET$2:$ET$1000,"Y",$J$2:$J$1000,"&gt;"&amp;J164)+COUNTIFS($AP$2:$AP$1000,AP164,$ET$2:$ET$1000,"Y",$J$2:$J$1000,J164,$EW$2:$EW$1000,"&lt;"&amp;EW164)=0,"Y","N"))</f>
        <v>N</v>
      </c>
      <c r="EV164" s="0" t="str">
        <f aca="false">IF(Y164="","N",IF(Y164&lt;=10,"Y","N"))</f>
        <v>N</v>
      </c>
      <c r="EW164" s="6" t="n">
        <f aca="false">ROW()-1</f>
        <v>163</v>
      </c>
    </row>
    <row r="165" customFormat="false" ht="15" hidden="false" customHeight="false" outlineLevel="0" collapsed="false">
      <c r="A165" s="0" t="s">
        <v>2899</v>
      </c>
      <c r="B165" s="0" t="s">
        <v>2900</v>
      </c>
      <c r="H165" s="5" t="s">
        <v>158</v>
      </c>
      <c r="I165" s="5" t="s">
        <v>159</v>
      </c>
      <c r="J165" s="6" t="n">
        <f aca="false">IF(AX165="pass",ROUND(CU165+CV165+CW165+CX165+CY165+CZ165,1),0)</f>
        <v>31.9</v>
      </c>
      <c r="K165" s="6" t="s">
        <v>2901</v>
      </c>
      <c r="L165" s="6" t="s">
        <v>240</v>
      </c>
      <c r="R165" s="5" t="s">
        <v>162</v>
      </c>
      <c r="S165" s="6" t="s">
        <v>163</v>
      </c>
      <c r="T165" s="5" t="s">
        <v>162</v>
      </c>
      <c r="U165" s="5" t="s">
        <v>228</v>
      </c>
      <c r="V165" s="6" t="s">
        <v>727</v>
      </c>
      <c r="W165" s="6" t="s">
        <v>166</v>
      </c>
      <c r="X165" s="6" t="s">
        <v>167</v>
      </c>
      <c r="Y165" s="0" t="str">
        <f aca="false">IF(EU165&lt;&gt;"Y","",COUNTIFS($EU$2:$EU$1000,"Y",$J$2:$J$1000,"&gt;"&amp;J165)+COUNTIFS($EU$2:$EU$1000,"Y",$J$2:$J$1000,J165,$EW$2:$EW$1000,"&lt;"&amp;EW165)+1)</f>
        <v/>
      </c>
      <c r="Z165" s="0" t="n">
        <v>164</v>
      </c>
      <c r="AA165" s="6" t="s">
        <v>162</v>
      </c>
      <c r="AB165" s="6" t="s">
        <v>1662</v>
      </c>
      <c r="AD165" s="6" t="s">
        <v>158</v>
      </c>
      <c r="AH165" s="5" t="s">
        <v>158</v>
      </c>
      <c r="AI165" s="6" t="s">
        <v>728</v>
      </c>
      <c r="AJ165" s="6" t="s">
        <v>177</v>
      </c>
      <c r="AK165" s="6" t="s">
        <v>178</v>
      </c>
      <c r="AL165" s="0" t="n">
        <v>90</v>
      </c>
      <c r="AM165" s="0" t="n">
        <v>2327</v>
      </c>
      <c r="AN165" s="6" t="s">
        <v>179</v>
      </c>
      <c r="AO165" s="6" t="s">
        <v>370</v>
      </c>
      <c r="AP165" s="6" t="s">
        <v>2899</v>
      </c>
      <c r="AQ165" s="5" t="s">
        <v>162</v>
      </c>
      <c r="AT165" s="0" t="str">
        <f aca="false">IF(AND(AX165="pass",AQ165&lt;&gt;"Y",C165&lt;&gt;"",OR(AW165&lt;&gt;"Y",AV165="Y")),"Y","N")</f>
        <v>N</v>
      </c>
      <c r="AU165" s="0" t="str">
        <f aca="false">_xlfn.TEXTJOIN("; ",TRUE(),IF(AX165&lt;&gt;"pass","gated out",""),IF(AQ165="Y","on hold: "&amp;AR165,""),IF(C165="","no contact named on an opened page",""),IF(AND(AW165="Y",AV165&lt;&gt;"Y"),"Tuesday estimate band "&amp;L165&amp;": founder's call",""))</f>
        <v>no contact named on an opened page; Tuesday estimate band 251-500: founder's call</v>
      </c>
      <c r="AW165" s="6" t="s">
        <v>168</v>
      </c>
      <c r="AX165" s="6" t="s">
        <v>181</v>
      </c>
      <c r="AY165" s="6" t="s">
        <v>182</v>
      </c>
      <c r="AZ165" s="6" t="s">
        <v>1</v>
      </c>
      <c r="BA165" s="6" t="s">
        <v>2902</v>
      </c>
      <c r="BB165" s="6" t="s">
        <v>2903</v>
      </c>
      <c r="BC165" s="6" t="s">
        <v>2904</v>
      </c>
      <c r="BD165" s="6" t="s">
        <v>2905</v>
      </c>
      <c r="BE165" s="6" t="s">
        <v>2906</v>
      </c>
      <c r="BF165" s="6" t="s">
        <v>1323</v>
      </c>
      <c r="BG165" s="6" t="s">
        <v>188</v>
      </c>
      <c r="BH165" s="6" t="s">
        <v>1324</v>
      </c>
      <c r="BI165" s="6" t="s">
        <v>2907</v>
      </c>
      <c r="BJ165" s="6" t="s">
        <v>2908</v>
      </c>
      <c r="BK165" s="6" t="s">
        <v>1440</v>
      </c>
      <c r="BL165" s="6" t="s">
        <v>192</v>
      </c>
      <c r="BM165" s="6" t="s">
        <v>168</v>
      </c>
      <c r="BN165" s="6" t="s">
        <v>163</v>
      </c>
      <c r="BO165" s="6" t="s">
        <v>163</v>
      </c>
      <c r="BP165" s="6" t="s">
        <v>193</v>
      </c>
      <c r="BQ165" s="0" t="n">
        <v>40.734626</v>
      </c>
      <c r="BR165" s="0" t="n">
        <v>-73.9911</v>
      </c>
      <c r="BS165" s="6" t="s">
        <v>168</v>
      </c>
      <c r="BT165" s="0" t="n">
        <v>0</v>
      </c>
      <c r="BU165" s="6" t="s">
        <v>736</v>
      </c>
      <c r="BV165" s="6" t="s">
        <v>737</v>
      </c>
      <c r="BW165" s="6" t="s">
        <v>727</v>
      </c>
      <c r="BX165" s="6" t="s">
        <v>738</v>
      </c>
      <c r="BY165" s="6" t="s">
        <v>248</v>
      </c>
      <c r="BZ165" s="6" t="s">
        <v>2909</v>
      </c>
      <c r="CA165" s="6" t="s">
        <v>2537</v>
      </c>
      <c r="CC165" s="6" t="s">
        <v>200</v>
      </c>
      <c r="CE165" s="6" t="s">
        <v>162</v>
      </c>
      <c r="CH165" s="6" t="s">
        <v>201</v>
      </c>
      <c r="CI165" s="6" t="s">
        <v>740</v>
      </c>
      <c r="CJ165" s="6" t="s">
        <v>163</v>
      </c>
      <c r="CK165" s="6" t="s">
        <v>162</v>
      </c>
      <c r="CL165" s="6" t="s">
        <v>716</v>
      </c>
      <c r="CM165" s="6" t="s">
        <v>2910</v>
      </c>
      <c r="CN165" s="6" t="s">
        <v>174</v>
      </c>
      <c r="CO165" s="0" t="n">
        <v>458</v>
      </c>
      <c r="CP165" s="6" t="s">
        <v>251</v>
      </c>
      <c r="CQ165" s="6" t="s">
        <v>2911</v>
      </c>
      <c r="CR165" s="6" t="s">
        <v>206</v>
      </c>
      <c r="CS165" s="0" t="n">
        <v>0.31</v>
      </c>
      <c r="CT165" s="0" t="n">
        <v>31.9</v>
      </c>
      <c r="CU165" s="0" t="n">
        <v>7.9</v>
      </c>
      <c r="CV165" s="0" t="n">
        <v>2</v>
      </c>
      <c r="CW165" s="0" t="n">
        <v>7</v>
      </c>
      <c r="CX165" s="0" t="n">
        <v>15</v>
      </c>
      <c r="CY165" s="6" t="n">
        <f aca="false">IF(AH165="exact",10,IF(AH165="adjacent",5,0))</f>
        <v>0</v>
      </c>
      <c r="CZ165" s="6" t="n">
        <f aca="false">IF(R165="Y",15,0)</f>
        <v>0</v>
      </c>
      <c r="DF165" s="6" t="s">
        <v>158</v>
      </c>
      <c r="DG165" s="6" t="s">
        <v>1336</v>
      </c>
      <c r="DH165" s="6" t="s">
        <v>1447</v>
      </c>
      <c r="DI165" s="6" t="s">
        <v>168</v>
      </c>
      <c r="DJ165" s="6" t="s">
        <v>2353</v>
      </c>
      <c r="DK165" s="6" t="s">
        <v>2912</v>
      </c>
      <c r="DS165" s="6" t="s">
        <v>158</v>
      </c>
      <c r="DX165" s="6" t="s">
        <v>162</v>
      </c>
      <c r="ER165" s="0" t="str">
        <f aca="false">IF(ISNUMBER(MATCH(U165,{"queued","contacted","replied","call_booked","call_done","yes_in_principle","materials_sent"},0)),"Y","N")</f>
        <v>N</v>
      </c>
      <c r="ES165" s="0" t="str">
        <f aca="false">IF(COUNTIFS($AP$2:$AP$1000,AP165,$ER$2:$ER$1000,"Y")+COUNTIFS($AP$2:$AP$1000,AP165,$T$2:$T$1000,"Y")&gt;0,"Y","N")</f>
        <v>N</v>
      </c>
      <c r="ET165" s="0" t="str">
        <f aca="false">IF(AND(U165="new",T165="N",AT165="Y",AS165="",ES165="N"),"Y","N")</f>
        <v>N</v>
      </c>
      <c r="EU165" s="0" t="str">
        <f aca="false">IF(ET165&lt;&gt;"Y","N",IF(COUNTIFS($AP$2:$AP$1000,AP165,$ET$2:$ET$1000,"Y",$J$2:$J$1000,"&gt;"&amp;J165)+COUNTIFS($AP$2:$AP$1000,AP165,$ET$2:$ET$1000,"Y",$J$2:$J$1000,J165,$EW$2:$EW$1000,"&lt;"&amp;EW165)=0,"Y","N"))</f>
        <v>N</v>
      </c>
      <c r="EV165" s="0" t="str">
        <f aca="false">IF(Y165="","N",IF(Y165&lt;=10,"Y","N"))</f>
        <v>N</v>
      </c>
      <c r="EW165" s="6" t="n">
        <f aca="false">ROW()-1</f>
        <v>164</v>
      </c>
    </row>
    <row r="166" customFormat="false" ht="15" hidden="false" customHeight="false" outlineLevel="0" collapsed="false">
      <c r="A166" s="0" t="s">
        <v>2913</v>
      </c>
      <c r="B166" s="0" t="s">
        <v>2914</v>
      </c>
      <c r="H166" s="5" t="s">
        <v>158</v>
      </c>
      <c r="I166" s="5" t="s">
        <v>159</v>
      </c>
      <c r="J166" s="6" t="n">
        <f aca="false">IF(AX166="pass",ROUND(CU166+CV166+CW166+CX166+CY166+CZ166,1),0)</f>
        <v>31.7</v>
      </c>
      <c r="K166" s="6" t="s">
        <v>2915</v>
      </c>
      <c r="L166" s="6" t="s">
        <v>187</v>
      </c>
      <c r="R166" s="5" t="s">
        <v>162</v>
      </c>
      <c r="S166" s="6" t="s">
        <v>163</v>
      </c>
      <c r="T166" s="5" t="s">
        <v>162</v>
      </c>
      <c r="U166" s="5" t="s">
        <v>228</v>
      </c>
      <c r="V166" s="6" t="s">
        <v>2916</v>
      </c>
      <c r="W166" s="6" t="s">
        <v>166</v>
      </c>
      <c r="X166" s="6" t="s">
        <v>167</v>
      </c>
      <c r="Y166" s="0" t="str">
        <f aca="false">IF(EU166&lt;&gt;"Y","",COUNTIFS($EU$2:$EU$1000,"Y",$J$2:$J$1000,"&gt;"&amp;J166)+COUNTIFS($EU$2:$EU$1000,"Y",$J$2:$J$1000,J166,$EW$2:$EW$1000,"&lt;"&amp;EW166)+1)</f>
        <v/>
      </c>
      <c r="Z166" s="0" t="n">
        <v>165</v>
      </c>
      <c r="AA166" s="6" t="s">
        <v>162</v>
      </c>
      <c r="AD166" s="6" t="s">
        <v>158</v>
      </c>
      <c r="AH166" s="5" t="s">
        <v>158</v>
      </c>
      <c r="AI166" s="6" t="s">
        <v>1474</v>
      </c>
      <c r="AJ166" s="6" t="s">
        <v>2917</v>
      </c>
      <c r="AK166" s="6" t="s">
        <v>435</v>
      </c>
      <c r="AL166" s="0" t="n">
        <v>43</v>
      </c>
      <c r="AM166" s="0" t="n">
        <v>855</v>
      </c>
      <c r="AN166" s="6" t="s">
        <v>179</v>
      </c>
      <c r="AO166" s="6" t="s">
        <v>370</v>
      </c>
      <c r="AP166" s="6" t="s">
        <v>2913</v>
      </c>
      <c r="AQ166" s="5" t="s">
        <v>162</v>
      </c>
      <c r="AT166" s="0" t="str">
        <f aca="false">IF(AND(AX166="pass",AQ166&lt;&gt;"Y",C166&lt;&gt;"",OR(AW166&lt;&gt;"Y",AV166="Y")),"Y","N")</f>
        <v>N</v>
      </c>
      <c r="AU166" s="0" t="str">
        <f aca="false">_xlfn.TEXTJOIN("; ",TRUE(),IF(AX166&lt;&gt;"pass","gated out",""),IF(AQ166="Y","on hold: "&amp;AR166,""),IF(C166="","no contact named on an opened page",""),IF(AND(AW166="Y",AV166&lt;&gt;"Y"),"Tuesday estimate band "&amp;L166&amp;": founder's call",""))</f>
        <v>no contact named on an opened page</v>
      </c>
      <c r="AW166" s="6" t="s">
        <v>162</v>
      </c>
      <c r="AX166" s="6" t="s">
        <v>181</v>
      </c>
      <c r="AY166" s="6" t="s">
        <v>182</v>
      </c>
      <c r="AZ166" s="6" t="s">
        <v>1</v>
      </c>
      <c r="BA166" s="6" t="s">
        <v>2918</v>
      </c>
      <c r="BB166" s="6" t="s">
        <v>2919</v>
      </c>
      <c r="BC166" s="6" t="s">
        <v>2920</v>
      </c>
      <c r="BD166" s="6" t="s">
        <v>1772</v>
      </c>
      <c r="BF166" s="6" t="s">
        <v>1323</v>
      </c>
      <c r="BG166" s="6" t="s">
        <v>188</v>
      </c>
      <c r="BH166" s="6" t="s">
        <v>189</v>
      </c>
      <c r="BI166" s="6" t="s">
        <v>2921</v>
      </c>
      <c r="BK166" s="6" t="s">
        <v>1440</v>
      </c>
      <c r="BL166" s="6" t="s">
        <v>656</v>
      </c>
      <c r="BM166" s="6" t="s">
        <v>162</v>
      </c>
      <c r="BN166" s="6" t="s">
        <v>163</v>
      </c>
      <c r="BO166" s="6" t="s">
        <v>163</v>
      </c>
      <c r="BP166" s="6" t="s">
        <v>347</v>
      </c>
      <c r="BQ166" s="0" t="n">
        <v>40.741968</v>
      </c>
      <c r="BR166" s="0" t="n">
        <v>-73.985327</v>
      </c>
      <c r="BS166" s="6" t="s">
        <v>168</v>
      </c>
      <c r="BT166" s="0" t="n">
        <v>0</v>
      </c>
      <c r="BU166" s="6" t="s">
        <v>1481</v>
      </c>
      <c r="BV166" s="6" t="s">
        <v>1482</v>
      </c>
      <c r="BW166" s="6" t="s">
        <v>2916</v>
      </c>
      <c r="BX166" s="6" t="s">
        <v>2922</v>
      </c>
      <c r="BY166" s="6" t="s">
        <v>248</v>
      </c>
      <c r="BZ166" s="6" t="s">
        <v>2923</v>
      </c>
      <c r="CA166" s="6" t="s">
        <v>2924</v>
      </c>
      <c r="CC166" s="6" t="s">
        <v>739</v>
      </c>
      <c r="CE166" s="6" t="s">
        <v>162</v>
      </c>
      <c r="CH166" s="6" t="s">
        <v>163</v>
      </c>
      <c r="CJ166" s="6" t="s">
        <v>163</v>
      </c>
      <c r="CK166" s="6" t="s">
        <v>162</v>
      </c>
      <c r="CL166" s="6" t="s">
        <v>1331</v>
      </c>
      <c r="CM166" s="6" t="s">
        <v>2921</v>
      </c>
      <c r="CN166" s="6" t="s">
        <v>174</v>
      </c>
      <c r="CO166" s="0" t="n">
        <v>192</v>
      </c>
      <c r="CP166" s="6" t="s">
        <v>251</v>
      </c>
      <c r="CQ166" s="6" t="s">
        <v>1779</v>
      </c>
      <c r="CR166" s="6" t="s">
        <v>206</v>
      </c>
      <c r="CS166" s="0" t="n">
        <v>0.59</v>
      </c>
      <c r="CT166" s="0" t="n">
        <v>31.7</v>
      </c>
      <c r="CU166" s="0" t="n">
        <v>14.7</v>
      </c>
      <c r="CV166" s="0" t="n">
        <v>2</v>
      </c>
      <c r="CW166" s="0" t="n">
        <v>7</v>
      </c>
      <c r="CX166" s="0" t="n">
        <v>8</v>
      </c>
      <c r="CY166" s="6" t="n">
        <f aca="false">IF(AH166="exact",10,IF(AH166="adjacent",5,0))</f>
        <v>0</v>
      </c>
      <c r="CZ166" s="6" t="n">
        <f aca="false">IF(R166="Y",15,0)</f>
        <v>0</v>
      </c>
      <c r="DF166" s="6" t="s">
        <v>158</v>
      </c>
      <c r="DG166" s="6" t="s">
        <v>1336</v>
      </c>
      <c r="DH166" s="6" t="s">
        <v>1447</v>
      </c>
      <c r="DI166" s="6" t="s">
        <v>162</v>
      </c>
      <c r="DJ166" s="6" t="s">
        <v>1485</v>
      </c>
      <c r="DK166" s="6" t="s">
        <v>2925</v>
      </c>
      <c r="DS166" s="6" t="s">
        <v>158</v>
      </c>
      <c r="DX166" s="6" t="s">
        <v>162</v>
      </c>
      <c r="ER166" s="0" t="str">
        <f aca="false">IF(ISNUMBER(MATCH(U166,{"queued","contacted","replied","call_booked","call_done","yes_in_principle","materials_sent"},0)),"Y","N")</f>
        <v>N</v>
      </c>
      <c r="ES166" s="0" t="str">
        <f aca="false">IF(COUNTIFS($AP$2:$AP$1000,AP166,$ER$2:$ER$1000,"Y")+COUNTIFS($AP$2:$AP$1000,AP166,$T$2:$T$1000,"Y")&gt;0,"Y","N")</f>
        <v>N</v>
      </c>
      <c r="ET166" s="0" t="str">
        <f aca="false">IF(AND(U166="new",T166="N",AT166="Y",AS166="",ES166="N"),"Y","N")</f>
        <v>N</v>
      </c>
      <c r="EU166" s="0" t="str">
        <f aca="false">IF(ET166&lt;&gt;"Y","N",IF(COUNTIFS($AP$2:$AP$1000,AP166,$ET$2:$ET$1000,"Y",$J$2:$J$1000,"&gt;"&amp;J166)+COUNTIFS($AP$2:$AP$1000,AP166,$ET$2:$ET$1000,"Y",$J$2:$J$1000,J166,$EW$2:$EW$1000,"&lt;"&amp;EW166)=0,"Y","N"))</f>
        <v>N</v>
      </c>
      <c r="EV166" s="0" t="str">
        <f aca="false">IF(Y166="","N",IF(Y166&lt;=10,"Y","N"))</f>
        <v>N</v>
      </c>
      <c r="EW166" s="6" t="n">
        <f aca="false">ROW()-1</f>
        <v>165</v>
      </c>
    </row>
    <row r="167" customFormat="false" ht="15" hidden="false" customHeight="false" outlineLevel="0" collapsed="false">
      <c r="A167" s="0" t="s">
        <v>2926</v>
      </c>
      <c r="B167" s="0" t="s">
        <v>2927</v>
      </c>
      <c r="H167" s="5" t="s">
        <v>158</v>
      </c>
      <c r="I167" s="5" t="s">
        <v>159</v>
      </c>
      <c r="J167" s="6" t="n">
        <f aca="false">IF(AX167="pass",ROUND(CU167+CV167+CW167+CX167+CY167+CZ167,1),0)</f>
        <v>31.7</v>
      </c>
      <c r="K167" s="6" t="s">
        <v>2928</v>
      </c>
      <c r="L167" s="6" t="s">
        <v>187</v>
      </c>
      <c r="R167" s="5" t="s">
        <v>162</v>
      </c>
      <c r="S167" s="6" t="s">
        <v>163</v>
      </c>
      <c r="T167" s="5" t="s">
        <v>162</v>
      </c>
      <c r="U167" s="5" t="s">
        <v>228</v>
      </c>
      <c r="V167" s="6" t="s">
        <v>1165</v>
      </c>
      <c r="W167" s="6" t="s">
        <v>166</v>
      </c>
      <c r="X167" s="6" t="s">
        <v>167</v>
      </c>
      <c r="Y167" s="0" t="str">
        <f aca="false">IF(EU167&lt;&gt;"Y","",COUNTIFS($EU$2:$EU$1000,"Y",$J$2:$J$1000,"&gt;"&amp;J167)+COUNTIFS($EU$2:$EU$1000,"Y",$J$2:$J$1000,J167,$EW$2:$EW$1000,"&lt;"&amp;EW167)+1)</f>
        <v/>
      </c>
      <c r="Z167" s="0" t="n">
        <v>166</v>
      </c>
      <c r="AA167" s="6" t="s">
        <v>162</v>
      </c>
      <c r="AD167" s="6" t="s">
        <v>158</v>
      </c>
      <c r="AH167" s="5" t="s">
        <v>158</v>
      </c>
      <c r="AI167" s="6" t="s">
        <v>1168</v>
      </c>
      <c r="AJ167" s="6" t="s">
        <v>163</v>
      </c>
      <c r="AK167" s="6" t="s">
        <v>435</v>
      </c>
      <c r="AL167" s="0" t="n">
        <v>171</v>
      </c>
      <c r="AM167" s="0" t="n">
        <v>342</v>
      </c>
      <c r="AN167" s="6" t="s">
        <v>179</v>
      </c>
      <c r="AO167" s="6" t="s">
        <v>370</v>
      </c>
      <c r="AP167" s="6" t="s">
        <v>2926</v>
      </c>
      <c r="AQ167" s="5" t="s">
        <v>162</v>
      </c>
      <c r="AT167" s="0" t="str">
        <f aca="false">IF(AND(AX167="pass",AQ167&lt;&gt;"Y",C167&lt;&gt;"",OR(AW167&lt;&gt;"Y",AV167="Y")),"Y","N")</f>
        <v>N</v>
      </c>
      <c r="AU167" s="0" t="str">
        <f aca="false">_xlfn.TEXTJOIN("; ",TRUE(),IF(AX167&lt;&gt;"pass","gated out",""),IF(AQ167="Y","on hold: "&amp;AR167,""),IF(C167="","no contact named on an opened page",""),IF(AND(AW167="Y",AV167&lt;&gt;"Y"),"Tuesday estimate band "&amp;L167&amp;": founder's call",""))</f>
        <v>no contact named on an opened page</v>
      </c>
      <c r="AW167" s="6" t="s">
        <v>162</v>
      </c>
      <c r="AX167" s="6" t="s">
        <v>181</v>
      </c>
      <c r="AY167" s="6" t="s">
        <v>182</v>
      </c>
      <c r="AZ167" s="6" t="s">
        <v>1</v>
      </c>
      <c r="BA167" s="6" t="s">
        <v>2929</v>
      </c>
      <c r="BB167" s="6" t="s">
        <v>2930</v>
      </c>
      <c r="BC167" s="6" t="s">
        <v>2931</v>
      </c>
      <c r="BD167" s="6" t="s">
        <v>1738</v>
      </c>
      <c r="BF167" s="6" t="s">
        <v>1323</v>
      </c>
      <c r="BG167" s="6" t="s">
        <v>188</v>
      </c>
      <c r="BH167" s="6" t="s">
        <v>189</v>
      </c>
      <c r="BI167" s="6" t="s">
        <v>2932</v>
      </c>
      <c r="BK167" s="6" t="s">
        <v>1264</v>
      </c>
      <c r="BL167" s="6" t="s">
        <v>192</v>
      </c>
      <c r="BM167" s="6" t="s">
        <v>168</v>
      </c>
      <c r="BN167" s="6" t="s">
        <v>163</v>
      </c>
      <c r="BO167" s="6" t="s">
        <v>163</v>
      </c>
      <c r="BP167" s="6" t="s">
        <v>193</v>
      </c>
      <c r="BQ167" s="0" t="n">
        <v>40.734305</v>
      </c>
      <c r="BR167" s="0" t="n">
        <v>-73.991059</v>
      </c>
      <c r="BS167" s="6" t="s">
        <v>168</v>
      </c>
      <c r="BT167" s="0" t="n">
        <v>0</v>
      </c>
      <c r="BU167" s="6" t="s">
        <v>736</v>
      </c>
      <c r="BV167" s="6" t="s">
        <v>737</v>
      </c>
      <c r="BW167" s="6" t="s">
        <v>1165</v>
      </c>
      <c r="BX167" s="6" t="s">
        <v>1174</v>
      </c>
      <c r="BY167" s="6" t="s">
        <v>248</v>
      </c>
      <c r="CC167" s="6" t="s">
        <v>179</v>
      </c>
      <c r="CE167" s="6" t="s">
        <v>162</v>
      </c>
      <c r="CH167" s="6" t="s">
        <v>201</v>
      </c>
      <c r="CI167" s="6" t="s">
        <v>740</v>
      </c>
      <c r="CJ167" s="6" t="s">
        <v>163</v>
      </c>
      <c r="CK167" s="6" t="s">
        <v>162</v>
      </c>
      <c r="CL167" s="6" t="s">
        <v>716</v>
      </c>
      <c r="CM167" s="6" t="s">
        <v>2933</v>
      </c>
      <c r="CN167" s="6" t="s">
        <v>174</v>
      </c>
      <c r="CO167" s="0" t="n">
        <v>242</v>
      </c>
      <c r="CP167" s="6" t="s">
        <v>251</v>
      </c>
      <c r="CQ167" s="6" t="s">
        <v>2934</v>
      </c>
      <c r="CR167" s="6" t="s">
        <v>206</v>
      </c>
      <c r="CS167" s="0" t="n">
        <v>0.55</v>
      </c>
      <c r="CT167" s="0" t="n">
        <v>31.7</v>
      </c>
      <c r="CU167" s="0" t="n">
        <v>13.7</v>
      </c>
      <c r="CV167" s="0" t="n">
        <v>6</v>
      </c>
      <c r="CW167" s="0" t="n">
        <v>7</v>
      </c>
      <c r="CX167" s="0" t="n">
        <v>5</v>
      </c>
      <c r="CY167" s="6" t="n">
        <f aca="false">IF(AH167="exact",10,IF(AH167="adjacent",5,0))</f>
        <v>0</v>
      </c>
      <c r="CZ167" s="6" t="n">
        <f aca="false">IF(R167="Y",15,0)</f>
        <v>0</v>
      </c>
      <c r="DF167" s="6" t="s">
        <v>158</v>
      </c>
      <c r="DG167" s="6" t="s">
        <v>1336</v>
      </c>
      <c r="DH167" s="6" t="s">
        <v>1337</v>
      </c>
      <c r="DI167" s="6" t="s">
        <v>162</v>
      </c>
      <c r="DJ167" s="6" t="s">
        <v>2674</v>
      </c>
      <c r="DK167" s="6" t="s">
        <v>2935</v>
      </c>
      <c r="DS167" s="6" t="s">
        <v>158</v>
      </c>
      <c r="DX167" s="6" t="s">
        <v>162</v>
      </c>
      <c r="ER167" s="0" t="str">
        <f aca="false">IF(ISNUMBER(MATCH(U167,{"queued","contacted","replied","call_booked","call_done","yes_in_principle","materials_sent"},0)),"Y","N")</f>
        <v>N</v>
      </c>
      <c r="ES167" s="0" t="str">
        <f aca="false">IF(COUNTIFS($AP$2:$AP$1000,AP167,$ER$2:$ER$1000,"Y")+COUNTIFS($AP$2:$AP$1000,AP167,$T$2:$T$1000,"Y")&gt;0,"Y","N")</f>
        <v>N</v>
      </c>
      <c r="ET167" s="0" t="str">
        <f aca="false">IF(AND(U167="new",T167="N",AT167="Y",AS167="",ES167="N"),"Y","N")</f>
        <v>N</v>
      </c>
      <c r="EU167" s="0" t="str">
        <f aca="false">IF(ET167&lt;&gt;"Y","N",IF(COUNTIFS($AP$2:$AP$1000,AP167,$ET$2:$ET$1000,"Y",$J$2:$J$1000,"&gt;"&amp;J167)+COUNTIFS($AP$2:$AP$1000,AP167,$ET$2:$ET$1000,"Y",$J$2:$J$1000,J167,$EW$2:$EW$1000,"&lt;"&amp;EW167)=0,"Y","N"))</f>
        <v>N</v>
      </c>
      <c r="EV167" s="0" t="str">
        <f aca="false">IF(Y167="","N",IF(Y167&lt;=10,"Y","N"))</f>
        <v>N</v>
      </c>
      <c r="EW167" s="6" t="n">
        <f aca="false">ROW()-1</f>
        <v>166</v>
      </c>
    </row>
    <row r="168" customFormat="false" ht="15" hidden="false" customHeight="false" outlineLevel="0" collapsed="false">
      <c r="A168" s="0" t="s">
        <v>2936</v>
      </c>
      <c r="B168" s="0" t="s">
        <v>2937</v>
      </c>
      <c r="H168" s="5" t="s">
        <v>158</v>
      </c>
      <c r="I168" s="5" t="s">
        <v>159</v>
      </c>
      <c r="J168" s="6" t="n">
        <f aca="false">IF(AX168="pass",ROUND(CU168+CV168+CW168+CX168+CY168+CZ168,1),0)</f>
        <v>31</v>
      </c>
      <c r="K168" s="6" t="s">
        <v>2938</v>
      </c>
      <c r="L168" s="6" t="s">
        <v>163</v>
      </c>
      <c r="O168" s="6" t="s">
        <v>2939</v>
      </c>
      <c r="P168" s="6" t="s">
        <v>2940</v>
      </c>
      <c r="Q168" s="6" t="s">
        <v>2941</v>
      </c>
      <c r="R168" s="5" t="s">
        <v>162</v>
      </c>
      <c r="S168" s="6" t="s">
        <v>163</v>
      </c>
      <c r="T168" s="5" t="s">
        <v>162</v>
      </c>
      <c r="U168" s="5" t="s">
        <v>228</v>
      </c>
      <c r="V168" s="6" t="s">
        <v>2940</v>
      </c>
      <c r="W168" s="6" t="s">
        <v>166</v>
      </c>
      <c r="X168" s="6" t="s">
        <v>167</v>
      </c>
      <c r="Y168" s="0" t="str">
        <f aca="false">IF(EU168&lt;&gt;"Y","",COUNTIFS($EU$2:$EU$1000,"Y",$J$2:$J$1000,"&gt;"&amp;J168)+COUNTIFS($EU$2:$EU$1000,"Y",$J$2:$J$1000,J168,$EW$2:$EW$1000,"&lt;"&amp;EW168)+1)</f>
        <v/>
      </c>
      <c r="Z168" s="0" t="n">
        <v>167</v>
      </c>
      <c r="AA168" s="6" t="s">
        <v>162</v>
      </c>
      <c r="AD168" s="6" t="s">
        <v>158</v>
      </c>
      <c r="AH168" s="5" t="s">
        <v>158</v>
      </c>
      <c r="AI168" s="6" t="s">
        <v>728</v>
      </c>
      <c r="AJ168" s="6" t="s">
        <v>2942</v>
      </c>
      <c r="AK168" s="6" t="s">
        <v>435</v>
      </c>
      <c r="AL168" s="6" t="s">
        <v>163</v>
      </c>
      <c r="AM168" s="6" t="s">
        <v>163</v>
      </c>
      <c r="AN168" s="6" t="s">
        <v>158</v>
      </c>
      <c r="AO168" s="6" t="s">
        <v>163</v>
      </c>
      <c r="AP168" s="6" t="s">
        <v>2936</v>
      </c>
      <c r="AQ168" s="5" t="s">
        <v>162</v>
      </c>
      <c r="AT168" s="0" t="str">
        <f aca="false">IF(AND(AX168="pass",AQ168&lt;&gt;"Y",C168&lt;&gt;"",OR(AW168&lt;&gt;"Y",AV168="Y")),"Y","N")</f>
        <v>N</v>
      </c>
      <c r="AU168" s="0" t="str">
        <f aca="false">_xlfn.TEXTJOIN("; ",TRUE(),IF(AX168&lt;&gt;"pass","gated out",""),IF(AQ168="Y","on hold: "&amp;AR168,""),IF(C168="","no contact named on an opened page",""),IF(AND(AW168="Y",AV168&lt;&gt;"Y"),"Tuesday estimate band "&amp;L168&amp;": founder's call",""))</f>
        <v>no contact named on an opened page</v>
      </c>
      <c r="AW168" s="6" t="s">
        <v>162</v>
      </c>
      <c r="AX168" s="6" t="s">
        <v>181</v>
      </c>
      <c r="AY168" s="6" t="s">
        <v>182</v>
      </c>
      <c r="AZ168" s="6" t="s">
        <v>1</v>
      </c>
      <c r="BA168" s="6" t="s">
        <v>2943</v>
      </c>
      <c r="BB168" s="6" t="s">
        <v>2944</v>
      </c>
      <c r="BC168" s="6" t="s">
        <v>2945</v>
      </c>
      <c r="BD168" s="6" t="s">
        <v>163</v>
      </c>
      <c r="BF168" s="6" t="s">
        <v>163</v>
      </c>
      <c r="BG168" s="6" t="s">
        <v>163</v>
      </c>
      <c r="BH168" s="6" t="s">
        <v>2196</v>
      </c>
      <c r="BK168" s="6" t="s">
        <v>163</v>
      </c>
      <c r="BL168" s="6" t="s">
        <v>656</v>
      </c>
      <c r="BM168" s="6" t="s">
        <v>162</v>
      </c>
      <c r="BN168" s="6" t="s">
        <v>163</v>
      </c>
      <c r="BO168" s="6" t="s">
        <v>163</v>
      </c>
      <c r="BP168" s="6" t="s">
        <v>193</v>
      </c>
      <c r="BQ168" s="0" t="n">
        <v>40.734626</v>
      </c>
      <c r="BR168" s="0" t="n">
        <v>-73.9911</v>
      </c>
      <c r="BS168" s="6" t="s">
        <v>168</v>
      </c>
      <c r="BT168" s="0" t="n">
        <v>0</v>
      </c>
      <c r="BU168" s="6" t="s">
        <v>736</v>
      </c>
      <c r="BV168" s="6" t="s">
        <v>737</v>
      </c>
      <c r="BW168" s="6" t="s">
        <v>2940</v>
      </c>
      <c r="BX168" s="6" t="s">
        <v>2941</v>
      </c>
      <c r="BY168" s="6" t="s">
        <v>248</v>
      </c>
      <c r="BZ168" s="6" t="s">
        <v>2574</v>
      </c>
      <c r="CA168" s="6" t="s">
        <v>913</v>
      </c>
      <c r="CC168" s="6" t="s">
        <v>200</v>
      </c>
      <c r="CE168" s="6" t="s">
        <v>162</v>
      </c>
      <c r="CH168" s="6" t="s">
        <v>201</v>
      </c>
      <c r="CI168" s="6" t="s">
        <v>740</v>
      </c>
      <c r="CJ168" s="6" t="s">
        <v>163</v>
      </c>
      <c r="CK168" s="6" t="s">
        <v>162</v>
      </c>
      <c r="CL168" s="6" t="s">
        <v>163</v>
      </c>
      <c r="CO168" s="6" t="s">
        <v>163</v>
      </c>
      <c r="CQ168" s="6" t="s">
        <v>2197</v>
      </c>
      <c r="CR168" s="6" t="s">
        <v>206</v>
      </c>
      <c r="CS168" s="6" t="s">
        <v>163</v>
      </c>
      <c r="CT168" s="0" t="n">
        <v>31</v>
      </c>
      <c r="CU168" s="0" t="n">
        <v>7</v>
      </c>
      <c r="CV168" s="0" t="n">
        <v>8</v>
      </c>
      <c r="CW168" s="0" t="n">
        <v>6</v>
      </c>
      <c r="CX168" s="0" t="n">
        <v>10</v>
      </c>
      <c r="CY168" s="6" t="n">
        <f aca="false">IF(AH168="exact",10,IF(AH168="adjacent",5,0))</f>
        <v>0</v>
      </c>
      <c r="CZ168" s="6" t="n">
        <f aca="false">IF(R168="Y",15,0)</f>
        <v>0</v>
      </c>
      <c r="DF168" s="6" t="s">
        <v>158</v>
      </c>
      <c r="DG168" s="6" t="s">
        <v>211</v>
      </c>
      <c r="DJ168" s="6" t="s">
        <v>2946</v>
      </c>
      <c r="DK168" s="6" t="s">
        <v>2947</v>
      </c>
      <c r="DS168" s="6" t="s">
        <v>158</v>
      </c>
      <c r="DX168" s="6" t="s">
        <v>162</v>
      </c>
      <c r="ER168" s="0" t="str">
        <f aca="false">IF(ISNUMBER(MATCH(U168,{"queued","contacted","replied","call_booked","call_done","yes_in_principle","materials_sent"},0)),"Y","N")</f>
        <v>N</v>
      </c>
      <c r="ES168" s="0" t="str">
        <f aca="false">IF(COUNTIFS($AP$2:$AP$1000,AP168,$ER$2:$ER$1000,"Y")+COUNTIFS($AP$2:$AP$1000,AP168,$T$2:$T$1000,"Y")&gt;0,"Y","N")</f>
        <v>N</v>
      </c>
      <c r="ET168" s="0" t="str">
        <f aca="false">IF(AND(U168="new",T168="N",AT168="Y",AS168="",ES168="N"),"Y","N")</f>
        <v>N</v>
      </c>
      <c r="EU168" s="0" t="str">
        <f aca="false">IF(ET168&lt;&gt;"Y","N",IF(COUNTIFS($AP$2:$AP$1000,AP168,$ET$2:$ET$1000,"Y",$J$2:$J$1000,"&gt;"&amp;J168)+COUNTIFS($AP$2:$AP$1000,AP168,$ET$2:$ET$1000,"Y",$J$2:$J$1000,J168,$EW$2:$EW$1000,"&lt;"&amp;EW168)=0,"Y","N"))</f>
        <v>N</v>
      </c>
      <c r="EV168" s="0" t="str">
        <f aca="false">IF(Y168="","N",IF(Y168&lt;=10,"Y","N"))</f>
        <v>N</v>
      </c>
      <c r="EW168" s="6" t="n">
        <f aca="false">ROW()-1</f>
        <v>167</v>
      </c>
    </row>
    <row r="169" customFormat="false" ht="15" hidden="false" customHeight="false" outlineLevel="0" collapsed="false">
      <c r="A169" s="0" t="s">
        <v>2948</v>
      </c>
      <c r="B169" s="0" t="s">
        <v>2949</v>
      </c>
      <c r="H169" s="5" t="s">
        <v>158</v>
      </c>
      <c r="I169" s="5" t="s">
        <v>159</v>
      </c>
      <c r="J169" s="6" t="n">
        <f aca="false">IF(AX169="pass",ROUND(CU169+CV169+CW169+CX169+CY169+CZ169,1),0)</f>
        <v>30.8</v>
      </c>
      <c r="K169" s="6" t="s">
        <v>2950</v>
      </c>
      <c r="L169" s="6" t="s">
        <v>561</v>
      </c>
      <c r="R169" s="5" t="s">
        <v>162</v>
      </c>
      <c r="S169" s="6" t="s">
        <v>163</v>
      </c>
      <c r="T169" s="5" t="s">
        <v>162</v>
      </c>
      <c r="U169" s="5" t="s">
        <v>228</v>
      </c>
      <c r="V169" s="6" t="s">
        <v>2609</v>
      </c>
      <c r="W169" s="6" t="s">
        <v>166</v>
      </c>
      <c r="X169" s="6" t="s">
        <v>167</v>
      </c>
      <c r="Y169" s="0" t="str">
        <f aca="false">IF(EU169&lt;&gt;"Y","",COUNTIFS($EU$2:$EU$1000,"Y",$J$2:$J$1000,"&gt;"&amp;J169)+COUNTIFS($EU$2:$EU$1000,"Y",$J$2:$J$1000,J169,$EW$2:$EW$1000,"&lt;"&amp;EW169)+1)</f>
        <v/>
      </c>
      <c r="Z169" s="0" t="n">
        <v>168</v>
      </c>
      <c r="AA169" s="6" t="s">
        <v>162</v>
      </c>
      <c r="AB169" s="6" t="s">
        <v>1562</v>
      </c>
      <c r="AD169" s="6" t="s">
        <v>158</v>
      </c>
      <c r="AH169" s="5" t="s">
        <v>158</v>
      </c>
      <c r="AI169" s="6" t="s">
        <v>2610</v>
      </c>
      <c r="AJ169" s="6" t="s">
        <v>163</v>
      </c>
      <c r="AK169" s="6" t="s">
        <v>435</v>
      </c>
      <c r="AL169" s="0" t="n">
        <v>2</v>
      </c>
      <c r="AM169" s="0" t="n">
        <v>44</v>
      </c>
      <c r="AN169" s="6" t="s">
        <v>179</v>
      </c>
      <c r="AO169" s="6" t="s">
        <v>370</v>
      </c>
      <c r="AP169" s="6" t="s">
        <v>2948</v>
      </c>
      <c r="AQ169" s="5" t="s">
        <v>162</v>
      </c>
      <c r="AT169" s="0" t="str">
        <f aca="false">IF(AND(AX169="pass",AQ169&lt;&gt;"Y",C169&lt;&gt;"",OR(AW169&lt;&gt;"Y",AV169="Y")),"Y","N")</f>
        <v>N</v>
      </c>
      <c r="AU169" s="0" t="str">
        <f aca="false">_xlfn.TEXTJOIN("; ",TRUE(),IF(AX169&lt;&gt;"pass","gated out",""),IF(AQ169="Y","on hold: "&amp;AR169,""),IF(C169="","no contact named on an opened page",""),IF(AND(AW169="Y",AV169&lt;&gt;"Y"),"Tuesday estimate band "&amp;L169&amp;": founder's call",""))</f>
        <v>no contact named on an opened page; Tuesday estimate band under-40: founder's call</v>
      </c>
      <c r="AW169" s="6" t="s">
        <v>168</v>
      </c>
      <c r="AX169" s="6" t="s">
        <v>181</v>
      </c>
      <c r="AY169" s="6" t="s">
        <v>182</v>
      </c>
      <c r="AZ169" s="6" t="s">
        <v>1</v>
      </c>
      <c r="BA169" s="6" t="s">
        <v>2951</v>
      </c>
      <c r="BB169" s="6" t="s">
        <v>2952</v>
      </c>
      <c r="BC169" s="6" t="s">
        <v>2953</v>
      </c>
      <c r="BD169" s="6" t="s">
        <v>1220</v>
      </c>
      <c r="BF169" s="6" t="s">
        <v>395</v>
      </c>
      <c r="BG169" s="6" t="s">
        <v>188</v>
      </c>
      <c r="BH169" s="6" t="s">
        <v>189</v>
      </c>
      <c r="BI169" s="6" t="s">
        <v>2954</v>
      </c>
      <c r="BK169" s="6" t="s">
        <v>191</v>
      </c>
      <c r="BL169" s="6" t="s">
        <v>2955</v>
      </c>
      <c r="BM169" s="6" t="s">
        <v>162</v>
      </c>
      <c r="BN169" s="6" t="s">
        <v>163</v>
      </c>
      <c r="BO169" s="6" t="s">
        <v>163</v>
      </c>
      <c r="BP169" s="6" t="s">
        <v>378</v>
      </c>
      <c r="BQ169" s="0" t="n">
        <v>40.738186</v>
      </c>
      <c r="BR169" s="0" t="n">
        <v>-73.992429</v>
      </c>
      <c r="BS169" s="6" t="s">
        <v>168</v>
      </c>
      <c r="BT169" s="0" t="n">
        <v>0</v>
      </c>
      <c r="BU169" s="6" t="s">
        <v>2613</v>
      </c>
      <c r="BV169" s="6" t="s">
        <v>2610</v>
      </c>
      <c r="BW169" s="6" t="s">
        <v>2609</v>
      </c>
      <c r="BX169" s="6" t="s">
        <v>2614</v>
      </c>
      <c r="BY169" s="6" t="s">
        <v>248</v>
      </c>
      <c r="CC169" s="6" t="s">
        <v>739</v>
      </c>
      <c r="CE169" s="6" t="s">
        <v>162</v>
      </c>
      <c r="CH169" s="6" t="s">
        <v>163</v>
      </c>
      <c r="CJ169" s="6" t="s">
        <v>163</v>
      </c>
      <c r="CK169" s="6" t="s">
        <v>162</v>
      </c>
      <c r="CL169" s="6" t="s">
        <v>1686</v>
      </c>
      <c r="CM169" s="6" t="s">
        <v>2956</v>
      </c>
      <c r="CN169" s="6" t="s">
        <v>174</v>
      </c>
      <c r="CO169" s="0" t="n">
        <v>9</v>
      </c>
      <c r="CP169" s="6" t="s">
        <v>1727</v>
      </c>
      <c r="CQ169" s="6" t="s">
        <v>2957</v>
      </c>
      <c r="CR169" s="6" t="s">
        <v>206</v>
      </c>
      <c r="CS169" s="0" t="n">
        <v>0.03</v>
      </c>
      <c r="CT169" s="0" t="n">
        <v>30.8</v>
      </c>
      <c r="CU169" s="0" t="n">
        <v>0.8</v>
      </c>
      <c r="CV169" s="0" t="n">
        <v>15</v>
      </c>
      <c r="CW169" s="0" t="n">
        <v>7</v>
      </c>
      <c r="CX169" s="0" t="n">
        <v>8</v>
      </c>
      <c r="CY169" s="6" t="n">
        <f aca="false">IF(AH169="exact",10,IF(AH169="adjacent",5,0))</f>
        <v>0</v>
      </c>
      <c r="CZ169" s="6" t="n">
        <f aca="false">IF(R169="Y",15,0)</f>
        <v>0</v>
      </c>
      <c r="DF169" s="6" t="s">
        <v>158</v>
      </c>
      <c r="DG169" s="6" t="s">
        <v>211</v>
      </c>
      <c r="DJ169" s="6" t="s">
        <v>2958</v>
      </c>
      <c r="DK169" s="6" t="s">
        <v>2959</v>
      </c>
      <c r="DS169" s="6" t="s">
        <v>158</v>
      </c>
      <c r="DX169" s="6" t="s">
        <v>162</v>
      </c>
      <c r="ER169" s="0" t="str">
        <f aca="false">IF(ISNUMBER(MATCH(U169,{"queued","contacted","replied","call_booked","call_done","yes_in_principle","materials_sent"},0)),"Y","N")</f>
        <v>N</v>
      </c>
      <c r="ES169" s="0" t="str">
        <f aca="false">IF(COUNTIFS($AP$2:$AP$1000,AP169,$ER$2:$ER$1000,"Y")+COUNTIFS($AP$2:$AP$1000,AP169,$T$2:$T$1000,"Y")&gt;0,"Y","N")</f>
        <v>N</v>
      </c>
      <c r="ET169" s="0" t="str">
        <f aca="false">IF(AND(U169="new",T169="N",AT169="Y",AS169="",ES169="N"),"Y","N")</f>
        <v>N</v>
      </c>
      <c r="EU169" s="0" t="str">
        <f aca="false">IF(ET169&lt;&gt;"Y","N",IF(COUNTIFS($AP$2:$AP$1000,AP169,$ET$2:$ET$1000,"Y",$J$2:$J$1000,"&gt;"&amp;J169)+COUNTIFS($AP$2:$AP$1000,AP169,$ET$2:$ET$1000,"Y",$J$2:$J$1000,J169,$EW$2:$EW$1000,"&lt;"&amp;EW169)=0,"Y","N"))</f>
        <v>N</v>
      </c>
      <c r="EV169" s="0" t="str">
        <f aca="false">IF(Y169="","N",IF(Y169&lt;=10,"Y","N"))</f>
        <v>N</v>
      </c>
      <c r="EW169" s="6" t="n">
        <f aca="false">ROW()-1</f>
        <v>168</v>
      </c>
    </row>
    <row r="170" customFormat="false" ht="15" hidden="false" customHeight="false" outlineLevel="0" collapsed="false">
      <c r="A170" s="0" t="s">
        <v>2960</v>
      </c>
      <c r="B170" s="0" t="s">
        <v>2961</v>
      </c>
      <c r="H170" s="5" t="s">
        <v>158</v>
      </c>
      <c r="I170" s="5" t="s">
        <v>159</v>
      </c>
      <c r="J170" s="6" t="n">
        <f aca="false">IF(AX170="pass",ROUND(CU170+CV170+CW170+CX170+CY170+CZ170,1),0)</f>
        <v>30.6</v>
      </c>
      <c r="K170" s="6" t="s">
        <v>2962</v>
      </c>
      <c r="L170" s="6" t="s">
        <v>187</v>
      </c>
      <c r="R170" s="5" t="s">
        <v>162</v>
      </c>
      <c r="S170" s="6" t="s">
        <v>163</v>
      </c>
      <c r="T170" s="5" t="s">
        <v>162</v>
      </c>
      <c r="U170" s="5" t="s">
        <v>228</v>
      </c>
      <c r="V170" s="6" t="s">
        <v>2963</v>
      </c>
      <c r="W170" s="6" t="s">
        <v>166</v>
      </c>
      <c r="X170" s="6" t="s">
        <v>167</v>
      </c>
      <c r="Y170" s="0" t="str">
        <f aca="false">IF(EU170&lt;&gt;"Y","",COUNTIFS($EU$2:$EU$1000,"Y",$J$2:$J$1000,"&gt;"&amp;J170)+COUNTIFS($EU$2:$EU$1000,"Y",$J$2:$J$1000,J170,$EW$2:$EW$1000,"&lt;"&amp;EW170)+1)</f>
        <v/>
      </c>
      <c r="Z170" s="0" t="n">
        <v>169</v>
      </c>
      <c r="AA170" s="6" t="s">
        <v>162</v>
      </c>
      <c r="AD170" s="6" t="s">
        <v>158</v>
      </c>
      <c r="AH170" s="5" t="s">
        <v>158</v>
      </c>
      <c r="AI170" s="6" t="s">
        <v>649</v>
      </c>
      <c r="AJ170" s="6" t="s">
        <v>784</v>
      </c>
      <c r="AK170" s="6" t="s">
        <v>178</v>
      </c>
      <c r="AL170" s="0" t="n">
        <v>74</v>
      </c>
      <c r="AM170" s="0" t="n">
        <v>380</v>
      </c>
      <c r="AN170" s="6" t="s">
        <v>179</v>
      </c>
      <c r="AO170" s="6" t="s">
        <v>1033</v>
      </c>
      <c r="AP170" s="6" t="s">
        <v>2960</v>
      </c>
      <c r="AQ170" s="5" t="s">
        <v>162</v>
      </c>
      <c r="AT170" s="0" t="str">
        <f aca="false">IF(AND(AX170="pass",AQ170&lt;&gt;"Y",C170&lt;&gt;"",OR(AW170&lt;&gt;"Y",AV170="Y")),"Y","N")</f>
        <v>N</v>
      </c>
      <c r="AU170" s="0" t="str">
        <f aca="false">_xlfn.TEXTJOIN("; ",TRUE(),IF(AX170&lt;&gt;"pass","gated out",""),IF(AQ170="Y","on hold: "&amp;AR170,""),IF(C170="","no contact named on an opened page",""),IF(AND(AW170="Y",AV170&lt;&gt;"Y"),"Tuesday estimate band "&amp;L170&amp;": founder's call",""))</f>
        <v>no contact named on an opened page</v>
      </c>
      <c r="AW170" s="6" t="s">
        <v>162</v>
      </c>
      <c r="AX170" s="6" t="s">
        <v>181</v>
      </c>
      <c r="AY170" s="6" t="s">
        <v>182</v>
      </c>
      <c r="AZ170" s="6" t="s">
        <v>1</v>
      </c>
      <c r="BA170" s="6" t="s">
        <v>2964</v>
      </c>
      <c r="BB170" s="6" t="s">
        <v>2965</v>
      </c>
      <c r="BC170" s="6" t="s">
        <v>2966</v>
      </c>
      <c r="BD170" s="6" t="s">
        <v>2967</v>
      </c>
      <c r="BE170" s="6" t="s">
        <v>2968</v>
      </c>
      <c r="BF170" s="6" t="s">
        <v>1323</v>
      </c>
      <c r="BG170" s="6" t="s">
        <v>188</v>
      </c>
      <c r="BH170" s="6" t="s">
        <v>1324</v>
      </c>
      <c r="BI170" s="6" t="s">
        <v>2969</v>
      </c>
      <c r="BJ170" s="6" t="s">
        <v>2970</v>
      </c>
      <c r="BK170" s="6" t="s">
        <v>1264</v>
      </c>
      <c r="BL170" s="6" t="s">
        <v>192</v>
      </c>
      <c r="BM170" s="6" t="s">
        <v>168</v>
      </c>
      <c r="BN170" s="6" t="s">
        <v>2971</v>
      </c>
      <c r="BO170" s="6" t="s">
        <v>163</v>
      </c>
      <c r="BP170" s="6" t="s">
        <v>193</v>
      </c>
      <c r="BQ170" s="0" t="n">
        <v>40.733674</v>
      </c>
      <c r="BR170" s="0" t="n">
        <v>-73.988766</v>
      </c>
      <c r="BS170" s="6" t="s">
        <v>168</v>
      </c>
      <c r="BT170" s="0" t="n">
        <v>0</v>
      </c>
      <c r="BU170" s="6" t="s">
        <v>657</v>
      </c>
      <c r="BV170" s="6" t="s">
        <v>658</v>
      </c>
      <c r="BW170" s="6" t="s">
        <v>2963</v>
      </c>
      <c r="BX170" s="6" t="s">
        <v>174</v>
      </c>
      <c r="BY170" s="6" t="s">
        <v>196</v>
      </c>
      <c r="BZ170" s="6" t="s">
        <v>2460</v>
      </c>
      <c r="CA170" s="6" t="s">
        <v>2461</v>
      </c>
      <c r="CC170" s="6" t="s">
        <v>200</v>
      </c>
      <c r="CE170" s="6" t="s">
        <v>162</v>
      </c>
      <c r="CH170" s="6" t="s">
        <v>163</v>
      </c>
      <c r="CJ170" s="6" t="s">
        <v>163</v>
      </c>
      <c r="CK170" s="6" t="s">
        <v>162</v>
      </c>
      <c r="CL170" s="6" t="s">
        <v>2972</v>
      </c>
      <c r="CM170" s="6" t="s">
        <v>2973</v>
      </c>
      <c r="CN170" s="6" t="s">
        <v>174</v>
      </c>
      <c r="CO170" s="0" t="n">
        <v>168</v>
      </c>
      <c r="CP170" s="6" t="s">
        <v>251</v>
      </c>
      <c r="CQ170" s="6" t="s">
        <v>2974</v>
      </c>
      <c r="CR170" s="6" t="s">
        <v>206</v>
      </c>
      <c r="CS170" s="0" t="n">
        <v>0.74</v>
      </c>
      <c r="CT170" s="0" t="n">
        <v>30.6</v>
      </c>
      <c r="CU170" s="0" t="n">
        <v>18.6</v>
      </c>
      <c r="CV170" s="0" t="n">
        <v>2</v>
      </c>
      <c r="CW170" s="0" t="n">
        <v>-5</v>
      </c>
      <c r="CX170" s="0" t="n">
        <v>15</v>
      </c>
      <c r="CY170" s="6" t="n">
        <f aca="false">IF(AH170="exact",10,IF(AH170="adjacent",5,0))</f>
        <v>0</v>
      </c>
      <c r="CZ170" s="6" t="n">
        <f aca="false">IF(R170="Y",15,0)</f>
        <v>0</v>
      </c>
      <c r="DF170" s="6" t="s">
        <v>158</v>
      </c>
      <c r="DG170" s="6" t="s">
        <v>1336</v>
      </c>
      <c r="DH170" s="6" t="s">
        <v>1337</v>
      </c>
      <c r="DI170" s="6" t="s">
        <v>162</v>
      </c>
      <c r="DJ170" s="6" t="s">
        <v>2975</v>
      </c>
      <c r="DK170" s="6" t="s">
        <v>2976</v>
      </c>
      <c r="DS170" s="6" t="s">
        <v>158</v>
      </c>
      <c r="DX170" s="6" t="s">
        <v>162</v>
      </c>
      <c r="ER170" s="0" t="str">
        <f aca="false">IF(ISNUMBER(MATCH(U170,{"queued","contacted","replied","call_booked","call_done","yes_in_principle","materials_sent"},0)),"Y","N")</f>
        <v>N</v>
      </c>
      <c r="ES170" s="0" t="str">
        <f aca="false">IF(COUNTIFS($AP$2:$AP$1000,AP170,$ER$2:$ER$1000,"Y")+COUNTIFS($AP$2:$AP$1000,AP170,$T$2:$T$1000,"Y")&gt;0,"Y","N")</f>
        <v>N</v>
      </c>
      <c r="ET170" s="0" t="str">
        <f aca="false">IF(AND(U170="new",T170="N",AT170="Y",AS170="",ES170="N"),"Y","N")</f>
        <v>N</v>
      </c>
      <c r="EU170" s="0" t="str">
        <f aca="false">IF(ET170&lt;&gt;"Y","N",IF(COUNTIFS($AP$2:$AP$1000,AP170,$ET$2:$ET$1000,"Y",$J$2:$J$1000,"&gt;"&amp;J170)+COUNTIFS($AP$2:$AP$1000,AP170,$ET$2:$ET$1000,"Y",$J$2:$J$1000,J170,$EW$2:$EW$1000,"&lt;"&amp;EW170)=0,"Y","N"))</f>
        <v>N</v>
      </c>
      <c r="EV170" s="0" t="str">
        <f aca="false">IF(Y170="","N",IF(Y170&lt;=10,"Y","N"))</f>
        <v>N</v>
      </c>
      <c r="EW170" s="6" t="n">
        <f aca="false">ROW()-1</f>
        <v>169</v>
      </c>
    </row>
    <row r="171" customFormat="false" ht="15" hidden="false" customHeight="false" outlineLevel="0" collapsed="false">
      <c r="A171" s="0" t="s">
        <v>2977</v>
      </c>
      <c r="B171" s="0" t="s">
        <v>2978</v>
      </c>
      <c r="H171" s="5" t="s">
        <v>158</v>
      </c>
      <c r="I171" s="5" t="s">
        <v>159</v>
      </c>
      <c r="J171" s="6" t="n">
        <f aca="false">IF(AX171="pass",ROUND(CU171+CV171+CW171+CX171+CY171+CZ171,1),0)</f>
        <v>30</v>
      </c>
      <c r="K171" s="6" t="s">
        <v>2979</v>
      </c>
      <c r="L171" s="6" t="s">
        <v>163</v>
      </c>
      <c r="R171" s="5" t="s">
        <v>162</v>
      </c>
      <c r="S171" s="6" t="s">
        <v>163</v>
      </c>
      <c r="T171" s="5" t="s">
        <v>162</v>
      </c>
      <c r="U171" s="5" t="s">
        <v>228</v>
      </c>
      <c r="V171" s="6" t="s">
        <v>1870</v>
      </c>
      <c r="W171" s="6" t="s">
        <v>166</v>
      </c>
      <c r="X171" s="6" t="s">
        <v>167</v>
      </c>
      <c r="Y171" s="0" t="str">
        <f aca="false">IF(EU171&lt;&gt;"Y","",COUNTIFS($EU$2:$EU$1000,"Y",$J$2:$J$1000,"&gt;"&amp;J171)+COUNTIFS($EU$2:$EU$1000,"Y",$J$2:$J$1000,J171,$EW$2:$EW$1000,"&lt;"&amp;EW171)+1)</f>
        <v/>
      </c>
      <c r="Z171" s="0" t="n">
        <v>170</v>
      </c>
      <c r="AA171" s="6" t="s">
        <v>162</v>
      </c>
      <c r="AD171" s="6" t="s">
        <v>158</v>
      </c>
      <c r="AH171" s="5" t="s">
        <v>158</v>
      </c>
      <c r="AI171" s="6" t="s">
        <v>1871</v>
      </c>
      <c r="AJ171" s="6" t="s">
        <v>163</v>
      </c>
      <c r="AK171" s="6" t="s">
        <v>178</v>
      </c>
      <c r="AL171" s="6" t="s">
        <v>163</v>
      </c>
      <c r="AM171" s="6" t="s">
        <v>163</v>
      </c>
      <c r="AN171" s="6" t="s">
        <v>158</v>
      </c>
      <c r="AO171" s="6" t="s">
        <v>163</v>
      </c>
      <c r="AP171" s="6" t="s">
        <v>2977</v>
      </c>
      <c r="AQ171" s="5" t="s">
        <v>162</v>
      </c>
      <c r="AT171" s="0" t="str">
        <f aca="false">IF(AND(AX171="pass",AQ171&lt;&gt;"Y",C171&lt;&gt;"",OR(AW171&lt;&gt;"Y",AV171="Y")),"Y","N")</f>
        <v>N</v>
      </c>
      <c r="AU171" s="0" t="str">
        <f aca="false">_xlfn.TEXTJOIN("; ",TRUE(),IF(AX171&lt;&gt;"pass","gated out",""),IF(AQ171="Y","on hold: "&amp;AR171,""),IF(C171="","no contact named on an opened page",""),IF(AND(AW171="Y",AV171&lt;&gt;"Y"),"Tuesday estimate band "&amp;L171&amp;": founder's call",""))</f>
        <v>no contact named on an opened page</v>
      </c>
      <c r="AW171" s="6" t="s">
        <v>162</v>
      </c>
      <c r="AX171" s="6" t="s">
        <v>181</v>
      </c>
      <c r="AY171" s="6" t="s">
        <v>182</v>
      </c>
      <c r="AZ171" s="6" t="s">
        <v>1</v>
      </c>
      <c r="BA171" s="6" t="s">
        <v>2980</v>
      </c>
      <c r="BB171" s="6" t="s">
        <v>2981</v>
      </c>
      <c r="BC171" s="6" t="s">
        <v>2982</v>
      </c>
      <c r="BD171" s="6" t="s">
        <v>163</v>
      </c>
      <c r="BF171" s="6" t="s">
        <v>163</v>
      </c>
      <c r="BG171" s="6" t="s">
        <v>163</v>
      </c>
      <c r="BH171" s="6" t="s">
        <v>2196</v>
      </c>
      <c r="BK171" s="6" t="s">
        <v>163</v>
      </c>
      <c r="BL171" s="6" t="s">
        <v>163</v>
      </c>
      <c r="BM171" s="6" t="s">
        <v>163</v>
      </c>
      <c r="BN171" s="6" t="s">
        <v>2983</v>
      </c>
      <c r="BO171" s="6" t="s">
        <v>163</v>
      </c>
      <c r="BP171" s="6" t="s">
        <v>378</v>
      </c>
      <c r="BQ171" s="0" t="n">
        <v>40.738793</v>
      </c>
      <c r="BR171" s="0" t="n">
        <v>-73.991823</v>
      </c>
      <c r="BS171" s="6" t="s">
        <v>168</v>
      </c>
      <c r="BT171" s="0" t="n">
        <v>0</v>
      </c>
      <c r="BU171" s="6" t="s">
        <v>1879</v>
      </c>
      <c r="BV171" s="6" t="s">
        <v>1880</v>
      </c>
      <c r="BW171" s="6" t="s">
        <v>1870</v>
      </c>
      <c r="BX171" s="6" t="s">
        <v>1881</v>
      </c>
      <c r="BY171" s="6" t="s">
        <v>248</v>
      </c>
      <c r="CC171" s="6" t="s">
        <v>739</v>
      </c>
      <c r="CE171" s="6" t="s">
        <v>162</v>
      </c>
      <c r="CH171" s="6" t="s">
        <v>163</v>
      </c>
      <c r="CJ171" s="6" t="s">
        <v>163</v>
      </c>
      <c r="CK171" s="6" t="s">
        <v>162</v>
      </c>
      <c r="CL171" s="6" t="s">
        <v>163</v>
      </c>
      <c r="CO171" s="6" t="s">
        <v>163</v>
      </c>
      <c r="CQ171" s="6" t="s">
        <v>2197</v>
      </c>
      <c r="CR171" s="6" t="s">
        <v>206</v>
      </c>
      <c r="CS171" s="6" t="s">
        <v>163</v>
      </c>
      <c r="CT171" s="0" t="n">
        <v>30</v>
      </c>
      <c r="CU171" s="0" t="n">
        <v>7</v>
      </c>
      <c r="CV171" s="0" t="n">
        <v>4</v>
      </c>
      <c r="CW171" s="0" t="n">
        <v>6</v>
      </c>
      <c r="CX171" s="0" t="n">
        <v>13</v>
      </c>
      <c r="CY171" s="6" t="n">
        <f aca="false">IF(AH171="exact",10,IF(AH171="adjacent",5,0))</f>
        <v>0</v>
      </c>
      <c r="CZ171" s="6" t="n">
        <f aca="false">IF(R171="Y",15,0)</f>
        <v>0</v>
      </c>
      <c r="DF171" s="6" t="s">
        <v>158</v>
      </c>
      <c r="DG171" s="6" t="s">
        <v>211</v>
      </c>
      <c r="DJ171" s="6" t="s">
        <v>2984</v>
      </c>
      <c r="DK171" s="6" t="s">
        <v>2985</v>
      </c>
      <c r="DS171" s="6" t="s">
        <v>158</v>
      </c>
      <c r="DX171" s="6" t="s">
        <v>162</v>
      </c>
      <c r="ER171" s="0" t="str">
        <f aca="false">IF(ISNUMBER(MATCH(U171,{"queued","contacted","replied","call_booked","call_done","yes_in_principle","materials_sent"},0)),"Y","N")</f>
        <v>N</v>
      </c>
      <c r="ES171" s="0" t="str">
        <f aca="false">IF(COUNTIFS($AP$2:$AP$1000,AP171,$ER$2:$ER$1000,"Y")+COUNTIFS($AP$2:$AP$1000,AP171,$T$2:$T$1000,"Y")&gt;0,"Y","N")</f>
        <v>N</v>
      </c>
      <c r="ET171" s="0" t="str">
        <f aca="false">IF(AND(U171="new",T171="N",AT171="Y",AS171="",ES171="N"),"Y","N")</f>
        <v>N</v>
      </c>
      <c r="EU171" s="0" t="str">
        <f aca="false">IF(ET171&lt;&gt;"Y","N",IF(COUNTIFS($AP$2:$AP$1000,AP171,$ET$2:$ET$1000,"Y",$J$2:$J$1000,"&gt;"&amp;J171)+COUNTIFS($AP$2:$AP$1000,AP171,$ET$2:$ET$1000,"Y",$J$2:$J$1000,J171,$EW$2:$EW$1000,"&lt;"&amp;EW171)=0,"Y","N"))</f>
        <v>N</v>
      </c>
      <c r="EV171" s="0" t="str">
        <f aca="false">IF(Y171="","N",IF(Y171&lt;=10,"Y","N"))</f>
        <v>N</v>
      </c>
      <c r="EW171" s="6" t="n">
        <f aca="false">ROW()-1</f>
        <v>170</v>
      </c>
    </row>
    <row r="172" customFormat="false" ht="15" hidden="false" customHeight="false" outlineLevel="0" collapsed="false">
      <c r="A172" s="0" t="s">
        <v>2986</v>
      </c>
      <c r="B172" s="0" t="s">
        <v>2987</v>
      </c>
      <c r="H172" s="5" t="s">
        <v>158</v>
      </c>
      <c r="I172" s="5" t="s">
        <v>159</v>
      </c>
      <c r="J172" s="6" t="n">
        <f aca="false">IF(AX172="pass",ROUND(CU172+CV172+CW172+CX172+CY172+CZ172,1),0)</f>
        <v>30</v>
      </c>
      <c r="K172" s="6" t="s">
        <v>2988</v>
      </c>
      <c r="L172" s="6" t="s">
        <v>163</v>
      </c>
      <c r="R172" s="5" t="s">
        <v>162</v>
      </c>
      <c r="S172" s="6" t="s">
        <v>163</v>
      </c>
      <c r="T172" s="5" t="s">
        <v>162</v>
      </c>
      <c r="U172" s="5" t="s">
        <v>228</v>
      </c>
      <c r="V172" s="6" t="s">
        <v>2989</v>
      </c>
      <c r="W172" s="6" t="s">
        <v>166</v>
      </c>
      <c r="X172" s="6" t="s">
        <v>167</v>
      </c>
      <c r="Y172" s="0" t="str">
        <f aca="false">IF(EU172&lt;&gt;"Y","",COUNTIFS($EU$2:$EU$1000,"Y",$J$2:$J$1000,"&gt;"&amp;J172)+COUNTIFS($EU$2:$EU$1000,"Y",$J$2:$J$1000,J172,$EW$2:$EW$1000,"&lt;"&amp;EW172)+1)</f>
        <v/>
      </c>
      <c r="Z172" s="0" t="n">
        <v>171</v>
      </c>
      <c r="AA172" s="6" t="s">
        <v>162</v>
      </c>
      <c r="AD172" s="6" t="s">
        <v>158</v>
      </c>
      <c r="AH172" s="5" t="s">
        <v>158</v>
      </c>
      <c r="AI172" s="6" t="s">
        <v>2990</v>
      </c>
      <c r="AJ172" s="6" t="s">
        <v>1752</v>
      </c>
      <c r="AK172" s="6" t="s">
        <v>178</v>
      </c>
      <c r="AL172" s="6" t="s">
        <v>163</v>
      </c>
      <c r="AM172" s="6" t="s">
        <v>163</v>
      </c>
      <c r="AN172" s="6" t="s">
        <v>158</v>
      </c>
      <c r="AO172" s="6" t="s">
        <v>163</v>
      </c>
      <c r="AP172" s="6" t="s">
        <v>2986</v>
      </c>
      <c r="AQ172" s="5" t="s">
        <v>162</v>
      </c>
      <c r="AT172" s="0" t="str">
        <f aca="false">IF(AND(AX172="pass",AQ172&lt;&gt;"Y",C172&lt;&gt;"",OR(AW172&lt;&gt;"Y",AV172="Y")),"Y","N")</f>
        <v>N</v>
      </c>
      <c r="AU172" s="0" t="str">
        <f aca="false">_xlfn.TEXTJOIN("; ",TRUE(),IF(AX172&lt;&gt;"pass","gated out",""),IF(AQ172="Y","on hold: "&amp;AR172,""),IF(C172="","no contact named on an opened page",""),IF(AND(AW172="Y",AV172&lt;&gt;"Y"),"Tuesday estimate band "&amp;L172&amp;": founder's call",""))</f>
        <v>no contact named on an opened page</v>
      </c>
      <c r="AW172" s="6" t="s">
        <v>162</v>
      </c>
      <c r="AX172" s="6" t="s">
        <v>181</v>
      </c>
      <c r="AY172" s="6" t="s">
        <v>182</v>
      </c>
      <c r="AZ172" s="6" t="s">
        <v>1</v>
      </c>
      <c r="BA172" s="6" t="s">
        <v>2991</v>
      </c>
      <c r="BB172" s="6" t="s">
        <v>2992</v>
      </c>
      <c r="BC172" s="6" t="s">
        <v>2993</v>
      </c>
      <c r="BD172" s="6" t="s">
        <v>163</v>
      </c>
      <c r="BF172" s="6" t="s">
        <v>163</v>
      </c>
      <c r="BG172" s="6" t="s">
        <v>163</v>
      </c>
      <c r="BH172" s="6" t="s">
        <v>2196</v>
      </c>
      <c r="BK172" s="6" t="s">
        <v>163</v>
      </c>
      <c r="BL172" s="6" t="s">
        <v>163</v>
      </c>
      <c r="BM172" s="6" t="s">
        <v>163</v>
      </c>
      <c r="BN172" s="6" t="s">
        <v>2994</v>
      </c>
      <c r="BO172" s="6" t="s">
        <v>163</v>
      </c>
      <c r="BP172" s="6" t="s">
        <v>193</v>
      </c>
      <c r="BQ172" s="0" t="n">
        <v>40.736065</v>
      </c>
      <c r="BR172" s="0" t="n">
        <v>-73.991246</v>
      </c>
      <c r="BS172" s="6" t="s">
        <v>168</v>
      </c>
      <c r="BT172" s="0" t="n">
        <v>0</v>
      </c>
      <c r="BU172" s="6" t="s">
        <v>2995</v>
      </c>
      <c r="BV172" s="6" t="s">
        <v>2990</v>
      </c>
      <c r="BW172" s="6" t="s">
        <v>2989</v>
      </c>
      <c r="BX172" s="6" t="s">
        <v>166</v>
      </c>
      <c r="BY172" s="6" t="s">
        <v>196</v>
      </c>
      <c r="BZ172" s="6" t="s">
        <v>2996</v>
      </c>
      <c r="CA172" s="6" t="s">
        <v>2997</v>
      </c>
      <c r="CC172" s="6" t="s">
        <v>739</v>
      </c>
      <c r="CE172" s="6" t="s">
        <v>162</v>
      </c>
      <c r="CH172" s="6" t="s">
        <v>163</v>
      </c>
      <c r="CJ172" s="6" t="s">
        <v>163</v>
      </c>
      <c r="CK172" s="6" t="s">
        <v>162</v>
      </c>
      <c r="CL172" s="6" t="s">
        <v>163</v>
      </c>
      <c r="CO172" s="6" t="s">
        <v>163</v>
      </c>
      <c r="CQ172" s="6" t="s">
        <v>2197</v>
      </c>
      <c r="CR172" s="6" t="s">
        <v>206</v>
      </c>
      <c r="CS172" s="6" t="s">
        <v>163</v>
      </c>
      <c r="CT172" s="0" t="n">
        <v>30</v>
      </c>
      <c r="CU172" s="0" t="n">
        <v>7</v>
      </c>
      <c r="CV172" s="0" t="n">
        <v>4</v>
      </c>
      <c r="CW172" s="0" t="n">
        <v>6</v>
      </c>
      <c r="CX172" s="0" t="n">
        <v>13</v>
      </c>
      <c r="CY172" s="6" t="n">
        <f aca="false">IF(AH172="exact",10,IF(AH172="adjacent",5,0))</f>
        <v>0</v>
      </c>
      <c r="CZ172" s="6" t="n">
        <f aca="false">IF(R172="Y",15,0)</f>
        <v>0</v>
      </c>
      <c r="DF172" s="6" t="s">
        <v>158</v>
      </c>
      <c r="DG172" s="6" t="s">
        <v>211</v>
      </c>
      <c r="DK172" s="6" t="s">
        <v>2998</v>
      </c>
      <c r="DS172" s="6" t="s">
        <v>158</v>
      </c>
      <c r="DX172" s="6" t="s">
        <v>162</v>
      </c>
      <c r="ER172" s="0" t="str">
        <f aca="false">IF(ISNUMBER(MATCH(U172,{"queued","contacted","replied","call_booked","call_done","yes_in_principle","materials_sent"},0)),"Y","N")</f>
        <v>N</v>
      </c>
      <c r="ES172" s="0" t="str">
        <f aca="false">IF(COUNTIFS($AP$2:$AP$1000,AP172,$ER$2:$ER$1000,"Y")+COUNTIFS($AP$2:$AP$1000,AP172,$T$2:$T$1000,"Y")&gt;0,"Y","N")</f>
        <v>N</v>
      </c>
      <c r="ET172" s="0" t="str">
        <f aca="false">IF(AND(U172="new",T172="N",AT172="Y",AS172="",ES172="N"),"Y","N")</f>
        <v>N</v>
      </c>
      <c r="EU172" s="0" t="str">
        <f aca="false">IF(ET172&lt;&gt;"Y","N",IF(COUNTIFS($AP$2:$AP$1000,AP172,$ET$2:$ET$1000,"Y",$J$2:$J$1000,"&gt;"&amp;J172)+COUNTIFS($AP$2:$AP$1000,AP172,$ET$2:$ET$1000,"Y",$J$2:$J$1000,J172,$EW$2:$EW$1000,"&lt;"&amp;EW172)=0,"Y","N"))</f>
        <v>N</v>
      </c>
      <c r="EV172" s="0" t="str">
        <f aca="false">IF(Y172="","N",IF(Y172&lt;=10,"Y","N"))</f>
        <v>N</v>
      </c>
      <c r="EW172" s="6" t="n">
        <f aca="false">ROW()-1</f>
        <v>171</v>
      </c>
    </row>
    <row r="173" customFormat="false" ht="15" hidden="false" customHeight="false" outlineLevel="0" collapsed="false">
      <c r="A173" s="0" t="s">
        <v>2999</v>
      </c>
      <c r="B173" s="0" t="s">
        <v>3000</v>
      </c>
      <c r="H173" s="5" t="s">
        <v>158</v>
      </c>
      <c r="I173" s="5" t="s">
        <v>159</v>
      </c>
      <c r="J173" s="6" t="n">
        <f aca="false">IF(AX173="pass",ROUND(CU173+CV173+CW173+CX173+CY173+CZ173,1),0)</f>
        <v>30</v>
      </c>
      <c r="K173" s="6" t="s">
        <v>3001</v>
      </c>
      <c r="L173" s="6" t="s">
        <v>163</v>
      </c>
      <c r="R173" s="5" t="s">
        <v>162</v>
      </c>
      <c r="S173" s="6" t="s">
        <v>163</v>
      </c>
      <c r="T173" s="5" t="s">
        <v>162</v>
      </c>
      <c r="U173" s="5" t="s">
        <v>228</v>
      </c>
      <c r="V173" s="6" t="s">
        <v>3002</v>
      </c>
      <c r="W173" s="6" t="s">
        <v>166</v>
      </c>
      <c r="X173" s="6" t="s">
        <v>167</v>
      </c>
      <c r="Y173" s="0" t="str">
        <f aca="false">IF(EU173&lt;&gt;"Y","",COUNTIFS($EU$2:$EU$1000,"Y",$J$2:$J$1000,"&gt;"&amp;J173)+COUNTIFS($EU$2:$EU$1000,"Y",$J$2:$J$1000,J173,$EW$2:$EW$1000,"&lt;"&amp;EW173)+1)</f>
        <v/>
      </c>
      <c r="Z173" s="0" t="n">
        <v>172</v>
      </c>
      <c r="AA173" s="6" t="s">
        <v>162</v>
      </c>
      <c r="AD173" s="6" t="s">
        <v>158</v>
      </c>
      <c r="AH173" s="5" t="s">
        <v>158</v>
      </c>
      <c r="AI173" s="6" t="s">
        <v>3003</v>
      </c>
      <c r="AJ173" s="6" t="s">
        <v>3004</v>
      </c>
      <c r="AK173" s="6" t="s">
        <v>178</v>
      </c>
      <c r="AL173" s="6" t="s">
        <v>163</v>
      </c>
      <c r="AM173" s="6" t="s">
        <v>163</v>
      </c>
      <c r="AN173" s="6" t="s">
        <v>158</v>
      </c>
      <c r="AO173" s="6" t="s">
        <v>163</v>
      </c>
      <c r="AP173" s="6" t="s">
        <v>2999</v>
      </c>
      <c r="AQ173" s="5" t="s">
        <v>162</v>
      </c>
      <c r="AT173" s="0" t="str">
        <f aca="false">IF(AND(AX173="pass",AQ173&lt;&gt;"Y",C173&lt;&gt;"",OR(AW173&lt;&gt;"Y",AV173="Y")),"Y","N")</f>
        <v>N</v>
      </c>
      <c r="AU173" s="0" t="str">
        <f aca="false">_xlfn.TEXTJOIN("; ",TRUE(),IF(AX173&lt;&gt;"pass","gated out",""),IF(AQ173="Y","on hold: "&amp;AR173,""),IF(C173="","no contact named on an opened page",""),IF(AND(AW173="Y",AV173&lt;&gt;"Y"),"Tuesday estimate band "&amp;L173&amp;": founder's call",""))</f>
        <v>no contact named on an opened page</v>
      </c>
      <c r="AW173" s="6" t="s">
        <v>162</v>
      </c>
      <c r="AX173" s="6" t="s">
        <v>181</v>
      </c>
      <c r="AY173" s="6" t="s">
        <v>182</v>
      </c>
      <c r="AZ173" s="6" t="s">
        <v>1</v>
      </c>
      <c r="BA173" s="6" t="s">
        <v>3005</v>
      </c>
      <c r="BB173" s="6" t="s">
        <v>3006</v>
      </c>
      <c r="BC173" s="6" t="s">
        <v>3007</v>
      </c>
      <c r="BD173" s="6" t="s">
        <v>163</v>
      </c>
      <c r="BF173" s="6" t="s">
        <v>163</v>
      </c>
      <c r="BG173" s="6" t="s">
        <v>163</v>
      </c>
      <c r="BH173" s="6" t="s">
        <v>2196</v>
      </c>
      <c r="BK173" s="6" t="s">
        <v>163</v>
      </c>
      <c r="BL173" s="6" t="s">
        <v>163</v>
      </c>
      <c r="BM173" s="6" t="s">
        <v>163</v>
      </c>
      <c r="BN173" s="6" t="s">
        <v>3008</v>
      </c>
      <c r="BO173" s="6" t="s">
        <v>163</v>
      </c>
      <c r="BP173" s="6" t="s">
        <v>347</v>
      </c>
      <c r="BQ173" s="0" t="n">
        <v>40.740287</v>
      </c>
      <c r="BR173" s="0" t="n">
        <v>-73.98805</v>
      </c>
      <c r="BS173" s="6" t="s">
        <v>168</v>
      </c>
      <c r="BT173" s="0" t="n">
        <v>0</v>
      </c>
      <c r="BU173" s="6" t="s">
        <v>3009</v>
      </c>
      <c r="BV173" s="6" t="s">
        <v>3010</v>
      </c>
      <c r="BW173" s="6" t="s">
        <v>3002</v>
      </c>
      <c r="BX173" s="6" t="s">
        <v>166</v>
      </c>
      <c r="BY173" s="6" t="s">
        <v>196</v>
      </c>
      <c r="BZ173" s="6" t="s">
        <v>3011</v>
      </c>
      <c r="CA173" s="6" t="s">
        <v>3012</v>
      </c>
      <c r="CC173" s="6" t="s">
        <v>739</v>
      </c>
      <c r="CE173" s="6" t="s">
        <v>162</v>
      </c>
      <c r="CH173" s="6" t="s">
        <v>163</v>
      </c>
      <c r="CJ173" s="6" t="s">
        <v>163</v>
      </c>
      <c r="CK173" s="6" t="s">
        <v>162</v>
      </c>
      <c r="CL173" s="6" t="s">
        <v>163</v>
      </c>
      <c r="CO173" s="6" t="s">
        <v>163</v>
      </c>
      <c r="CQ173" s="6" t="s">
        <v>2197</v>
      </c>
      <c r="CR173" s="6" t="s">
        <v>206</v>
      </c>
      <c r="CS173" s="6" t="s">
        <v>163</v>
      </c>
      <c r="CT173" s="0" t="n">
        <v>30</v>
      </c>
      <c r="CU173" s="0" t="n">
        <v>7</v>
      </c>
      <c r="CV173" s="0" t="n">
        <v>4</v>
      </c>
      <c r="CW173" s="0" t="n">
        <v>6</v>
      </c>
      <c r="CX173" s="0" t="n">
        <v>13</v>
      </c>
      <c r="CY173" s="6" t="n">
        <f aca="false">IF(AH173="exact",10,IF(AH173="adjacent",5,0))</f>
        <v>0</v>
      </c>
      <c r="CZ173" s="6" t="n">
        <f aca="false">IF(R173="Y",15,0)</f>
        <v>0</v>
      </c>
      <c r="DF173" s="6" t="s">
        <v>158</v>
      </c>
      <c r="DG173" s="6" t="s">
        <v>211</v>
      </c>
      <c r="DJ173" s="6" t="s">
        <v>3013</v>
      </c>
      <c r="DK173" s="6" t="s">
        <v>3014</v>
      </c>
      <c r="DS173" s="6" t="s">
        <v>158</v>
      </c>
      <c r="DX173" s="6" t="s">
        <v>162</v>
      </c>
      <c r="ER173" s="0" t="str">
        <f aca="false">IF(ISNUMBER(MATCH(U173,{"queued","contacted","replied","call_booked","call_done","yes_in_principle","materials_sent"},0)),"Y","N")</f>
        <v>N</v>
      </c>
      <c r="ES173" s="0" t="str">
        <f aca="false">IF(COUNTIFS($AP$2:$AP$1000,AP173,$ER$2:$ER$1000,"Y")+COUNTIFS($AP$2:$AP$1000,AP173,$T$2:$T$1000,"Y")&gt;0,"Y","N")</f>
        <v>N</v>
      </c>
      <c r="ET173" s="0" t="str">
        <f aca="false">IF(AND(U173="new",T173="N",AT173="Y",AS173="",ES173="N"),"Y","N")</f>
        <v>N</v>
      </c>
      <c r="EU173" s="0" t="str">
        <f aca="false">IF(ET173&lt;&gt;"Y","N",IF(COUNTIFS($AP$2:$AP$1000,AP173,$ET$2:$ET$1000,"Y",$J$2:$J$1000,"&gt;"&amp;J173)+COUNTIFS($AP$2:$AP$1000,AP173,$ET$2:$ET$1000,"Y",$J$2:$J$1000,J173,$EW$2:$EW$1000,"&lt;"&amp;EW173)=0,"Y","N"))</f>
        <v>N</v>
      </c>
      <c r="EV173" s="0" t="str">
        <f aca="false">IF(Y173="","N",IF(Y173&lt;=10,"Y","N"))</f>
        <v>N</v>
      </c>
      <c r="EW173" s="6" t="n">
        <f aca="false">ROW()-1</f>
        <v>172</v>
      </c>
    </row>
    <row r="174" customFormat="false" ht="15" hidden="false" customHeight="false" outlineLevel="0" collapsed="false">
      <c r="A174" s="0" t="s">
        <v>3015</v>
      </c>
      <c r="B174" s="0" t="s">
        <v>3016</v>
      </c>
      <c r="H174" s="5" t="s">
        <v>158</v>
      </c>
      <c r="I174" s="5" t="s">
        <v>159</v>
      </c>
      <c r="J174" s="6" t="n">
        <f aca="false">IF(AX174="pass",ROUND(CU174+CV174+CW174+CX174+CY174+CZ174,1),0)</f>
        <v>30</v>
      </c>
      <c r="K174" s="6" t="s">
        <v>3017</v>
      </c>
      <c r="L174" s="6" t="s">
        <v>163</v>
      </c>
      <c r="R174" s="5" t="s">
        <v>162</v>
      </c>
      <c r="S174" s="6" t="s">
        <v>163</v>
      </c>
      <c r="T174" s="5" t="s">
        <v>162</v>
      </c>
      <c r="U174" s="5" t="s">
        <v>228</v>
      </c>
      <c r="V174" s="6" t="s">
        <v>197</v>
      </c>
      <c r="W174" s="6" t="s">
        <v>166</v>
      </c>
      <c r="X174" s="6" t="s">
        <v>167</v>
      </c>
      <c r="Y174" s="0" t="str">
        <f aca="false">IF(EU174&lt;&gt;"Y","",COUNTIFS($EU$2:$EU$1000,"Y",$J$2:$J$1000,"&gt;"&amp;J174)+COUNTIFS($EU$2:$EU$1000,"Y",$J$2:$J$1000,J174,$EW$2:$EW$1000,"&lt;"&amp;EW174)+1)</f>
        <v/>
      </c>
      <c r="Z174" s="0" t="n">
        <v>173</v>
      </c>
      <c r="AA174" s="6" t="s">
        <v>162</v>
      </c>
      <c r="AD174" s="6" t="s">
        <v>158</v>
      </c>
      <c r="AH174" s="5" t="s">
        <v>158</v>
      </c>
      <c r="AI174" s="6" t="s">
        <v>176</v>
      </c>
      <c r="AJ174" s="6" t="s">
        <v>1258</v>
      </c>
      <c r="AK174" s="6" t="s">
        <v>178</v>
      </c>
      <c r="AL174" s="6" t="s">
        <v>163</v>
      </c>
      <c r="AM174" s="6" t="s">
        <v>163</v>
      </c>
      <c r="AN174" s="6" t="s">
        <v>158</v>
      </c>
      <c r="AO174" s="6" t="s">
        <v>163</v>
      </c>
      <c r="AP174" s="6" t="s">
        <v>3015</v>
      </c>
      <c r="AQ174" s="5" t="s">
        <v>162</v>
      </c>
      <c r="AT174" s="0" t="str">
        <f aca="false">IF(AND(AX174="pass",AQ174&lt;&gt;"Y",C174&lt;&gt;"",OR(AW174&lt;&gt;"Y",AV174="Y")),"Y","N")</f>
        <v>N</v>
      </c>
      <c r="AU174" s="0" t="str">
        <f aca="false">_xlfn.TEXTJOIN("; ",TRUE(),IF(AX174&lt;&gt;"pass","gated out",""),IF(AQ174="Y","on hold: "&amp;AR174,""),IF(C174="","no contact named on an opened page",""),IF(AND(AW174="Y",AV174&lt;&gt;"Y"),"Tuesday estimate band "&amp;L174&amp;": founder's call",""))</f>
        <v>no contact named on an opened page</v>
      </c>
      <c r="AW174" s="6" t="s">
        <v>162</v>
      </c>
      <c r="AX174" s="6" t="s">
        <v>181</v>
      </c>
      <c r="AY174" s="6" t="s">
        <v>182</v>
      </c>
      <c r="AZ174" s="6" t="s">
        <v>1</v>
      </c>
      <c r="BA174" s="6" t="s">
        <v>3018</v>
      </c>
      <c r="BB174" s="6" t="s">
        <v>163</v>
      </c>
      <c r="BC174" s="6" t="s">
        <v>3019</v>
      </c>
      <c r="BD174" s="6" t="s">
        <v>163</v>
      </c>
      <c r="BF174" s="6" t="s">
        <v>163</v>
      </c>
      <c r="BG174" s="6" t="s">
        <v>163</v>
      </c>
      <c r="BH174" s="6" t="s">
        <v>2196</v>
      </c>
      <c r="BK174" s="6" t="s">
        <v>163</v>
      </c>
      <c r="BL174" s="6" t="s">
        <v>163</v>
      </c>
      <c r="BM174" s="6" t="s">
        <v>163</v>
      </c>
      <c r="BN174" s="6" t="s">
        <v>3020</v>
      </c>
      <c r="BO174" s="6" t="s">
        <v>163</v>
      </c>
      <c r="BP174" s="6" t="s">
        <v>193</v>
      </c>
      <c r="BQ174" s="0" t="n">
        <v>40.73686</v>
      </c>
      <c r="BR174" s="0" t="n">
        <v>-73.988546</v>
      </c>
      <c r="BS174" s="6" t="s">
        <v>168</v>
      </c>
      <c r="BT174" s="0" t="n">
        <v>0</v>
      </c>
      <c r="BU174" s="6" t="s">
        <v>194</v>
      </c>
      <c r="BV174" s="6" t="s">
        <v>195</v>
      </c>
      <c r="BW174" s="6" t="s">
        <v>197</v>
      </c>
      <c r="BX174" s="6" t="s">
        <v>198</v>
      </c>
      <c r="BY174" s="6" t="s">
        <v>283</v>
      </c>
      <c r="CB174" s="6" t="s">
        <v>199</v>
      </c>
      <c r="CC174" s="6" t="s">
        <v>739</v>
      </c>
      <c r="CE174" s="6" t="s">
        <v>162</v>
      </c>
      <c r="CH174" s="6" t="s">
        <v>201</v>
      </c>
      <c r="CI174" s="6" t="s">
        <v>202</v>
      </c>
      <c r="CJ174" s="6" t="s">
        <v>163</v>
      </c>
      <c r="CK174" s="6" t="s">
        <v>162</v>
      </c>
      <c r="CL174" s="6" t="s">
        <v>163</v>
      </c>
      <c r="CO174" s="6" t="s">
        <v>163</v>
      </c>
      <c r="CQ174" s="6" t="s">
        <v>2197</v>
      </c>
      <c r="CR174" s="6" t="s">
        <v>206</v>
      </c>
      <c r="CS174" s="6" t="s">
        <v>163</v>
      </c>
      <c r="CT174" s="0" t="n">
        <v>30</v>
      </c>
      <c r="CU174" s="0" t="n">
        <v>7</v>
      </c>
      <c r="CV174" s="0" t="n">
        <v>4</v>
      </c>
      <c r="CW174" s="0" t="n">
        <v>6</v>
      </c>
      <c r="CX174" s="0" t="n">
        <v>13</v>
      </c>
      <c r="CY174" s="6" t="n">
        <f aca="false">IF(AH174="exact",10,IF(AH174="adjacent",5,0))</f>
        <v>0</v>
      </c>
      <c r="CZ174" s="6" t="n">
        <f aca="false">IF(R174="Y",15,0)</f>
        <v>0</v>
      </c>
      <c r="DF174" s="6" t="s">
        <v>158</v>
      </c>
      <c r="DG174" s="6" t="s">
        <v>211</v>
      </c>
      <c r="DJ174" s="6" t="s">
        <v>3021</v>
      </c>
      <c r="DK174" s="6" t="s">
        <v>3022</v>
      </c>
      <c r="DS174" s="6" t="s">
        <v>158</v>
      </c>
      <c r="DX174" s="6" t="s">
        <v>162</v>
      </c>
      <c r="ER174" s="0" t="str">
        <f aca="false">IF(ISNUMBER(MATCH(U174,{"queued","contacted","replied","call_booked","call_done","yes_in_principle","materials_sent"},0)),"Y","N")</f>
        <v>N</v>
      </c>
      <c r="ES174" s="0" t="str">
        <f aca="false">IF(COUNTIFS($AP$2:$AP$1000,AP174,$ER$2:$ER$1000,"Y")+COUNTIFS($AP$2:$AP$1000,AP174,$T$2:$T$1000,"Y")&gt;0,"Y","N")</f>
        <v>N</v>
      </c>
      <c r="ET174" s="0" t="str">
        <f aca="false">IF(AND(U174="new",T174="N",AT174="Y",AS174="",ES174="N"),"Y","N")</f>
        <v>N</v>
      </c>
      <c r="EU174" s="0" t="str">
        <f aca="false">IF(ET174&lt;&gt;"Y","N",IF(COUNTIFS($AP$2:$AP$1000,AP174,$ET$2:$ET$1000,"Y",$J$2:$J$1000,"&gt;"&amp;J174)+COUNTIFS($AP$2:$AP$1000,AP174,$ET$2:$ET$1000,"Y",$J$2:$J$1000,J174,$EW$2:$EW$1000,"&lt;"&amp;EW174)=0,"Y","N"))</f>
        <v>N</v>
      </c>
      <c r="EV174" s="0" t="str">
        <f aca="false">IF(Y174="","N",IF(Y174&lt;=10,"Y","N"))</f>
        <v>N</v>
      </c>
      <c r="EW174" s="6" t="n">
        <f aca="false">ROW()-1</f>
        <v>173</v>
      </c>
    </row>
    <row r="175" customFormat="false" ht="15" hidden="false" customHeight="false" outlineLevel="0" collapsed="false">
      <c r="A175" s="0" t="s">
        <v>3023</v>
      </c>
      <c r="B175" s="0" t="s">
        <v>3024</v>
      </c>
      <c r="H175" s="5" t="s">
        <v>158</v>
      </c>
      <c r="I175" s="5" t="s">
        <v>159</v>
      </c>
      <c r="J175" s="6" t="n">
        <f aca="false">IF(AX175="pass",ROUND(CU175+CV175+CW175+CX175+CY175+CZ175,1),0)</f>
        <v>29.6</v>
      </c>
      <c r="K175" s="6" t="s">
        <v>3025</v>
      </c>
      <c r="L175" s="6" t="s">
        <v>1323</v>
      </c>
      <c r="R175" s="5" t="s">
        <v>162</v>
      </c>
      <c r="S175" s="6" t="s">
        <v>163</v>
      </c>
      <c r="T175" s="5" t="s">
        <v>162</v>
      </c>
      <c r="U175" s="5" t="s">
        <v>228</v>
      </c>
      <c r="V175" s="6" t="s">
        <v>3026</v>
      </c>
      <c r="W175" s="6" t="s">
        <v>166</v>
      </c>
      <c r="X175" s="6" t="s">
        <v>167</v>
      </c>
      <c r="Y175" s="0" t="str">
        <f aca="false">IF(EU175&lt;&gt;"Y","",COUNTIFS($EU$2:$EU$1000,"Y",$J$2:$J$1000,"&gt;"&amp;J175)+COUNTIFS($EU$2:$EU$1000,"Y",$J$2:$J$1000,J175,$EW$2:$EW$1000,"&lt;"&amp;EW175)+1)</f>
        <v/>
      </c>
      <c r="Z175" s="0" t="n">
        <v>174</v>
      </c>
      <c r="AA175" s="6" t="s">
        <v>162</v>
      </c>
      <c r="AB175" s="6" t="s">
        <v>2528</v>
      </c>
      <c r="AD175" s="6" t="s">
        <v>158</v>
      </c>
      <c r="AH175" s="5" t="s">
        <v>158</v>
      </c>
      <c r="AI175" s="6" t="s">
        <v>3027</v>
      </c>
      <c r="AJ175" s="6" t="s">
        <v>163</v>
      </c>
      <c r="AK175" s="6" t="s">
        <v>178</v>
      </c>
      <c r="AL175" s="0" t="n">
        <v>114</v>
      </c>
      <c r="AM175" s="0" t="n">
        <v>2280</v>
      </c>
      <c r="AN175" s="6" t="s">
        <v>179</v>
      </c>
      <c r="AO175" s="6" t="s">
        <v>163</v>
      </c>
      <c r="AP175" s="6" t="s">
        <v>3023</v>
      </c>
      <c r="AQ175" s="5" t="s">
        <v>162</v>
      </c>
      <c r="AT175" s="0" t="str">
        <f aca="false">IF(AND(AX175="pass",AQ175&lt;&gt;"Y",C175&lt;&gt;"",OR(AW175&lt;&gt;"Y",AV175="Y")),"Y","N")</f>
        <v>N</v>
      </c>
      <c r="AU175" s="0" t="str">
        <f aca="false">_xlfn.TEXTJOIN("; ",TRUE(),IF(AX175&lt;&gt;"pass","gated out",""),IF(AQ175="Y","on hold: "&amp;AR175,""),IF(C175="","no contact named on an opened page",""),IF(AND(AW175="Y",AV175&lt;&gt;"Y"),"Tuesday estimate band "&amp;L175&amp;": founder's call",""))</f>
        <v>no contact named on an opened page; Tuesday estimate band over-500: founder's call</v>
      </c>
      <c r="AW175" s="6" t="s">
        <v>168</v>
      </c>
      <c r="AX175" s="6" t="s">
        <v>181</v>
      </c>
      <c r="AY175" s="6" t="s">
        <v>182</v>
      </c>
      <c r="AZ175" s="6" t="s">
        <v>1</v>
      </c>
      <c r="BA175" s="6" t="s">
        <v>3028</v>
      </c>
      <c r="BB175" s="6" t="s">
        <v>3029</v>
      </c>
      <c r="BC175" s="6" t="s">
        <v>3030</v>
      </c>
      <c r="BD175" s="6" t="s">
        <v>2846</v>
      </c>
      <c r="BF175" s="6" t="s">
        <v>1323</v>
      </c>
      <c r="BG175" s="6" t="s">
        <v>188</v>
      </c>
      <c r="BH175" s="6" t="s">
        <v>189</v>
      </c>
      <c r="BI175" s="6" t="s">
        <v>3031</v>
      </c>
      <c r="BK175" s="6" t="s">
        <v>1440</v>
      </c>
      <c r="BL175" s="6" t="s">
        <v>163</v>
      </c>
      <c r="BM175" s="6" t="s">
        <v>163</v>
      </c>
      <c r="BN175" s="6" t="s">
        <v>163</v>
      </c>
      <c r="BO175" s="6" t="s">
        <v>163</v>
      </c>
      <c r="BP175" s="6" t="s">
        <v>347</v>
      </c>
      <c r="BQ175" s="0" t="n">
        <v>40.741986</v>
      </c>
      <c r="BR175" s="0" t="n">
        <v>-73.989477</v>
      </c>
      <c r="BS175" s="6" t="s">
        <v>168</v>
      </c>
      <c r="BT175" s="0" t="n">
        <v>0</v>
      </c>
      <c r="BV175" s="6" t="s">
        <v>163</v>
      </c>
      <c r="BW175" s="6" t="s">
        <v>3026</v>
      </c>
      <c r="BX175" s="6" t="s">
        <v>174</v>
      </c>
      <c r="BY175" s="6" t="s">
        <v>196</v>
      </c>
      <c r="BZ175" s="6" t="s">
        <v>3032</v>
      </c>
      <c r="CA175" s="6" t="s">
        <v>174</v>
      </c>
      <c r="CC175" s="6" t="s">
        <v>200</v>
      </c>
      <c r="CE175" s="6" t="s">
        <v>162</v>
      </c>
      <c r="CH175" s="6" t="s">
        <v>163</v>
      </c>
      <c r="CJ175" s="6" t="s">
        <v>163</v>
      </c>
      <c r="CK175" s="6" t="s">
        <v>162</v>
      </c>
      <c r="CL175" s="6" t="s">
        <v>163</v>
      </c>
      <c r="CO175" s="0" t="n">
        <v>510</v>
      </c>
      <c r="CP175" s="6" t="s">
        <v>251</v>
      </c>
      <c r="CQ175" s="6" t="s">
        <v>3033</v>
      </c>
      <c r="CR175" s="6" t="s">
        <v>206</v>
      </c>
      <c r="CS175" s="0" t="n">
        <v>0.26</v>
      </c>
      <c r="CT175" s="0" t="n">
        <v>29.6</v>
      </c>
      <c r="CU175" s="0" t="n">
        <v>6.6</v>
      </c>
      <c r="CV175" s="0" t="n">
        <v>2</v>
      </c>
      <c r="CW175" s="0" t="n">
        <v>6</v>
      </c>
      <c r="CX175" s="0" t="n">
        <v>15</v>
      </c>
      <c r="CY175" s="6" t="n">
        <f aca="false">IF(AH175="exact",10,IF(AH175="adjacent",5,0))</f>
        <v>0</v>
      </c>
      <c r="CZ175" s="6" t="n">
        <f aca="false">IF(R175="Y",15,0)</f>
        <v>0</v>
      </c>
      <c r="DF175" s="6" t="s">
        <v>158</v>
      </c>
      <c r="DG175" s="6" t="s">
        <v>1336</v>
      </c>
      <c r="DH175" s="6" t="s">
        <v>1447</v>
      </c>
      <c r="DI175" s="6" t="s">
        <v>162</v>
      </c>
      <c r="DK175" s="6" t="s">
        <v>3034</v>
      </c>
      <c r="DS175" s="6" t="s">
        <v>158</v>
      </c>
      <c r="DX175" s="6" t="s">
        <v>162</v>
      </c>
      <c r="ER175" s="0" t="str">
        <f aca="false">IF(ISNUMBER(MATCH(U175,{"queued","contacted","replied","call_booked","call_done","yes_in_principle","materials_sent"},0)),"Y","N")</f>
        <v>N</v>
      </c>
      <c r="ES175" s="0" t="str">
        <f aca="false">IF(COUNTIFS($AP$2:$AP$1000,AP175,$ER$2:$ER$1000,"Y")+COUNTIFS($AP$2:$AP$1000,AP175,$T$2:$T$1000,"Y")&gt;0,"Y","N")</f>
        <v>N</v>
      </c>
      <c r="ET175" s="0" t="str">
        <f aca="false">IF(AND(U175="new",T175="N",AT175="Y",AS175="",ES175="N"),"Y","N")</f>
        <v>N</v>
      </c>
      <c r="EU175" s="0" t="str">
        <f aca="false">IF(ET175&lt;&gt;"Y","N",IF(COUNTIFS($AP$2:$AP$1000,AP175,$ET$2:$ET$1000,"Y",$J$2:$J$1000,"&gt;"&amp;J175)+COUNTIFS($AP$2:$AP$1000,AP175,$ET$2:$ET$1000,"Y",$J$2:$J$1000,J175,$EW$2:$EW$1000,"&lt;"&amp;EW175)=0,"Y","N"))</f>
        <v>N</v>
      </c>
      <c r="EV175" s="0" t="str">
        <f aca="false">IF(Y175="","N",IF(Y175&lt;=10,"Y","N"))</f>
        <v>N</v>
      </c>
      <c r="EW175" s="6" t="n">
        <f aca="false">ROW()-1</f>
        <v>174</v>
      </c>
    </row>
    <row r="176" customFormat="false" ht="15" hidden="false" customHeight="false" outlineLevel="0" collapsed="false">
      <c r="A176" s="0" t="s">
        <v>3035</v>
      </c>
      <c r="B176" s="0" t="s">
        <v>3036</v>
      </c>
      <c r="H176" s="5" t="s">
        <v>158</v>
      </c>
      <c r="I176" s="5" t="s">
        <v>159</v>
      </c>
      <c r="J176" s="6" t="n">
        <f aca="false">IF(AX176="pass",ROUND(CU176+CV176+CW176+CX176+CY176+CZ176,1),0)</f>
        <v>29</v>
      </c>
      <c r="K176" s="6" t="s">
        <v>3037</v>
      </c>
      <c r="L176" s="6" t="s">
        <v>187</v>
      </c>
      <c r="R176" s="5" t="s">
        <v>162</v>
      </c>
      <c r="S176" s="6" t="s">
        <v>163</v>
      </c>
      <c r="T176" s="5" t="s">
        <v>162</v>
      </c>
      <c r="U176" s="5" t="s">
        <v>228</v>
      </c>
      <c r="V176" s="6" t="s">
        <v>1963</v>
      </c>
      <c r="W176" s="6" t="s">
        <v>166</v>
      </c>
      <c r="X176" s="6" t="s">
        <v>167</v>
      </c>
      <c r="Y176" s="0" t="str">
        <f aca="false">IF(EU176&lt;&gt;"Y","",COUNTIFS($EU$2:$EU$1000,"Y",$J$2:$J$1000,"&gt;"&amp;J176)+COUNTIFS($EU$2:$EU$1000,"Y",$J$2:$J$1000,J176,$EW$2:$EW$1000,"&lt;"&amp;EW176)+1)</f>
        <v/>
      </c>
      <c r="Z176" s="0" t="n">
        <v>175</v>
      </c>
      <c r="AA176" s="6" t="s">
        <v>162</v>
      </c>
      <c r="AD176" s="6" t="s">
        <v>158</v>
      </c>
      <c r="AH176" s="5" t="s">
        <v>158</v>
      </c>
      <c r="AI176" s="6" t="s">
        <v>1065</v>
      </c>
      <c r="AJ176" s="6" t="s">
        <v>3038</v>
      </c>
      <c r="AK176" s="6" t="s">
        <v>435</v>
      </c>
      <c r="AL176" s="0" t="n">
        <v>53</v>
      </c>
      <c r="AM176" s="0" t="n">
        <v>1054</v>
      </c>
      <c r="AN176" s="6" t="s">
        <v>179</v>
      </c>
      <c r="AO176" s="6" t="s">
        <v>163</v>
      </c>
      <c r="AP176" s="6" t="s">
        <v>3035</v>
      </c>
      <c r="AQ176" s="5" t="s">
        <v>162</v>
      </c>
      <c r="AT176" s="0" t="str">
        <f aca="false">IF(AND(AX176="pass",AQ176&lt;&gt;"Y",C176&lt;&gt;"",OR(AW176&lt;&gt;"Y",AV176="Y")),"Y","N")</f>
        <v>N</v>
      </c>
      <c r="AU176" s="0" t="str">
        <f aca="false">_xlfn.TEXTJOIN("; ",TRUE(),IF(AX176&lt;&gt;"pass","gated out",""),IF(AQ176="Y","on hold: "&amp;AR176,""),IF(C176="","no contact named on an opened page",""),IF(AND(AW176="Y",AV176&lt;&gt;"Y"),"Tuesday estimate band "&amp;L176&amp;": founder's call",""))</f>
        <v>no contact named on an opened page</v>
      </c>
      <c r="AW176" s="6" t="s">
        <v>162</v>
      </c>
      <c r="AX176" s="6" t="s">
        <v>181</v>
      </c>
      <c r="AY176" s="6" t="s">
        <v>182</v>
      </c>
      <c r="AZ176" s="6" t="s">
        <v>1</v>
      </c>
      <c r="BA176" s="6" t="s">
        <v>3039</v>
      </c>
      <c r="BB176" s="6" t="s">
        <v>3040</v>
      </c>
      <c r="BC176" s="6" t="s">
        <v>3041</v>
      </c>
      <c r="BD176" s="6" t="s">
        <v>3042</v>
      </c>
      <c r="BF176" s="6" t="s">
        <v>1323</v>
      </c>
      <c r="BG176" s="6" t="s">
        <v>188</v>
      </c>
      <c r="BH176" s="6" t="s">
        <v>189</v>
      </c>
      <c r="BI176" s="6" t="s">
        <v>3043</v>
      </c>
      <c r="BK176" s="6" t="s">
        <v>1440</v>
      </c>
      <c r="BL176" s="6" t="s">
        <v>163</v>
      </c>
      <c r="BM176" s="6" t="s">
        <v>163</v>
      </c>
      <c r="BN176" s="6" t="s">
        <v>163</v>
      </c>
      <c r="BO176" s="6" t="s">
        <v>163</v>
      </c>
      <c r="BP176" s="6" t="s">
        <v>347</v>
      </c>
      <c r="BQ176" s="0" t="n">
        <v>40.742199</v>
      </c>
      <c r="BR176" s="0" t="n">
        <v>-73.99172</v>
      </c>
      <c r="BS176" s="6" t="s">
        <v>168</v>
      </c>
      <c r="BT176" s="0" t="n">
        <v>0</v>
      </c>
      <c r="BU176" s="6" t="s">
        <v>1073</v>
      </c>
      <c r="BV176" s="6" t="s">
        <v>1074</v>
      </c>
      <c r="BW176" s="6" t="s">
        <v>1963</v>
      </c>
      <c r="BX176" s="6" t="s">
        <v>1969</v>
      </c>
      <c r="BY176" s="6" t="s">
        <v>248</v>
      </c>
      <c r="BZ176" s="6" t="s">
        <v>1075</v>
      </c>
      <c r="CA176" s="6" t="s">
        <v>1076</v>
      </c>
      <c r="CC176" s="6" t="s">
        <v>739</v>
      </c>
      <c r="CE176" s="6" t="s">
        <v>162</v>
      </c>
      <c r="CH176" s="6" t="s">
        <v>201</v>
      </c>
      <c r="CI176" s="6" t="s">
        <v>1075</v>
      </c>
      <c r="CJ176" s="6" t="s">
        <v>163</v>
      </c>
      <c r="CK176" s="6" t="s">
        <v>162</v>
      </c>
      <c r="CL176" s="6" t="s">
        <v>163</v>
      </c>
      <c r="CO176" s="0" t="n">
        <v>236</v>
      </c>
      <c r="CP176" s="6" t="s">
        <v>251</v>
      </c>
      <c r="CQ176" s="6" t="s">
        <v>3044</v>
      </c>
      <c r="CR176" s="6" t="s">
        <v>206</v>
      </c>
      <c r="CS176" s="0" t="n">
        <v>0.52</v>
      </c>
      <c r="CT176" s="0" t="n">
        <v>29</v>
      </c>
      <c r="CU176" s="0" t="n">
        <v>13</v>
      </c>
      <c r="CV176" s="0" t="n">
        <v>2</v>
      </c>
      <c r="CW176" s="0" t="n">
        <v>6</v>
      </c>
      <c r="CX176" s="0" t="n">
        <v>8</v>
      </c>
      <c r="CY176" s="6" t="n">
        <f aca="false">IF(AH176="exact",10,IF(AH176="adjacent",5,0))</f>
        <v>0</v>
      </c>
      <c r="CZ176" s="6" t="n">
        <f aca="false">IF(R176="Y",15,0)</f>
        <v>0</v>
      </c>
      <c r="DF176" s="6" t="s">
        <v>158</v>
      </c>
      <c r="DG176" s="6" t="s">
        <v>1336</v>
      </c>
      <c r="DH176" s="6" t="s">
        <v>1447</v>
      </c>
      <c r="DI176" s="6" t="s">
        <v>168</v>
      </c>
      <c r="DJ176" s="6" t="s">
        <v>3045</v>
      </c>
      <c r="DK176" s="6" t="s">
        <v>3046</v>
      </c>
      <c r="DS176" s="6" t="s">
        <v>158</v>
      </c>
      <c r="DX176" s="6" t="s">
        <v>162</v>
      </c>
      <c r="ER176" s="0" t="str">
        <f aca="false">IF(ISNUMBER(MATCH(U176,{"queued","contacted","replied","call_booked","call_done","yes_in_principle","materials_sent"},0)),"Y","N")</f>
        <v>N</v>
      </c>
      <c r="ES176" s="0" t="str">
        <f aca="false">IF(COUNTIFS($AP$2:$AP$1000,AP176,$ER$2:$ER$1000,"Y")+COUNTIFS($AP$2:$AP$1000,AP176,$T$2:$T$1000,"Y")&gt;0,"Y","N")</f>
        <v>N</v>
      </c>
      <c r="ET176" s="0" t="str">
        <f aca="false">IF(AND(U176="new",T176="N",AT176="Y",AS176="",ES176="N"),"Y","N")</f>
        <v>N</v>
      </c>
      <c r="EU176" s="0" t="str">
        <f aca="false">IF(ET176&lt;&gt;"Y","N",IF(COUNTIFS($AP$2:$AP$1000,AP176,$ET$2:$ET$1000,"Y",$J$2:$J$1000,"&gt;"&amp;J176)+COUNTIFS($AP$2:$AP$1000,AP176,$ET$2:$ET$1000,"Y",$J$2:$J$1000,J176,$EW$2:$EW$1000,"&lt;"&amp;EW176)=0,"Y","N"))</f>
        <v>N</v>
      </c>
      <c r="EV176" s="0" t="str">
        <f aca="false">IF(Y176="","N",IF(Y176&lt;=10,"Y","N"))</f>
        <v>N</v>
      </c>
      <c r="EW176" s="6" t="n">
        <f aca="false">ROW()-1</f>
        <v>175</v>
      </c>
    </row>
    <row r="177" customFormat="false" ht="15" hidden="false" customHeight="false" outlineLevel="0" collapsed="false">
      <c r="A177" s="0" t="s">
        <v>3047</v>
      </c>
      <c r="B177" s="0" t="s">
        <v>3048</v>
      </c>
      <c r="H177" s="5" t="s">
        <v>158</v>
      </c>
      <c r="I177" s="5" t="s">
        <v>159</v>
      </c>
      <c r="J177" s="6" t="n">
        <f aca="false">IF(AX177="pass",ROUND(CU177+CV177+CW177+CX177+CY177+CZ177,1),0)</f>
        <v>29</v>
      </c>
      <c r="K177" s="6" t="s">
        <v>3049</v>
      </c>
      <c r="L177" s="6" t="s">
        <v>163</v>
      </c>
      <c r="R177" s="5" t="s">
        <v>162</v>
      </c>
      <c r="S177" s="6" t="s">
        <v>163</v>
      </c>
      <c r="T177" s="5" t="s">
        <v>162</v>
      </c>
      <c r="U177" s="5" t="s">
        <v>228</v>
      </c>
      <c r="V177" s="6" t="s">
        <v>3050</v>
      </c>
      <c r="W177" s="6" t="s">
        <v>166</v>
      </c>
      <c r="X177" s="6" t="s">
        <v>167</v>
      </c>
      <c r="Y177" s="0" t="str">
        <f aca="false">IF(EU177&lt;&gt;"Y","",COUNTIFS($EU$2:$EU$1000,"Y",$J$2:$J$1000,"&gt;"&amp;J177)+COUNTIFS($EU$2:$EU$1000,"Y",$J$2:$J$1000,J177,$EW$2:$EW$1000,"&lt;"&amp;EW177)+1)</f>
        <v/>
      </c>
      <c r="Z177" s="0" t="n">
        <v>176</v>
      </c>
      <c r="AA177" s="6" t="s">
        <v>162</v>
      </c>
      <c r="AD177" s="6" t="s">
        <v>158</v>
      </c>
      <c r="AH177" s="5" t="s">
        <v>158</v>
      </c>
      <c r="AI177" s="6" t="s">
        <v>3051</v>
      </c>
      <c r="AJ177" s="6" t="s">
        <v>163</v>
      </c>
      <c r="AK177" s="6" t="s">
        <v>435</v>
      </c>
      <c r="AL177" s="6" t="s">
        <v>163</v>
      </c>
      <c r="AM177" s="6" t="s">
        <v>163</v>
      </c>
      <c r="AN177" s="6" t="s">
        <v>158</v>
      </c>
      <c r="AO177" s="6" t="s">
        <v>163</v>
      </c>
      <c r="AP177" s="6" t="s">
        <v>3047</v>
      </c>
      <c r="AQ177" s="5" t="s">
        <v>162</v>
      </c>
      <c r="AT177" s="0" t="str">
        <f aca="false">IF(AND(AX177="pass",AQ177&lt;&gt;"Y",C177&lt;&gt;"",OR(AW177&lt;&gt;"Y",AV177="Y")),"Y","N")</f>
        <v>N</v>
      </c>
      <c r="AU177" s="0" t="str">
        <f aca="false">_xlfn.TEXTJOIN("; ",TRUE(),IF(AX177&lt;&gt;"pass","gated out",""),IF(AQ177="Y","on hold: "&amp;AR177,""),IF(C177="","no contact named on an opened page",""),IF(AND(AW177="Y",AV177&lt;&gt;"Y"),"Tuesday estimate band "&amp;L177&amp;": founder's call",""))</f>
        <v>no contact named on an opened page</v>
      </c>
      <c r="AW177" s="6" t="s">
        <v>162</v>
      </c>
      <c r="AX177" s="6" t="s">
        <v>181</v>
      </c>
      <c r="AY177" s="6" t="s">
        <v>182</v>
      </c>
      <c r="AZ177" s="6" t="s">
        <v>1</v>
      </c>
      <c r="BA177" s="6" t="s">
        <v>3052</v>
      </c>
      <c r="BB177" s="6" t="s">
        <v>3053</v>
      </c>
      <c r="BC177" s="6" t="s">
        <v>3054</v>
      </c>
      <c r="BD177" s="6" t="s">
        <v>163</v>
      </c>
      <c r="BF177" s="6" t="s">
        <v>163</v>
      </c>
      <c r="BG177" s="6" t="s">
        <v>163</v>
      </c>
      <c r="BH177" s="6" t="s">
        <v>2196</v>
      </c>
      <c r="BK177" s="6" t="s">
        <v>163</v>
      </c>
      <c r="BL177" s="6" t="s">
        <v>163</v>
      </c>
      <c r="BM177" s="6" t="s">
        <v>163</v>
      </c>
      <c r="BN177" s="6" t="s">
        <v>163</v>
      </c>
      <c r="BO177" s="6" t="s">
        <v>163</v>
      </c>
      <c r="BP177" s="6" t="s">
        <v>244</v>
      </c>
      <c r="BQ177" s="0" t="n">
        <v>40.744774</v>
      </c>
      <c r="BR177" s="0" t="n">
        <v>-73.984932</v>
      </c>
      <c r="BS177" s="6" t="s">
        <v>168</v>
      </c>
      <c r="BT177" s="0" t="n">
        <v>0</v>
      </c>
      <c r="BU177" s="6" t="s">
        <v>3055</v>
      </c>
      <c r="BV177" s="6" t="s">
        <v>3056</v>
      </c>
      <c r="BW177" s="6" t="s">
        <v>3050</v>
      </c>
      <c r="BX177" s="6" t="s">
        <v>3057</v>
      </c>
      <c r="BY177" s="6" t="s">
        <v>248</v>
      </c>
      <c r="CC177" s="6" t="s">
        <v>739</v>
      </c>
      <c r="CE177" s="6" t="s">
        <v>162</v>
      </c>
      <c r="CH177" s="6" t="s">
        <v>163</v>
      </c>
      <c r="CJ177" s="6" t="s">
        <v>163</v>
      </c>
      <c r="CK177" s="6" t="s">
        <v>162</v>
      </c>
      <c r="CL177" s="6" t="s">
        <v>163</v>
      </c>
      <c r="CO177" s="6" t="s">
        <v>163</v>
      </c>
      <c r="CQ177" s="6" t="s">
        <v>2197</v>
      </c>
      <c r="CR177" s="6" t="s">
        <v>206</v>
      </c>
      <c r="CS177" s="6" t="s">
        <v>163</v>
      </c>
      <c r="CT177" s="0" t="n">
        <v>29</v>
      </c>
      <c r="CU177" s="0" t="n">
        <v>7</v>
      </c>
      <c r="CV177" s="0" t="n">
        <v>8</v>
      </c>
      <c r="CW177" s="0" t="n">
        <v>6</v>
      </c>
      <c r="CX177" s="0" t="n">
        <v>8</v>
      </c>
      <c r="CY177" s="6" t="n">
        <f aca="false">IF(AH177="exact",10,IF(AH177="adjacent",5,0))</f>
        <v>0</v>
      </c>
      <c r="CZ177" s="6" t="n">
        <f aca="false">IF(R177="Y",15,0)</f>
        <v>0</v>
      </c>
      <c r="DF177" s="6" t="s">
        <v>158</v>
      </c>
      <c r="DG177" s="6" t="s">
        <v>211</v>
      </c>
      <c r="DJ177" s="6" t="s">
        <v>3058</v>
      </c>
      <c r="DK177" s="6" t="s">
        <v>3059</v>
      </c>
      <c r="DS177" s="6" t="s">
        <v>158</v>
      </c>
      <c r="DX177" s="6" t="s">
        <v>162</v>
      </c>
      <c r="ER177" s="0" t="str">
        <f aca="false">IF(ISNUMBER(MATCH(U177,{"queued","contacted","replied","call_booked","call_done","yes_in_principle","materials_sent"},0)),"Y","N")</f>
        <v>N</v>
      </c>
      <c r="ES177" s="0" t="str">
        <f aca="false">IF(COUNTIFS($AP$2:$AP$1000,AP177,$ER$2:$ER$1000,"Y")+COUNTIFS($AP$2:$AP$1000,AP177,$T$2:$T$1000,"Y")&gt;0,"Y","N")</f>
        <v>N</v>
      </c>
      <c r="ET177" s="0" t="str">
        <f aca="false">IF(AND(U177="new",T177="N",AT177="Y",AS177="",ES177="N"),"Y","N")</f>
        <v>N</v>
      </c>
      <c r="EU177" s="0" t="str">
        <f aca="false">IF(ET177&lt;&gt;"Y","N",IF(COUNTIFS($AP$2:$AP$1000,AP177,$ET$2:$ET$1000,"Y",$J$2:$J$1000,"&gt;"&amp;J177)+COUNTIFS($AP$2:$AP$1000,AP177,$ET$2:$ET$1000,"Y",$J$2:$J$1000,J177,$EW$2:$EW$1000,"&lt;"&amp;EW177)=0,"Y","N"))</f>
        <v>N</v>
      </c>
      <c r="EV177" s="0" t="str">
        <f aca="false">IF(Y177="","N",IF(Y177&lt;=10,"Y","N"))</f>
        <v>N</v>
      </c>
      <c r="EW177" s="6" t="n">
        <f aca="false">ROW()-1</f>
        <v>176</v>
      </c>
    </row>
    <row r="178" customFormat="false" ht="15" hidden="false" customHeight="false" outlineLevel="0" collapsed="false">
      <c r="A178" s="0" t="s">
        <v>3060</v>
      </c>
      <c r="B178" s="0" t="s">
        <v>3061</v>
      </c>
      <c r="H178" s="5" t="s">
        <v>158</v>
      </c>
      <c r="I178" s="5" t="s">
        <v>159</v>
      </c>
      <c r="J178" s="6" t="n">
        <f aca="false">IF(AX178="pass",ROUND(CU178+CV178+CW178+CX178+CY178+CZ178,1),0)</f>
        <v>29</v>
      </c>
      <c r="K178" s="6" t="s">
        <v>3049</v>
      </c>
      <c r="L178" s="6" t="s">
        <v>163</v>
      </c>
      <c r="O178" s="6" t="s">
        <v>3062</v>
      </c>
      <c r="P178" s="6" t="s">
        <v>3063</v>
      </c>
      <c r="Q178" s="6" t="s">
        <v>523</v>
      </c>
      <c r="R178" s="5" t="s">
        <v>162</v>
      </c>
      <c r="S178" s="6" t="s">
        <v>163</v>
      </c>
      <c r="T178" s="5" t="s">
        <v>162</v>
      </c>
      <c r="U178" s="5" t="s">
        <v>228</v>
      </c>
      <c r="V178" s="6" t="s">
        <v>3063</v>
      </c>
      <c r="W178" s="6" t="s">
        <v>166</v>
      </c>
      <c r="X178" s="6" t="s">
        <v>167</v>
      </c>
      <c r="Y178" s="0" t="str">
        <f aca="false">IF(EU178&lt;&gt;"Y","",COUNTIFS($EU$2:$EU$1000,"Y",$J$2:$J$1000,"&gt;"&amp;J178)+COUNTIFS($EU$2:$EU$1000,"Y",$J$2:$J$1000,J178,$EW$2:$EW$1000,"&lt;"&amp;EW178)+1)</f>
        <v/>
      </c>
      <c r="Z178" s="0" t="n">
        <v>177</v>
      </c>
      <c r="AA178" s="6" t="s">
        <v>162</v>
      </c>
      <c r="AD178" s="6" t="s">
        <v>158</v>
      </c>
      <c r="AH178" s="5" t="s">
        <v>158</v>
      </c>
      <c r="AI178" s="6" t="s">
        <v>2408</v>
      </c>
      <c r="AJ178" s="6" t="s">
        <v>1631</v>
      </c>
      <c r="AK178" s="6" t="s">
        <v>435</v>
      </c>
      <c r="AL178" s="6" t="s">
        <v>163</v>
      </c>
      <c r="AM178" s="6" t="s">
        <v>163</v>
      </c>
      <c r="AN178" s="6" t="s">
        <v>158</v>
      </c>
      <c r="AO178" s="6" t="s">
        <v>163</v>
      </c>
      <c r="AP178" s="6" t="s">
        <v>3060</v>
      </c>
      <c r="AQ178" s="5" t="s">
        <v>162</v>
      </c>
      <c r="AT178" s="0" t="str">
        <f aca="false">IF(AND(AX178="pass",AQ178&lt;&gt;"Y",C178&lt;&gt;"",OR(AW178&lt;&gt;"Y",AV178="Y")),"Y","N")</f>
        <v>N</v>
      </c>
      <c r="AU178" s="0" t="str">
        <f aca="false">_xlfn.TEXTJOIN("; ",TRUE(),IF(AX178&lt;&gt;"pass","gated out",""),IF(AQ178="Y","on hold: "&amp;AR178,""),IF(C178="","no contact named on an opened page",""),IF(AND(AW178="Y",AV178&lt;&gt;"Y"),"Tuesday estimate band "&amp;L178&amp;": founder's call",""))</f>
        <v>no contact named on an opened page</v>
      </c>
      <c r="AW178" s="6" t="s">
        <v>162</v>
      </c>
      <c r="AX178" s="6" t="s">
        <v>181</v>
      </c>
      <c r="AY178" s="6" t="s">
        <v>182</v>
      </c>
      <c r="AZ178" s="6" t="s">
        <v>1</v>
      </c>
      <c r="BA178" s="6" t="s">
        <v>3064</v>
      </c>
      <c r="BB178" s="6" t="s">
        <v>3065</v>
      </c>
      <c r="BC178" s="6" t="s">
        <v>3066</v>
      </c>
      <c r="BD178" s="6" t="s">
        <v>163</v>
      </c>
      <c r="BF178" s="6" t="s">
        <v>163</v>
      </c>
      <c r="BG178" s="6" t="s">
        <v>163</v>
      </c>
      <c r="BH178" s="6" t="s">
        <v>2196</v>
      </c>
      <c r="BK178" s="6" t="s">
        <v>163</v>
      </c>
      <c r="BL178" s="6" t="s">
        <v>163</v>
      </c>
      <c r="BM178" s="6" t="s">
        <v>163</v>
      </c>
      <c r="BN178" s="6" t="s">
        <v>163</v>
      </c>
      <c r="BO178" s="6" t="s">
        <v>163</v>
      </c>
      <c r="BP178" s="6" t="s">
        <v>347</v>
      </c>
      <c r="BQ178" s="0" t="n">
        <v>40.742477</v>
      </c>
      <c r="BR178" s="0" t="n">
        <v>-73.986608</v>
      </c>
      <c r="BS178" s="6" t="s">
        <v>168</v>
      </c>
      <c r="BT178" s="0" t="n">
        <v>0</v>
      </c>
      <c r="BU178" s="6" t="s">
        <v>2413</v>
      </c>
      <c r="BV178" s="6" t="s">
        <v>2414</v>
      </c>
      <c r="BW178" s="6" t="s">
        <v>3063</v>
      </c>
      <c r="BX178" s="6" t="s">
        <v>523</v>
      </c>
      <c r="BY178" s="6" t="s">
        <v>248</v>
      </c>
      <c r="CC178" s="6" t="s">
        <v>739</v>
      </c>
      <c r="CE178" s="6" t="s">
        <v>162</v>
      </c>
      <c r="CH178" s="6" t="s">
        <v>201</v>
      </c>
      <c r="CI178" s="6" t="s">
        <v>2416</v>
      </c>
      <c r="CJ178" s="6" t="s">
        <v>163</v>
      </c>
      <c r="CK178" s="6" t="s">
        <v>162</v>
      </c>
      <c r="CL178" s="6" t="s">
        <v>163</v>
      </c>
      <c r="CO178" s="6" t="s">
        <v>163</v>
      </c>
      <c r="CQ178" s="6" t="s">
        <v>2197</v>
      </c>
      <c r="CR178" s="6" t="s">
        <v>206</v>
      </c>
      <c r="CS178" s="6" t="s">
        <v>163</v>
      </c>
      <c r="CT178" s="0" t="n">
        <v>29</v>
      </c>
      <c r="CU178" s="0" t="n">
        <v>7</v>
      </c>
      <c r="CV178" s="0" t="n">
        <v>8</v>
      </c>
      <c r="CW178" s="0" t="n">
        <v>6</v>
      </c>
      <c r="CX178" s="0" t="n">
        <v>8</v>
      </c>
      <c r="CY178" s="6" t="n">
        <f aca="false">IF(AH178="exact",10,IF(AH178="adjacent",5,0))</f>
        <v>0</v>
      </c>
      <c r="CZ178" s="6" t="n">
        <f aca="false">IF(R178="Y",15,0)</f>
        <v>0</v>
      </c>
      <c r="DF178" s="6" t="s">
        <v>158</v>
      </c>
      <c r="DG178" s="6" t="s">
        <v>211</v>
      </c>
      <c r="DJ178" s="6" t="s">
        <v>3067</v>
      </c>
      <c r="DK178" s="6" t="s">
        <v>3068</v>
      </c>
      <c r="DS178" s="6" t="s">
        <v>158</v>
      </c>
      <c r="DX178" s="6" t="s">
        <v>162</v>
      </c>
      <c r="ER178" s="0" t="str">
        <f aca="false">IF(ISNUMBER(MATCH(U178,{"queued","contacted","replied","call_booked","call_done","yes_in_principle","materials_sent"},0)),"Y","N")</f>
        <v>N</v>
      </c>
      <c r="ES178" s="0" t="str">
        <f aca="false">IF(COUNTIFS($AP$2:$AP$1000,AP178,$ER$2:$ER$1000,"Y")+COUNTIFS($AP$2:$AP$1000,AP178,$T$2:$T$1000,"Y")&gt;0,"Y","N")</f>
        <v>N</v>
      </c>
      <c r="ET178" s="0" t="str">
        <f aca="false">IF(AND(U178="new",T178="N",AT178="Y",AS178="",ES178="N"),"Y","N")</f>
        <v>N</v>
      </c>
      <c r="EU178" s="0" t="str">
        <f aca="false">IF(ET178&lt;&gt;"Y","N",IF(COUNTIFS($AP$2:$AP$1000,AP178,$ET$2:$ET$1000,"Y",$J$2:$J$1000,"&gt;"&amp;J178)+COUNTIFS($AP$2:$AP$1000,AP178,$ET$2:$ET$1000,"Y",$J$2:$J$1000,J178,$EW$2:$EW$1000,"&lt;"&amp;EW178)=0,"Y","N"))</f>
        <v>N</v>
      </c>
      <c r="EV178" s="0" t="str">
        <f aca="false">IF(Y178="","N",IF(Y178&lt;=10,"Y","N"))</f>
        <v>N</v>
      </c>
      <c r="EW178" s="6" t="n">
        <f aca="false">ROW()-1</f>
        <v>177</v>
      </c>
    </row>
    <row r="179" customFormat="false" ht="15" hidden="false" customHeight="false" outlineLevel="0" collapsed="false">
      <c r="A179" s="0" t="s">
        <v>3069</v>
      </c>
      <c r="B179" s="0" t="s">
        <v>3070</v>
      </c>
      <c r="H179" s="5" t="s">
        <v>158</v>
      </c>
      <c r="I179" s="5" t="s">
        <v>159</v>
      </c>
      <c r="J179" s="6" t="n">
        <f aca="false">IF(AX179="pass",ROUND(CU179+CV179+CW179+CX179+CY179+CZ179,1),0)</f>
        <v>29</v>
      </c>
      <c r="K179" s="6" t="s">
        <v>3049</v>
      </c>
      <c r="L179" s="6" t="s">
        <v>163</v>
      </c>
      <c r="O179" s="6" t="s">
        <v>3071</v>
      </c>
      <c r="P179" s="6" t="s">
        <v>3072</v>
      </c>
      <c r="Q179" s="6" t="s">
        <v>3073</v>
      </c>
      <c r="R179" s="5" t="s">
        <v>162</v>
      </c>
      <c r="S179" s="6" t="s">
        <v>163</v>
      </c>
      <c r="T179" s="5" t="s">
        <v>162</v>
      </c>
      <c r="U179" s="5" t="s">
        <v>228</v>
      </c>
      <c r="V179" s="6" t="s">
        <v>3072</v>
      </c>
      <c r="W179" s="6" t="s">
        <v>166</v>
      </c>
      <c r="X179" s="6" t="s">
        <v>167</v>
      </c>
      <c r="Y179" s="0" t="str">
        <f aca="false">IF(EU179&lt;&gt;"Y","",COUNTIFS($EU$2:$EU$1000,"Y",$J$2:$J$1000,"&gt;"&amp;J179)+COUNTIFS($EU$2:$EU$1000,"Y",$J$2:$J$1000,J179,$EW$2:$EW$1000,"&lt;"&amp;EW179)+1)</f>
        <v/>
      </c>
      <c r="Z179" s="0" t="n">
        <v>178</v>
      </c>
      <c r="AA179" s="6" t="s">
        <v>162</v>
      </c>
      <c r="AD179" s="6" t="s">
        <v>158</v>
      </c>
      <c r="AH179" s="5" t="s">
        <v>158</v>
      </c>
      <c r="AI179" s="6" t="s">
        <v>3051</v>
      </c>
      <c r="AJ179" s="6" t="s">
        <v>624</v>
      </c>
      <c r="AK179" s="6" t="s">
        <v>435</v>
      </c>
      <c r="AL179" s="6" t="s">
        <v>163</v>
      </c>
      <c r="AM179" s="6" t="s">
        <v>163</v>
      </c>
      <c r="AN179" s="6" t="s">
        <v>158</v>
      </c>
      <c r="AO179" s="6" t="s">
        <v>163</v>
      </c>
      <c r="AP179" s="6" t="s">
        <v>3069</v>
      </c>
      <c r="AQ179" s="5" t="s">
        <v>162</v>
      </c>
      <c r="AT179" s="0" t="str">
        <f aca="false">IF(AND(AX179="pass",AQ179&lt;&gt;"Y",C179&lt;&gt;"",OR(AW179&lt;&gt;"Y",AV179="Y")),"Y","N")</f>
        <v>N</v>
      </c>
      <c r="AU179" s="0" t="str">
        <f aca="false">_xlfn.TEXTJOIN("; ",TRUE(),IF(AX179&lt;&gt;"pass","gated out",""),IF(AQ179="Y","on hold: "&amp;AR179,""),IF(C179="","no contact named on an opened page",""),IF(AND(AW179="Y",AV179&lt;&gt;"Y"),"Tuesday estimate band "&amp;L179&amp;": founder's call",""))</f>
        <v>no contact named on an opened page</v>
      </c>
      <c r="AW179" s="6" t="s">
        <v>162</v>
      </c>
      <c r="AX179" s="6" t="s">
        <v>181</v>
      </c>
      <c r="AY179" s="6" t="s">
        <v>182</v>
      </c>
      <c r="AZ179" s="6" t="s">
        <v>1</v>
      </c>
      <c r="BA179" s="6" t="s">
        <v>3074</v>
      </c>
      <c r="BB179" s="6" t="s">
        <v>163</v>
      </c>
      <c r="BC179" s="6" t="s">
        <v>3075</v>
      </c>
      <c r="BD179" s="6" t="s">
        <v>163</v>
      </c>
      <c r="BF179" s="6" t="s">
        <v>163</v>
      </c>
      <c r="BG179" s="6" t="s">
        <v>163</v>
      </c>
      <c r="BH179" s="6" t="s">
        <v>2196</v>
      </c>
      <c r="BK179" s="6" t="s">
        <v>163</v>
      </c>
      <c r="BL179" s="6" t="s">
        <v>163</v>
      </c>
      <c r="BM179" s="6" t="s">
        <v>163</v>
      </c>
      <c r="BN179" s="6" t="s">
        <v>163</v>
      </c>
      <c r="BO179" s="6" t="s">
        <v>163</v>
      </c>
      <c r="BP179" s="6" t="s">
        <v>244</v>
      </c>
      <c r="BQ179" s="0" t="n">
        <v>40.744774</v>
      </c>
      <c r="BR179" s="0" t="n">
        <v>-73.984932</v>
      </c>
      <c r="BS179" s="6" t="s">
        <v>168</v>
      </c>
      <c r="BT179" s="0" t="n">
        <v>0</v>
      </c>
      <c r="BU179" s="6" t="s">
        <v>3055</v>
      </c>
      <c r="BV179" s="6" t="s">
        <v>3056</v>
      </c>
      <c r="BW179" s="6" t="s">
        <v>3072</v>
      </c>
      <c r="BX179" s="6" t="s">
        <v>3073</v>
      </c>
      <c r="BY179" s="6" t="s">
        <v>248</v>
      </c>
      <c r="CC179" s="6" t="s">
        <v>739</v>
      </c>
      <c r="CE179" s="6" t="s">
        <v>162</v>
      </c>
      <c r="CH179" s="6" t="s">
        <v>163</v>
      </c>
      <c r="CJ179" s="6" t="s">
        <v>163</v>
      </c>
      <c r="CK179" s="6" t="s">
        <v>162</v>
      </c>
      <c r="CL179" s="6" t="s">
        <v>163</v>
      </c>
      <c r="CO179" s="6" t="s">
        <v>163</v>
      </c>
      <c r="CQ179" s="6" t="s">
        <v>2197</v>
      </c>
      <c r="CR179" s="6" t="s">
        <v>206</v>
      </c>
      <c r="CS179" s="6" t="s">
        <v>163</v>
      </c>
      <c r="CT179" s="0" t="n">
        <v>29</v>
      </c>
      <c r="CU179" s="0" t="n">
        <v>7</v>
      </c>
      <c r="CV179" s="0" t="n">
        <v>8</v>
      </c>
      <c r="CW179" s="0" t="n">
        <v>6</v>
      </c>
      <c r="CX179" s="0" t="n">
        <v>8</v>
      </c>
      <c r="CY179" s="6" t="n">
        <f aca="false">IF(AH179="exact",10,IF(AH179="adjacent",5,0))</f>
        <v>0</v>
      </c>
      <c r="CZ179" s="6" t="n">
        <f aca="false">IF(R179="Y",15,0)</f>
        <v>0</v>
      </c>
      <c r="DF179" s="6" t="s">
        <v>158</v>
      </c>
      <c r="DG179" s="6" t="s">
        <v>211</v>
      </c>
      <c r="DJ179" s="6" t="s">
        <v>3058</v>
      </c>
      <c r="DK179" s="6" t="s">
        <v>3076</v>
      </c>
      <c r="DS179" s="6" t="s">
        <v>158</v>
      </c>
      <c r="DX179" s="6" t="s">
        <v>162</v>
      </c>
      <c r="ER179" s="0" t="str">
        <f aca="false">IF(ISNUMBER(MATCH(U179,{"queued","contacted","replied","call_booked","call_done","yes_in_principle","materials_sent"},0)),"Y","N")</f>
        <v>N</v>
      </c>
      <c r="ES179" s="0" t="str">
        <f aca="false">IF(COUNTIFS($AP$2:$AP$1000,AP179,$ER$2:$ER$1000,"Y")+COUNTIFS($AP$2:$AP$1000,AP179,$T$2:$T$1000,"Y")&gt;0,"Y","N")</f>
        <v>N</v>
      </c>
      <c r="ET179" s="0" t="str">
        <f aca="false">IF(AND(U179="new",T179="N",AT179="Y",AS179="",ES179="N"),"Y","N")</f>
        <v>N</v>
      </c>
      <c r="EU179" s="0" t="str">
        <f aca="false">IF(ET179&lt;&gt;"Y","N",IF(COUNTIFS($AP$2:$AP$1000,AP179,$ET$2:$ET$1000,"Y",$J$2:$J$1000,"&gt;"&amp;J179)+COUNTIFS($AP$2:$AP$1000,AP179,$ET$2:$ET$1000,"Y",$J$2:$J$1000,J179,$EW$2:$EW$1000,"&lt;"&amp;EW179)=0,"Y","N"))</f>
        <v>N</v>
      </c>
      <c r="EV179" s="0" t="str">
        <f aca="false">IF(Y179="","N",IF(Y179&lt;=10,"Y","N"))</f>
        <v>N</v>
      </c>
      <c r="EW179" s="6" t="n">
        <f aca="false">ROW()-1</f>
        <v>178</v>
      </c>
    </row>
    <row r="180" customFormat="false" ht="15" hidden="false" customHeight="false" outlineLevel="0" collapsed="false">
      <c r="A180" s="0" t="s">
        <v>3077</v>
      </c>
      <c r="B180" s="0" t="s">
        <v>3078</v>
      </c>
      <c r="H180" s="5" t="s">
        <v>158</v>
      </c>
      <c r="I180" s="5" t="s">
        <v>159</v>
      </c>
      <c r="J180" s="6" t="n">
        <f aca="false">IF(AX180="pass",ROUND(CU180+CV180+CW180+CX180+CY180+CZ180,1),0)</f>
        <v>29</v>
      </c>
      <c r="K180" s="6" t="s">
        <v>3049</v>
      </c>
      <c r="L180" s="6" t="s">
        <v>163</v>
      </c>
      <c r="R180" s="5" t="s">
        <v>162</v>
      </c>
      <c r="S180" s="6" t="s">
        <v>163</v>
      </c>
      <c r="T180" s="5" t="s">
        <v>162</v>
      </c>
      <c r="U180" s="5" t="s">
        <v>228</v>
      </c>
      <c r="V180" s="6" t="s">
        <v>3079</v>
      </c>
      <c r="W180" s="6" t="s">
        <v>166</v>
      </c>
      <c r="X180" s="6" t="s">
        <v>167</v>
      </c>
      <c r="Y180" s="0" t="str">
        <f aca="false">IF(EU180&lt;&gt;"Y","",COUNTIFS($EU$2:$EU$1000,"Y",$J$2:$J$1000,"&gt;"&amp;J180)+COUNTIFS($EU$2:$EU$1000,"Y",$J$2:$J$1000,J180,$EW$2:$EW$1000,"&lt;"&amp;EW180)+1)</f>
        <v/>
      </c>
      <c r="Z180" s="0" t="n">
        <v>179</v>
      </c>
      <c r="AA180" s="6" t="s">
        <v>162</v>
      </c>
      <c r="AD180" s="6" t="s">
        <v>158</v>
      </c>
      <c r="AH180" s="5" t="s">
        <v>158</v>
      </c>
      <c r="AI180" s="6" t="s">
        <v>3080</v>
      </c>
      <c r="AJ180" s="6" t="s">
        <v>163</v>
      </c>
      <c r="AK180" s="6" t="s">
        <v>435</v>
      </c>
      <c r="AL180" s="6" t="s">
        <v>163</v>
      </c>
      <c r="AM180" s="6" t="s">
        <v>163</v>
      </c>
      <c r="AN180" s="6" t="s">
        <v>158</v>
      </c>
      <c r="AO180" s="6" t="s">
        <v>163</v>
      </c>
      <c r="AP180" s="6" t="s">
        <v>3077</v>
      </c>
      <c r="AQ180" s="5" t="s">
        <v>162</v>
      </c>
      <c r="AT180" s="0" t="str">
        <f aca="false">IF(AND(AX180="pass",AQ180&lt;&gt;"Y",C180&lt;&gt;"",OR(AW180&lt;&gt;"Y",AV180="Y")),"Y","N")</f>
        <v>N</v>
      </c>
      <c r="AU180" s="0" t="str">
        <f aca="false">_xlfn.TEXTJOIN("; ",TRUE(),IF(AX180&lt;&gt;"pass","gated out",""),IF(AQ180="Y","on hold: "&amp;AR180,""),IF(C180="","no contact named on an opened page",""),IF(AND(AW180="Y",AV180&lt;&gt;"Y"),"Tuesday estimate band "&amp;L180&amp;": founder's call",""))</f>
        <v>no contact named on an opened page</v>
      </c>
      <c r="AW180" s="6" t="s">
        <v>162</v>
      </c>
      <c r="AX180" s="6" t="s">
        <v>181</v>
      </c>
      <c r="AY180" s="6" t="s">
        <v>182</v>
      </c>
      <c r="AZ180" s="6" t="s">
        <v>1</v>
      </c>
      <c r="BA180" s="6" t="s">
        <v>3081</v>
      </c>
      <c r="BB180" s="6" t="s">
        <v>163</v>
      </c>
      <c r="BC180" s="6" t="s">
        <v>3082</v>
      </c>
      <c r="BD180" s="6" t="s">
        <v>163</v>
      </c>
      <c r="BF180" s="6" t="s">
        <v>163</v>
      </c>
      <c r="BG180" s="6" t="s">
        <v>163</v>
      </c>
      <c r="BH180" s="6" t="s">
        <v>2196</v>
      </c>
      <c r="BK180" s="6" t="s">
        <v>163</v>
      </c>
      <c r="BL180" s="6" t="s">
        <v>163</v>
      </c>
      <c r="BM180" s="6" t="s">
        <v>163</v>
      </c>
      <c r="BN180" s="6" t="s">
        <v>163</v>
      </c>
      <c r="BO180" s="6" t="s">
        <v>163</v>
      </c>
      <c r="BP180" s="6" t="s">
        <v>347</v>
      </c>
      <c r="BQ180" s="0" t="n">
        <v>40.740407</v>
      </c>
      <c r="BR180" s="0" t="n">
        <v>-73.990193</v>
      </c>
      <c r="BS180" s="6" t="s">
        <v>168</v>
      </c>
      <c r="BT180" s="0" t="n">
        <v>0</v>
      </c>
      <c r="BU180" s="6" t="s">
        <v>3083</v>
      </c>
      <c r="BV180" s="6" t="s">
        <v>3080</v>
      </c>
      <c r="BW180" s="6" t="s">
        <v>3079</v>
      </c>
      <c r="BX180" s="6" t="s">
        <v>3084</v>
      </c>
      <c r="BY180" s="6" t="s">
        <v>248</v>
      </c>
      <c r="CC180" s="6" t="s">
        <v>739</v>
      </c>
      <c r="CE180" s="6" t="s">
        <v>162</v>
      </c>
      <c r="CH180" s="6" t="s">
        <v>163</v>
      </c>
      <c r="CJ180" s="6" t="s">
        <v>163</v>
      </c>
      <c r="CK180" s="6" t="s">
        <v>162</v>
      </c>
      <c r="CL180" s="6" t="s">
        <v>163</v>
      </c>
      <c r="CO180" s="6" t="s">
        <v>163</v>
      </c>
      <c r="CQ180" s="6" t="s">
        <v>2197</v>
      </c>
      <c r="CR180" s="6" t="s">
        <v>206</v>
      </c>
      <c r="CS180" s="6" t="s">
        <v>163</v>
      </c>
      <c r="CT180" s="0" t="n">
        <v>29</v>
      </c>
      <c r="CU180" s="0" t="n">
        <v>7</v>
      </c>
      <c r="CV180" s="0" t="n">
        <v>8</v>
      </c>
      <c r="CW180" s="0" t="n">
        <v>6</v>
      </c>
      <c r="CX180" s="0" t="n">
        <v>8</v>
      </c>
      <c r="CY180" s="6" t="n">
        <f aca="false">IF(AH180="exact",10,IF(AH180="adjacent",5,0))</f>
        <v>0</v>
      </c>
      <c r="CZ180" s="6" t="n">
        <f aca="false">IF(R180="Y",15,0)</f>
        <v>0</v>
      </c>
      <c r="DF180" s="6" t="s">
        <v>158</v>
      </c>
      <c r="DG180" s="6" t="s">
        <v>211</v>
      </c>
      <c r="DJ180" s="6" t="s">
        <v>2021</v>
      </c>
      <c r="DK180" s="6" t="s">
        <v>3085</v>
      </c>
      <c r="DS180" s="6" t="s">
        <v>158</v>
      </c>
      <c r="DX180" s="6" t="s">
        <v>162</v>
      </c>
      <c r="ER180" s="0" t="str">
        <f aca="false">IF(ISNUMBER(MATCH(U180,{"queued","contacted","replied","call_booked","call_done","yes_in_principle","materials_sent"},0)),"Y","N")</f>
        <v>N</v>
      </c>
      <c r="ES180" s="0" t="str">
        <f aca="false">IF(COUNTIFS($AP$2:$AP$1000,AP180,$ER$2:$ER$1000,"Y")+COUNTIFS($AP$2:$AP$1000,AP180,$T$2:$T$1000,"Y")&gt;0,"Y","N")</f>
        <v>N</v>
      </c>
      <c r="ET180" s="0" t="str">
        <f aca="false">IF(AND(U180="new",T180="N",AT180="Y",AS180="",ES180="N"),"Y","N")</f>
        <v>N</v>
      </c>
      <c r="EU180" s="0" t="str">
        <f aca="false">IF(ET180&lt;&gt;"Y","N",IF(COUNTIFS($AP$2:$AP$1000,AP180,$ET$2:$ET$1000,"Y",$J$2:$J$1000,"&gt;"&amp;J180)+COUNTIFS($AP$2:$AP$1000,AP180,$ET$2:$ET$1000,"Y",$J$2:$J$1000,J180,$EW$2:$EW$1000,"&lt;"&amp;EW180)=0,"Y","N"))</f>
        <v>N</v>
      </c>
      <c r="EV180" s="0" t="str">
        <f aca="false">IF(Y180="","N",IF(Y180&lt;=10,"Y","N"))</f>
        <v>N</v>
      </c>
      <c r="EW180" s="6" t="n">
        <f aca="false">ROW()-1</f>
        <v>179</v>
      </c>
    </row>
    <row r="181" customFormat="false" ht="15" hidden="false" customHeight="false" outlineLevel="0" collapsed="false">
      <c r="A181" s="0" t="s">
        <v>3086</v>
      </c>
      <c r="B181" s="0" t="s">
        <v>3087</v>
      </c>
      <c r="H181" s="5" t="s">
        <v>158</v>
      </c>
      <c r="I181" s="5" t="s">
        <v>159</v>
      </c>
      <c r="J181" s="6" t="n">
        <f aca="false">IF(AX181="pass",ROUND(CU181+CV181+CW181+CX181+CY181+CZ181,1),0)</f>
        <v>29</v>
      </c>
      <c r="K181" s="6" t="s">
        <v>3049</v>
      </c>
      <c r="L181" s="6" t="s">
        <v>163</v>
      </c>
      <c r="R181" s="5" t="s">
        <v>162</v>
      </c>
      <c r="S181" s="6" t="s">
        <v>163</v>
      </c>
      <c r="T181" s="5" t="s">
        <v>162</v>
      </c>
      <c r="U181" s="5" t="s">
        <v>228</v>
      </c>
      <c r="V181" s="6" t="s">
        <v>482</v>
      </c>
      <c r="W181" s="6" t="s">
        <v>166</v>
      </c>
      <c r="X181" s="6" t="s">
        <v>167</v>
      </c>
      <c r="Y181" s="0" t="str">
        <f aca="false">IF(EU181&lt;&gt;"Y","",COUNTIFS($EU$2:$EU$1000,"Y",$J$2:$J$1000,"&gt;"&amp;J181)+COUNTIFS($EU$2:$EU$1000,"Y",$J$2:$J$1000,J181,$EW$2:$EW$1000,"&lt;"&amp;EW181)+1)</f>
        <v/>
      </c>
      <c r="Z181" s="0" t="n">
        <v>180</v>
      </c>
      <c r="AA181" s="6" t="s">
        <v>162</v>
      </c>
      <c r="AD181" s="6" t="s">
        <v>158</v>
      </c>
      <c r="AH181" s="5" t="s">
        <v>158</v>
      </c>
      <c r="AI181" s="6" t="s">
        <v>471</v>
      </c>
      <c r="AJ181" s="6" t="s">
        <v>3088</v>
      </c>
      <c r="AK181" s="6" t="s">
        <v>435</v>
      </c>
      <c r="AL181" s="6" t="s">
        <v>163</v>
      </c>
      <c r="AM181" s="6" t="s">
        <v>163</v>
      </c>
      <c r="AN181" s="6" t="s">
        <v>158</v>
      </c>
      <c r="AO181" s="6" t="s">
        <v>163</v>
      </c>
      <c r="AP181" s="6" t="s">
        <v>3086</v>
      </c>
      <c r="AQ181" s="5" t="s">
        <v>162</v>
      </c>
      <c r="AT181" s="0" t="str">
        <f aca="false">IF(AND(AX181="pass",AQ181&lt;&gt;"Y",C181&lt;&gt;"",OR(AW181&lt;&gt;"Y",AV181="Y")),"Y","N")</f>
        <v>N</v>
      </c>
      <c r="AU181" s="0" t="str">
        <f aca="false">_xlfn.TEXTJOIN("; ",TRUE(),IF(AX181&lt;&gt;"pass","gated out",""),IF(AQ181="Y","on hold: "&amp;AR181,""),IF(C181="","no contact named on an opened page",""),IF(AND(AW181="Y",AV181&lt;&gt;"Y"),"Tuesday estimate band "&amp;L181&amp;": founder's call",""))</f>
        <v>no contact named on an opened page</v>
      </c>
      <c r="AW181" s="6" t="s">
        <v>162</v>
      </c>
      <c r="AX181" s="6" t="s">
        <v>181</v>
      </c>
      <c r="AY181" s="6" t="s">
        <v>182</v>
      </c>
      <c r="AZ181" s="6" t="s">
        <v>1</v>
      </c>
      <c r="BA181" s="6" t="s">
        <v>3089</v>
      </c>
      <c r="BB181" s="6" t="s">
        <v>163</v>
      </c>
      <c r="BC181" s="6" t="s">
        <v>3090</v>
      </c>
      <c r="BD181" s="6" t="s">
        <v>163</v>
      </c>
      <c r="BF181" s="6" t="s">
        <v>163</v>
      </c>
      <c r="BG181" s="6" t="s">
        <v>163</v>
      </c>
      <c r="BH181" s="6" t="s">
        <v>2196</v>
      </c>
      <c r="BK181" s="6" t="s">
        <v>163</v>
      </c>
      <c r="BL181" s="6" t="s">
        <v>163</v>
      </c>
      <c r="BM181" s="6" t="s">
        <v>163</v>
      </c>
      <c r="BN181" s="6" t="s">
        <v>163</v>
      </c>
      <c r="BO181" s="6" t="s">
        <v>163</v>
      </c>
      <c r="BP181" s="6" t="s">
        <v>347</v>
      </c>
      <c r="BQ181" s="0" t="n">
        <v>40.739819</v>
      </c>
      <c r="BR181" s="0" t="n">
        <v>-73.986885</v>
      </c>
      <c r="BS181" s="6" t="s">
        <v>168</v>
      </c>
      <c r="BT181" s="0" t="n">
        <v>0</v>
      </c>
      <c r="BU181" s="6" t="s">
        <v>480</v>
      </c>
      <c r="BV181" s="6" t="s">
        <v>481</v>
      </c>
      <c r="BW181" s="6" t="s">
        <v>482</v>
      </c>
      <c r="BX181" s="6" t="s">
        <v>483</v>
      </c>
      <c r="BY181" s="6" t="s">
        <v>248</v>
      </c>
      <c r="BZ181" s="6" t="s">
        <v>3091</v>
      </c>
      <c r="CA181" s="6" t="s">
        <v>2922</v>
      </c>
      <c r="CC181" s="6" t="s">
        <v>739</v>
      </c>
      <c r="CE181" s="6" t="s">
        <v>162</v>
      </c>
      <c r="CH181" s="6" t="s">
        <v>201</v>
      </c>
      <c r="CI181" s="6" t="s">
        <v>484</v>
      </c>
      <c r="CJ181" s="6" t="s">
        <v>163</v>
      </c>
      <c r="CK181" s="6" t="s">
        <v>162</v>
      </c>
      <c r="CL181" s="6" t="s">
        <v>163</v>
      </c>
      <c r="CO181" s="6" t="s">
        <v>163</v>
      </c>
      <c r="CQ181" s="6" t="s">
        <v>2197</v>
      </c>
      <c r="CR181" s="6" t="s">
        <v>206</v>
      </c>
      <c r="CS181" s="6" t="s">
        <v>163</v>
      </c>
      <c r="CT181" s="0" t="n">
        <v>29</v>
      </c>
      <c r="CU181" s="0" t="n">
        <v>7</v>
      </c>
      <c r="CV181" s="0" t="n">
        <v>8</v>
      </c>
      <c r="CW181" s="0" t="n">
        <v>6</v>
      </c>
      <c r="CX181" s="0" t="n">
        <v>8</v>
      </c>
      <c r="CY181" s="6" t="n">
        <f aca="false">IF(AH181="exact",10,IF(AH181="adjacent",5,0))</f>
        <v>0</v>
      </c>
      <c r="CZ181" s="6" t="n">
        <f aca="false">IF(R181="Y",15,0)</f>
        <v>0</v>
      </c>
      <c r="DF181" s="6" t="s">
        <v>158</v>
      </c>
      <c r="DG181" s="6" t="s">
        <v>211</v>
      </c>
      <c r="DJ181" s="6" t="s">
        <v>3092</v>
      </c>
      <c r="DK181" s="6" t="s">
        <v>3093</v>
      </c>
      <c r="DS181" s="6" t="s">
        <v>158</v>
      </c>
      <c r="DX181" s="6" t="s">
        <v>162</v>
      </c>
      <c r="ER181" s="0" t="str">
        <f aca="false">IF(ISNUMBER(MATCH(U181,{"queued","contacted","replied","call_booked","call_done","yes_in_principle","materials_sent"},0)),"Y","N")</f>
        <v>N</v>
      </c>
      <c r="ES181" s="0" t="str">
        <f aca="false">IF(COUNTIFS($AP$2:$AP$1000,AP181,$ER$2:$ER$1000,"Y")+COUNTIFS($AP$2:$AP$1000,AP181,$T$2:$T$1000,"Y")&gt;0,"Y","N")</f>
        <v>N</v>
      </c>
      <c r="ET181" s="0" t="str">
        <f aca="false">IF(AND(U181="new",T181="N",AT181="Y",AS181="",ES181="N"),"Y","N")</f>
        <v>N</v>
      </c>
      <c r="EU181" s="0" t="str">
        <f aca="false">IF(ET181&lt;&gt;"Y","N",IF(COUNTIFS($AP$2:$AP$1000,AP181,$ET$2:$ET$1000,"Y",$J$2:$J$1000,"&gt;"&amp;J181)+COUNTIFS($AP$2:$AP$1000,AP181,$ET$2:$ET$1000,"Y",$J$2:$J$1000,J181,$EW$2:$EW$1000,"&lt;"&amp;EW181)=0,"Y","N"))</f>
        <v>N</v>
      </c>
      <c r="EV181" s="0" t="str">
        <f aca="false">IF(Y181="","N",IF(Y181&lt;=10,"Y","N"))</f>
        <v>N</v>
      </c>
      <c r="EW181" s="6" t="n">
        <f aca="false">ROW()-1</f>
        <v>180</v>
      </c>
    </row>
    <row r="182" customFormat="false" ht="15" hidden="false" customHeight="false" outlineLevel="0" collapsed="false">
      <c r="A182" s="0" t="s">
        <v>3094</v>
      </c>
      <c r="B182" s="0" t="s">
        <v>3095</v>
      </c>
      <c r="H182" s="5" t="s">
        <v>158</v>
      </c>
      <c r="I182" s="5" t="s">
        <v>159</v>
      </c>
      <c r="J182" s="6" t="n">
        <f aca="false">IF(AX182="pass",ROUND(CU182+CV182+CW182+CX182+CY182+CZ182,1),0)</f>
        <v>29</v>
      </c>
      <c r="K182" s="6" t="s">
        <v>3049</v>
      </c>
      <c r="L182" s="6" t="s">
        <v>163</v>
      </c>
      <c r="R182" s="5" t="s">
        <v>162</v>
      </c>
      <c r="S182" s="6" t="s">
        <v>163</v>
      </c>
      <c r="T182" s="5" t="s">
        <v>162</v>
      </c>
      <c r="U182" s="5" t="s">
        <v>228</v>
      </c>
      <c r="V182" s="6" t="s">
        <v>2609</v>
      </c>
      <c r="W182" s="6" t="s">
        <v>166</v>
      </c>
      <c r="X182" s="6" t="s">
        <v>167</v>
      </c>
      <c r="Y182" s="0" t="str">
        <f aca="false">IF(EU182&lt;&gt;"Y","",COUNTIFS($EU$2:$EU$1000,"Y",$J$2:$J$1000,"&gt;"&amp;J182)+COUNTIFS($EU$2:$EU$1000,"Y",$J$2:$J$1000,J182,$EW$2:$EW$1000,"&lt;"&amp;EW182)+1)</f>
        <v/>
      </c>
      <c r="Z182" s="0" t="n">
        <v>181</v>
      </c>
      <c r="AA182" s="6" t="s">
        <v>162</v>
      </c>
      <c r="AD182" s="6" t="s">
        <v>158</v>
      </c>
      <c r="AH182" s="5" t="s">
        <v>158</v>
      </c>
      <c r="AI182" s="6" t="s">
        <v>2610</v>
      </c>
      <c r="AJ182" s="6" t="s">
        <v>163</v>
      </c>
      <c r="AK182" s="6" t="s">
        <v>435</v>
      </c>
      <c r="AL182" s="6" t="s">
        <v>163</v>
      </c>
      <c r="AM182" s="6" t="s">
        <v>163</v>
      </c>
      <c r="AN182" s="6" t="s">
        <v>158</v>
      </c>
      <c r="AO182" s="6" t="s">
        <v>163</v>
      </c>
      <c r="AP182" s="6" t="s">
        <v>3094</v>
      </c>
      <c r="AQ182" s="5" t="s">
        <v>162</v>
      </c>
      <c r="AT182" s="0" t="str">
        <f aca="false">IF(AND(AX182="pass",AQ182&lt;&gt;"Y",C182&lt;&gt;"",OR(AW182&lt;&gt;"Y",AV182="Y")),"Y","N")</f>
        <v>N</v>
      </c>
      <c r="AU182" s="0" t="str">
        <f aca="false">_xlfn.TEXTJOIN("; ",TRUE(),IF(AX182&lt;&gt;"pass","gated out",""),IF(AQ182="Y","on hold: "&amp;AR182,""),IF(C182="","no contact named on an opened page",""),IF(AND(AW182="Y",AV182&lt;&gt;"Y"),"Tuesday estimate band "&amp;L182&amp;": founder's call",""))</f>
        <v>no contact named on an opened page</v>
      </c>
      <c r="AW182" s="6" t="s">
        <v>162</v>
      </c>
      <c r="AX182" s="6" t="s">
        <v>181</v>
      </c>
      <c r="AY182" s="6" t="s">
        <v>182</v>
      </c>
      <c r="AZ182" s="6" t="s">
        <v>1</v>
      </c>
      <c r="BA182" s="6" t="s">
        <v>3096</v>
      </c>
      <c r="BB182" s="6" t="s">
        <v>163</v>
      </c>
      <c r="BC182" s="6" t="s">
        <v>3097</v>
      </c>
      <c r="BD182" s="6" t="s">
        <v>163</v>
      </c>
      <c r="BF182" s="6" t="s">
        <v>163</v>
      </c>
      <c r="BG182" s="6" t="s">
        <v>163</v>
      </c>
      <c r="BH182" s="6" t="s">
        <v>2196</v>
      </c>
      <c r="BK182" s="6" t="s">
        <v>163</v>
      </c>
      <c r="BL182" s="6" t="s">
        <v>163</v>
      </c>
      <c r="BM182" s="6" t="s">
        <v>163</v>
      </c>
      <c r="BN182" s="6" t="s">
        <v>163</v>
      </c>
      <c r="BO182" s="6" t="s">
        <v>163</v>
      </c>
      <c r="BP182" s="6" t="s">
        <v>378</v>
      </c>
      <c r="BQ182" s="0" t="n">
        <v>40.738186</v>
      </c>
      <c r="BR182" s="0" t="n">
        <v>-73.992429</v>
      </c>
      <c r="BS182" s="6" t="s">
        <v>168</v>
      </c>
      <c r="BT182" s="0" t="n">
        <v>0</v>
      </c>
      <c r="BU182" s="6" t="s">
        <v>2613</v>
      </c>
      <c r="BV182" s="6" t="s">
        <v>2610</v>
      </c>
      <c r="BW182" s="6" t="s">
        <v>2609</v>
      </c>
      <c r="BX182" s="6" t="s">
        <v>2614</v>
      </c>
      <c r="BY182" s="6" t="s">
        <v>248</v>
      </c>
      <c r="CC182" s="6" t="s">
        <v>739</v>
      </c>
      <c r="CE182" s="6" t="s">
        <v>162</v>
      </c>
      <c r="CH182" s="6" t="s">
        <v>163</v>
      </c>
      <c r="CJ182" s="6" t="s">
        <v>163</v>
      </c>
      <c r="CK182" s="6" t="s">
        <v>162</v>
      </c>
      <c r="CL182" s="6" t="s">
        <v>163</v>
      </c>
      <c r="CO182" s="6" t="s">
        <v>163</v>
      </c>
      <c r="CQ182" s="6" t="s">
        <v>2197</v>
      </c>
      <c r="CR182" s="6" t="s">
        <v>206</v>
      </c>
      <c r="CS182" s="6" t="s">
        <v>163</v>
      </c>
      <c r="CT182" s="0" t="n">
        <v>29</v>
      </c>
      <c r="CU182" s="0" t="n">
        <v>7</v>
      </c>
      <c r="CV182" s="0" t="n">
        <v>8</v>
      </c>
      <c r="CW182" s="0" t="n">
        <v>6</v>
      </c>
      <c r="CX182" s="0" t="n">
        <v>8</v>
      </c>
      <c r="CY182" s="6" t="n">
        <f aca="false">IF(AH182="exact",10,IF(AH182="adjacent",5,0))</f>
        <v>0</v>
      </c>
      <c r="CZ182" s="6" t="n">
        <f aca="false">IF(R182="Y",15,0)</f>
        <v>0</v>
      </c>
      <c r="DF182" s="6" t="s">
        <v>158</v>
      </c>
      <c r="DG182" s="6" t="s">
        <v>211</v>
      </c>
      <c r="DJ182" s="6" t="s">
        <v>2958</v>
      </c>
      <c r="DK182" s="6" t="s">
        <v>3098</v>
      </c>
      <c r="DS182" s="6" t="s">
        <v>158</v>
      </c>
      <c r="DX182" s="6" t="s">
        <v>162</v>
      </c>
      <c r="ER182" s="0" t="str">
        <f aca="false">IF(ISNUMBER(MATCH(U182,{"queued","contacted","replied","call_booked","call_done","yes_in_principle","materials_sent"},0)),"Y","N")</f>
        <v>N</v>
      </c>
      <c r="ES182" s="0" t="str">
        <f aca="false">IF(COUNTIFS($AP$2:$AP$1000,AP182,$ER$2:$ER$1000,"Y")+COUNTIFS($AP$2:$AP$1000,AP182,$T$2:$T$1000,"Y")&gt;0,"Y","N")</f>
        <v>N</v>
      </c>
      <c r="ET182" s="0" t="str">
        <f aca="false">IF(AND(U182="new",T182="N",AT182="Y",AS182="",ES182="N"),"Y","N")</f>
        <v>N</v>
      </c>
      <c r="EU182" s="0" t="str">
        <f aca="false">IF(ET182&lt;&gt;"Y","N",IF(COUNTIFS($AP$2:$AP$1000,AP182,$ET$2:$ET$1000,"Y",$J$2:$J$1000,"&gt;"&amp;J182)+COUNTIFS($AP$2:$AP$1000,AP182,$ET$2:$ET$1000,"Y",$J$2:$J$1000,J182,$EW$2:$EW$1000,"&lt;"&amp;EW182)=0,"Y","N"))</f>
        <v>N</v>
      </c>
      <c r="EV182" s="0" t="str">
        <f aca="false">IF(Y182="","N",IF(Y182&lt;=10,"Y","N"))</f>
        <v>N</v>
      </c>
      <c r="EW182" s="6" t="n">
        <f aca="false">ROW()-1</f>
        <v>181</v>
      </c>
    </row>
    <row r="183" customFormat="false" ht="15" hidden="false" customHeight="false" outlineLevel="0" collapsed="false">
      <c r="A183" s="0" t="s">
        <v>3099</v>
      </c>
      <c r="B183" s="0" t="s">
        <v>3100</v>
      </c>
      <c r="H183" s="5" t="s">
        <v>158</v>
      </c>
      <c r="I183" s="5" t="s">
        <v>159</v>
      </c>
      <c r="J183" s="6" t="n">
        <f aca="false">IF(AX183="pass",ROUND(CU183+CV183+CW183+CX183+CY183+CZ183,1),0)</f>
        <v>29</v>
      </c>
      <c r="K183" s="6" t="s">
        <v>3049</v>
      </c>
      <c r="L183" s="6" t="s">
        <v>163</v>
      </c>
      <c r="O183" s="6" t="s">
        <v>3101</v>
      </c>
      <c r="P183" s="6" t="s">
        <v>3102</v>
      </c>
      <c r="Q183" s="6" t="s">
        <v>3103</v>
      </c>
      <c r="R183" s="5" t="s">
        <v>162</v>
      </c>
      <c r="S183" s="6" t="s">
        <v>163</v>
      </c>
      <c r="T183" s="5" t="s">
        <v>162</v>
      </c>
      <c r="U183" s="5" t="s">
        <v>228</v>
      </c>
      <c r="V183" s="6" t="s">
        <v>3102</v>
      </c>
      <c r="W183" s="6" t="s">
        <v>166</v>
      </c>
      <c r="X183" s="6" t="s">
        <v>167</v>
      </c>
      <c r="Y183" s="0" t="str">
        <f aca="false">IF(EU183&lt;&gt;"Y","",COUNTIFS($EU$2:$EU$1000,"Y",$J$2:$J$1000,"&gt;"&amp;J183)+COUNTIFS($EU$2:$EU$1000,"Y",$J$2:$J$1000,J183,$EW$2:$EW$1000,"&lt;"&amp;EW183)+1)</f>
        <v/>
      </c>
      <c r="Z183" s="0" t="n">
        <v>182</v>
      </c>
      <c r="AA183" s="6" t="s">
        <v>162</v>
      </c>
      <c r="AD183" s="6" t="s">
        <v>158</v>
      </c>
      <c r="AH183" s="5" t="s">
        <v>158</v>
      </c>
      <c r="AI183" s="6" t="s">
        <v>1433</v>
      </c>
      <c r="AJ183" s="6" t="s">
        <v>1258</v>
      </c>
      <c r="AK183" s="6" t="s">
        <v>435</v>
      </c>
      <c r="AL183" s="6" t="s">
        <v>163</v>
      </c>
      <c r="AM183" s="6" t="s">
        <v>163</v>
      </c>
      <c r="AN183" s="6" t="s">
        <v>158</v>
      </c>
      <c r="AO183" s="6" t="s">
        <v>163</v>
      </c>
      <c r="AP183" s="6" t="s">
        <v>3099</v>
      </c>
      <c r="AQ183" s="5" t="s">
        <v>162</v>
      </c>
      <c r="AT183" s="0" t="str">
        <f aca="false">IF(AND(AX183="pass",AQ183&lt;&gt;"Y",C183&lt;&gt;"",OR(AW183&lt;&gt;"Y",AV183="Y")),"Y","N")</f>
        <v>N</v>
      </c>
      <c r="AU183" s="0" t="str">
        <f aca="false">_xlfn.TEXTJOIN("; ",TRUE(),IF(AX183&lt;&gt;"pass","gated out",""),IF(AQ183="Y","on hold: "&amp;AR183,""),IF(C183="","no contact named on an opened page",""),IF(AND(AW183="Y",AV183&lt;&gt;"Y"),"Tuesday estimate band "&amp;L183&amp;": founder's call",""))</f>
        <v>no contact named on an opened page</v>
      </c>
      <c r="AW183" s="6" t="s">
        <v>162</v>
      </c>
      <c r="AX183" s="6" t="s">
        <v>181</v>
      </c>
      <c r="AY183" s="6" t="s">
        <v>182</v>
      </c>
      <c r="AZ183" s="6" t="s">
        <v>1</v>
      </c>
      <c r="BA183" s="6" t="s">
        <v>3104</v>
      </c>
      <c r="BB183" s="6" t="s">
        <v>3105</v>
      </c>
      <c r="BC183" s="6" t="s">
        <v>3106</v>
      </c>
      <c r="BD183" s="6" t="s">
        <v>163</v>
      </c>
      <c r="BF183" s="6" t="s">
        <v>163</v>
      </c>
      <c r="BG183" s="6" t="s">
        <v>163</v>
      </c>
      <c r="BH183" s="6" t="s">
        <v>2196</v>
      </c>
      <c r="BK183" s="6" t="s">
        <v>163</v>
      </c>
      <c r="BL183" s="6" t="s">
        <v>163</v>
      </c>
      <c r="BM183" s="6" t="s">
        <v>163</v>
      </c>
      <c r="BN183" s="6" t="s">
        <v>163</v>
      </c>
      <c r="BO183" s="6" t="s">
        <v>163</v>
      </c>
      <c r="BP183" s="6" t="s">
        <v>347</v>
      </c>
      <c r="BQ183" s="0" t="n">
        <v>40.739363</v>
      </c>
      <c r="BR183" s="0" t="n">
        <v>-73.989534</v>
      </c>
      <c r="BS183" s="6" t="s">
        <v>168</v>
      </c>
      <c r="BT183" s="0" t="n">
        <v>0</v>
      </c>
      <c r="BU183" s="6" t="s">
        <v>1442</v>
      </c>
      <c r="BV183" s="6" t="s">
        <v>1443</v>
      </c>
      <c r="BW183" s="6" t="s">
        <v>3102</v>
      </c>
      <c r="BX183" s="6" t="s">
        <v>3103</v>
      </c>
      <c r="BY183" s="6" t="s">
        <v>248</v>
      </c>
      <c r="CC183" s="6" t="s">
        <v>739</v>
      </c>
      <c r="CE183" s="6" t="s">
        <v>162</v>
      </c>
      <c r="CH183" s="6" t="s">
        <v>201</v>
      </c>
      <c r="CI183" s="6" t="s">
        <v>1445</v>
      </c>
      <c r="CJ183" s="6" t="s">
        <v>163</v>
      </c>
      <c r="CK183" s="6" t="s">
        <v>162</v>
      </c>
      <c r="CL183" s="6" t="s">
        <v>163</v>
      </c>
      <c r="CO183" s="6" t="s">
        <v>163</v>
      </c>
      <c r="CQ183" s="6" t="s">
        <v>2197</v>
      </c>
      <c r="CR183" s="6" t="s">
        <v>206</v>
      </c>
      <c r="CS183" s="6" t="s">
        <v>163</v>
      </c>
      <c r="CT183" s="0" t="n">
        <v>29</v>
      </c>
      <c r="CU183" s="0" t="n">
        <v>7</v>
      </c>
      <c r="CV183" s="0" t="n">
        <v>8</v>
      </c>
      <c r="CW183" s="0" t="n">
        <v>6</v>
      </c>
      <c r="CX183" s="0" t="n">
        <v>8</v>
      </c>
      <c r="CY183" s="6" t="n">
        <f aca="false">IF(AH183="exact",10,IF(AH183="adjacent",5,0))</f>
        <v>0</v>
      </c>
      <c r="CZ183" s="6" t="n">
        <f aca="false">IF(R183="Y",15,0)</f>
        <v>0</v>
      </c>
      <c r="DF183" s="6" t="s">
        <v>158</v>
      </c>
      <c r="DG183" s="6" t="s">
        <v>211</v>
      </c>
      <c r="DJ183" s="6" t="s">
        <v>3107</v>
      </c>
      <c r="DK183" s="6" t="s">
        <v>3108</v>
      </c>
      <c r="DS183" s="6" t="s">
        <v>158</v>
      </c>
      <c r="DX183" s="6" t="s">
        <v>162</v>
      </c>
      <c r="ER183" s="0" t="str">
        <f aca="false">IF(ISNUMBER(MATCH(U183,{"queued","contacted","replied","call_booked","call_done","yes_in_principle","materials_sent"},0)),"Y","N")</f>
        <v>N</v>
      </c>
      <c r="ES183" s="0" t="str">
        <f aca="false">IF(COUNTIFS($AP$2:$AP$1000,AP183,$ER$2:$ER$1000,"Y")+COUNTIFS($AP$2:$AP$1000,AP183,$T$2:$T$1000,"Y")&gt;0,"Y","N")</f>
        <v>N</v>
      </c>
      <c r="ET183" s="0" t="str">
        <f aca="false">IF(AND(U183="new",T183="N",AT183="Y",AS183="",ES183="N"),"Y","N")</f>
        <v>N</v>
      </c>
      <c r="EU183" s="0" t="str">
        <f aca="false">IF(ET183&lt;&gt;"Y","N",IF(COUNTIFS($AP$2:$AP$1000,AP183,$ET$2:$ET$1000,"Y",$J$2:$J$1000,"&gt;"&amp;J183)+COUNTIFS($AP$2:$AP$1000,AP183,$ET$2:$ET$1000,"Y",$J$2:$J$1000,J183,$EW$2:$EW$1000,"&lt;"&amp;EW183)=0,"Y","N"))</f>
        <v>N</v>
      </c>
      <c r="EV183" s="0" t="str">
        <f aca="false">IF(Y183="","N",IF(Y183&lt;=10,"Y","N"))</f>
        <v>N</v>
      </c>
      <c r="EW183" s="6" t="n">
        <f aca="false">ROW()-1</f>
        <v>182</v>
      </c>
    </row>
    <row r="184" customFormat="false" ht="15" hidden="false" customHeight="false" outlineLevel="0" collapsed="false">
      <c r="A184" s="0" t="s">
        <v>3109</v>
      </c>
      <c r="B184" s="0" t="s">
        <v>3110</v>
      </c>
      <c r="H184" s="5" t="s">
        <v>158</v>
      </c>
      <c r="I184" s="5" t="s">
        <v>159</v>
      </c>
      <c r="J184" s="6" t="n">
        <f aca="false">IF(AX184="pass",ROUND(CU184+CV184+CW184+CX184+CY184+CZ184,1),0)</f>
        <v>29</v>
      </c>
      <c r="K184" s="6" t="s">
        <v>3049</v>
      </c>
      <c r="L184" s="6" t="s">
        <v>163</v>
      </c>
      <c r="R184" s="5" t="s">
        <v>162</v>
      </c>
      <c r="S184" s="6" t="s">
        <v>163</v>
      </c>
      <c r="T184" s="5" t="s">
        <v>162</v>
      </c>
      <c r="U184" s="5" t="s">
        <v>228</v>
      </c>
      <c r="V184" s="6" t="s">
        <v>953</v>
      </c>
      <c r="W184" s="6" t="s">
        <v>166</v>
      </c>
      <c r="X184" s="6" t="s">
        <v>167</v>
      </c>
      <c r="Y184" s="0" t="str">
        <f aca="false">IF(EU184&lt;&gt;"Y","",COUNTIFS($EU$2:$EU$1000,"Y",$J$2:$J$1000,"&gt;"&amp;J184)+COUNTIFS($EU$2:$EU$1000,"Y",$J$2:$J$1000,J184,$EW$2:$EW$1000,"&lt;"&amp;EW184)+1)</f>
        <v/>
      </c>
      <c r="Z184" s="0" t="n">
        <v>183</v>
      </c>
      <c r="AA184" s="6" t="s">
        <v>162</v>
      </c>
      <c r="AD184" s="6" t="s">
        <v>158</v>
      </c>
      <c r="AH184" s="5" t="s">
        <v>158</v>
      </c>
      <c r="AI184" s="6" t="s">
        <v>957</v>
      </c>
      <c r="AJ184" s="6" t="s">
        <v>234</v>
      </c>
      <c r="AK184" s="6" t="s">
        <v>435</v>
      </c>
      <c r="AL184" s="6" t="s">
        <v>163</v>
      </c>
      <c r="AM184" s="6" t="s">
        <v>163</v>
      </c>
      <c r="AN184" s="6" t="s">
        <v>158</v>
      </c>
      <c r="AO184" s="6" t="s">
        <v>163</v>
      </c>
      <c r="AP184" s="6" t="s">
        <v>3109</v>
      </c>
      <c r="AQ184" s="5" t="s">
        <v>162</v>
      </c>
      <c r="AT184" s="0" t="str">
        <f aca="false">IF(AND(AX184="pass",AQ184&lt;&gt;"Y",C184&lt;&gt;"",OR(AW184&lt;&gt;"Y",AV184="Y")),"Y","N")</f>
        <v>N</v>
      </c>
      <c r="AU184" s="0" t="str">
        <f aca="false">_xlfn.TEXTJOIN("; ",TRUE(),IF(AX184&lt;&gt;"pass","gated out",""),IF(AQ184="Y","on hold: "&amp;AR184,""),IF(C184="","no contact named on an opened page",""),IF(AND(AW184="Y",AV184&lt;&gt;"Y"),"Tuesday estimate band "&amp;L184&amp;": founder's call",""))</f>
        <v>no contact named on an opened page</v>
      </c>
      <c r="AW184" s="6" t="s">
        <v>162</v>
      </c>
      <c r="AX184" s="6" t="s">
        <v>181</v>
      </c>
      <c r="AY184" s="6" t="s">
        <v>182</v>
      </c>
      <c r="AZ184" s="6" t="s">
        <v>1</v>
      </c>
      <c r="BA184" s="6" t="s">
        <v>3111</v>
      </c>
      <c r="BB184" s="6" t="s">
        <v>163</v>
      </c>
      <c r="BC184" s="6" t="s">
        <v>3112</v>
      </c>
      <c r="BD184" s="6" t="s">
        <v>163</v>
      </c>
      <c r="BF184" s="6" t="s">
        <v>163</v>
      </c>
      <c r="BG184" s="6" t="s">
        <v>163</v>
      </c>
      <c r="BH184" s="6" t="s">
        <v>2196</v>
      </c>
      <c r="BK184" s="6" t="s">
        <v>163</v>
      </c>
      <c r="BL184" s="6" t="s">
        <v>163</v>
      </c>
      <c r="BM184" s="6" t="s">
        <v>163</v>
      </c>
      <c r="BN184" s="6" t="s">
        <v>163</v>
      </c>
      <c r="BO184" s="6" t="s">
        <v>163</v>
      </c>
      <c r="BP184" s="6" t="s">
        <v>244</v>
      </c>
      <c r="BQ184" s="0" t="n">
        <v>40.74291</v>
      </c>
      <c r="BR184" s="0" t="n">
        <v>-73.984627</v>
      </c>
      <c r="BS184" s="6" t="s">
        <v>168</v>
      </c>
      <c r="BT184" s="0" t="n">
        <v>0</v>
      </c>
      <c r="BU184" s="6" t="s">
        <v>966</v>
      </c>
      <c r="BV184" s="6" t="s">
        <v>967</v>
      </c>
      <c r="BW184" s="6" t="s">
        <v>953</v>
      </c>
      <c r="BX184" s="6" t="s">
        <v>954</v>
      </c>
      <c r="BY184" s="6" t="s">
        <v>248</v>
      </c>
      <c r="CC184" s="6" t="s">
        <v>739</v>
      </c>
      <c r="CE184" s="6" t="s">
        <v>162</v>
      </c>
      <c r="CH184" s="6" t="s">
        <v>163</v>
      </c>
      <c r="CJ184" s="6" t="s">
        <v>163</v>
      </c>
      <c r="CK184" s="6" t="s">
        <v>162</v>
      </c>
      <c r="CL184" s="6" t="s">
        <v>163</v>
      </c>
      <c r="CO184" s="6" t="s">
        <v>163</v>
      </c>
      <c r="CQ184" s="6" t="s">
        <v>2197</v>
      </c>
      <c r="CR184" s="6" t="s">
        <v>206</v>
      </c>
      <c r="CS184" s="6" t="s">
        <v>163</v>
      </c>
      <c r="CT184" s="0" t="n">
        <v>29</v>
      </c>
      <c r="CU184" s="0" t="n">
        <v>7</v>
      </c>
      <c r="CV184" s="0" t="n">
        <v>8</v>
      </c>
      <c r="CW184" s="0" t="n">
        <v>6</v>
      </c>
      <c r="CX184" s="0" t="n">
        <v>8</v>
      </c>
      <c r="CY184" s="6" t="n">
        <f aca="false">IF(AH184="exact",10,IF(AH184="adjacent",5,0))</f>
        <v>0</v>
      </c>
      <c r="CZ184" s="6" t="n">
        <f aca="false">IF(R184="Y",15,0)</f>
        <v>0</v>
      </c>
      <c r="DF184" s="6" t="s">
        <v>158</v>
      </c>
      <c r="DG184" s="6" t="s">
        <v>211</v>
      </c>
      <c r="DJ184" s="6" t="s">
        <v>3113</v>
      </c>
      <c r="DK184" s="6" t="s">
        <v>3114</v>
      </c>
      <c r="DS184" s="6" t="s">
        <v>158</v>
      </c>
      <c r="DX184" s="6" t="s">
        <v>162</v>
      </c>
      <c r="ER184" s="0" t="str">
        <f aca="false">IF(ISNUMBER(MATCH(U184,{"queued","contacted","replied","call_booked","call_done","yes_in_principle","materials_sent"},0)),"Y","N")</f>
        <v>N</v>
      </c>
      <c r="ES184" s="0" t="str">
        <f aca="false">IF(COUNTIFS($AP$2:$AP$1000,AP184,$ER$2:$ER$1000,"Y")+COUNTIFS($AP$2:$AP$1000,AP184,$T$2:$T$1000,"Y")&gt;0,"Y","N")</f>
        <v>N</v>
      </c>
      <c r="ET184" s="0" t="str">
        <f aca="false">IF(AND(U184="new",T184="N",AT184="Y",AS184="",ES184="N"),"Y","N")</f>
        <v>N</v>
      </c>
      <c r="EU184" s="0" t="str">
        <f aca="false">IF(ET184&lt;&gt;"Y","N",IF(COUNTIFS($AP$2:$AP$1000,AP184,$ET$2:$ET$1000,"Y",$J$2:$J$1000,"&gt;"&amp;J184)+COUNTIFS($AP$2:$AP$1000,AP184,$ET$2:$ET$1000,"Y",$J$2:$J$1000,J184,$EW$2:$EW$1000,"&lt;"&amp;EW184)=0,"Y","N"))</f>
        <v>N</v>
      </c>
      <c r="EV184" s="0" t="str">
        <f aca="false">IF(Y184="","N",IF(Y184&lt;=10,"Y","N"))</f>
        <v>N</v>
      </c>
      <c r="EW184" s="6" t="n">
        <f aca="false">ROW()-1</f>
        <v>183</v>
      </c>
    </row>
    <row r="185" customFormat="false" ht="15" hidden="false" customHeight="false" outlineLevel="0" collapsed="false">
      <c r="A185" s="0" t="s">
        <v>3115</v>
      </c>
      <c r="B185" s="0" t="s">
        <v>3116</v>
      </c>
      <c r="H185" s="5" t="s">
        <v>158</v>
      </c>
      <c r="I185" s="5" t="s">
        <v>159</v>
      </c>
      <c r="J185" s="6" t="n">
        <f aca="false">IF(AX185="pass",ROUND(CU185+CV185+CW185+CX185+CY185+CZ185,1),0)</f>
        <v>29</v>
      </c>
      <c r="K185" s="6" t="s">
        <v>3049</v>
      </c>
      <c r="L185" s="6" t="s">
        <v>163</v>
      </c>
      <c r="O185" s="6" t="s">
        <v>3117</v>
      </c>
      <c r="P185" s="6" t="s">
        <v>688</v>
      </c>
      <c r="Q185" s="6" t="s">
        <v>689</v>
      </c>
      <c r="R185" s="5" t="s">
        <v>162</v>
      </c>
      <c r="S185" s="6" t="s">
        <v>163</v>
      </c>
      <c r="T185" s="5" t="s">
        <v>162</v>
      </c>
      <c r="U185" s="5" t="s">
        <v>228</v>
      </c>
      <c r="V185" s="6" t="s">
        <v>688</v>
      </c>
      <c r="W185" s="6" t="s">
        <v>166</v>
      </c>
      <c r="X185" s="6" t="s">
        <v>167</v>
      </c>
      <c r="Y185" s="0" t="str">
        <f aca="false">IF(EU185&lt;&gt;"Y","",COUNTIFS($EU$2:$EU$1000,"Y",$J$2:$J$1000,"&gt;"&amp;J185)+COUNTIFS($EU$2:$EU$1000,"Y",$J$2:$J$1000,J185,$EW$2:$EW$1000,"&lt;"&amp;EW185)+1)</f>
        <v/>
      </c>
      <c r="Z185" s="0" t="n">
        <v>184</v>
      </c>
      <c r="AA185" s="6" t="s">
        <v>162</v>
      </c>
      <c r="AD185" s="6" t="s">
        <v>158</v>
      </c>
      <c r="AH185" s="5" t="s">
        <v>158</v>
      </c>
      <c r="AI185" s="6" t="s">
        <v>678</v>
      </c>
      <c r="AJ185" s="6" t="s">
        <v>3118</v>
      </c>
      <c r="AK185" s="6" t="s">
        <v>435</v>
      </c>
      <c r="AL185" s="6" t="s">
        <v>163</v>
      </c>
      <c r="AM185" s="6" t="s">
        <v>163</v>
      </c>
      <c r="AN185" s="6" t="s">
        <v>158</v>
      </c>
      <c r="AO185" s="6" t="s">
        <v>163</v>
      </c>
      <c r="AP185" s="6" t="s">
        <v>3115</v>
      </c>
      <c r="AQ185" s="5" t="s">
        <v>162</v>
      </c>
      <c r="AT185" s="0" t="str">
        <f aca="false">IF(AND(AX185="pass",AQ185&lt;&gt;"Y",C185&lt;&gt;"",OR(AW185&lt;&gt;"Y",AV185="Y")),"Y","N")</f>
        <v>N</v>
      </c>
      <c r="AU185" s="0" t="str">
        <f aca="false">_xlfn.TEXTJOIN("; ",TRUE(),IF(AX185&lt;&gt;"pass","gated out",""),IF(AQ185="Y","on hold: "&amp;AR185,""),IF(C185="","no contact named on an opened page",""),IF(AND(AW185="Y",AV185&lt;&gt;"Y"),"Tuesday estimate band "&amp;L185&amp;": founder's call",""))</f>
        <v>no contact named on an opened page</v>
      </c>
      <c r="AW185" s="6" t="s">
        <v>162</v>
      </c>
      <c r="AX185" s="6" t="s">
        <v>181</v>
      </c>
      <c r="AY185" s="6" t="s">
        <v>182</v>
      </c>
      <c r="AZ185" s="6" t="s">
        <v>1</v>
      </c>
      <c r="BA185" s="6" t="s">
        <v>3119</v>
      </c>
      <c r="BB185" s="6" t="s">
        <v>3120</v>
      </c>
      <c r="BC185" s="6" t="s">
        <v>3121</v>
      </c>
      <c r="BD185" s="6" t="s">
        <v>163</v>
      </c>
      <c r="BF185" s="6" t="s">
        <v>163</v>
      </c>
      <c r="BG185" s="6" t="s">
        <v>163</v>
      </c>
      <c r="BH185" s="6" t="s">
        <v>2196</v>
      </c>
      <c r="BK185" s="6" t="s">
        <v>163</v>
      </c>
      <c r="BL185" s="6" t="s">
        <v>163</v>
      </c>
      <c r="BM185" s="6" t="s">
        <v>163</v>
      </c>
      <c r="BN185" s="6" t="s">
        <v>163</v>
      </c>
      <c r="BO185" s="6" t="s">
        <v>163</v>
      </c>
      <c r="BP185" s="6" t="s">
        <v>193</v>
      </c>
      <c r="BQ185" s="0" t="n">
        <v>40.737722</v>
      </c>
      <c r="BR185" s="0" t="n">
        <v>-73.989367</v>
      </c>
      <c r="BS185" s="6" t="s">
        <v>168</v>
      </c>
      <c r="BT185" s="0" t="n">
        <v>0</v>
      </c>
      <c r="BU185" s="6" t="s">
        <v>686</v>
      </c>
      <c r="BV185" s="6" t="s">
        <v>687</v>
      </c>
      <c r="BW185" s="6" t="s">
        <v>688</v>
      </c>
      <c r="BX185" s="6" t="s">
        <v>689</v>
      </c>
      <c r="BY185" s="6" t="s">
        <v>248</v>
      </c>
      <c r="CC185" s="6" t="s">
        <v>739</v>
      </c>
      <c r="CE185" s="6" t="s">
        <v>162</v>
      </c>
      <c r="CH185" s="6" t="s">
        <v>163</v>
      </c>
      <c r="CJ185" s="6" t="s">
        <v>163</v>
      </c>
      <c r="CK185" s="6" t="s">
        <v>162</v>
      </c>
      <c r="CL185" s="6" t="s">
        <v>163</v>
      </c>
      <c r="CO185" s="6" t="s">
        <v>163</v>
      </c>
      <c r="CQ185" s="6" t="s">
        <v>2197</v>
      </c>
      <c r="CR185" s="6" t="s">
        <v>206</v>
      </c>
      <c r="CS185" s="6" t="s">
        <v>163</v>
      </c>
      <c r="CT185" s="0" t="n">
        <v>29</v>
      </c>
      <c r="CU185" s="0" t="n">
        <v>7</v>
      </c>
      <c r="CV185" s="0" t="n">
        <v>8</v>
      </c>
      <c r="CW185" s="0" t="n">
        <v>6</v>
      </c>
      <c r="CX185" s="0" t="n">
        <v>8</v>
      </c>
      <c r="CY185" s="6" t="n">
        <f aca="false">IF(AH185="exact",10,IF(AH185="adjacent",5,0))</f>
        <v>0</v>
      </c>
      <c r="CZ185" s="6" t="n">
        <f aca="false">IF(R185="Y",15,0)</f>
        <v>0</v>
      </c>
      <c r="DF185" s="6" t="s">
        <v>158</v>
      </c>
      <c r="DG185" s="6" t="s">
        <v>211</v>
      </c>
      <c r="DJ185" s="6" t="s">
        <v>3122</v>
      </c>
      <c r="DK185" s="6" t="s">
        <v>3123</v>
      </c>
      <c r="DS185" s="6" t="s">
        <v>158</v>
      </c>
      <c r="DX185" s="6" t="s">
        <v>162</v>
      </c>
      <c r="ER185" s="0" t="str">
        <f aca="false">IF(ISNUMBER(MATCH(U185,{"queued","contacted","replied","call_booked","call_done","yes_in_principle","materials_sent"},0)),"Y","N")</f>
        <v>N</v>
      </c>
      <c r="ES185" s="0" t="str">
        <f aca="false">IF(COUNTIFS($AP$2:$AP$1000,AP185,$ER$2:$ER$1000,"Y")+COUNTIFS($AP$2:$AP$1000,AP185,$T$2:$T$1000,"Y")&gt;0,"Y","N")</f>
        <v>N</v>
      </c>
      <c r="ET185" s="0" t="str">
        <f aca="false">IF(AND(U185="new",T185="N",AT185="Y",AS185="",ES185="N"),"Y","N")</f>
        <v>N</v>
      </c>
      <c r="EU185" s="0" t="str">
        <f aca="false">IF(ET185&lt;&gt;"Y","N",IF(COUNTIFS($AP$2:$AP$1000,AP185,$ET$2:$ET$1000,"Y",$J$2:$J$1000,"&gt;"&amp;J185)+COUNTIFS($AP$2:$AP$1000,AP185,$ET$2:$ET$1000,"Y",$J$2:$J$1000,J185,$EW$2:$EW$1000,"&lt;"&amp;EW185)=0,"Y","N"))</f>
        <v>N</v>
      </c>
      <c r="EV185" s="0" t="str">
        <f aca="false">IF(Y185="","N",IF(Y185&lt;=10,"Y","N"))</f>
        <v>N</v>
      </c>
      <c r="EW185" s="6" t="n">
        <f aca="false">ROW()-1</f>
        <v>184</v>
      </c>
    </row>
    <row r="186" customFormat="false" ht="15" hidden="false" customHeight="false" outlineLevel="0" collapsed="false">
      <c r="A186" s="0" t="s">
        <v>3124</v>
      </c>
      <c r="B186" s="0" t="s">
        <v>3125</v>
      </c>
      <c r="H186" s="5" t="s">
        <v>158</v>
      </c>
      <c r="I186" s="5" t="s">
        <v>159</v>
      </c>
      <c r="J186" s="6" t="n">
        <f aca="false">IF(AX186="pass",ROUND(CU186+CV186+CW186+CX186+CY186+CZ186,1),0)</f>
        <v>29</v>
      </c>
      <c r="K186" s="6" t="s">
        <v>3049</v>
      </c>
      <c r="L186" s="6" t="s">
        <v>163</v>
      </c>
      <c r="O186" s="6" t="s">
        <v>3126</v>
      </c>
      <c r="P186" s="6" t="s">
        <v>1235</v>
      </c>
      <c r="Q186" s="6" t="s">
        <v>1245</v>
      </c>
      <c r="R186" s="5" t="s">
        <v>162</v>
      </c>
      <c r="S186" s="6" t="s">
        <v>163</v>
      </c>
      <c r="T186" s="5" t="s">
        <v>162</v>
      </c>
      <c r="U186" s="5" t="s">
        <v>228</v>
      </c>
      <c r="V186" s="6" t="s">
        <v>1235</v>
      </c>
      <c r="W186" s="6" t="s">
        <v>166</v>
      </c>
      <c r="X186" s="6" t="s">
        <v>167</v>
      </c>
      <c r="Y186" s="0" t="str">
        <f aca="false">IF(EU186&lt;&gt;"Y","",COUNTIFS($EU$2:$EU$1000,"Y",$J$2:$J$1000,"&gt;"&amp;J186)+COUNTIFS($EU$2:$EU$1000,"Y",$J$2:$J$1000,J186,$EW$2:$EW$1000,"&lt;"&amp;EW186)+1)</f>
        <v/>
      </c>
      <c r="Z186" s="0" t="n">
        <v>185</v>
      </c>
      <c r="AA186" s="6" t="s">
        <v>162</v>
      </c>
      <c r="AD186" s="6" t="s">
        <v>158</v>
      </c>
      <c r="AH186" s="5" t="s">
        <v>158</v>
      </c>
      <c r="AI186" s="6" t="s">
        <v>837</v>
      </c>
      <c r="AJ186" s="6" t="s">
        <v>3127</v>
      </c>
      <c r="AK186" s="6" t="s">
        <v>435</v>
      </c>
      <c r="AL186" s="6" t="s">
        <v>163</v>
      </c>
      <c r="AM186" s="6" t="s">
        <v>163</v>
      </c>
      <c r="AN186" s="6" t="s">
        <v>158</v>
      </c>
      <c r="AO186" s="6" t="s">
        <v>163</v>
      </c>
      <c r="AP186" s="6" t="s">
        <v>3124</v>
      </c>
      <c r="AQ186" s="5" t="s">
        <v>162</v>
      </c>
      <c r="AT186" s="0" t="str">
        <f aca="false">IF(AND(AX186="pass",AQ186&lt;&gt;"Y",C186&lt;&gt;"",OR(AW186&lt;&gt;"Y",AV186="Y")),"Y","N")</f>
        <v>N</v>
      </c>
      <c r="AU186" s="0" t="str">
        <f aca="false">_xlfn.TEXTJOIN("; ",TRUE(),IF(AX186&lt;&gt;"pass","gated out",""),IF(AQ186="Y","on hold: "&amp;AR186,""),IF(C186="","no contact named on an opened page",""),IF(AND(AW186="Y",AV186&lt;&gt;"Y"),"Tuesday estimate band "&amp;L186&amp;": founder's call",""))</f>
        <v>no contact named on an opened page</v>
      </c>
      <c r="AW186" s="6" t="s">
        <v>162</v>
      </c>
      <c r="AX186" s="6" t="s">
        <v>181</v>
      </c>
      <c r="AY186" s="6" t="s">
        <v>182</v>
      </c>
      <c r="AZ186" s="6" t="s">
        <v>1</v>
      </c>
      <c r="BA186" s="6" t="s">
        <v>3128</v>
      </c>
      <c r="BB186" s="6" t="s">
        <v>3129</v>
      </c>
      <c r="BC186" s="6" t="s">
        <v>3130</v>
      </c>
      <c r="BD186" s="6" t="s">
        <v>163</v>
      </c>
      <c r="BF186" s="6" t="s">
        <v>163</v>
      </c>
      <c r="BG186" s="6" t="s">
        <v>163</v>
      </c>
      <c r="BH186" s="6" t="s">
        <v>2196</v>
      </c>
      <c r="BK186" s="6" t="s">
        <v>163</v>
      </c>
      <c r="BL186" s="6" t="s">
        <v>163</v>
      </c>
      <c r="BM186" s="6" t="s">
        <v>163</v>
      </c>
      <c r="BN186" s="6" t="s">
        <v>163</v>
      </c>
      <c r="BO186" s="6" t="s">
        <v>163</v>
      </c>
      <c r="BP186" s="6" t="s">
        <v>347</v>
      </c>
      <c r="BQ186" s="0" t="n">
        <v>40.743006</v>
      </c>
      <c r="BR186" s="0" t="n">
        <v>-73.98947</v>
      </c>
      <c r="BS186" s="6" t="s">
        <v>168</v>
      </c>
      <c r="BT186" s="0" t="n">
        <v>0</v>
      </c>
      <c r="BU186" s="6" t="s">
        <v>843</v>
      </c>
      <c r="BV186" s="6" t="s">
        <v>844</v>
      </c>
      <c r="BW186" s="6" t="s">
        <v>1235</v>
      </c>
      <c r="BX186" s="6" t="s">
        <v>1245</v>
      </c>
      <c r="BY186" s="6" t="s">
        <v>248</v>
      </c>
      <c r="BZ186" s="6" t="s">
        <v>3131</v>
      </c>
      <c r="CA186" s="6" t="s">
        <v>610</v>
      </c>
      <c r="CC186" s="6" t="s">
        <v>739</v>
      </c>
      <c r="CE186" s="6" t="s">
        <v>162</v>
      </c>
      <c r="CH186" s="6" t="s">
        <v>201</v>
      </c>
      <c r="CI186" s="6" t="s">
        <v>846</v>
      </c>
      <c r="CJ186" s="6" t="s">
        <v>163</v>
      </c>
      <c r="CK186" s="6" t="s">
        <v>162</v>
      </c>
      <c r="CL186" s="6" t="s">
        <v>163</v>
      </c>
      <c r="CO186" s="6" t="s">
        <v>163</v>
      </c>
      <c r="CQ186" s="6" t="s">
        <v>2197</v>
      </c>
      <c r="CR186" s="6" t="s">
        <v>206</v>
      </c>
      <c r="CS186" s="6" t="s">
        <v>163</v>
      </c>
      <c r="CT186" s="0" t="n">
        <v>29</v>
      </c>
      <c r="CU186" s="0" t="n">
        <v>7</v>
      </c>
      <c r="CV186" s="0" t="n">
        <v>8</v>
      </c>
      <c r="CW186" s="0" t="n">
        <v>6</v>
      </c>
      <c r="CX186" s="0" t="n">
        <v>8</v>
      </c>
      <c r="CY186" s="6" t="n">
        <f aca="false">IF(AH186="exact",10,IF(AH186="adjacent",5,0))</f>
        <v>0</v>
      </c>
      <c r="CZ186" s="6" t="n">
        <f aca="false">IF(R186="Y",15,0)</f>
        <v>0</v>
      </c>
      <c r="DF186" s="6" t="s">
        <v>158</v>
      </c>
      <c r="DG186" s="6" t="s">
        <v>211</v>
      </c>
      <c r="DJ186" s="6" t="s">
        <v>3132</v>
      </c>
      <c r="DK186" s="6" t="s">
        <v>3133</v>
      </c>
      <c r="DS186" s="6" t="s">
        <v>158</v>
      </c>
      <c r="DX186" s="6" t="s">
        <v>162</v>
      </c>
      <c r="ER186" s="0" t="str">
        <f aca="false">IF(ISNUMBER(MATCH(U186,{"queued","contacted","replied","call_booked","call_done","yes_in_principle","materials_sent"},0)),"Y","N")</f>
        <v>N</v>
      </c>
      <c r="ES186" s="0" t="str">
        <f aca="false">IF(COUNTIFS($AP$2:$AP$1000,AP186,$ER$2:$ER$1000,"Y")+COUNTIFS($AP$2:$AP$1000,AP186,$T$2:$T$1000,"Y")&gt;0,"Y","N")</f>
        <v>N</v>
      </c>
      <c r="ET186" s="0" t="str">
        <f aca="false">IF(AND(U186="new",T186="N",AT186="Y",AS186="",ES186="N"),"Y","N")</f>
        <v>N</v>
      </c>
      <c r="EU186" s="0" t="str">
        <f aca="false">IF(ET186&lt;&gt;"Y","N",IF(COUNTIFS($AP$2:$AP$1000,AP186,$ET$2:$ET$1000,"Y",$J$2:$J$1000,"&gt;"&amp;J186)+COUNTIFS($AP$2:$AP$1000,AP186,$ET$2:$ET$1000,"Y",$J$2:$J$1000,J186,$EW$2:$EW$1000,"&lt;"&amp;EW186)=0,"Y","N"))</f>
        <v>N</v>
      </c>
      <c r="EV186" s="0" t="str">
        <f aca="false">IF(Y186="","N",IF(Y186&lt;=10,"Y","N"))</f>
        <v>N</v>
      </c>
      <c r="EW186" s="6" t="n">
        <f aca="false">ROW()-1</f>
        <v>185</v>
      </c>
    </row>
    <row r="187" customFormat="false" ht="15" hidden="false" customHeight="false" outlineLevel="0" collapsed="false">
      <c r="A187" s="0" t="s">
        <v>3134</v>
      </c>
      <c r="B187" s="0" t="s">
        <v>3135</v>
      </c>
      <c r="H187" s="5" t="s">
        <v>158</v>
      </c>
      <c r="I187" s="5" t="s">
        <v>159</v>
      </c>
      <c r="J187" s="6" t="n">
        <f aca="false">IF(AX187="pass",ROUND(CU187+CV187+CW187+CX187+CY187+CZ187,1),0)</f>
        <v>29</v>
      </c>
      <c r="K187" s="6" t="s">
        <v>3049</v>
      </c>
      <c r="L187" s="6" t="s">
        <v>163</v>
      </c>
      <c r="R187" s="5" t="s">
        <v>162</v>
      </c>
      <c r="S187" s="6" t="s">
        <v>163</v>
      </c>
      <c r="T187" s="5" t="s">
        <v>162</v>
      </c>
      <c r="U187" s="5" t="s">
        <v>228</v>
      </c>
      <c r="V187" s="6" t="s">
        <v>2637</v>
      </c>
      <c r="W187" s="6" t="s">
        <v>166</v>
      </c>
      <c r="X187" s="6" t="s">
        <v>167</v>
      </c>
      <c r="Y187" s="0" t="str">
        <f aca="false">IF(EU187&lt;&gt;"Y","",COUNTIFS($EU$2:$EU$1000,"Y",$J$2:$J$1000,"&gt;"&amp;J187)+COUNTIFS($EU$2:$EU$1000,"Y",$J$2:$J$1000,J187,$EW$2:$EW$1000,"&lt;"&amp;EW187)+1)</f>
        <v/>
      </c>
      <c r="Z187" s="0" t="n">
        <v>186</v>
      </c>
      <c r="AA187" s="6" t="s">
        <v>162</v>
      </c>
      <c r="AD187" s="6" t="s">
        <v>158</v>
      </c>
      <c r="AH187" s="5" t="s">
        <v>158</v>
      </c>
      <c r="AI187" s="6" t="s">
        <v>754</v>
      </c>
      <c r="AJ187" s="6" t="s">
        <v>472</v>
      </c>
      <c r="AK187" s="6" t="s">
        <v>435</v>
      </c>
      <c r="AL187" s="6" t="s">
        <v>163</v>
      </c>
      <c r="AM187" s="6" t="s">
        <v>163</v>
      </c>
      <c r="AN187" s="6" t="s">
        <v>158</v>
      </c>
      <c r="AO187" s="6" t="s">
        <v>163</v>
      </c>
      <c r="AP187" s="6" t="s">
        <v>3134</v>
      </c>
      <c r="AQ187" s="5" t="s">
        <v>162</v>
      </c>
      <c r="AT187" s="0" t="str">
        <f aca="false">IF(AND(AX187="pass",AQ187&lt;&gt;"Y",C187&lt;&gt;"",OR(AW187&lt;&gt;"Y",AV187="Y")),"Y","N")</f>
        <v>N</v>
      </c>
      <c r="AU187" s="0" t="str">
        <f aca="false">_xlfn.TEXTJOIN("; ",TRUE(),IF(AX187&lt;&gt;"pass","gated out",""),IF(AQ187="Y","on hold: "&amp;AR187,""),IF(C187="","no contact named on an opened page",""),IF(AND(AW187="Y",AV187&lt;&gt;"Y"),"Tuesday estimate band "&amp;L187&amp;": founder's call",""))</f>
        <v>no contact named on an opened page</v>
      </c>
      <c r="AW187" s="6" t="s">
        <v>162</v>
      </c>
      <c r="AX187" s="6" t="s">
        <v>181</v>
      </c>
      <c r="AY187" s="6" t="s">
        <v>182</v>
      </c>
      <c r="AZ187" s="6" t="s">
        <v>1</v>
      </c>
      <c r="BA187" s="6" t="s">
        <v>3136</v>
      </c>
      <c r="BB187" s="6" t="s">
        <v>3137</v>
      </c>
      <c r="BC187" s="6" t="s">
        <v>3138</v>
      </c>
      <c r="BD187" s="6" t="s">
        <v>163</v>
      </c>
      <c r="BF187" s="6" t="s">
        <v>163</v>
      </c>
      <c r="BG187" s="6" t="s">
        <v>163</v>
      </c>
      <c r="BH187" s="6" t="s">
        <v>2196</v>
      </c>
      <c r="BK187" s="6" t="s">
        <v>163</v>
      </c>
      <c r="BL187" s="6" t="s">
        <v>163</v>
      </c>
      <c r="BM187" s="6" t="s">
        <v>163</v>
      </c>
      <c r="BN187" s="6" t="s">
        <v>163</v>
      </c>
      <c r="BO187" s="6" t="s">
        <v>163</v>
      </c>
      <c r="BP187" s="6" t="s">
        <v>347</v>
      </c>
      <c r="BQ187" s="0" t="n">
        <v>40.743309</v>
      </c>
      <c r="BR187" s="0" t="n">
        <v>-73.987329</v>
      </c>
      <c r="BS187" s="6" t="s">
        <v>168</v>
      </c>
      <c r="BT187" s="0" t="n">
        <v>0</v>
      </c>
      <c r="BU187" s="6" t="s">
        <v>764</v>
      </c>
      <c r="BV187" s="6" t="s">
        <v>765</v>
      </c>
      <c r="BW187" s="6" t="s">
        <v>2637</v>
      </c>
      <c r="BX187" s="6" t="s">
        <v>2638</v>
      </c>
      <c r="BY187" s="6" t="s">
        <v>248</v>
      </c>
      <c r="BZ187" s="6" t="s">
        <v>2068</v>
      </c>
      <c r="CA187" s="6" t="s">
        <v>2076</v>
      </c>
      <c r="CC187" s="6" t="s">
        <v>739</v>
      </c>
      <c r="CE187" s="6" t="s">
        <v>162</v>
      </c>
      <c r="CH187" s="6" t="s">
        <v>163</v>
      </c>
      <c r="CJ187" s="6" t="s">
        <v>163</v>
      </c>
      <c r="CK187" s="6" t="s">
        <v>162</v>
      </c>
      <c r="CL187" s="6" t="s">
        <v>163</v>
      </c>
      <c r="CO187" s="6" t="s">
        <v>163</v>
      </c>
      <c r="CQ187" s="6" t="s">
        <v>2197</v>
      </c>
      <c r="CR187" s="6" t="s">
        <v>206</v>
      </c>
      <c r="CS187" s="6" t="s">
        <v>163</v>
      </c>
      <c r="CT187" s="0" t="n">
        <v>29</v>
      </c>
      <c r="CU187" s="0" t="n">
        <v>7</v>
      </c>
      <c r="CV187" s="0" t="n">
        <v>8</v>
      </c>
      <c r="CW187" s="0" t="n">
        <v>6</v>
      </c>
      <c r="CX187" s="0" t="n">
        <v>8</v>
      </c>
      <c r="CY187" s="6" t="n">
        <f aca="false">IF(AH187="exact",10,IF(AH187="adjacent",5,0))</f>
        <v>0</v>
      </c>
      <c r="CZ187" s="6" t="n">
        <f aca="false">IF(R187="Y",15,0)</f>
        <v>0</v>
      </c>
      <c r="DF187" s="6" t="s">
        <v>158</v>
      </c>
      <c r="DG187" s="6" t="s">
        <v>211</v>
      </c>
      <c r="DJ187" s="6" t="s">
        <v>3139</v>
      </c>
      <c r="DK187" s="6" t="s">
        <v>3140</v>
      </c>
      <c r="DS187" s="6" t="s">
        <v>158</v>
      </c>
      <c r="DX187" s="6" t="s">
        <v>162</v>
      </c>
      <c r="ER187" s="0" t="str">
        <f aca="false">IF(ISNUMBER(MATCH(U187,{"queued","contacted","replied","call_booked","call_done","yes_in_principle","materials_sent"},0)),"Y","N")</f>
        <v>N</v>
      </c>
      <c r="ES187" s="0" t="str">
        <f aca="false">IF(COUNTIFS($AP$2:$AP$1000,AP187,$ER$2:$ER$1000,"Y")+COUNTIFS($AP$2:$AP$1000,AP187,$T$2:$T$1000,"Y")&gt;0,"Y","N")</f>
        <v>N</v>
      </c>
      <c r="ET187" s="0" t="str">
        <f aca="false">IF(AND(U187="new",T187="N",AT187="Y",AS187="",ES187="N"),"Y","N")</f>
        <v>N</v>
      </c>
      <c r="EU187" s="0" t="str">
        <f aca="false">IF(ET187&lt;&gt;"Y","N",IF(COUNTIFS($AP$2:$AP$1000,AP187,$ET$2:$ET$1000,"Y",$J$2:$J$1000,"&gt;"&amp;J187)+COUNTIFS($AP$2:$AP$1000,AP187,$ET$2:$ET$1000,"Y",$J$2:$J$1000,J187,$EW$2:$EW$1000,"&lt;"&amp;EW187)=0,"Y","N"))</f>
        <v>N</v>
      </c>
      <c r="EV187" s="0" t="str">
        <f aca="false">IF(Y187="","N",IF(Y187&lt;=10,"Y","N"))</f>
        <v>N</v>
      </c>
      <c r="EW187" s="6" t="n">
        <f aca="false">ROW()-1</f>
        <v>186</v>
      </c>
    </row>
    <row r="188" customFormat="false" ht="15" hidden="false" customHeight="false" outlineLevel="0" collapsed="false">
      <c r="A188" s="0" t="s">
        <v>3141</v>
      </c>
      <c r="B188" s="0" t="s">
        <v>3142</v>
      </c>
      <c r="H188" s="5" t="s">
        <v>158</v>
      </c>
      <c r="I188" s="5" t="s">
        <v>159</v>
      </c>
      <c r="J188" s="6" t="n">
        <f aca="false">IF(AX188="pass",ROUND(CU188+CV188+CW188+CX188+CY188+CZ188,1),0)</f>
        <v>29</v>
      </c>
      <c r="K188" s="6" t="s">
        <v>3049</v>
      </c>
      <c r="L188" s="6" t="s">
        <v>163</v>
      </c>
      <c r="R188" s="5" t="s">
        <v>162</v>
      </c>
      <c r="S188" s="6" t="s">
        <v>163</v>
      </c>
      <c r="T188" s="5" t="s">
        <v>162</v>
      </c>
      <c r="U188" s="5" t="s">
        <v>228</v>
      </c>
      <c r="V188" s="6" t="s">
        <v>3143</v>
      </c>
      <c r="W188" s="6" t="s">
        <v>166</v>
      </c>
      <c r="X188" s="6" t="s">
        <v>167</v>
      </c>
      <c r="Y188" s="0" t="str">
        <f aca="false">IF(EU188&lt;&gt;"Y","",COUNTIFS($EU$2:$EU$1000,"Y",$J$2:$J$1000,"&gt;"&amp;J188)+COUNTIFS($EU$2:$EU$1000,"Y",$J$2:$J$1000,J188,$EW$2:$EW$1000,"&lt;"&amp;EW188)+1)</f>
        <v/>
      </c>
      <c r="Z188" s="0" t="n">
        <v>187</v>
      </c>
      <c r="AA188" s="6" t="s">
        <v>162</v>
      </c>
      <c r="AD188" s="6" t="s">
        <v>158</v>
      </c>
      <c r="AH188" s="5" t="s">
        <v>158</v>
      </c>
      <c r="AI188" s="6" t="s">
        <v>2336</v>
      </c>
      <c r="AJ188" s="6" t="s">
        <v>3144</v>
      </c>
      <c r="AK188" s="6" t="s">
        <v>435</v>
      </c>
      <c r="AL188" s="6" t="s">
        <v>163</v>
      </c>
      <c r="AM188" s="6" t="s">
        <v>163</v>
      </c>
      <c r="AN188" s="6" t="s">
        <v>158</v>
      </c>
      <c r="AO188" s="6" t="s">
        <v>163</v>
      </c>
      <c r="AP188" s="6" t="s">
        <v>3141</v>
      </c>
      <c r="AQ188" s="5" t="s">
        <v>162</v>
      </c>
      <c r="AT188" s="0" t="str">
        <f aca="false">IF(AND(AX188="pass",AQ188&lt;&gt;"Y",C188&lt;&gt;"",OR(AW188&lt;&gt;"Y",AV188="Y")),"Y","N")</f>
        <v>N</v>
      </c>
      <c r="AU188" s="0" t="str">
        <f aca="false">_xlfn.TEXTJOIN("; ",TRUE(),IF(AX188&lt;&gt;"pass","gated out",""),IF(AQ188="Y","on hold: "&amp;AR188,""),IF(C188="","no contact named on an opened page",""),IF(AND(AW188="Y",AV188&lt;&gt;"Y"),"Tuesday estimate band "&amp;L188&amp;": founder's call",""))</f>
        <v>no contact named on an opened page</v>
      </c>
      <c r="AW188" s="6" t="s">
        <v>162</v>
      </c>
      <c r="AX188" s="6" t="s">
        <v>181</v>
      </c>
      <c r="AY188" s="6" t="s">
        <v>182</v>
      </c>
      <c r="AZ188" s="6" t="s">
        <v>1</v>
      </c>
      <c r="BA188" s="6" t="s">
        <v>3145</v>
      </c>
      <c r="BB188" s="6" t="s">
        <v>163</v>
      </c>
      <c r="BC188" s="6" t="s">
        <v>3146</v>
      </c>
      <c r="BD188" s="6" t="s">
        <v>163</v>
      </c>
      <c r="BF188" s="6" t="s">
        <v>163</v>
      </c>
      <c r="BG188" s="6" t="s">
        <v>163</v>
      </c>
      <c r="BH188" s="6" t="s">
        <v>2196</v>
      </c>
      <c r="BK188" s="6" t="s">
        <v>163</v>
      </c>
      <c r="BL188" s="6" t="s">
        <v>163</v>
      </c>
      <c r="BM188" s="6" t="s">
        <v>163</v>
      </c>
      <c r="BN188" s="6" t="s">
        <v>163</v>
      </c>
      <c r="BO188" s="6" t="s">
        <v>163</v>
      </c>
      <c r="BP188" s="6" t="s">
        <v>244</v>
      </c>
      <c r="BQ188" s="0" t="n">
        <v>40.7425</v>
      </c>
      <c r="BR188" s="0" t="n">
        <v>-73.984446</v>
      </c>
      <c r="BS188" s="6" t="s">
        <v>168</v>
      </c>
      <c r="BT188" s="0" t="n">
        <v>0</v>
      </c>
      <c r="BU188" s="6" t="s">
        <v>2341</v>
      </c>
      <c r="BV188" s="6" t="s">
        <v>2342</v>
      </c>
      <c r="BW188" s="6" t="s">
        <v>3143</v>
      </c>
      <c r="BX188" s="6" t="s">
        <v>3147</v>
      </c>
      <c r="BY188" s="6" t="s">
        <v>248</v>
      </c>
      <c r="CC188" s="6" t="s">
        <v>739</v>
      </c>
      <c r="CE188" s="6" t="s">
        <v>162</v>
      </c>
      <c r="CH188" s="6" t="s">
        <v>163</v>
      </c>
      <c r="CJ188" s="6" t="s">
        <v>163</v>
      </c>
      <c r="CK188" s="6" t="s">
        <v>162</v>
      </c>
      <c r="CL188" s="6" t="s">
        <v>163</v>
      </c>
      <c r="CO188" s="6" t="s">
        <v>163</v>
      </c>
      <c r="CQ188" s="6" t="s">
        <v>2197</v>
      </c>
      <c r="CR188" s="6" t="s">
        <v>206</v>
      </c>
      <c r="CS188" s="6" t="s">
        <v>163</v>
      </c>
      <c r="CT188" s="0" t="n">
        <v>29</v>
      </c>
      <c r="CU188" s="0" t="n">
        <v>7</v>
      </c>
      <c r="CV188" s="0" t="n">
        <v>8</v>
      </c>
      <c r="CW188" s="0" t="n">
        <v>6</v>
      </c>
      <c r="CX188" s="0" t="n">
        <v>8</v>
      </c>
      <c r="CY188" s="6" t="n">
        <f aca="false">IF(AH188="exact",10,IF(AH188="adjacent",5,0))</f>
        <v>0</v>
      </c>
      <c r="CZ188" s="6" t="n">
        <f aca="false">IF(R188="Y",15,0)</f>
        <v>0</v>
      </c>
      <c r="DF188" s="6" t="s">
        <v>158</v>
      </c>
      <c r="DG188" s="6" t="s">
        <v>211</v>
      </c>
      <c r="DJ188" s="6" t="s">
        <v>3148</v>
      </c>
      <c r="DK188" s="6" t="s">
        <v>3149</v>
      </c>
      <c r="DS188" s="6" t="s">
        <v>158</v>
      </c>
      <c r="DX188" s="6" t="s">
        <v>162</v>
      </c>
      <c r="ER188" s="0" t="str">
        <f aca="false">IF(ISNUMBER(MATCH(U188,{"queued","contacted","replied","call_booked","call_done","yes_in_principle","materials_sent"},0)),"Y","N")</f>
        <v>N</v>
      </c>
      <c r="ES188" s="0" t="str">
        <f aca="false">IF(COUNTIFS($AP$2:$AP$1000,AP188,$ER$2:$ER$1000,"Y")+COUNTIFS($AP$2:$AP$1000,AP188,$T$2:$T$1000,"Y")&gt;0,"Y","N")</f>
        <v>N</v>
      </c>
      <c r="ET188" s="0" t="str">
        <f aca="false">IF(AND(U188="new",T188="N",AT188="Y",AS188="",ES188="N"),"Y","N")</f>
        <v>N</v>
      </c>
      <c r="EU188" s="0" t="str">
        <f aca="false">IF(ET188&lt;&gt;"Y","N",IF(COUNTIFS($AP$2:$AP$1000,AP188,$ET$2:$ET$1000,"Y",$J$2:$J$1000,"&gt;"&amp;J188)+COUNTIFS($AP$2:$AP$1000,AP188,$ET$2:$ET$1000,"Y",$J$2:$J$1000,J188,$EW$2:$EW$1000,"&lt;"&amp;EW188)=0,"Y","N"))</f>
        <v>N</v>
      </c>
      <c r="EV188" s="0" t="str">
        <f aca="false">IF(Y188="","N",IF(Y188&lt;=10,"Y","N"))</f>
        <v>N</v>
      </c>
      <c r="EW188" s="6" t="n">
        <f aca="false">ROW()-1</f>
        <v>187</v>
      </c>
    </row>
    <row r="189" customFormat="false" ht="15" hidden="false" customHeight="false" outlineLevel="0" collapsed="false">
      <c r="A189" s="0" t="s">
        <v>3150</v>
      </c>
      <c r="B189" s="0" t="s">
        <v>3151</v>
      </c>
      <c r="H189" s="5" t="s">
        <v>158</v>
      </c>
      <c r="I189" s="5" t="s">
        <v>159</v>
      </c>
      <c r="J189" s="6" t="n">
        <f aca="false">IF(AX189="pass",ROUND(CU189+CV189+CW189+CX189+CY189+CZ189,1),0)</f>
        <v>29</v>
      </c>
      <c r="K189" s="6" t="s">
        <v>3049</v>
      </c>
      <c r="L189" s="6" t="s">
        <v>163</v>
      </c>
      <c r="R189" s="5" t="s">
        <v>162</v>
      </c>
      <c r="S189" s="6" t="s">
        <v>163</v>
      </c>
      <c r="T189" s="5" t="s">
        <v>162</v>
      </c>
      <c r="U189" s="5" t="s">
        <v>228</v>
      </c>
      <c r="V189" s="6" t="s">
        <v>3152</v>
      </c>
      <c r="W189" s="6" t="s">
        <v>166</v>
      </c>
      <c r="X189" s="6" t="s">
        <v>167</v>
      </c>
      <c r="Y189" s="0" t="str">
        <f aca="false">IF(EU189&lt;&gt;"Y","",COUNTIFS($EU$2:$EU$1000,"Y",$J$2:$J$1000,"&gt;"&amp;J189)+COUNTIFS($EU$2:$EU$1000,"Y",$J$2:$J$1000,J189,$EW$2:$EW$1000,"&lt;"&amp;EW189)+1)</f>
        <v/>
      </c>
      <c r="Z189" s="0" t="n">
        <v>188</v>
      </c>
      <c r="AA189" s="6" t="s">
        <v>162</v>
      </c>
      <c r="AD189" s="6" t="s">
        <v>158</v>
      </c>
      <c r="AH189" s="5" t="s">
        <v>158</v>
      </c>
      <c r="AI189" s="6" t="s">
        <v>2408</v>
      </c>
      <c r="AJ189" s="6" t="s">
        <v>3153</v>
      </c>
      <c r="AK189" s="6" t="s">
        <v>435</v>
      </c>
      <c r="AL189" s="6" t="s">
        <v>163</v>
      </c>
      <c r="AM189" s="6" t="s">
        <v>163</v>
      </c>
      <c r="AN189" s="6" t="s">
        <v>158</v>
      </c>
      <c r="AO189" s="6" t="s">
        <v>163</v>
      </c>
      <c r="AP189" s="6" t="s">
        <v>3150</v>
      </c>
      <c r="AQ189" s="5" t="s">
        <v>162</v>
      </c>
      <c r="AT189" s="0" t="str">
        <f aca="false">IF(AND(AX189="pass",AQ189&lt;&gt;"Y",C189&lt;&gt;"",OR(AW189&lt;&gt;"Y",AV189="Y")),"Y","N")</f>
        <v>N</v>
      </c>
      <c r="AU189" s="0" t="str">
        <f aca="false">_xlfn.TEXTJOIN("; ",TRUE(),IF(AX189&lt;&gt;"pass","gated out",""),IF(AQ189="Y","on hold: "&amp;AR189,""),IF(C189="","no contact named on an opened page",""),IF(AND(AW189="Y",AV189&lt;&gt;"Y"),"Tuesday estimate band "&amp;L189&amp;": founder's call",""))</f>
        <v>no contact named on an opened page</v>
      </c>
      <c r="AW189" s="6" t="s">
        <v>162</v>
      </c>
      <c r="AX189" s="6" t="s">
        <v>181</v>
      </c>
      <c r="AY189" s="6" t="s">
        <v>182</v>
      </c>
      <c r="AZ189" s="6" t="s">
        <v>1</v>
      </c>
      <c r="BA189" s="6" t="s">
        <v>3154</v>
      </c>
      <c r="BB189" s="6" t="s">
        <v>163</v>
      </c>
      <c r="BC189" s="6" t="s">
        <v>3155</v>
      </c>
      <c r="BD189" s="6" t="s">
        <v>163</v>
      </c>
      <c r="BF189" s="6" t="s">
        <v>163</v>
      </c>
      <c r="BG189" s="6" t="s">
        <v>163</v>
      </c>
      <c r="BH189" s="6" t="s">
        <v>2196</v>
      </c>
      <c r="BK189" s="6" t="s">
        <v>163</v>
      </c>
      <c r="BL189" s="6" t="s">
        <v>163</v>
      </c>
      <c r="BM189" s="6" t="s">
        <v>163</v>
      </c>
      <c r="BN189" s="6" t="s">
        <v>163</v>
      </c>
      <c r="BO189" s="6" t="s">
        <v>163</v>
      </c>
      <c r="BP189" s="6" t="s">
        <v>347</v>
      </c>
      <c r="BQ189" s="0" t="n">
        <v>40.742477</v>
      </c>
      <c r="BR189" s="0" t="n">
        <v>-73.986608</v>
      </c>
      <c r="BS189" s="6" t="s">
        <v>168</v>
      </c>
      <c r="BT189" s="0" t="n">
        <v>0</v>
      </c>
      <c r="BU189" s="6" t="s">
        <v>2413</v>
      </c>
      <c r="BV189" s="6" t="s">
        <v>2414</v>
      </c>
      <c r="BW189" s="6" t="s">
        <v>3152</v>
      </c>
      <c r="BX189" s="6" t="s">
        <v>3156</v>
      </c>
      <c r="BY189" s="6" t="s">
        <v>248</v>
      </c>
      <c r="CC189" s="6" t="s">
        <v>739</v>
      </c>
      <c r="CE189" s="6" t="s">
        <v>162</v>
      </c>
      <c r="CH189" s="6" t="s">
        <v>201</v>
      </c>
      <c r="CI189" s="6" t="s">
        <v>2416</v>
      </c>
      <c r="CJ189" s="6" t="s">
        <v>163</v>
      </c>
      <c r="CK189" s="6" t="s">
        <v>162</v>
      </c>
      <c r="CL189" s="6" t="s">
        <v>163</v>
      </c>
      <c r="CO189" s="6" t="s">
        <v>163</v>
      </c>
      <c r="CQ189" s="6" t="s">
        <v>2197</v>
      </c>
      <c r="CR189" s="6" t="s">
        <v>206</v>
      </c>
      <c r="CS189" s="6" t="s">
        <v>163</v>
      </c>
      <c r="CT189" s="0" t="n">
        <v>29</v>
      </c>
      <c r="CU189" s="0" t="n">
        <v>7</v>
      </c>
      <c r="CV189" s="0" t="n">
        <v>8</v>
      </c>
      <c r="CW189" s="0" t="n">
        <v>6</v>
      </c>
      <c r="CX189" s="0" t="n">
        <v>8</v>
      </c>
      <c r="CY189" s="6" t="n">
        <f aca="false">IF(AH189="exact",10,IF(AH189="adjacent",5,0))</f>
        <v>0</v>
      </c>
      <c r="CZ189" s="6" t="n">
        <f aca="false">IF(R189="Y",15,0)</f>
        <v>0</v>
      </c>
      <c r="DF189" s="6" t="s">
        <v>158</v>
      </c>
      <c r="DG189" s="6" t="s">
        <v>211</v>
      </c>
      <c r="DJ189" s="6" t="s">
        <v>3157</v>
      </c>
      <c r="DK189" s="6" t="s">
        <v>3158</v>
      </c>
      <c r="DS189" s="6" t="s">
        <v>158</v>
      </c>
      <c r="DX189" s="6" t="s">
        <v>162</v>
      </c>
      <c r="ER189" s="0" t="str">
        <f aca="false">IF(ISNUMBER(MATCH(U189,{"queued","contacted","replied","call_booked","call_done","yes_in_principle","materials_sent"},0)),"Y","N")</f>
        <v>N</v>
      </c>
      <c r="ES189" s="0" t="str">
        <f aca="false">IF(COUNTIFS($AP$2:$AP$1000,AP189,$ER$2:$ER$1000,"Y")+COUNTIFS($AP$2:$AP$1000,AP189,$T$2:$T$1000,"Y")&gt;0,"Y","N")</f>
        <v>N</v>
      </c>
      <c r="ET189" s="0" t="str">
        <f aca="false">IF(AND(U189="new",T189="N",AT189="Y",AS189="",ES189="N"),"Y","N")</f>
        <v>N</v>
      </c>
      <c r="EU189" s="0" t="str">
        <f aca="false">IF(ET189&lt;&gt;"Y","N",IF(COUNTIFS($AP$2:$AP$1000,AP189,$ET$2:$ET$1000,"Y",$J$2:$J$1000,"&gt;"&amp;J189)+COUNTIFS($AP$2:$AP$1000,AP189,$ET$2:$ET$1000,"Y",$J$2:$J$1000,J189,$EW$2:$EW$1000,"&lt;"&amp;EW189)=0,"Y","N"))</f>
        <v>N</v>
      </c>
      <c r="EV189" s="0" t="str">
        <f aca="false">IF(Y189="","N",IF(Y189&lt;=10,"Y","N"))</f>
        <v>N</v>
      </c>
      <c r="EW189" s="6" t="n">
        <f aca="false">ROW()-1</f>
        <v>188</v>
      </c>
    </row>
    <row r="190" customFormat="false" ht="15" hidden="false" customHeight="false" outlineLevel="0" collapsed="false">
      <c r="A190" s="0" t="s">
        <v>3159</v>
      </c>
      <c r="B190" s="0" t="s">
        <v>3160</v>
      </c>
      <c r="H190" s="5" t="s">
        <v>158</v>
      </c>
      <c r="I190" s="5" t="s">
        <v>159</v>
      </c>
      <c r="J190" s="6" t="n">
        <f aca="false">IF(AX190="pass",ROUND(CU190+CV190+CW190+CX190+CY190+CZ190,1),0)</f>
        <v>29</v>
      </c>
      <c r="K190" s="6" t="s">
        <v>3049</v>
      </c>
      <c r="L190" s="6" t="s">
        <v>163</v>
      </c>
      <c r="R190" s="5" t="s">
        <v>162</v>
      </c>
      <c r="S190" s="6" t="s">
        <v>163</v>
      </c>
      <c r="T190" s="5" t="s">
        <v>162</v>
      </c>
      <c r="U190" s="5" t="s">
        <v>228</v>
      </c>
      <c r="V190" s="6" t="s">
        <v>2781</v>
      </c>
      <c r="W190" s="6" t="s">
        <v>166</v>
      </c>
      <c r="X190" s="6" t="s">
        <v>167</v>
      </c>
      <c r="Y190" s="0" t="str">
        <f aca="false">IF(EU190&lt;&gt;"Y","",COUNTIFS($EU$2:$EU$1000,"Y",$J$2:$J$1000,"&gt;"&amp;J190)+COUNTIFS($EU$2:$EU$1000,"Y",$J$2:$J$1000,J190,$EW$2:$EW$1000,"&lt;"&amp;EW190)+1)</f>
        <v/>
      </c>
      <c r="Z190" s="0" t="n">
        <v>189</v>
      </c>
      <c r="AA190" s="6" t="s">
        <v>162</v>
      </c>
      <c r="AD190" s="6" t="s">
        <v>158</v>
      </c>
      <c r="AH190" s="5" t="s">
        <v>158</v>
      </c>
      <c r="AI190" s="6" t="s">
        <v>2782</v>
      </c>
      <c r="AJ190" s="6" t="s">
        <v>163</v>
      </c>
      <c r="AK190" s="6" t="s">
        <v>435</v>
      </c>
      <c r="AL190" s="6" t="s">
        <v>163</v>
      </c>
      <c r="AM190" s="6" t="s">
        <v>163</v>
      </c>
      <c r="AN190" s="6" t="s">
        <v>158</v>
      </c>
      <c r="AO190" s="6" t="s">
        <v>163</v>
      </c>
      <c r="AP190" s="6" t="s">
        <v>3159</v>
      </c>
      <c r="AQ190" s="5" t="s">
        <v>162</v>
      </c>
      <c r="AT190" s="0" t="str">
        <f aca="false">IF(AND(AX190="pass",AQ190&lt;&gt;"Y",C190&lt;&gt;"",OR(AW190&lt;&gt;"Y",AV190="Y")),"Y","N")</f>
        <v>N</v>
      </c>
      <c r="AU190" s="0" t="str">
        <f aca="false">_xlfn.TEXTJOIN("; ",TRUE(),IF(AX190&lt;&gt;"pass","gated out",""),IF(AQ190="Y","on hold: "&amp;AR190,""),IF(C190="","no contact named on an opened page",""),IF(AND(AW190="Y",AV190&lt;&gt;"Y"),"Tuesday estimate band "&amp;L190&amp;": founder's call",""))</f>
        <v>no contact named on an opened page</v>
      </c>
      <c r="AW190" s="6" t="s">
        <v>162</v>
      </c>
      <c r="AX190" s="6" t="s">
        <v>181</v>
      </c>
      <c r="AY190" s="6" t="s">
        <v>182</v>
      </c>
      <c r="AZ190" s="6" t="s">
        <v>1</v>
      </c>
      <c r="BA190" s="6" t="s">
        <v>3161</v>
      </c>
      <c r="BB190" s="6" t="s">
        <v>3162</v>
      </c>
      <c r="BC190" s="6" t="s">
        <v>3163</v>
      </c>
      <c r="BD190" s="6" t="s">
        <v>163</v>
      </c>
      <c r="BF190" s="6" t="s">
        <v>163</v>
      </c>
      <c r="BG190" s="6" t="s">
        <v>163</v>
      </c>
      <c r="BH190" s="6" t="s">
        <v>2196</v>
      </c>
      <c r="BK190" s="6" t="s">
        <v>163</v>
      </c>
      <c r="BL190" s="6" t="s">
        <v>163</v>
      </c>
      <c r="BM190" s="6" t="s">
        <v>163</v>
      </c>
      <c r="BN190" s="6" t="s">
        <v>163</v>
      </c>
      <c r="BO190" s="6" t="s">
        <v>163</v>
      </c>
      <c r="BP190" s="6" t="s">
        <v>347</v>
      </c>
      <c r="BQ190" s="0" t="n">
        <v>40.740438</v>
      </c>
      <c r="BR190" s="0" t="n">
        <v>-73.990034</v>
      </c>
      <c r="BS190" s="6" t="s">
        <v>168</v>
      </c>
      <c r="BT190" s="0" t="n">
        <v>0</v>
      </c>
      <c r="BU190" s="6" t="s">
        <v>2786</v>
      </c>
      <c r="BV190" s="6" t="s">
        <v>2787</v>
      </c>
      <c r="BW190" s="6" t="s">
        <v>2781</v>
      </c>
      <c r="BX190" s="6" t="s">
        <v>2788</v>
      </c>
      <c r="BY190" s="6" t="s">
        <v>248</v>
      </c>
      <c r="CC190" s="6" t="s">
        <v>739</v>
      </c>
      <c r="CE190" s="6" t="s">
        <v>162</v>
      </c>
      <c r="CH190" s="6" t="s">
        <v>163</v>
      </c>
      <c r="CJ190" s="6" t="s">
        <v>163</v>
      </c>
      <c r="CK190" s="6" t="s">
        <v>162</v>
      </c>
      <c r="CL190" s="6" t="s">
        <v>163</v>
      </c>
      <c r="CO190" s="6" t="s">
        <v>163</v>
      </c>
      <c r="CQ190" s="6" t="s">
        <v>2197</v>
      </c>
      <c r="CR190" s="6" t="s">
        <v>206</v>
      </c>
      <c r="CS190" s="6" t="s">
        <v>163</v>
      </c>
      <c r="CT190" s="0" t="n">
        <v>29</v>
      </c>
      <c r="CU190" s="0" t="n">
        <v>7</v>
      </c>
      <c r="CV190" s="0" t="n">
        <v>8</v>
      </c>
      <c r="CW190" s="0" t="n">
        <v>6</v>
      </c>
      <c r="CX190" s="0" t="n">
        <v>8</v>
      </c>
      <c r="CY190" s="6" t="n">
        <f aca="false">IF(AH190="exact",10,IF(AH190="adjacent",5,0))</f>
        <v>0</v>
      </c>
      <c r="CZ190" s="6" t="n">
        <f aca="false">IF(R190="Y",15,0)</f>
        <v>0</v>
      </c>
      <c r="DF190" s="6" t="s">
        <v>158</v>
      </c>
      <c r="DG190" s="6" t="s">
        <v>211</v>
      </c>
      <c r="DJ190" s="6" t="s">
        <v>3164</v>
      </c>
      <c r="DK190" s="6" t="s">
        <v>3165</v>
      </c>
      <c r="DS190" s="6" t="s">
        <v>158</v>
      </c>
      <c r="DX190" s="6" t="s">
        <v>162</v>
      </c>
      <c r="ER190" s="0" t="str">
        <f aca="false">IF(ISNUMBER(MATCH(U190,{"queued","contacted","replied","call_booked","call_done","yes_in_principle","materials_sent"},0)),"Y","N")</f>
        <v>N</v>
      </c>
      <c r="ES190" s="0" t="str">
        <f aca="false">IF(COUNTIFS($AP$2:$AP$1000,AP190,$ER$2:$ER$1000,"Y")+COUNTIFS($AP$2:$AP$1000,AP190,$T$2:$T$1000,"Y")&gt;0,"Y","N")</f>
        <v>N</v>
      </c>
      <c r="ET190" s="0" t="str">
        <f aca="false">IF(AND(U190="new",T190="N",AT190="Y",AS190="",ES190="N"),"Y","N")</f>
        <v>N</v>
      </c>
      <c r="EU190" s="0" t="str">
        <f aca="false">IF(ET190&lt;&gt;"Y","N",IF(COUNTIFS($AP$2:$AP$1000,AP190,$ET$2:$ET$1000,"Y",$J$2:$J$1000,"&gt;"&amp;J190)+COUNTIFS($AP$2:$AP$1000,AP190,$ET$2:$ET$1000,"Y",$J$2:$J$1000,J190,$EW$2:$EW$1000,"&lt;"&amp;EW190)=0,"Y","N"))</f>
        <v>N</v>
      </c>
      <c r="EV190" s="0" t="str">
        <f aca="false">IF(Y190="","N",IF(Y190&lt;=10,"Y","N"))</f>
        <v>N</v>
      </c>
      <c r="EW190" s="6" t="n">
        <f aca="false">ROW()-1</f>
        <v>189</v>
      </c>
    </row>
    <row r="191" customFormat="false" ht="15" hidden="false" customHeight="false" outlineLevel="0" collapsed="false">
      <c r="A191" s="0" t="s">
        <v>3166</v>
      </c>
      <c r="B191" s="0" t="s">
        <v>3167</v>
      </c>
      <c r="H191" s="5" t="s">
        <v>158</v>
      </c>
      <c r="I191" s="5" t="s">
        <v>159</v>
      </c>
      <c r="J191" s="6" t="n">
        <f aca="false">IF(AX191="pass",ROUND(CU191+CV191+CW191+CX191+CY191+CZ191,1),0)</f>
        <v>29</v>
      </c>
      <c r="K191" s="6" t="s">
        <v>3168</v>
      </c>
      <c r="L191" s="6" t="s">
        <v>163</v>
      </c>
      <c r="R191" s="5" t="s">
        <v>162</v>
      </c>
      <c r="S191" s="6" t="s">
        <v>163</v>
      </c>
      <c r="T191" s="5" t="s">
        <v>162</v>
      </c>
      <c r="U191" s="5" t="s">
        <v>228</v>
      </c>
      <c r="V191" s="6" t="s">
        <v>3169</v>
      </c>
      <c r="W191" s="6" t="s">
        <v>166</v>
      </c>
      <c r="X191" s="6" t="s">
        <v>167</v>
      </c>
      <c r="Y191" s="0" t="str">
        <f aca="false">IF(EU191&lt;&gt;"Y","",COUNTIFS($EU$2:$EU$1000,"Y",$J$2:$J$1000,"&gt;"&amp;J191)+COUNTIFS($EU$2:$EU$1000,"Y",$J$2:$J$1000,J191,$EW$2:$EW$1000,"&lt;"&amp;EW191)+1)</f>
        <v/>
      </c>
      <c r="Z191" s="0" t="n">
        <v>190</v>
      </c>
      <c r="AA191" s="6" t="s">
        <v>162</v>
      </c>
      <c r="AD191" s="6" t="s">
        <v>158</v>
      </c>
      <c r="AH191" s="5" t="s">
        <v>158</v>
      </c>
      <c r="AI191" s="6" t="s">
        <v>3170</v>
      </c>
      <c r="AJ191" s="6" t="s">
        <v>163</v>
      </c>
      <c r="AK191" s="6" t="s">
        <v>3171</v>
      </c>
      <c r="AL191" s="6" t="s">
        <v>163</v>
      </c>
      <c r="AM191" s="6" t="s">
        <v>163</v>
      </c>
      <c r="AN191" s="6" t="s">
        <v>158</v>
      </c>
      <c r="AO191" s="6" t="s">
        <v>163</v>
      </c>
      <c r="AP191" s="6" t="s">
        <v>2799</v>
      </c>
      <c r="AQ191" s="5" t="s">
        <v>162</v>
      </c>
      <c r="AT191" s="0" t="str">
        <f aca="false">IF(AND(AX191="pass",AQ191&lt;&gt;"Y",C191&lt;&gt;"",OR(AW191&lt;&gt;"Y",AV191="Y")),"Y","N")</f>
        <v>N</v>
      </c>
      <c r="AU191" s="0" t="str">
        <f aca="false">_xlfn.TEXTJOIN("; ",TRUE(),IF(AX191&lt;&gt;"pass","gated out",""),IF(AQ191="Y","on hold: "&amp;AR191,""),IF(C191="","no contact named on an opened page",""),IF(AND(AW191="Y",AV191&lt;&gt;"Y"),"Tuesday estimate band "&amp;L191&amp;": founder's call",""))</f>
        <v>no contact named on an opened page</v>
      </c>
      <c r="AW191" s="6" t="s">
        <v>162</v>
      </c>
      <c r="AX191" s="6" t="s">
        <v>181</v>
      </c>
      <c r="AY191" s="6" t="s">
        <v>182</v>
      </c>
      <c r="AZ191" s="6" t="s">
        <v>2229</v>
      </c>
      <c r="BA191" s="6" t="s">
        <v>3172</v>
      </c>
      <c r="BB191" s="6" t="s">
        <v>2801</v>
      </c>
      <c r="BC191" s="6" t="s">
        <v>2232</v>
      </c>
      <c r="BD191" s="6" t="s">
        <v>163</v>
      </c>
      <c r="BF191" s="6" t="s">
        <v>163</v>
      </c>
      <c r="BG191" s="6" t="s">
        <v>163</v>
      </c>
      <c r="BK191" s="6" t="s">
        <v>163</v>
      </c>
      <c r="BL191" s="6" t="s">
        <v>2233</v>
      </c>
      <c r="BM191" s="6" t="s">
        <v>163</v>
      </c>
      <c r="BN191" s="6" t="s">
        <v>2802</v>
      </c>
      <c r="BP191" s="6" t="s">
        <v>244</v>
      </c>
      <c r="BQ191" s="0" t="n">
        <v>40.74441</v>
      </c>
      <c r="BR191" s="0" t="n">
        <v>-73.987275</v>
      </c>
      <c r="BS191" s="6" t="s">
        <v>168</v>
      </c>
      <c r="BT191" s="0" t="n">
        <v>0</v>
      </c>
      <c r="BU191" s="6" t="s">
        <v>2670</v>
      </c>
      <c r="BV191" s="6" t="s">
        <v>2671</v>
      </c>
      <c r="BW191" s="6" t="s">
        <v>3169</v>
      </c>
      <c r="BX191" s="6" t="s">
        <v>166</v>
      </c>
      <c r="BY191" s="6" t="s">
        <v>2237</v>
      </c>
      <c r="CC191" s="6" t="s">
        <v>739</v>
      </c>
      <c r="CE191" s="6" t="s">
        <v>162</v>
      </c>
      <c r="CF191" s="6" t="s">
        <v>3172</v>
      </c>
      <c r="CG191" s="6" t="s">
        <v>2239</v>
      </c>
      <c r="CH191" s="6" t="s">
        <v>201</v>
      </c>
      <c r="CI191" s="6" t="s">
        <v>2673</v>
      </c>
      <c r="CJ191" s="6" t="s">
        <v>163</v>
      </c>
      <c r="CK191" s="6" t="s">
        <v>162</v>
      </c>
      <c r="CL191" s="6" t="s">
        <v>163</v>
      </c>
      <c r="CO191" s="6" t="s">
        <v>163</v>
      </c>
      <c r="CQ191" s="6" t="s">
        <v>2240</v>
      </c>
      <c r="CR191" s="6" t="s">
        <v>206</v>
      </c>
      <c r="CS191" s="6" t="s">
        <v>163</v>
      </c>
      <c r="CT191" s="0" t="n">
        <v>29</v>
      </c>
      <c r="CU191" s="0" t="n">
        <v>7</v>
      </c>
      <c r="CV191" s="0" t="n">
        <v>8</v>
      </c>
      <c r="CW191" s="0" t="n">
        <v>6</v>
      </c>
      <c r="CX191" s="0" t="n">
        <v>8</v>
      </c>
      <c r="CY191" s="6" t="n">
        <f aca="false">IF(AH191="exact",10,IF(AH191="adjacent",5,0))</f>
        <v>0</v>
      </c>
      <c r="CZ191" s="6" t="n">
        <f aca="false">IF(R191="Y",15,0)</f>
        <v>0</v>
      </c>
      <c r="DF191" s="6" t="s">
        <v>158</v>
      </c>
      <c r="DG191" s="6" t="s">
        <v>2229</v>
      </c>
      <c r="DK191" s="6" t="s">
        <v>3173</v>
      </c>
      <c r="DS191" s="6" t="s">
        <v>158</v>
      </c>
      <c r="DX191" s="6" t="s">
        <v>162</v>
      </c>
      <c r="DZ191" s="6" t="s">
        <v>3174</v>
      </c>
      <c r="ER191" s="0" t="str">
        <f aca="false">IF(ISNUMBER(MATCH(U191,{"queued","contacted","replied","call_booked","call_done","yes_in_principle","materials_sent"},0)),"Y","N")</f>
        <v>N</v>
      </c>
      <c r="ES191" s="0" t="str">
        <f aca="false">IF(COUNTIFS($AP$2:$AP$1000,AP191,$ER$2:$ER$1000,"Y")+COUNTIFS($AP$2:$AP$1000,AP191,$T$2:$T$1000,"Y")&gt;0,"Y","N")</f>
        <v>N</v>
      </c>
      <c r="ET191" s="0" t="str">
        <f aca="false">IF(AND(U191="new",T191="N",AT191="Y",AS191="",ES191="N"),"Y","N")</f>
        <v>N</v>
      </c>
      <c r="EU191" s="0" t="str">
        <f aca="false">IF(ET191&lt;&gt;"Y","N",IF(COUNTIFS($AP$2:$AP$1000,AP191,$ET$2:$ET$1000,"Y",$J$2:$J$1000,"&gt;"&amp;J191)+COUNTIFS($AP$2:$AP$1000,AP191,$ET$2:$ET$1000,"Y",$J$2:$J$1000,J191,$EW$2:$EW$1000,"&lt;"&amp;EW191)=0,"Y","N"))</f>
        <v>N</v>
      </c>
      <c r="EV191" s="0" t="str">
        <f aca="false">IF(Y191="","N",IF(Y191&lt;=10,"Y","N"))</f>
        <v>N</v>
      </c>
      <c r="EW191" s="6" t="n">
        <f aca="false">ROW()-1</f>
        <v>190</v>
      </c>
    </row>
    <row r="192" customFormat="false" ht="15" hidden="false" customHeight="false" outlineLevel="0" collapsed="false">
      <c r="A192" s="0" t="s">
        <v>3175</v>
      </c>
      <c r="B192" s="0" t="s">
        <v>3176</v>
      </c>
      <c r="H192" s="5" t="s">
        <v>158</v>
      </c>
      <c r="I192" s="5" t="s">
        <v>159</v>
      </c>
      <c r="J192" s="6" t="n">
        <f aca="false">IF(AX192="pass",ROUND(CU192+CV192+CW192+CX192+CY192+CZ192,1),0)</f>
        <v>28.2</v>
      </c>
      <c r="K192" s="6" t="s">
        <v>3177</v>
      </c>
      <c r="L192" s="6" t="s">
        <v>240</v>
      </c>
      <c r="R192" s="5" t="s">
        <v>162</v>
      </c>
      <c r="S192" s="6" t="s">
        <v>163</v>
      </c>
      <c r="T192" s="5" t="s">
        <v>162</v>
      </c>
      <c r="U192" s="5" t="s">
        <v>228</v>
      </c>
      <c r="V192" s="6" t="s">
        <v>3178</v>
      </c>
      <c r="W192" s="6" t="s">
        <v>166</v>
      </c>
      <c r="X192" s="6" t="s">
        <v>167</v>
      </c>
      <c r="Y192" s="0" t="str">
        <f aca="false">IF(EU192&lt;&gt;"Y","",COUNTIFS($EU$2:$EU$1000,"Y",$J$2:$J$1000,"&gt;"&amp;J192)+COUNTIFS($EU$2:$EU$1000,"Y",$J$2:$J$1000,J192,$EW$2:$EW$1000,"&lt;"&amp;EW192)+1)</f>
        <v/>
      </c>
      <c r="Z192" s="0" t="n">
        <v>191</v>
      </c>
      <c r="AA192" s="6" t="s">
        <v>162</v>
      </c>
      <c r="AB192" s="6" t="s">
        <v>1662</v>
      </c>
      <c r="AD192" s="6" t="s">
        <v>158</v>
      </c>
      <c r="AH192" s="5" t="s">
        <v>158</v>
      </c>
      <c r="AI192" s="6" t="s">
        <v>623</v>
      </c>
      <c r="AJ192" s="6" t="s">
        <v>273</v>
      </c>
      <c r="AK192" s="6" t="s">
        <v>178</v>
      </c>
      <c r="AL192" s="0" t="n">
        <v>235</v>
      </c>
      <c r="AM192" s="0" t="n">
        <v>470</v>
      </c>
      <c r="AN192" s="6" t="s">
        <v>179</v>
      </c>
      <c r="AO192" s="6" t="s">
        <v>862</v>
      </c>
      <c r="AP192" s="6" t="s">
        <v>3175</v>
      </c>
      <c r="AQ192" s="5" t="s">
        <v>162</v>
      </c>
      <c r="AT192" s="0" t="str">
        <f aca="false">IF(AND(AX192="pass",AQ192&lt;&gt;"Y",C192&lt;&gt;"",OR(AW192&lt;&gt;"Y",AV192="Y")),"Y","N")</f>
        <v>N</v>
      </c>
      <c r="AU192" s="0" t="str">
        <f aca="false">_xlfn.TEXTJOIN("; ",TRUE(),IF(AX192&lt;&gt;"pass","gated out",""),IF(AQ192="Y","on hold: "&amp;AR192,""),IF(C192="","no contact named on an opened page",""),IF(AND(AW192="Y",AV192&lt;&gt;"Y"),"Tuesday estimate band "&amp;L192&amp;": founder's call",""))</f>
        <v>no contact named on an opened page; Tuesday estimate band 251-500: founder's call</v>
      </c>
      <c r="AW192" s="6" t="s">
        <v>168</v>
      </c>
      <c r="AX192" s="6" t="s">
        <v>181</v>
      </c>
      <c r="AY192" s="6" t="s">
        <v>182</v>
      </c>
      <c r="AZ192" s="6" t="s">
        <v>1</v>
      </c>
      <c r="BA192" s="6" t="s">
        <v>3179</v>
      </c>
      <c r="BB192" s="6" t="s">
        <v>3180</v>
      </c>
      <c r="BC192" s="6" t="s">
        <v>3181</v>
      </c>
      <c r="BD192" s="6" t="s">
        <v>3182</v>
      </c>
      <c r="BF192" s="6" t="s">
        <v>1323</v>
      </c>
      <c r="BG192" s="6" t="s">
        <v>188</v>
      </c>
      <c r="BH192" s="6" t="s">
        <v>189</v>
      </c>
      <c r="BI192" s="6" t="s">
        <v>3183</v>
      </c>
      <c r="BK192" s="6" t="s">
        <v>1264</v>
      </c>
      <c r="BL192" s="6" t="s">
        <v>192</v>
      </c>
      <c r="BM192" s="6" t="s">
        <v>168</v>
      </c>
      <c r="BN192" s="6" t="s">
        <v>163</v>
      </c>
      <c r="BO192" s="6" t="s">
        <v>163</v>
      </c>
      <c r="BP192" s="6" t="s">
        <v>378</v>
      </c>
      <c r="BQ192" s="0" t="n">
        <v>40.74024</v>
      </c>
      <c r="BR192" s="0" t="n">
        <v>-73.994996</v>
      </c>
      <c r="BS192" s="6" t="s">
        <v>168</v>
      </c>
      <c r="BT192" s="0" t="n">
        <v>0</v>
      </c>
      <c r="BU192" s="6" t="s">
        <v>632</v>
      </c>
      <c r="BV192" s="6" t="s">
        <v>633</v>
      </c>
      <c r="BW192" s="6" t="s">
        <v>3178</v>
      </c>
      <c r="BX192" s="6" t="s">
        <v>166</v>
      </c>
      <c r="BY192" s="6" t="s">
        <v>445</v>
      </c>
      <c r="BZ192" s="6" t="s">
        <v>622</v>
      </c>
      <c r="CA192" s="6" t="s">
        <v>634</v>
      </c>
      <c r="CC192" s="6" t="s">
        <v>200</v>
      </c>
      <c r="CE192" s="6" t="s">
        <v>162</v>
      </c>
      <c r="CH192" s="6" t="s">
        <v>163</v>
      </c>
      <c r="CJ192" s="6" t="s">
        <v>163</v>
      </c>
      <c r="CK192" s="6" t="s">
        <v>162</v>
      </c>
      <c r="CL192" s="6" t="s">
        <v>1911</v>
      </c>
      <c r="CM192" s="6" t="s">
        <v>3178</v>
      </c>
      <c r="CN192" s="6" t="s">
        <v>174</v>
      </c>
      <c r="CO192" s="0" t="n">
        <v>332</v>
      </c>
      <c r="CP192" s="6" t="s">
        <v>251</v>
      </c>
      <c r="CQ192" s="6" t="s">
        <v>3184</v>
      </c>
      <c r="CR192" s="6" t="s">
        <v>206</v>
      </c>
      <c r="CS192" s="0" t="n">
        <v>0.09</v>
      </c>
      <c r="CT192" s="0" t="n">
        <v>28.2</v>
      </c>
      <c r="CU192" s="0" t="n">
        <v>2.2</v>
      </c>
      <c r="CV192" s="0" t="n">
        <v>6</v>
      </c>
      <c r="CW192" s="0" t="n">
        <v>5</v>
      </c>
      <c r="CX192" s="0" t="n">
        <v>15</v>
      </c>
      <c r="CY192" s="6" t="n">
        <f aca="false">IF(AH192="exact",10,IF(AH192="adjacent",5,0))</f>
        <v>0</v>
      </c>
      <c r="CZ192" s="6" t="n">
        <f aca="false">IF(R192="Y",15,0)</f>
        <v>0</v>
      </c>
      <c r="DF192" s="6" t="s">
        <v>158</v>
      </c>
      <c r="DG192" s="6" t="s">
        <v>1336</v>
      </c>
      <c r="DH192" s="6" t="s">
        <v>1337</v>
      </c>
      <c r="DI192" s="6" t="s">
        <v>162</v>
      </c>
      <c r="DJ192" s="6" t="s">
        <v>638</v>
      </c>
      <c r="DK192" s="6" t="s">
        <v>3185</v>
      </c>
      <c r="DS192" s="6" t="s">
        <v>158</v>
      </c>
      <c r="DX192" s="6" t="s">
        <v>162</v>
      </c>
      <c r="ER192" s="0" t="str">
        <f aca="false">IF(ISNUMBER(MATCH(U192,{"queued","contacted","replied","call_booked","call_done","yes_in_principle","materials_sent"},0)),"Y","N")</f>
        <v>N</v>
      </c>
      <c r="ES192" s="0" t="str">
        <f aca="false">IF(COUNTIFS($AP$2:$AP$1000,AP192,$ER$2:$ER$1000,"Y")+COUNTIFS($AP$2:$AP$1000,AP192,$T$2:$T$1000,"Y")&gt;0,"Y","N")</f>
        <v>N</v>
      </c>
      <c r="ET192" s="0" t="str">
        <f aca="false">IF(AND(U192="new",T192="N",AT192="Y",AS192="",ES192="N"),"Y","N")</f>
        <v>N</v>
      </c>
      <c r="EU192" s="0" t="str">
        <f aca="false">IF(ET192&lt;&gt;"Y","N",IF(COUNTIFS($AP$2:$AP$1000,AP192,$ET$2:$ET$1000,"Y",$J$2:$J$1000,"&gt;"&amp;J192)+COUNTIFS($AP$2:$AP$1000,AP192,$ET$2:$ET$1000,"Y",$J$2:$J$1000,J192,$EW$2:$EW$1000,"&lt;"&amp;EW192)=0,"Y","N"))</f>
        <v>N</v>
      </c>
      <c r="EV192" s="0" t="str">
        <f aca="false">IF(Y192="","N",IF(Y192&lt;=10,"Y","N"))</f>
        <v>N</v>
      </c>
      <c r="EW192" s="6" t="n">
        <f aca="false">ROW()-1</f>
        <v>191</v>
      </c>
    </row>
    <row r="193" customFormat="false" ht="15" hidden="false" customHeight="false" outlineLevel="0" collapsed="false">
      <c r="A193" s="0" t="s">
        <v>3186</v>
      </c>
      <c r="B193" s="0" t="s">
        <v>3187</v>
      </c>
      <c r="H193" s="5" t="s">
        <v>158</v>
      </c>
      <c r="I193" s="5" t="s">
        <v>159</v>
      </c>
      <c r="J193" s="6" t="n">
        <f aca="false">IF(AX193="pass",ROUND(CU193+CV193+CW193+CX193+CY193+CZ193,1),0)</f>
        <v>28.1</v>
      </c>
      <c r="K193" s="6" t="s">
        <v>3188</v>
      </c>
      <c r="L193" s="6" t="s">
        <v>395</v>
      </c>
      <c r="R193" s="5" t="s">
        <v>162</v>
      </c>
      <c r="S193" s="6" t="s">
        <v>163</v>
      </c>
      <c r="T193" s="5" t="s">
        <v>162</v>
      </c>
      <c r="U193" s="5" t="s">
        <v>228</v>
      </c>
      <c r="V193" s="6" t="s">
        <v>2609</v>
      </c>
      <c r="W193" s="6" t="s">
        <v>166</v>
      </c>
      <c r="X193" s="6" t="s">
        <v>167</v>
      </c>
      <c r="Y193" s="0" t="str">
        <f aca="false">IF(EU193&lt;&gt;"Y","",COUNTIFS($EU$2:$EU$1000,"Y",$J$2:$J$1000,"&gt;"&amp;J193)+COUNTIFS($EU$2:$EU$1000,"Y",$J$2:$J$1000,J193,$EW$2:$EW$1000,"&lt;"&amp;EW193)+1)</f>
        <v/>
      </c>
      <c r="Z193" s="0" t="n">
        <v>192</v>
      </c>
      <c r="AA193" s="6" t="s">
        <v>162</v>
      </c>
      <c r="AD193" s="6" t="s">
        <v>158</v>
      </c>
      <c r="AH193" s="5" t="s">
        <v>158</v>
      </c>
      <c r="AI193" s="6" t="s">
        <v>2610</v>
      </c>
      <c r="AJ193" s="6" t="s">
        <v>163</v>
      </c>
      <c r="AK193" s="6" t="s">
        <v>3189</v>
      </c>
      <c r="AL193" s="0" t="n">
        <v>15</v>
      </c>
      <c r="AM193" s="0" t="n">
        <v>309</v>
      </c>
      <c r="AN193" s="6" t="s">
        <v>179</v>
      </c>
      <c r="AO193" s="6" t="s">
        <v>370</v>
      </c>
      <c r="AP193" s="6" t="s">
        <v>3186</v>
      </c>
      <c r="AQ193" s="5" t="s">
        <v>168</v>
      </c>
      <c r="AR193" s="6" t="s">
        <v>3190</v>
      </c>
      <c r="AT193" s="0" t="str">
        <f aca="false">IF(AND(AX193="pass",AQ193&lt;&gt;"Y",C193&lt;&gt;"",OR(AW193&lt;&gt;"Y",AV193="Y")),"Y","N")</f>
        <v>N</v>
      </c>
      <c r="AU193" s="0" t="str">
        <f aca="false">_xlfn.TEXTJOIN("; ",TRUE(),IF(AX193&lt;&gt;"pass","gated out",""),IF(AQ193="Y","on hold: "&amp;AR193,""),IF(C193="","no contact named on an opened page",""),IF(AND(AW193="Y",AV193&lt;&gt;"Y"),"Tuesday estimate band "&amp;L193&amp;": founder's call",""))</f>
        <v>on hold: moving out of this address: confirm where the office will be before outreach (B); no contact named on an opened page</v>
      </c>
      <c r="AW193" s="6" t="s">
        <v>162</v>
      </c>
      <c r="AX193" s="6" t="s">
        <v>181</v>
      </c>
      <c r="AY193" s="6" t="s">
        <v>182</v>
      </c>
      <c r="AZ193" s="6" t="s">
        <v>1</v>
      </c>
      <c r="BA193" s="6" t="s">
        <v>3191</v>
      </c>
      <c r="BB193" s="6" t="s">
        <v>163</v>
      </c>
      <c r="BC193" s="6" t="s">
        <v>3192</v>
      </c>
      <c r="BD193" s="6" t="s">
        <v>1262</v>
      </c>
      <c r="BF193" s="6" t="s">
        <v>1323</v>
      </c>
      <c r="BG193" s="6" t="s">
        <v>188</v>
      </c>
      <c r="BH193" s="6" t="s">
        <v>189</v>
      </c>
      <c r="BI193" s="6" t="s">
        <v>3193</v>
      </c>
      <c r="BK193" s="6" t="s">
        <v>1264</v>
      </c>
      <c r="BL193" s="6" t="s">
        <v>3194</v>
      </c>
      <c r="BM193" s="6" t="s">
        <v>162</v>
      </c>
      <c r="BN193" s="6" t="s">
        <v>163</v>
      </c>
      <c r="BO193" s="6" t="s">
        <v>163</v>
      </c>
      <c r="BP193" s="6" t="s">
        <v>378</v>
      </c>
      <c r="BQ193" s="0" t="n">
        <v>40.738186</v>
      </c>
      <c r="BR193" s="0" t="n">
        <v>-73.992429</v>
      </c>
      <c r="BS193" s="6" t="s">
        <v>168</v>
      </c>
      <c r="BT193" s="0" t="n">
        <v>0</v>
      </c>
      <c r="BU193" s="6" t="s">
        <v>2613</v>
      </c>
      <c r="BV193" s="6" t="s">
        <v>2610</v>
      </c>
      <c r="BW193" s="6" t="s">
        <v>2609</v>
      </c>
      <c r="BX193" s="6" t="s">
        <v>2614</v>
      </c>
      <c r="BY193" s="6" t="s">
        <v>248</v>
      </c>
      <c r="CC193" s="6" t="s">
        <v>179</v>
      </c>
      <c r="CD193" s="6" t="s">
        <v>163</v>
      </c>
      <c r="CE193" s="6" t="s">
        <v>162</v>
      </c>
      <c r="CH193" s="6" t="s">
        <v>163</v>
      </c>
      <c r="CJ193" s="6" t="s">
        <v>163</v>
      </c>
      <c r="CK193" s="6" t="s">
        <v>162</v>
      </c>
      <c r="CL193" s="6" t="s">
        <v>382</v>
      </c>
      <c r="CM193" s="6" t="s">
        <v>3195</v>
      </c>
      <c r="CN193" s="6" t="s">
        <v>174</v>
      </c>
      <c r="CO193" s="0" t="n">
        <v>68</v>
      </c>
      <c r="CP193" s="6" t="s">
        <v>768</v>
      </c>
      <c r="CQ193" s="6" t="s">
        <v>3196</v>
      </c>
      <c r="CR193" s="6" t="s">
        <v>206</v>
      </c>
      <c r="CS193" s="0" t="n">
        <v>0.61</v>
      </c>
      <c r="CT193" s="0" t="n">
        <v>28.1</v>
      </c>
      <c r="CU193" s="0" t="n">
        <v>15.1</v>
      </c>
      <c r="CV193" s="0" t="n">
        <v>6</v>
      </c>
      <c r="CW193" s="0" t="n">
        <v>7</v>
      </c>
      <c r="CX193" s="0" t="n">
        <v>0</v>
      </c>
      <c r="CY193" s="6" t="n">
        <f aca="false">IF(AH193="exact",10,IF(AH193="adjacent",5,0))</f>
        <v>0</v>
      </c>
      <c r="CZ193" s="6" t="n">
        <f aca="false">IF(R193="Y",15,0)</f>
        <v>0</v>
      </c>
      <c r="DF193" s="6" t="s">
        <v>158</v>
      </c>
      <c r="DG193" s="6" t="s">
        <v>1336</v>
      </c>
      <c r="DH193" s="6" t="s">
        <v>1337</v>
      </c>
      <c r="DI193" s="6" t="s">
        <v>162</v>
      </c>
      <c r="DJ193" s="6" t="s">
        <v>3197</v>
      </c>
      <c r="DK193" s="6" t="s">
        <v>3198</v>
      </c>
      <c r="DS193" s="6" t="s">
        <v>158</v>
      </c>
      <c r="DX193" s="6" t="s">
        <v>162</v>
      </c>
      <c r="ER193" s="0" t="str">
        <f aca="false">IF(ISNUMBER(MATCH(U193,{"queued","contacted","replied","call_booked","call_done","yes_in_principle","materials_sent"},0)),"Y","N")</f>
        <v>N</v>
      </c>
      <c r="ES193" s="0" t="str">
        <f aca="false">IF(COUNTIFS($AP$2:$AP$1000,AP193,$ER$2:$ER$1000,"Y")+COUNTIFS($AP$2:$AP$1000,AP193,$T$2:$T$1000,"Y")&gt;0,"Y","N")</f>
        <v>N</v>
      </c>
      <c r="ET193" s="0" t="str">
        <f aca="false">IF(AND(U193="new",T193="N",AT193="Y",AS193="",ES193="N"),"Y","N")</f>
        <v>N</v>
      </c>
      <c r="EU193" s="0" t="str">
        <f aca="false">IF(ET193&lt;&gt;"Y","N",IF(COUNTIFS($AP$2:$AP$1000,AP193,$ET$2:$ET$1000,"Y",$J$2:$J$1000,"&gt;"&amp;J193)+COUNTIFS($AP$2:$AP$1000,AP193,$ET$2:$ET$1000,"Y",$J$2:$J$1000,J193,$EW$2:$EW$1000,"&lt;"&amp;EW193)=0,"Y","N"))</f>
        <v>N</v>
      </c>
      <c r="EV193" s="0" t="str">
        <f aca="false">IF(Y193="","N",IF(Y193&lt;=10,"Y","N"))</f>
        <v>N</v>
      </c>
      <c r="EW193" s="6" t="n">
        <f aca="false">ROW()-1</f>
        <v>192</v>
      </c>
    </row>
    <row r="194" customFormat="false" ht="15" hidden="false" customHeight="false" outlineLevel="0" collapsed="false">
      <c r="A194" s="0" t="s">
        <v>3199</v>
      </c>
      <c r="B194" s="0" t="s">
        <v>3200</v>
      </c>
      <c r="H194" s="5" t="s">
        <v>158</v>
      </c>
      <c r="I194" s="5" t="s">
        <v>159</v>
      </c>
      <c r="J194" s="6" t="n">
        <f aca="false">IF(AX194="pass",ROUND(CU194+CV194+CW194+CX194+CY194+CZ194,1),0)</f>
        <v>28</v>
      </c>
      <c r="K194" s="6" t="s">
        <v>3201</v>
      </c>
      <c r="L194" s="6" t="s">
        <v>240</v>
      </c>
      <c r="R194" s="5" t="s">
        <v>162</v>
      </c>
      <c r="S194" s="6" t="s">
        <v>163</v>
      </c>
      <c r="T194" s="5" t="s">
        <v>162</v>
      </c>
      <c r="U194" s="5" t="s">
        <v>228</v>
      </c>
      <c r="V194" s="6" t="s">
        <v>3202</v>
      </c>
      <c r="W194" s="6" t="s">
        <v>166</v>
      </c>
      <c r="X194" s="6" t="s">
        <v>167</v>
      </c>
      <c r="Y194" s="0" t="str">
        <f aca="false">IF(EU194&lt;&gt;"Y","",COUNTIFS($EU$2:$EU$1000,"Y",$J$2:$J$1000,"&gt;"&amp;J194)+COUNTIFS($EU$2:$EU$1000,"Y",$J$2:$J$1000,J194,$EW$2:$EW$1000,"&lt;"&amp;EW194)+1)</f>
        <v/>
      </c>
      <c r="Z194" s="0" t="n">
        <v>193</v>
      </c>
      <c r="AA194" s="6" t="s">
        <v>162</v>
      </c>
      <c r="AB194" s="6" t="s">
        <v>1662</v>
      </c>
      <c r="AD194" s="6" t="s">
        <v>158</v>
      </c>
      <c r="AH194" s="5" t="s">
        <v>158</v>
      </c>
      <c r="AI194" s="6" t="s">
        <v>1992</v>
      </c>
      <c r="AJ194" s="6" t="s">
        <v>163</v>
      </c>
      <c r="AK194" s="6" t="s">
        <v>178</v>
      </c>
      <c r="AL194" s="0" t="n">
        <v>108</v>
      </c>
      <c r="AM194" s="0" t="n">
        <v>2150</v>
      </c>
      <c r="AN194" s="6" t="s">
        <v>179</v>
      </c>
      <c r="AO194" s="6" t="s">
        <v>163</v>
      </c>
      <c r="AP194" s="6" t="s">
        <v>3199</v>
      </c>
      <c r="AQ194" s="5" t="s">
        <v>162</v>
      </c>
      <c r="AT194" s="0" t="str">
        <f aca="false">IF(AND(AX194="pass",AQ194&lt;&gt;"Y",C194&lt;&gt;"",OR(AW194&lt;&gt;"Y",AV194="Y")),"Y","N")</f>
        <v>N</v>
      </c>
      <c r="AU194" s="0" t="str">
        <f aca="false">_xlfn.TEXTJOIN("; ",TRUE(),IF(AX194&lt;&gt;"pass","gated out",""),IF(AQ194="Y","on hold: "&amp;AR194,""),IF(C194="","no contact named on an opened page",""),IF(AND(AW194="Y",AV194&lt;&gt;"Y"),"Tuesday estimate band "&amp;L194&amp;": founder's call",""))</f>
        <v>no contact named on an opened page; Tuesday estimate band 251-500: founder's call</v>
      </c>
      <c r="AW194" s="6" t="s">
        <v>168</v>
      </c>
      <c r="AX194" s="6" t="s">
        <v>181</v>
      </c>
      <c r="AY194" s="6" t="s">
        <v>182</v>
      </c>
      <c r="AZ194" s="6" t="s">
        <v>1</v>
      </c>
      <c r="BA194" s="6" t="s">
        <v>3203</v>
      </c>
      <c r="BB194" s="6" t="s">
        <v>3204</v>
      </c>
      <c r="BC194" s="6" t="s">
        <v>3205</v>
      </c>
      <c r="BD194" s="6" t="s">
        <v>3206</v>
      </c>
      <c r="BF194" s="6" t="s">
        <v>1323</v>
      </c>
      <c r="BG194" s="6" t="s">
        <v>188</v>
      </c>
      <c r="BH194" s="6" t="s">
        <v>189</v>
      </c>
      <c r="BI194" s="6" t="s">
        <v>3207</v>
      </c>
      <c r="BK194" s="6" t="s">
        <v>1440</v>
      </c>
      <c r="BL194" s="6" t="s">
        <v>163</v>
      </c>
      <c r="BM194" s="6" t="s">
        <v>163</v>
      </c>
      <c r="BN194" s="6" t="s">
        <v>163</v>
      </c>
      <c r="BO194" s="6" t="s">
        <v>163</v>
      </c>
      <c r="BP194" s="6" t="s">
        <v>347</v>
      </c>
      <c r="BQ194" s="0" t="n">
        <v>40.741141</v>
      </c>
      <c r="BR194" s="0" t="n">
        <v>-73.987489</v>
      </c>
      <c r="BS194" s="6" t="s">
        <v>168</v>
      </c>
      <c r="BT194" s="0" t="n">
        <v>0</v>
      </c>
      <c r="BV194" s="6" t="s">
        <v>163</v>
      </c>
      <c r="BW194" s="6" t="s">
        <v>3202</v>
      </c>
      <c r="BX194" s="6" t="s">
        <v>3208</v>
      </c>
      <c r="BY194" s="6" t="s">
        <v>3209</v>
      </c>
      <c r="CC194" s="6" t="s">
        <v>739</v>
      </c>
      <c r="CE194" s="6" t="s">
        <v>162</v>
      </c>
      <c r="CH194" s="6" t="s">
        <v>163</v>
      </c>
      <c r="CJ194" s="6" t="s">
        <v>163</v>
      </c>
      <c r="CK194" s="6" t="s">
        <v>162</v>
      </c>
      <c r="CL194" s="6" t="s">
        <v>163</v>
      </c>
      <c r="CO194" s="0" t="n">
        <v>482</v>
      </c>
      <c r="CP194" s="6" t="s">
        <v>251</v>
      </c>
      <c r="CQ194" s="6" t="s">
        <v>3210</v>
      </c>
      <c r="CR194" s="6" t="s">
        <v>206</v>
      </c>
      <c r="CS194" s="0" t="n">
        <v>0.28</v>
      </c>
      <c r="CT194" s="0" t="n">
        <v>28</v>
      </c>
      <c r="CU194" s="0" t="n">
        <v>7</v>
      </c>
      <c r="CV194" s="0" t="n">
        <v>2</v>
      </c>
      <c r="CW194" s="0" t="n">
        <v>6</v>
      </c>
      <c r="CX194" s="0" t="n">
        <v>13</v>
      </c>
      <c r="CY194" s="6" t="n">
        <f aca="false">IF(AH194="exact",10,IF(AH194="adjacent",5,0))</f>
        <v>0</v>
      </c>
      <c r="CZ194" s="6" t="n">
        <f aca="false">IF(R194="Y",15,0)</f>
        <v>0</v>
      </c>
      <c r="DF194" s="6" t="s">
        <v>158</v>
      </c>
      <c r="DG194" s="6" t="s">
        <v>1336</v>
      </c>
      <c r="DH194" s="6" t="s">
        <v>1447</v>
      </c>
      <c r="DI194" s="6" t="s">
        <v>162</v>
      </c>
      <c r="DK194" s="6" t="s">
        <v>3211</v>
      </c>
      <c r="DS194" s="6" t="s">
        <v>158</v>
      </c>
      <c r="DX194" s="6" t="s">
        <v>162</v>
      </c>
      <c r="ER194" s="0" t="str">
        <f aca="false">IF(ISNUMBER(MATCH(U194,{"queued","contacted","replied","call_booked","call_done","yes_in_principle","materials_sent"},0)),"Y","N")</f>
        <v>N</v>
      </c>
      <c r="ES194" s="0" t="str">
        <f aca="false">IF(COUNTIFS($AP$2:$AP$1000,AP194,$ER$2:$ER$1000,"Y")+COUNTIFS($AP$2:$AP$1000,AP194,$T$2:$T$1000,"Y")&gt;0,"Y","N")</f>
        <v>N</v>
      </c>
      <c r="ET194" s="0" t="str">
        <f aca="false">IF(AND(U194="new",T194="N",AT194="Y",AS194="",ES194="N"),"Y","N")</f>
        <v>N</v>
      </c>
      <c r="EU194" s="0" t="str">
        <f aca="false">IF(ET194&lt;&gt;"Y","N",IF(COUNTIFS($AP$2:$AP$1000,AP194,$ET$2:$ET$1000,"Y",$J$2:$J$1000,"&gt;"&amp;J194)+COUNTIFS($AP$2:$AP$1000,AP194,$ET$2:$ET$1000,"Y",$J$2:$J$1000,J194,$EW$2:$EW$1000,"&lt;"&amp;EW194)=0,"Y","N"))</f>
        <v>N</v>
      </c>
      <c r="EV194" s="0" t="str">
        <f aca="false">IF(Y194="","N",IF(Y194&lt;=10,"Y","N"))</f>
        <v>N</v>
      </c>
      <c r="EW194" s="6" t="n">
        <f aca="false">ROW()-1</f>
        <v>193</v>
      </c>
    </row>
    <row r="195" customFormat="false" ht="15" hidden="false" customHeight="false" outlineLevel="0" collapsed="false">
      <c r="A195" s="0" t="s">
        <v>3212</v>
      </c>
      <c r="B195" s="0" t="s">
        <v>3213</v>
      </c>
      <c r="H195" s="5" t="s">
        <v>158</v>
      </c>
      <c r="I195" s="5" t="s">
        <v>159</v>
      </c>
      <c r="J195" s="6" t="n">
        <f aca="false">IF(AX195="pass",ROUND(CU195+CV195+CW195+CX195+CY195+CZ195,1),0)</f>
        <v>28</v>
      </c>
      <c r="K195" s="6" t="s">
        <v>3214</v>
      </c>
      <c r="L195" s="6" t="s">
        <v>163</v>
      </c>
      <c r="O195" s="6" t="s">
        <v>3215</v>
      </c>
      <c r="P195" s="6" t="s">
        <v>2923</v>
      </c>
      <c r="Q195" s="6" t="s">
        <v>2924</v>
      </c>
      <c r="R195" s="5" t="s">
        <v>162</v>
      </c>
      <c r="S195" s="6" t="s">
        <v>163</v>
      </c>
      <c r="T195" s="5" t="s">
        <v>162</v>
      </c>
      <c r="U195" s="5" t="s">
        <v>228</v>
      </c>
      <c r="V195" s="6" t="s">
        <v>2923</v>
      </c>
      <c r="W195" s="6" t="s">
        <v>166</v>
      </c>
      <c r="X195" s="6" t="s">
        <v>167</v>
      </c>
      <c r="Y195" s="0" t="str">
        <f aca="false">IF(EU195&lt;&gt;"Y","",COUNTIFS($EU$2:$EU$1000,"Y",$J$2:$J$1000,"&gt;"&amp;J195)+COUNTIFS($EU$2:$EU$1000,"Y",$J$2:$J$1000,J195,$EW$2:$EW$1000,"&lt;"&amp;EW195)+1)</f>
        <v/>
      </c>
      <c r="Z195" s="0" t="n">
        <v>194</v>
      </c>
      <c r="AA195" s="6" t="s">
        <v>162</v>
      </c>
      <c r="AD195" s="6" t="s">
        <v>158</v>
      </c>
      <c r="AH195" s="5" t="s">
        <v>158</v>
      </c>
      <c r="AI195" s="6" t="s">
        <v>1474</v>
      </c>
      <c r="AJ195" s="6" t="s">
        <v>889</v>
      </c>
      <c r="AK195" s="6" t="s">
        <v>890</v>
      </c>
      <c r="AL195" s="6" t="s">
        <v>163</v>
      </c>
      <c r="AM195" s="6" t="s">
        <v>163</v>
      </c>
      <c r="AN195" s="6" t="s">
        <v>158</v>
      </c>
      <c r="AO195" s="6" t="s">
        <v>163</v>
      </c>
      <c r="AP195" s="6" t="s">
        <v>3212</v>
      </c>
      <c r="AQ195" s="5" t="s">
        <v>168</v>
      </c>
      <c r="AR195" s="6" t="s">
        <v>891</v>
      </c>
      <c r="AT195" s="0" t="str">
        <f aca="false">IF(AND(AX195="pass",AQ195&lt;&gt;"Y",C195&lt;&gt;"",OR(AW195&lt;&gt;"Y",AV195="Y")),"Y","N")</f>
        <v>N</v>
      </c>
      <c r="AU195" s="0" t="str">
        <f aca="false">_xlfn.TEXTJOIN("; ",TRUE(),IF(AX195&lt;&gt;"pass","gated out",""),IF(AQ195="Y","on hold: "&amp;AR195,""),IF(C195="","no contact named on an opened page",""),IF(AND(AW195="Y",AV195&lt;&gt;"Y"),"Tuesday estimate band "&amp;L195&amp;": founder's call",""))</f>
        <v>on hold: lease signed, move not confirmed: check the lobby directory before outreach (B); no contact named on an opened page</v>
      </c>
      <c r="AW195" s="6" t="s">
        <v>162</v>
      </c>
      <c r="AX195" s="6" t="s">
        <v>181</v>
      </c>
      <c r="AY195" s="6" t="s">
        <v>182</v>
      </c>
      <c r="AZ195" s="6" t="s">
        <v>1</v>
      </c>
      <c r="BA195" s="6" t="s">
        <v>3216</v>
      </c>
      <c r="BB195" s="6" t="s">
        <v>3217</v>
      </c>
      <c r="BC195" s="6" t="s">
        <v>3218</v>
      </c>
      <c r="BD195" s="6" t="s">
        <v>163</v>
      </c>
      <c r="BF195" s="6" t="s">
        <v>163</v>
      </c>
      <c r="BG195" s="6" t="s">
        <v>163</v>
      </c>
      <c r="BH195" s="6" t="s">
        <v>2196</v>
      </c>
      <c r="BK195" s="6" t="s">
        <v>163</v>
      </c>
      <c r="BL195" s="6" t="s">
        <v>163</v>
      </c>
      <c r="BM195" s="6" t="s">
        <v>163</v>
      </c>
      <c r="BN195" s="6" t="s">
        <v>163</v>
      </c>
      <c r="BO195" s="6" t="s">
        <v>163</v>
      </c>
      <c r="BP195" s="6" t="s">
        <v>347</v>
      </c>
      <c r="BQ195" s="0" t="n">
        <v>40.741968</v>
      </c>
      <c r="BR195" s="0" t="n">
        <v>-73.985327</v>
      </c>
      <c r="BS195" s="6" t="s">
        <v>168</v>
      </c>
      <c r="BT195" s="0" t="n">
        <v>0</v>
      </c>
      <c r="BU195" s="6" t="s">
        <v>1481</v>
      </c>
      <c r="BV195" s="6" t="s">
        <v>1482</v>
      </c>
      <c r="BW195" s="6" t="s">
        <v>2923</v>
      </c>
      <c r="BX195" s="6" t="s">
        <v>2924</v>
      </c>
      <c r="BY195" s="6" t="s">
        <v>248</v>
      </c>
      <c r="BZ195" s="6" t="s">
        <v>2009</v>
      </c>
      <c r="CA195" s="6" t="s">
        <v>2017</v>
      </c>
      <c r="CC195" s="6" t="s">
        <v>200</v>
      </c>
      <c r="CD195" s="6" t="s">
        <v>163</v>
      </c>
      <c r="CE195" s="6" t="s">
        <v>162</v>
      </c>
      <c r="CH195" s="6" t="s">
        <v>163</v>
      </c>
      <c r="CJ195" s="6" t="s">
        <v>163</v>
      </c>
      <c r="CK195" s="6" t="s">
        <v>162</v>
      </c>
      <c r="CL195" s="6" t="s">
        <v>163</v>
      </c>
      <c r="CO195" s="6" t="s">
        <v>163</v>
      </c>
      <c r="CQ195" s="6" t="s">
        <v>2197</v>
      </c>
      <c r="CR195" s="6" t="s">
        <v>206</v>
      </c>
      <c r="CS195" s="6" t="s">
        <v>163</v>
      </c>
      <c r="CT195" s="0" t="n">
        <v>28</v>
      </c>
      <c r="CU195" s="0" t="n">
        <v>7</v>
      </c>
      <c r="CV195" s="0" t="n">
        <v>8</v>
      </c>
      <c r="CW195" s="0" t="n">
        <v>6</v>
      </c>
      <c r="CX195" s="0" t="n">
        <v>7</v>
      </c>
      <c r="CY195" s="6" t="n">
        <f aca="false">IF(AH195="exact",10,IF(AH195="adjacent",5,0))</f>
        <v>0</v>
      </c>
      <c r="CZ195" s="6" t="n">
        <f aca="false">IF(R195="Y",15,0)</f>
        <v>0</v>
      </c>
      <c r="DF195" s="6" t="s">
        <v>158</v>
      </c>
      <c r="DG195" s="6" t="s">
        <v>211</v>
      </c>
      <c r="DJ195" s="6" t="s">
        <v>2021</v>
      </c>
      <c r="DK195" s="6" t="s">
        <v>3219</v>
      </c>
      <c r="DS195" s="6" t="s">
        <v>158</v>
      </c>
      <c r="DX195" s="6" t="s">
        <v>162</v>
      </c>
      <c r="ER195" s="0" t="str">
        <f aca="false">IF(ISNUMBER(MATCH(U195,{"queued","contacted","replied","call_booked","call_done","yes_in_principle","materials_sent"},0)),"Y","N")</f>
        <v>N</v>
      </c>
      <c r="ES195" s="0" t="str">
        <f aca="false">IF(COUNTIFS($AP$2:$AP$1000,AP195,$ER$2:$ER$1000,"Y")+COUNTIFS($AP$2:$AP$1000,AP195,$T$2:$T$1000,"Y")&gt;0,"Y","N")</f>
        <v>N</v>
      </c>
      <c r="ET195" s="0" t="str">
        <f aca="false">IF(AND(U195="new",T195="N",AT195="Y",AS195="",ES195="N"),"Y","N")</f>
        <v>N</v>
      </c>
      <c r="EU195" s="0" t="str">
        <f aca="false">IF(ET195&lt;&gt;"Y","N",IF(COUNTIFS($AP$2:$AP$1000,AP195,$ET$2:$ET$1000,"Y",$J$2:$J$1000,"&gt;"&amp;J195)+COUNTIFS($AP$2:$AP$1000,AP195,$ET$2:$ET$1000,"Y",$J$2:$J$1000,J195,$EW$2:$EW$1000,"&lt;"&amp;EW195)=0,"Y","N"))</f>
        <v>N</v>
      </c>
      <c r="EV195" s="0" t="str">
        <f aca="false">IF(Y195="","N",IF(Y195&lt;=10,"Y","N"))</f>
        <v>N</v>
      </c>
      <c r="EW195" s="6" t="n">
        <f aca="false">ROW()-1</f>
        <v>194</v>
      </c>
    </row>
    <row r="196" customFormat="false" ht="15" hidden="false" customHeight="false" outlineLevel="0" collapsed="false">
      <c r="A196" s="0" t="s">
        <v>3220</v>
      </c>
      <c r="B196" s="0" t="s">
        <v>3221</v>
      </c>
      <c r="H196" s="5" t="s">
        <v>158</v>
      </c>
      <c r="I196" s="5" t="s">
        <v>159</v>
      </c>
      <c r="J196" s="6" t="n">
        <f aca="false">IF(AX196="pass",ROUND(CU196+CV196+CW196+CX196+CY196+CZ196,1),0)</f>
        <v>27.1</v>
      </c>
      <c r="K196" s="6" t="s">
        <v>3222</v>
      </c>
      <c r="L196" s="6" t="s">
        <v>240</v>
      </c>
      <c r="R196" s="5" t="s">
        <v>162</v>
      </c>
      <c r="S196" s="6" t="s">
        <v>163</v>
      </c>
      <c r="T196" s="5" t="s">
        <v>162</v>
      </c>
      <c r="U196" s="5" t="s">
        <v>228</v>
      </c>
      <c r="V196" s="6" t="s">
        <v>1693</v>
      </c>
      <c r="W196" s="6" t="s">
        <v>166</v>
      </c>
      <c r="X196" s="6" t="s">
        <v>167</v>
      </c>
      <c r="Y196" s="0" t="str">
        <f aca="false">IF(EU196&lt;&gt;"Y","",COUNTIFS($EU$2:$EU$1000,"Y",$J$2:$J$1000,"&gt;"&amp;J196)+COUNTIFS($EU$2:$EU$1000,"Y",$J$2:$J$1000,J196,$EW$2:$EW$1000,"&lt;"&amp;EW196)+1)</f>
        <v/>
      </c>
      <c r="Z196" s="0" t="n">
        <v>195</v>
      </c>
      <c r="AA196" s="6" t="s">
        <v>162</v>
      </c>
      <c r="AB196" s="6" t="s">
        <v>1662</v>
      </c>
      <c r="AD196" s="6" t="s">
        <v>158</v>
      </c>
      <c r="AH196" s="5" t="s">
        <v>158</v>
      </c>
      <c r="AI196" s="6" t="s">
        <v>1694</v>
      </c>
      <c r="AJ196" s="6" t="s">
        <v>163</v>
      </c>
      <c r="AK196" s="6" t="s">
        <v>435</v>
      </c>
      <c r="AL196" s="0" t="n">
        <v>66</v>
      </c>
      <c r="AM196" s="0" t="n">
        <v>1311</v>
      </c>
      <c r="AN196" s="6" t="s">
        <v>179</v>
      </c>
      <c r="AO196" s="6" t="s">
        <v>163</v>
      </c>
      <c r="AP196" s="6" t="s">
        <v>3220</v>
      </c>
      <c r="AQ196" s="5" t="s">
        <v>162</v>
      </c>
      <c r="AT196" s="0" t="str">
        <f aca="false">IF(AND(AX196="pass",AQ196&lt;&gt;"Y",C196&lt;&gt;"",OR(AW196&lt;&gt;"Y",AV196="Y")),"Y","N")</f>
        <v>N</v>
      </c>
      <c r="AU196" s="0" t="str">
        <f aca="false">_xlfn.TEXTJOIN("; ",TRUE(),IF(AX196&lt;&gt;"pass","gated out",""),IF(AQ196="Y","on hold: "&amp;AR196,""),IF(C196="","no contact named on an opened page",""),IF(AND(AW196="Y",AV196&lt;&gt;"Y"),"Tuesday estimate band "&amp;L196&amp;": founder's call",""))</f>
        <v>no contact named on an opened page; Tuesday estimate band 251-500: founder's call</v>
      </c>
      <c r="AW196" s="6" t="s">
        <v>168</v>
      </c>
      <c r="AX196" s="6" t="s">
        <v>181</v>
      </c>
      <c r="AY196" s="6" t="s">
        <v>182</v>
      </c>
      <c r="AZ196" s="6" t="s">
        <v>1</v>
      </c>
      <c r="BA196" s="6" t="s">
        <v>3223</v>
      </c>
      <c r="BB196" s="6" t="s">
        <v>3224</v>
      </c>
      <c r="BC196" s="6" t="s">
        <v>3225</v>
      </c>
      <c r="BD196" s="6" t="s">
        <v>3226</v>
      </c>
      <c r="BF196" s="6" t="s">
        <v>1323</v>
      </c>
      <c r="BG196" s="6" t="s">
        <v>188</v>
      </c>
      <c r="BH196" s="6" t="s">
        <v>189</v>
      </c>
      <c r="BI196" s="6" t="s">
        <v>3227</v>
      </c>
      <c r="BK196" s="6" t="s">
        <v>1440</v>
      </c>
      <c r="BL196" s="6" t="s">
        <v>163</v>
      </c>
      <c r="BM196" s="6" t="s">
        <v>163</v>
      </c>
      <c r="BN196" s="6" t="s">
        <v>163</v>
      </c>
      <c r="BO196" s="6" t="s">
        <v>163</v>
      </c>
      <c r="BP196" s="6" t="s">
        <v>347</v>
      </c>
      <c r="BQ196" s="0" t="n">
        <v>40.741761</v>
      </c>
      <c r="BR196" s="0" t="n">
        <v>-73.987033</v>
      </c>
      <c r="BS196" s="6" t="s">
        <v>168</v>
      </c>
      <c r="BT196" s="0" t="n">
        <v>0</v>
      </c>
      <c r="BU196" s="6" t="s">
        <v>1703</v>
      </c>
      <c r="BV196" s="6" t="s">
        <v>1704</v>
      </c>
      <c r="BW196" s="6" t="s">
        <v>1693</v>
      </c>
      <c r="BX196" s="6" t="s">
        <v>523</v>
      </c>
      <c r="BY196" s="6" t="s">
        <v>248</v>
      </c>
      <c r="BZ196" s="6" t="s">
        <v>3228</v>
      </c>
      <c r="CA196" s="6" t="s">
        <v>3229</v>
      </c>
      <c r="CC196" s="6" t="s">
        <v>739</v>
      </c>
      <c r="CE196" s="6" t="s">
        <v>162</v>
      </c>
      <c r="CH196" s="6" t="s">
        <v>1707</v>
      </c>
      <c r="CI196" s="6" t="s">
        <v>1708</v>
      </c>
      <c r="CJ196" s="6" t="s">
        <v>163</v>
      </c>
      <c r="CK196" s="6" t="s">
        <v>162</v>
      </c>
      <c r="CL196" s="6" t="s">
        <v>163</v>
      </c>
      <c r="CO196" s="0" t="n">
        <v>294</v>
      </c>
      <c r="CP196" s="6" t="s">
        <v>251</v>
      </c>
      <c r="CQ196" s="6" t="s">
        <v>3230</v>
      </c>
      <c r="CR196" s="6" t="s">
        <v>206</v>
      </c>
      <c r="CS196" s="0" t="n">
        <v>0.45</v>
      </c>
      <c r="CT196" s="0" t="n">
        <v>27.1</v>
      </c>
      <c r="CU196" s="0" t="n">
        <v>11.1</v>
      </c>
      <c r="CV196" s="0" t="n">
        <v>2</v>
      </c>
      <c r="CW196" s="0" t="n">
        <v>6</v>
      </c>
      <c r="CX196" s="0" t="n">
        <v>8</v>
      </c>
      <c r="CY196" s="6" t="n">
        <f aca="false">IF(AH196="exact",10,IF(AH196="adjacent",5,0))</f>
        <v>0</v>
      </c>
      <c r="CZ196" s="6" t="n">
        <f aca="false">IF(R196="Y",15,0)</f>
        <v>0</v>
      </c>
      <c r="DF196" s="6" t="s">
        <v>158</v>
      </c>
      <c r="DG196" s="6" t="s">
        <v>1336</v>
      </c>
      <c r="DH196" s="6" t="s">
        <v>1447</v>
      </c>
      <c r="DI196" s="6" t="s">
        <v>162</v>
      </c>
      <c r="DJ196" s="6" t="s">
        <v>3231</v>
      </c>
      <c r="DK196" s="6" t="s">
        <v>3232</v>
      </c>
      <c r="DS196" s="6" t="s">
        <v>158</v>
      </c>
      <c r="DX196" s="6" t="s">
        <v>162</v>
      </c>
      <c r="ER196" s="0" t="str">
        <f aca="false">IF(ISNUMBER(MATCH(U196,{"queued","contacted","replied","call_booked","call_done","yes_in_principle","materials_sent"},0)),"Y","N")</f>
        <v>N</v>
      </c>
      <c r="ES196" s="0" t="str">
        <f aca="false">IF(COUNTIFS($AP$2:$AP$1000,AP196,$ER$2:$ER$1000,"Y")+COUNTIFS($AP$2:$AP$1000,AP196,$T$2:$T$1000,"Y")&gt;0,"Y","N")</f>
        <v>N</v>
      </c>
      <c r="ET196" s="0" t="str">
        <f aca="false">IF(AND(U196="new",T196="N",AT196="Y",AS196="",ES196="N"),"Y","N")</f>
        <v>N</v>
      </c>
      <c r="EU196" s="0" t="str">
        <f aca="false">IF(ET196&lt;&gt;"Y","N",IF(COUNTIFS($AP$2:$AP$1000,AP196,$ET$2:$ET$1000,"Y",$J$2:$J$1000,"&gt;"&amp;J196)+COUNTIFS($AP$2:$AP$1000,AP196,$ET$2:$ET$1000,"Y",$J$2:$J$1000,J196,$EW$2:$EW$1000,"&lt;"&amp;EW196)=0,"Y","N"))</f>
        <v>N</v>
      </c>
      <c r="EV196" s="0" t="str">
        <f aca="false">IF(Y196="","N",IF(Y196&lt;=10,"Y","N"))</f>
        <v>N</v>
      </c>
      <c r="EW196" s="6" t="n">
        <f aca="false">ROW()-1</f>
        <v>195</v>
      </c>
    </row>
    <row r="197" customFormat="false" ht="15" hidden="false" customHeight="false" outlineLevel="0" collapsed="false">
      <c r="A197" s="0" t="s">
        <v>3233</v>
      </c>
      <c r="B197" s="0" t="s">
        <v>3234</v>
      </c>
      <c r="H197" s="5" t="s">
        <v>158</v>
      </c>
      <c r="I197" s="5" t="s">
        <v>159</v>
      </c>
      <c r="J197" s="6" t="n">
        <f aca="false">IF(AX197="pass",ROUND(CU197+CV197+CW197+CX197+CY197+CZ197,1),0)</f>
        <v>26.3</v>
      </c>
      <c r="K197" s="6" t="s">
        <v>3235</v>
      </c>
      <c r="L197" s="6" t="s">
        <v>240</v>
      </c>
      <c r="R197" s="5" t="s">
        <v>162</v>
      </c>
      <c r="S197" s="6" t="s">
        <v>163</v>
      </c>
      <c r="T197" s="5" t="s">
        <v>162</v>
      </c>
      <c r="U197" s="5" t="s">
        <v>228</v>
      </c>
      <c r="V197" s="6" t="s">
        <v>3236</v>
      </c>
      <c r="W197" s="6" t="s">
        <v>166</v>
      </c>
      <c r="X197" s="6" t="s">
        <v>167</v>
      </c>
      <c r="Y197" s="0" t="str">
        <f aca="false">IF(EU197&lt;&gt;"Y","",COUNTIFS($EU$2:$EU$1000,"Y",$J$2:$J$1000,"&gt;"&amp;J197)+COUNTIFS($EU$2:$EU$1000,"Y",$J$2:$J$1000,J197,$EW$2:$EW$1000,"&lt;"&amp;EW197)+1)</f>
        <v/>
      </c>
      <c r="Z197" s="0" t="n">
        <v>196</v>
      </c>
      <c r="AA197" s="6" t="s">
        <v>162</v>
      </c>
      <c r="AB197" s="6" t="s">
        <v>1662</v>
      </c>
      <c r="AD197" s="6" t="s">
        <v>158</v>
      </c>
      <c r="AH197" s="5" t="s">
        <v>158</v>
      </c>
      <c r="AI197" s="6" t="s">
        <v>2051</v>
      </c>
      <c r="AJ197" s="6" t="s">
        <v>234</v>
      </c>
      <c r="AK197" s="6" t="s">
        <v>435</v>
      </c>
      <c r="AL197" s="0" t="n">
        <v>57</v>
      </c>
      <c r="AM197" s="0" t="n">
        <v>1142</v>
      </c>
      <c r="AN197" s="6" t="s">
        <v>179</v>
      </c>
      <c r="AO197" s="6" t="s">
        <v>370</v>
      </c>
      <c r="AP197" s="6" t="s">
        <v>3233</v>
      </c>
      <c r="AQ197" s="5" t="s">
        <v>162</v>
      </c>
      <c r="AT197" s="0" t="str">
        <f aca="false">IF(AND(AX197="pass",AQ197&lt;&gt;"Y",C197&lt;&gt;"",OR(AW197&lt;&gt;"Y",AV197="Y")),"Y","N")</f>
        <v>N</v>
      </c>
      <c r="AU197" s="0" t="str">
        <f aca="false">_xlfn.TEXTJOIN("; ",TRUE(),IF(AX197&lt;&gt;"pass","gated out",""),IF(AQ197="Y","on hold: "&amp;AR197,""),IF(C197="","no contact named on an opened page",""),IF(AND(AW197="Y",AV197&lt;&gt;"Y"),"Tuesday estimate band "&amp;L197&amp;": founder's call",""))</f>
        <v>no contact named on an opened page; Tuesday estimate band 251-500: founder's call</v>
      </c>
      <c r="AW197" s="6" t="s">
        <v>168</v>
      </c>
      <c r="AX197" s="6" t="s">
        <v>181</v>
      </c>
      <c r="AY197" s="6" t="s">
        <v>182</v>
      </c>
      <c r="AZ197" s="6" t="s">
        <v>1</v>
      </c>
      <c r="BA197" s="6" t="s">
        <v>3237</v>
      </c>
      <c r="BB197" s="6" t="s">
        <v>3238</v>
      </c>
      <c r="BC197" s="6" t="s">
        <v>3239</v>
      </c>
      <c r="BD197" s="6" t="s">
        <v>3240</v>
      </c>
      <c r="BF197" s="6" t="s">
        <v>1323</v>
      </c>
      <c r="BG197" s="6" t="s">
        <v>188</v>
      </c>
      <c r="BH197" s="6" t="s">
        <v>189</v>
      </c>
      <c r="BI197" s="6" t="s">
        <v>3241</v>
      </c>
      <c r="BK197" s="6" t="s">
        <v>1440</v>
      </c>
      <c r="BL197" s="6" t="s">
        <v>163</v>
      </c>
      <c r="BM197" s="6" t="s">
        <v>163</v>
      </c>
      <c r="BN197" s="6" t="s">
        <v>163</v>
      </c>
      <c r="BO197" s="6" t="s">
        <v>163</v>
      </c>
      <c r="BP197" s="6" t="s">
        <v>347</v>
      </c>
      <c r="BQ197" s="0" t="n">
        <v>40.74118</v>
      </c>
      <c r="BR197" s="0" t="n">
        <v>-73.99129</v>
      </c>
      <c r="BS197" s="6" t="s">
        <v>168</v>
      </c>
      <c r="BT197" s="0" t="n">
        <v>0</v>
      </c>
      <c r="BU197" s="6" t="s">
        <v>2058</v>
      </c>
      <c r="BV197" s="6" t="s">
        <v>2059</v>
      </c>
      <c r="BW197" s="6" t="s">
        <v>3236</v>
      </c>
      <c r="BX197" s="6" t="s">
        <v>166</v>
      </c>
      <c r="BY197" s="6" t="s">
        <v>445</v>
      </c>
      <c r="BZ197" s="6" t="s">
        <v>3242</v>
      </c>
      <c r="CA197" s="6" t="s">
        <v>3243</v>
      </c>
      <c r="CC197" s="6" t="s">
        <v>179</v>
      </c>
      <c r="CE197" s="6" t="s">
        <v>162</v>
      </c>
      <c r="CH197" s="6" t="s">
        <v>163</v>
      </c>
      <c r="CJ197" s="6" t="s">
        <v>163</v>
      </c>
      <c r="CK197" s="6" t="s">
        <v>162</v>
      </c>
      <c r="CL197" s="6" t="s">
        <v>3244</v>
      </c>
      <c r="CM197" s="6" t="s">
        <v>3236</v>
      </c>
      <c r="CN197" s="6" t="s">
        <v>174</v>
      </c>
      <c r="CO197" s="0" t="n">
        <v>255</v>
      </c>
      <c r="CP197" s="6" t="s">
        <v>251</v>
      </c>
      <c r="CQ197" s="6" t="s">
        <v>3245</v>
      </c>
      <c r="CR197" s="6" t="s">
        <v>206</v>
      </c>
      <c r="CS197" s="0" t="n">
        <v>0.49</v>
      </c>
      <c r="CT197" s="0" t="n">
        <v>26.3</v>
      </c>
      <c r="CU197" s="0" t="n">
        <v>12.3</v>
      </c>
      <c r="CV197" s="0" t="n">
        <v>2</v>
      </c>
      <c r="CW197" s="0" t="n">
        <v>7</v>
      </c>
      <c r="CX197" s="0" t="n">
        <v>5</v>
      </c>
      <c r="CY197" s="6" t="n">
        <f aca="false">IF(AH197="exact",10,IF(AH197="adjacent",5,0))</f>
        <v>0</v>
      </c>
      <c r="CZ197" s="6" t="n">
        <f aca="false">IF(R197="Y",15,0)</f>
        <v>0</v>
      </c>
      <c r="DF197" s="6" t="s">
        <v>158</v>
      </c>
      <c r="DG197" s="6" t="s">
        <v>1336</v>
      </c>
      <c r="DH197" s="6" t="s">
        <v>1447</v>
      </c>
      <c r="DI197" s="6" t="s">
        <v>162</v>
      </c>
      <c r="DJ197" s="6" t="s">
        <v>2631</v>
      </c>
      <c r="DK197" s="6" t="s">
        <v>3246</v>
      </c>
      <c r="DS197" s="6" t="s">
        <v>158</v>
      </c>
      <c r="DX197" s="6" t="s">
        <v>162</v>
      </c>
      <c r="ER197" s="0" t="str">
        <f aca="false">IF(ISNUMBER(MATCH(U197,{"queued","contacted","replied","call_booked","call_done","yes_in_principle","materials_sent"},0)),"Y","N")</f>
        <v>N</v>
      </c>
      <c r="ES197" s="0" t="str">
        <f aca="false">IF(COUNTIFS($AP$2:$AP$1000,AP197,$ER$2:$ER$1000,"Y")+COUNTIFS($AP$2:$AP$1000,AP197,$T$2:$T$1000,"Y")&gt;0,"Y","N")</f>
        <v>N</v>
      </c>
      <c r="ET197" s="0" t="str">
        <f aca="false">IF(AND(U197="new",T197="N",AT197="Y",AS197="",ES197="N"),"Y","N")</f>
        <v>N</v>
      </c>
      <c r="EU197" s="0" t="str">
        <f aca="false">IF(ET197&lt;&gt;"Y","N",IF(COUNTIFS($AP$2:$AP$1000,AP197,$ET$2:$ET$1000,"Y",$J$2:$J$1000,"&gt;"&amp;J197)+COUNTIFS($AP$2:$AP$1000,AP197,$ET$2:$ET$1000,"Y",$J$2:$J$1000,J197,$EW$2:$EW$1000,"&lt;"&amp;EW197)=0,"Y","N"))</f>
        <v>N</v>
      </c>
      <c r="EV197" s="0" t="str">
        <f aca="false">IF(Y197="","N",IF(Y197&lt;=10,"Y","N"))</f>
        <v>N</v>
      </c>
      <c r="EW197" s="6" t="n">
        <f aca="false">ROW()-1</f>
        <v>196</v>
      </c>
    </row>
    <row r="198" customFormat="false" ht="15" hidden="false" customHeight="false" outlineLevel="0" collapsed="false">
      <c r="A198" s="0" t="s">
        <v>3247</v>
      </c>
      <c r="B198" s="0" t="s">
        <v>3248</v>
      </c>
      <c r="H198" s="5" t="s">
        <v>158</v>
      </c>
      <c r="I198" s="5" t="s">
        <v>159</v>
      </c>
      <c r="J198" s="6" t="n">
        <f aca="false">IF(AX198="pass",ROUND(CU198+CV198+CW198+CX198+CY198+CZ198,1),0)</f>
        <v>26.2</v>
      </c>
      <c r="K198" s="6" t="s">
        <v>3249</v>
      </c>
      <c r="L198" s="6" t="s">
        <v>240</v>
      </c>
      <c r="R198" s="5" t="s">
        <v>162</v>
      </c>
      <c r="S198" s="6" t="s">
        <v>163</v>
      </c>
      <c r="T198" s="5" t="s">
        <v>162</v>
      </c>
      <c r="U198" s="5" t="s">
        <v>228</v>
      </c>
      <c r="V198" s="6" t="s">
        <v>3250</v>
      </c>
      <c r="W198" s="6" t="s">
        <v>166</v>
      </c>
      <c r="X198" s="6" t="s">
        <v>167</v>
      </c>
      <c r="Y198" s="0" t="str">
        <f aca="false">IF(EU198&lt;&gt;"Y","",COUNTIFS($EU$2:$EU$1000,"Y",$J$2:$J$1000,"&gt;"&amp;J198)+COUNTIFS($EU$2:$EU$1000,"Y",$J$2:$J$1000,J198,$EW$2:$EW$1000,"&lt;"&amp;EW198)+1)</f>
        <v/>
      </c>
      <c r="Z198" s="0" t="n">
        <v>197</v>
      </c>
      <c r="AA198" s="6" t="s">
        <v>162</v>
      </c>
      <c r="AB198" s="6" t="s">
        <v>1662</v>
      </c>
      <c r="AD198" s="6" t="s">
        <v>158</v>
      </c>
      <c r="AH198" s="5" t="s">
        <v>158</v>
      </c>
      <c r="AI198" s="6" t="s">
        <v>2529</v>
      </c>
      <c r="AJ198" s="6" t="s">
        <v>3251</v>
      </c>
      <c r="AK198" s="6" t="s">
        <v>435</v>
      </c>
      <c r="AL198" s="0" t="n">
        <v>199</v>
      </c>
      <c r="AM198" s="0" t="n">
        <v>399</v>
      </c>
      <c r="AN198" s="6" t="s">
        <v>179</v>
      </c>
      <c r="AO198" s="6" t="s">
        <v>370</v>
      </c>
      <c r="AP198" s="6" t="s">
        <v>3247</v>
      </c>
      <c r="AQ198" s="5" t="s">
        <v>162</v>
      </c>
      <c r="AT198" s="0" t="str">
        <f aca="false">IF(AND(AX198="pass",AQ198&lt;&gt;"Y",C198&lt;&gt;"",OR(AW198&lt;&gt;"Y",AV198="Y")),"Y","N")</f>
        <v>N</v>
      </c>
      <c r="AU198" s="0" t="str">
        <f aca="false">_xlfn.TEXTJOIN("; ",TRUE(),IF(AX198&lt;&gt;"pass","gated out",""),IF(AQ198="Y","on hold: "&amp;AR198,""),IF(C198="","no contact named on an opened page",""),IF(AND(AW198="Y",AV198&lt;&gt;"Y"),"Tuesday estimate band "&amp;L198&amp;": founder's call",""))</f>
        <v>no contact named on an opened page; Tuesday estimate band 251-500: founder's call</v>
      </c>
      <c r="AW198" s="6" t="s">
        <v>168</v>
      </c>
      <c r="AX198" s="6" t="s">
        <v>181</v>
      </c>
      <c r="AY198" s="6" t="s">
        <v>182</v>
      </c>
      <c r="AZ198" s="6" t="s">
        <v>1</v>
      </c>
      <c r="BA198" s="6" t="s">
        <v>3252</v>
      </c>
      <c r="BB198" s="6" t="s">
        <v>3253</v>
      </c>
      <c r="BC198" s="6" t="s">
        <v>3254</v>
      </c>
      <c r="BD198" s="6" t="s">
        <v>3255</v>
      </c>
      <c r="BF198" s="6" t="s">
        <v>1323</v>
      </c>
      <c r="BG198" s="6" t="s">
        <v>188</v>
      </c>
      <c r="BH198" s="6" t="s">
        <v>189</v>
      </c>
      <c r="BI198" s="6" t="s">
        <v>3256</v>
      </c>
      <c r="BK198" s="6" t="s">
        <v>1264</v>
      </c>
      <c r="BL198" s="6" t="s">
        <v>192</v>
      </c>
      <c r="BM198" s="6" t="s">
        <v>168</v>
      </c>
      <c r="BN198" s="6" t="s">
        <v>163</v>
      </c>
      <c r="BO198" s="6" t="s">
        <v>163</v>
      </c>
      <c r="BP198" s="6" t="s">
        <v>378</v>
      </c>
      <c r="BQ198" s="0" t="n">
        <v>40.737788</v>
      </c>
      <c r="BR198" s="0" t="n">
        <v>-73.992555</v>
      </c>
      <c r="BS198" s="6" t="s">
        <v>168</v>
      </c>
      <c r="BT198" s="0" t="n">
        <v>0</v>
      </c>
      <c r="BU198" s="6" t="s">
        <v>2536</v>
      </c>
      <c r="BV198" s="6" t="s">
        <v>2529</v>
      </c>
      <c r="BW198" s="6" t="s">
        <v>3250</v>
      </c>
      <c r="BX198" s="6" t="s">
        <v>2874</v>
      </c>
      <c r="BY198" s="6" t="s">
        <v>248</v>
      </c>
      <c r="CC198" s="6" t="s">
        <v>179</v>
      </c>
      <c r="CE198" s="6" t="s">
        <v>162</v>
      </c>
      <c r="CH198" s="6" t="s">
        <v>163</v>
      </c>
      <c r="CJ198" s="6" t="s">
        <v>163</v>
      </c>
      <c r="CK198" s="6" t="s">
        <v>162</v>
      </c>
      <c r="CL198" s="6" t="s">
        <v>716</v>
      </c>
      <c r="CM198" s="6" t="s">
        <v>3257</v>
      </c>
      <c r="CN198" s="6" t="s">
        <v>174</v>
      </c>
      <c r="CO198" s="0" t="n">
        <v>282</v>
      </c>
      <c r="CP198" s="6" t="s">
        <v>251</v>
      </c>
      <c r="CQ198" s="6" t="s">
        <v>3258</v>
      </c>
      <c r="CR198" s="6" t="s">
        <v>206</v>
      </c>
      <c r="CS198" s="0" t="n">
        <v>0.33</v>
      </c>
      <c r="CT198" s="0" t="n">
        <v>26.2</v>
      </c>
      <c r="CU198" s="0" t="n">
        <v>8.2</v>
      </c>
      <c r="CV198" s="0" t="n">
        <v>6</v>
      </c>
      <c r="CW198" s="0" t="n">
        <v>7</v>
      </c>
      <c r="CX198" s="0" t="n">
        <v>5</v>
      </c>
      <c r="CY198" s="6" t="n">
        <f aca="false">IF(AH198="exact",10,IF(AH198="adjacent",5,0))</f>
        <v>0</v>
      </c>
      <c r="CZ198" s="6" t="n">
        <f aca="false">IF(R198="Y",15,0)</f>
        <v>0</v>
      </c>
      <c r="DF198" s="6" t="s">
        <v>158</v>
      </c>
      <c r="DG198" s="6" t="s">
        <v>1336</v>
      </c>
      <c r="DH198" s="6" t="s">
        <v>1337</v>
      </c>
      <c r="DI198" s="6" t="s">
        <v>162</v>
      </c>
      <c r="DJ198" s="6" t="s">
        <v>3259</v>
      </c>
      <c r="DK198" s="6" t="s">
        <v>3260</v>
      </c>
      <c r="DS198" s="6" t="s">
        <v>158</v>
      </c>
      <c r="DX198" s="6" t="s">
        <v>162</v>
      </c>
      <c r="ER198" s="0" t="str">
        <f aca="false">IF(ISNUMBER(MATCH(U198,{"queued","contacted","replied","call_booked","call_done","yes_in_principle","materials_sent"},0)),"Y","N")</f>
        <v>N</v>
      </c>
      <c r="ES198" s="0" t="str">
        <f aca="false">IF(COUNTIFS($AP$2:$AP$1000,AP198,$ER$2:$ER$1000,"Y")+COUNTIFS($AP$2:$AP$1000,AP198,$T$2:$T$1000,"Y")&gt;0,"Y","N")</f>
        <v>N</v>
      </c>
      <c r="ET198" s="0" t="str">
        <f aca="false">IF(AND(U198="new",T198="N",AT198="Y",AS198="",ES198="N"),"Y","N")</f>
        <v>N</v>
      </c>
      <c r="EU198" s="0" t="str">
        <f aca="false">IF(ET198&lt;&gt;"Y","N",IF(COUNTIFS($AP$2:$AP$1000,AP198,$ET$2:$ET$1000,"Y",$J$2:$J$1000,"&gt;"&amp;J198)+COUNTIFS($AP$2:$AP$1000,AP198,$ET$2:$ET$1000,"Y",$J$2:$J$1000,J198,$EW$2:$EW$1000,"&lt;"&amp;EW198)=0,"Y","N"))</f>
        <v>N</v>
      </c>
      <c r="EV198" s="0" t="str">
        <f aca="false">IF(Y198="","N",IF(Y198&lt;=10,"Y","N"))</f>
        <v>N</v>
      </c>
      <c r="EW198" s="6" t="n">
        <f aca="false">ROW()-1</f>
        <v>197</v>
      </c>
    </row>
    <row r="199" customFormat="false" ht="15" hidden="false" customHeight="false" outlineLevel="0" collapsed="false">
      <c r="A199" s="0" t="s">
        <v>3261</v>
      </c>
      <c r="B199" s="0" t="s">
        <v>3262</v>
      </c>
      <c r="H199" s="5" t="s">
        <v>158</v>
      </c>
      <c r="I199" s="5" t="s">
        <v>159</v>
      </c>
      <c r="J199" s="6" t="n">
        <f aca="false">IF(AX199="pass",ROUND(CU199+CV199+CW199+CX199+CY199+CZ199,1),0)</f>
        <v>26</v>
      </c>
      <c r="K199" s="6" t="s">
        <v>3263</v>
      </c>
      <c r="L199" s="6" t="s">
        <v>240</v>
      </c>
      <c r="R199" s="5" t="s">
        <v>162</v>
      </c>
      <c r="S199" s="6" t="s">
        <v>163</v>
      </c>
      <c r="T199" s="5" t="s">
        <v>162</v>
      </c>
      <c r="U199" s="5" t="s">
        <v>228</v>
      </c>
      <c r="V199" s="6" t="s">
        <v>3264</v>
      </c>
      <c r="W199" s="6" t="s">
        <v>166</v>
      </c>
      <c r="X199" s="6" t="s">
        <v>167</v>
      </c>
      <c r="Y199" s="0" t="str">
        <f aca="false">IF(EU199&lt;&gt;"Y","",COUNTIFS($EU$2:$EU$1000,"Y",$J$2:$J$1000,"&gt;"&amp;J199)+COUNTIFS($EU$2:$EU$1000,"Y",$J$2:$J$1000,J199,$EW$2:$EW$1000,"&lt;"&amp;EW199)+1)</f>
        <v/>
      </c>
      <c r="Z199" s="0" t="n">
        <v>198</v>
      </c>
      <c r="AA199" s="6" t="s">
        <v>162</v>
      </c>
      <c r="AB199" s="6" t="s">
        <v>1662</v>
      </c>
      <c r="AD199" s="6" t="s">
        <v>158</v>
      </c>
      <c r="AH199" s="5" t="s">
        <v>158</v>
      </c>
      <c r="AI199" s="6" t="s">
        <v>3265</v>
      </c>
      <c r="AJ199" s="6" t="s">
        <v>3266</v>
      </c>
      <c r="AK199" s="6" t="s">
        <v>178</v>
      </c>
      <c r="AL199" s="0" t="n">
        <v>85</v>
      </c>
      <c r="AM199" s="0" t="n">
        <v>1710</v>
      </c>
      <c r="AN199" s="6" t="s">
        <v>179</v>
      </c>
      <c r="AO199" s="6" t="s">
        <v>163</v>
      </c>
      <c r="AP199" s="6" t="s">
        <v>3261</v>
      </c>
      <c r="AQ199" s="5" t="s">
        <v>162</v>
      </c>
      <c r="AT199" s="0" t="str">
        <f aca="false">IF(AND(AX199="pass",AQ199&lt;&gt;"Y",C199&lt;&gt;"",OR(AW199&lt;&gt;"Y",AV199="Y")),"Y","N")</f>
        <v>N</v>
      </c>
      <c r="AU199" s="0" t="str">
        <f aca="false">_xlfn.TEXTJOIN("; ",TRUE(),IF(AX199&lt;&gt;"pass","gated out",""),IF(AQ199="Y","on hold: "&amp;AR199,""),IF(C199="","no contact named on an opened page",""),IF(AND(AW199="Y",AV199&lt;&gt;"Y"),"Tuesday estimate band "&amp;L199&amp;": founder's call",""))</f>
        <v>no contact named on an opened page; Tuesday estimate band 251-500: founder's call</v>
      </c>
      <c r="AW199" s="6" t="s">
        <v>168</v>
      </c>
      <c r="AX199" s="6" t="s">
        <v>181</v>
      </c>
      <c r="AY199" s="6" t="s">
        <v>182</v>
      </c>
      <c r="AZ199" s="6" t="s">
        <v>1</v>
      </c>
      <c r="BA199" s="6" t="s">
        <v>3267</v>
      </c>
      <c r="BB199" s="6" t="s">
        <v>3268</v>
      </c>
      <c r="BC199" s="6" t="s">
        <v>3269</v>
      </c>
      <c r="BD199" s="6" t="s">
        <v>3270</v>
      </c>
      <c r="BF199" s="6" t="s">
        <v>1323</v>
      </c>
      <c r="BG199" s="6" t="s">
        <v>188</v>
      </c>
      <c r="BH199" s="6" t="s">
        <v>189</v>
      </c>
      <c r="BI199" s="6" t="s">
        <v>3271</v>
      </c>
      <c r="BK199" s="6" t="s">
        <v>1440</v>
      </c>
      <c r="BL199" s="6" t="s">
        <v>163</v>
      </c>
      <c r="BM199" s="6" t="s">
        <v>163</v>
      </c>
      <c r="BN199" s="6" t="s">
        <v>3272</v>
      </c>
      <c r="BO199" s="6" t="s">
        <v>163</v>
      </c>
      <c r="BQ199" s="0" t="n">
        <v>40.740049</v>
      </c>
      <c r="BR199" s="0" t="n">
        <v>-73.986717</v>
      </c>
      <c r="BS199" s="6" t="s">
        <v>168</v>
      </c>
      <c r="BT199" s="0" t="n">
        <v>0</v>
      </c>
      <c r="BV199" s="6" t="s">
        <v>163</v>
      </c>
      <c r="BW199" s="6" t="s">
        <v>3264</v>
      </c>
      <c r="BX199" s="6" t="s">
        <v>3273</v>
      </c>
      <c r="BY199" s="6" t="s">
        <v>248</v>
      </c>
      <c r="BZ199" s="6" t="s">
        <v>3274</v>
      </c>
      <c r="CA199" s="6" t="s">
        <v>3275</v>
      </c>
      <c r="CC199" s="6" t="s">
        <v>739</v>
      </c>
      <c r="CE199" s="6" t="s">
        <v>162</v>
      </c>
      <c r="CH199" s="6" t="s">
        <v>163</v>
      </c>
      <c r="CJ199" s="6" t="s">
        <v>163</v>
      </c>
      <c r="CK199" s="6" t="s">
        <v>162</v>
      </c>
      <c r="CL199" s="6" t="s">
        <v>163</v>
      </c>
      <c r="CO199" s="0" t="n">
        <v>381</v>
      </c>
      <c r="CP199" s="6" t="s">
        <v>251</v>
      </c>
      <c r="CQ199" s="6" t="s">
        <v>3276</v>
      </c>
      <c r="CR199" s="6" t="s">
        <v>206</v>
      </c>
      <c r="CS199" s="0" t="n">
        <v>0.36</v>
      </c>
      <c r="CT199" s="0" t="n">
        <v>26</v>
      </c>
      <c r="CU199" s="0" t="n">
        <v>9</v>
      </c>
      <c r="CV199" s="0" t="n">
        <v>-2</v>
      </c>
      <c r="CW199" s="0" t="n">
        <v>6</v>
      </c>
      <c r="CX199" s="0" t="n">
        <v>13</v>
      </c>
      <c r="CY199" s="6" t="n">
        <f aca="false">IF(AH199="exact",10,IF(AH199="adjacent",5,0))</f>
        <v>0</v>
      </c>
      <c r="CZ199" s="6" t="n">
        <f aca="false">IF(R199="Y",15,0)</f>
        <v>0</v>
      </c>
      <c r="DF199" s="6" t="s">
        <v>158</v>
      </c>
      <c r="DG199" s="6" t="s">
        <v>1336</v>
      </c>
      <c r="DH199" s="6" t="s">
        <v>1447</v>
      </c>
      <c r="DI199" s="6" t="s">
        <v>162</v>
      </c>
      <c r="DJ199" s="6" t="s">
        <v>3277</v>
      </c>
      <c r="DK199" s="6" t="s">
        <v>3278</v>
      </c>
      <c r="DS199" s="6" t="s">
        <v>158</v>
      </c>
      <c r="DX199" s="6" t="s">
        <v>162</v>
      </c>
      <c r="ER199" s="0" t="str">
        <f aca="false">IF(ISNUMBER(MATCH(U199,{"queued","contacted","replied","call_booked","call_done","yes_in_principle","materials_sent"},0)),"Y","N")</f>
        <v>N</v>
      </c>
      <c r="ES199" s="0" t="str">
        <f aca="false">IF(COUNTIFS($AP$2:$AP$1000,AP199,$ER$2:$ER$1000,"Y")+COUNTIFS($AP$2:$AP$1000,AP199,$T$2:$T$1000,"Y")&gt;0,"Y","N")</f>
        <v>N</v>
      </c>
      <c r="ET199" s="0" t="str">
        <f aca="false">IF(AND(U199="new",T199="N",AT199="Y",AS199="",ES199="N"),"Y","N")</f>
        <v>N</v>
      </c>
      <c r="EU199" s="0" t="str">
        <f aca="false">IF(ET199&lt;&gt;"Y","N",IF(COUNTIFS($AP$2:$AP$1000,AP199,$ET$2:$ET$1000,"Y",$J$2:$J$1000,"&gt;"&amp;J199)+COUNTIFS($AP$2:$AP$1000,AP199,$ET$2:$ET$1000,"Y",$J$2:$J$1000,J199,$EW$2:$EW$1000,"&lt;"&amp;EW199)=0,"Y","N"))</f>
        <v>N</v>
      </c>
      <c r="EV199" s="0" t="str">
        <f aca="false">IF(Y199="","N",IF(Y199&lt;=10,"Y","N"))</f>
        <v>N</v>
      </c>
      <c r="EW199" s="6" t="n">
        <f aca="false">ROW()-1</f>
        <v>198</v>
      </c>
    </row>
    <row r="200" customFormat="false" ht="15" hidden="false" customHeight="false" outlineLevel="0" collapsed="false">
      <c r="A200" s="0" t="s">
        <v>3279</v>
      </c>
      <c r="B200" s="0" t="s">
        <v>3280</v>
      </c>
      <c r="H200" s="5" t="s">
        <v>158</v>
      </c>
      <c r="I200" s="5" t="s">
        <v>159</v>
      </c>
      <c r="J200" s="6" t="n">
        <f aca="false">IF(AX200="pass",ROUND(CU200+CV200+CW200+CX200+CY200+CZ200,1),0)</f>
        <v>26</v>
      </c>
      <c r="K200" s="6" t="s">
        <v>3281</v>
      </c>
      <c r="L200" s="6" t="s">
        <v>1323</v>
      </c>
      <c r="R200" s="5" t="s">
        <v>162</v>
      </c>
      <c r="S200" s="6" t="s">
        <v>163</v>
      </c>
      <c r="T200" s="5" t="s">
        <v>162</v>
      </c>
      <c r="U200" s="5" t="s">
        <v>228</v>
      </c>
      <c r="V200" s="6" t="s">
        <v>3282</v>
      </c>
      <c r="W200" s="6" t="s">
        <v>166</v>
      </c>
      <c r="X200" s="6" t="s">
        <v>167</v>
      </c>
      <c r="Y200" s="0" t="str">
        <f aca="false">IF(EU200&lt;&gt;"Y","",COUNTIFS($EU$2:$EU$1000,"Y",$J$2:$J$1000,"&gt;"&amp;J200)+COUNTIFS($EU$2:$EU$1000,"Y",$J$2:$J$1000,J200,$EW$2:$EW$1000,"&lt;"&amp;EW200)+1)</f>
        <v/>
      </c>
      <c r="Z200" s="0" t="n">
        <v>199</v>
      </c>
      <c r="AA200" s="6" t="s">
        <v>162</v>
      </c>
      <c r="AB200" s="6" t="s">
        <v>2528</v>
      </c>
      <c r="AD200" s="6" t="s">
        <v>158</v>
      </c>
      <c r="AH200" s="5" t="s">
        <v>158</v>
      </c>
      <c r="AI200" s="6" t="s">
        <v>1694</v>
      </c>
      <c r="AJ200" s="6" t="s">
        <v>163</v>
      </c>
      <c r="AK200" s="6" t="s">
        <v>178</v>
      </c>
      <c r="AL200" s="0" t="n">
        <v>138</v>
      </c>
      <c r="AM200" s="0" t="n">
        <v>2760</v>
      </c>
      <c r="AN200" s="6" t="s">
        <v>179</v>
      </c>
      <c r="AO200" s="6" t="s">
        <v>163</v>
      </c>
      <c r="AP200" s="6" t="s">
        <v>3279</v>
      </c>
      <c r="AQ200" s="5" t="s">
        <v>162</v>
      </c>
      <c r="AT200" s="0" t="str">
        <f aca="false">IF(AND(AX200="pass",AQ200&lt;&gt;"Y",C200&lt;&gt;"",OR(AW200&lt;&gt;"Y",AV200="Y")),"Y","N")</f>
        <v>N</v>
      </c>
      <c r="AU200" s="0" t="str">
        <f aca="false">_xlfn.TEXTJOIN("; ",TRUE(),IF(AX200&lt;&gt;"pass","gated out",""),IF(AQ200="Y","on hold: "&amp;AR200,""),IF(C200="","no contact named on an opened page",""),IF(AND(AW200="Y",AV200&lt;&gt;"Y"),"Tuesday estimate band "&amp;L200&amp;": founder's call",""))</f>
        <v>no contact named on an opened page; Tuesday estimate band over-500: founder's call</v>
      </c>
      <c r="AW200" s="6" t="s">
        <v>168</v>
      </c>
      <c r="AX200" s="6" t="s">
        <v>181</v>
      </c>
      <c r="AY200" s="6" t="s">
        <v>182</v>
      </c>
      <c r="AZ200" s="6" t="s">
        <v>1</v>
      </c>
      <c r="BA200" s="6" t="s">
        <v>3283</v>
      </c>
      <c r="BB200" s="6" t="s">
        <v>3284</v>
      </c>
      <c r="BC200" s="6" t="s">
        <v>3285</v>
      </c>
      <c r="BD200" s="6" t="s">
        <v>3286</v>
      </c>
      <c r="BF200" s="6" t="s">
        <v>1323</v>
      </c>
      <c r="BG200" s="6" t="s">
        <v>188</v>
      </c>
      <c r="BH200" s="6" t="s">
        <v>189</v>
      </c>
      <c r="BI200" s="6" t="s">
        <v>3287</v>
      </c>
      <c r="BK200" s="6" t="s">
        <v>3288</v>
      </c>
      <c r="BL200" s="6" t="s">
        <v>163</v>
      </c>
      <c r="BM200" s="6" t="s">
        <v>163</v>
      </c>
      <c r="BN200" s="6" t="s">
        <v>163</v>
      </c>
      <c r="BO200" s="6" t="s">
        <v>163</v>
      </c>
      <c r="BP200" s="6" t="s">
        <v>347</v>
      </c>
      <c r="BQ200" s="0" t="n">
        <v>40.741761</v>
      </c>
      <c r="BR200" s="0" t="n">
        <v>-73.987033</v>
      </c>
      <c r="BS200" s="6" t="s">
        <v>168</v>
      </c>
      <c r="BT200" s="0" t="n">
        <v>0</v>
      </c>
      <c r="BU200" s="6" t="s">
        <v>1703</v>
      </c>
      <c r="BV200" s="6" t="s">
        <v>1704</v>
      </c>
      <c r="BW200" s="6" t="s">
        <v>3282</v>
      </c>
      <c r="BX200" s="6" t="s">
        <v>3289</v>
      </c>
      <c r="BY200" s="6" t="s">
        <v>3209</v>
      </c>
      <c r="BZ200" s="6" t="s">
        <v>3228</v>
      </c>
      <c r="CA200" s="6" t="s">
        <v>3229</v>
      </c>
      <c r="CC200" s="6" t="s">
        <v>200</v>
      </c>
      <c r="CE200" s="6" t="s">
        <v>162</v>
      </c>
      <c r="CH200" s="6" t="s">
        <v>1707</v>
      </c>
      <c r="CI200" s="6" t="s">
        <v>1708</v>
      </c>
      <c r="CJ200" s="6" t="s">
        <v>163</v>
      </c>
      <c r="CK200" s="6" t="s">
        <v>162</v>
      </c>
      <c r="CL200" s="6" t="s">
        <v>163</v>
      </c>
      <c r="CO200" s="0" t="n">
        <v>617</v>
      </c>
      <c r="CP200" s="6" t="s">
        <v>251</v>
      </c>
      <c r="CQ200" s="6" t="s">
        <v>3290</v>
      </c>
      <c r="CR200" s="6" t="s">
        <v>206</v>
      </c>
      <c r="CS200" s="0" t="n">
        <v>0.2</v>
      </c>
      <c r="CT200" s="0" t="n">
        <v>26</v>
      </c>
      <c r="CU200" s="0" t="n">
        <v>5</v>
      </c>
      <c r="CV200" s="0" t="n">
        <v>0</v>
      </c>
      <c r="CW200" s="0" t="n">
        <v>6</v>
      </c>
      <c r="CX200" s="0" t="n">
        <v>15</v>
      </c>
      <c r="CY200" s="6" t="n">
        <f aca="false">IF(AH200="exact",10,IF(AH200="adjacent",5,0))</f>
        <v>0</v>
      </c>
      <c r="CZ200" s="6" t="n">
        <f aca="false">IF(R200="Y",15,0)</f>
        <v>0</v>
      </c>
      <c r="DF200" s="6" t="s">
        <v>158</v>
      </c>
      <c r="DG200" s="6" t="s">
        <v>1336</v>
      </c>
      <c r="DH200" s="6" t="s">
        <v>3291</v>
      </c>
      <c r="DI200" s="6" t="s">
        <v>162</v>
      </c>
      <c r="DJ200" s="6" t="s">
        <v>3292</v>
      </c>
      <c r="DK200" s="6" t="s">
        <v>3293</v>
      </c>
      <c r="DS200" s="6" t="s">
        <v>158</v>
      </c>
      <c r="DX200" s="6" t="s">
        <v>162</v>
      </c>
      <c r="ER200" s="0" t="str">
        <f aca="false">IF(ISNUMBER(MATCH(U200,{"queued","contacted","replied","call_booked","call_done","yes_in_principle","materials_sent"},0)),"Y","N")</f>
        <v>N</v>
      </c>
      <c r="ES200" s="0" t="str">
        <f aca="false">IF(COUNTIFS($AP$2:$AP$1000,AP200,$ER$2:$ER$1000,"Y")+COUNTIFS($AP$2:$AP$1000,AP200,$T$2:$T$1000,"Y")&gt;0,"Y","N")</f>
        <v>N</v>
      </c>
      <c r="ET200" s="0" t="str">
        <f aca="false">IF(AND(U200="new",T200="N",AT200="Y",AS200="",ES200="N"),"Y","N")</f>
        <v>N</v>
      </c>
      <c r="EU200" s="0" t="str">
        <f aca="false">IF(ET200&lt;&gt;"Y","N",IF(COUNTIFS($AP$2:$AP$1000,AP200,$ET$2:$ET$1000,"Y",$J$2:$J$1000,"&gt;"&amp;J200)+COUNTIFS($AP$2:$AP$1000,AP200,$ET$2:$ET$1000,"Y",$J$2:$J$1000,J200,$EW$2:$EW$1000,"&lt;"&amp;EW200)=0,"Y","N"))</f>
        <v>N</v>
      </c>
      <c r="EV200" s="0" t="str">
        <f aca="false">IF(Y200="","N",IF(Y200&lt;=10,"Y","N"))</f>
        <v>N</v>
      </c>
      <c r="EW200" s="6" t="n">
        <f aca="false">ROW()-1</f>
        <v>199</v>
      </c>
    </row>
    <row r="201" customFormat="false" ht="15" hidden="false" customHeight="false" outlineLevel="0" collapsed="false">
      <c r="A201" s="0" t="s">
        <v>3294</v>
      </c>
      <c r="B201" s="0" t="s">
        <v>3295</v>
      </c>
      <c r="H201" s="5" t="s">
        <v>158</v>
      </c>
      <c r="I201" s="5" t="s">
        <v>159</v>
      </c>
      <c r="J201" s="6" t="n">
        <f aca="false">IF(AX201="pass",ROUND(CU201+CV201+CW201+CX201+CY201+CZ201,1),0)</f>
        <v>26</v>
      </c>
      <c r="K201" s="6" t="s">
        <v>3296</v>
      </c>
      <c r="L201" s="6" t="s">
        <v>163</v>
      </c>
      <c r="O201" s="6" t="s">
        <v>3297</v>
      </c>
      <c r="P201" s="6" t="s">
        <v>3298</v>
      </c>
      <c r="Q201" s="6" t="s">
        <v>3299</v>
      </c>
      <c r="R201" s="5" t="s">
        <v>162</v>
      </c>
      <c r="S201" s="6" t="s">
        <v>163</v>
      </c>
      <c r="T201" s="5" t="s">
        <v>162</v>
      </c>
      <c r="U201" s="5" t="s">
        <v>228</v>
      </c>
      <c r="V201" s="6" t="s">
        <v>3298</v>
      </c>
      <c r="W201" s="6" t="s">
        <v>166</v>
      </c>
      <c r="X201" s="6" t="s">
        <v>167</v>
      </c>
      <c r="Y201" s="0" t="str">
        <f aca="false">IF(EU201&lt;&gt;"Y","",COUNTIFS($EU$2:$EU$1000,"Y",$J$2:$J$1000,"&gt;"&amp;J201)+COUNTIFS($EU$2:$EU$1000,"Y",$J$2:$J$1000,J201,$EW$2:$EW$1000,"&lt;"&amp;EW201)+1)</f>
        <v/>
      </c>
      <c r="Z201" s="0" t="n">
        <v>200</v>
      </c>
      <c r="AA201" s="6" t="s">
        <v>162</v>
      </c>
      <c r="AD201" s="6" t="s">
        <v>158</v>
      </c>
      <c r="AH201" s="5" t="s">
        <v>158</v>
      </c>
      <c r="AI201" s="6" t="s">
        <v>1734</v>
      </c>
      <c r="AJ201" s="6" t="s">
        <v>472</v>
      </c>
      <c r="AK201" s="6" t="s">
        <v>890</v>
      </c>
      <c r="AL201" s="6" t="s">
        <v>163</v>
      </c>
      <c r="AM201" s="6" t="s">
        <v>163</v>
      </c>
      <c r="AN201" s="6" t="s">
        <v>158</v>
      </c>
      <c r="AO201" s="6" t="s">
        <v>163</v>
      </c>
      <c r="AP201" s="6" t="s">
        <v>3294</v>
      </c>
      <c r="AQ201" s="5" t="s">
        <v>168</v>
      </c>
      <c r="AR201" s="6" t="s">
        <v>891</v>
      </c>
      <c r="AT201" s="0" t="str">
        <f aca="false">IF(AND(AX201="pass",AQ201&lt;&gt;"Y",C201&lt;&gt;"",OR(AW201&lt;&gt;"Y",AV201="Y")),"Y","N")</f>
        <v>N</v>
      </c>
      <c r="AU201" s="0" t="str">
        <f aca="false">_xlfn.TEXTJOIN("; ",TRUE(),IF(AX201&lt;&gt;"pass","gated out",""),IF(AQ201="Y","on hold: "&amp;AR201,""),IF(C201="","no contact named on an opened page",""),IF(AND(AW201="Y",AV201&lt;&gt;"Y"),"Tuesday estimate band "&amp;L201&amp;": founder's call",""))</f>
        <v>on hold: lease signed, move not confirmed: check the lobby directory before outreach (B); no contact named on an opened page</v>
      </c>
      <c r="AW201" s="6" t="s">
        <v>162</v>
      </c>
      <c r="AX201" s="6" t="s">
        <v>181</v>
      </c>
      <c r="AY201" s="6" t="s">
        <v>182</v>
      </c>
      <c r="AZ201" s="6" t="s">
        <v>1</v>
      </c>
      <c r="BA201" s="6" t="s">
        <v>3300</v>
      </c>
      <c r="BB201" s="6" t="s">
        <v>163</v>
      </c>
      <c r="BC201" s="6" t="s">
        <v>3301</v>
      </c>
      <c r="BD201" s="6" t="s">
        <v>163</v>
      </c>
      <c r="BF201" s="6" t="s">
        <v>163</v>
      </c>
      <c r="BG201" s="6" t="s">
        <v>163</v>
      </c>
      <c r="BH201" s="6" t="s">
        <v>2196</v>
      </c>
      <c r="BK201" s="6" t="s">
        <v>163</v>
      </c>
      <c r="BL201" s="6" t="s">
        <v>163</v>
      </c>
      <c r="BM201" s="6" t="s">
        <v>163</v>
      </c>
      <c r="BN201" s="6" t="s">
        <v>163</v>
      </c>
      <c r="BO201" s="6" t="s">
        <v>163</v>
      </c>
      <c r="BP201" s="6" t="s">
        <v>347</v>
      </c>
      <c r="BQ201" s="0" t="n">
        <v>40.743288</v>
      </c>
      <c r="BR201" s="0" t="n">
        <v>-73.986627</v>
      </c>
      <c r="BS201" s="6" t="s">
        <v>168</v>
      </c>
      <c r="BT201" s="0" t="n">
        <v>0</v>
      </c>
      <c r="BU201" s="6" t="s">
        <v>1740</v>
      </c>
      <c r="BV201" s="6" t="s">
        <v>1741</v>
      </c>
      <c r="BW201" s="6" t="s">
        <v>3298</v>
      </c>
      <c r="BX201" s="6" t="s">
        <v>3299</v>
      </c>
      <c r="BY201" s="6" t="s">
        <v>248</v>
      </c>
      <c r="CC201" s="6" t="s">
        <v>739</v>
      </c>
      <c r="CD201" s="6" t="s">
        <v>163</v>
      </c>
      <c r="CE201" s="6" t="s">
        <v>162</v>
      </c>
      <c r="CH201" s="6" t="s">
        <v>163</v>
      </c>
      <c r="CJ201" s="6" t="s">
        <v>163</v>
      </c>
      <c r="CK201" s="6" t="s">
        <v>162</v>
      </c>
      <c r="CL201" s="6" t="s">
        <v>163</v>
      </c>
      <c r="CO201" s="6" t="s">
        <v>163</v>
      </c>
      <c r="CQ201" s="6" t="s">
        <v>2197</v>
      </c>
      <c r="CR201" s="6" t="s">
        <v>206</v>
      </c>
      <c r="CS201" s="6" t="s">
        <v>163</v>
      </c>
      <c r="CT201" s="0" t="n">
        <v>26</v>
      </c>
      <c r="CU201" s="0" t="n">
        <v>7</v>
      </c>
      <c r="CV201" s="0" t="n">
        <v>8</v>
      </c>
      <c r="CW201" s="0" t="n">
        <v>6</v>
      </c>
      <c r="CX201" s="0" t="n">
        <v>5</v>
      </c>
      <c r="CY201" s="6" t="n">
        <f aca="false">IF(AH201="exact",10,IF(AH201="adjacent",5,0))</f>
        <v>0</v>
      </c>
      <c r="CZ201" s="6" t="n">
        <f aca="false">IF(R201="Y",15,0)</f>
        <v>0</v>
      </c>
      <c r="DF201" s="6" t="s">
        <v>158</v>
      </c>
      <c r="DG201" s="6" t="s">
        <v>211</v>
      </c>
      <c r="DJ201" s="6" t="s">
        <v>3302</v>
      </c>
      <c r="DK201" s="6" t="s">
        <v>3303</v>
      </c>
      <c r="DS201" s="6" t="s">
        <v>158</v>
      </c>
      <c r="DX201" s="6" t="s">
        <v>162</v>
      </c>
      <c r="ER201" s="0" t="str">
        <f aca="false">IF(ISNUMBER(MATCH(U201,{"queued","contacted","replied","call_booked","call_done","yes_in_principle","materials_sent"},0)),"Y","N")</f>
        <v>N</v>
      </c>
      <c r="ES201" s="0" t="str">
        <f aca="false">IF(COUNTIFS($AP$2:$AP$1000,AP201,$ER$2:$ER$1000,"Y")+COUNTIFS($AP$2:$AP$1000,AP201,$T$2:$T$1000,"Y")&gt;0,"Y","N")</f>
        <v>N</v>
      </c>
      <c r="ET201" s="0" t="str">
        <f aca="false">IF(AND(U201="new",T201="N",AT201="Y",AS201="",ES201="N"),"Y","N")</f>
        <v>N</v>
      </c>
      <c r="EU201" s="0" t="str">
        <f aca="false">IF(ET201&lt;&gt;"Y","N",IF(COUNTIFS($AP$2:$AP$1000,AP201,$ET$2:$ET$1000,"Y",$J$2:$J$1000,"&gt;"&amp;J201)+COUNTIFS($AP$2:$AP$1000,AP201,$ET$2:$ET$1000,"Y",$J$2:$J$1000,J201,$EW$2:$EW$1000,"&lt;"&amp;EW201)=0,"Y","N"))</f>
        <v>N</v>
      </c>
      <c r="EV201" s="0" t="str">
        <f aca="false">IF(Y201="","N",IF(Y201&lt;=10,"Y","N"))</f>
        <v>N</v>
      </c>
      <c r="EW201" s="6" t="n">
        <f aca="false">ROW()-1</f>
        <v>200</v>
      </c>
    </row>
    <row r="202" customFormat="false" ht="15" hidden="false" customHeight="false" outlineLevel="0" collapsed="false">
      <c r="A202" s="0" t="s">
        <v>3304</v>
      </c>
      <c r="B202" s="0" t="s">
        <v>3305</v>
      </c>
      <c r="H202" s="5" t="s">
        <v>158</v>
      </c>
      <c r="I202" s="5" t="s">
        <v>159</v>
      </c>
      <c r="J202" s="6" t="n">
        <f aca="false">IF(AX202="pass",ROUND(CU202+CV202+CW202+CX202+CY202+CZ202,1),0)</f>
        <v>26</v>
      </c>
      <c r="K202" s="6" t="s">
        <v>3296</v>
      </c>
      <c r="L202" s="6" t="s">
        <v>163</v>
      </c>
      <c r="O202" s="6" t="s">
        <v>3306</v>
      </c>
      <c r="P202" s="6" t="s">
        <v>3307</v>
      </c>
      <c r="Q202" s="6" t="s">
        <v>3308</v>
      </c>
      <c r="R202" s="5" t="s">
        <v>162</v>
      </c>
      <c r="S202" s="6" t="s">
        <v>163</v>
      </c>
      <c r="T202" s="5" t="s">
        <v>162</v>
      </c>
      <c r="U202" s="5" t="s">
        <v>228</v>
      </c>
      <c r="V202" s="6" t="s">
        <v>3307</v>
      </c>
      <c r="W202" s="6" t="s">
        <v>166</v>
      </c>
      <c r="X202" s="6" t="s">
        <v>167</v>
      </c>
      <c r="Y202" s="0" t="str">
        <f aca="false">IF(EU202&lt;&gt;"Y","",COUNTIFS($EU$2:$EU$1000,"Y",$J$2:$J$1000,"&gt;"&amp;J202)+COUNTIFS($EU$2:$EU$1000,"Y",$J$2:$J$1000,J202,$EW$2:$EW$1000,"&lt;"&amp;EW202)+1)</f>
        <v/>
      </c>
      <c r="Z202" s="0" t="n">
        <v>201</v>
      </c>
      <c r="AA202" s="6" t="s">
        <v>162</v>
      </c>
      <c r="AD202" s="6" t="s">
        <v>158</v>
      </c>
      <c r="AH202" s="5" t="s">
        <v>158</v>
      </c>
      <c r="AI202" s="6" t="s">
        <v>1612</v>
      </c>
      <c r="AJ202" s="6" t="s">
        <v>2456</v>
      </c>
      <c r="AK202" s="6" t="s">
        <v>890</v>
      </c>
      <c r="AL202" s="6" t="s">
        <v>163</v>
      </c>
      <c r="AM202" s="6" t="s">
        <v>163</v>
      </c>
      <c r="AN202" s="6" t="s">
        <v>158</v>
      </c>
      <c r="AO202" s="6" t="s">
        <v>163</v>
      </c>
      <c r="AP202" s="6" t="s">
        <v>3304</v>
      </c>
      <c r="AQ202" s="5" t="s">
        <v>168</v>
      </c>
      <c r="AR202" s="6" t="s">
        <v>891</v>
      </c>
      <c r="AT202" s="0" t="str">
        <f aca="false">IF(AND(AX202="pass",AQ202&lt;&gt;"Y",C202&lt;&gt;"",OR(AW202&lt;&gt;"Y",AV202="Y")),"Y","N")</f>
        <v>N</v>
      </c>
      <c r="AU202" s="0" t="str">
        <f aca="false">_xlfn.TEXTJOIN("; ",TRUE(),IF(AX202&lt;&gt;"pass","gated out",""),IF(AQ202="Y","on hold: "&amp;AR202,""),IF(C202="","no contact named on an opened page",""),IF(AND(AW202="Y",AV202&lt;&gt;"Y"),"Tuesday estimate band "&amp;L202&amp;": founder's call",""))</f>
        <v>on hold: lease signed, move not confirmed: check the lobby directory before outreach (B); no contact named on an opened page</v>
      </c>
      <c r="AW202" s="6" t="s">
        <v>162</v>
      </c>
      <c r="AX202" s="6" t="s">
        <v>181</v>
      </c>
      <c r="AY202" s="6" t="s">
        <v>182</v>
      </c>
      <c r="AZ202" s="6" t="s">
        <v>1</v>
      </c>
      <c r="BA202" s="6" t="s">
        <v>3309</v>
      </c>
      <c r="BB202" s="6" t="s">
        <v>3310</v>
      </c>
      <c r="BC202" s="6" t="s">
        <v>3311</v>
      </c>
      <c r="BD202" s="6" t="s">
        <v>163</v>
      </c>
      <c r="BF202" s="6" t="s">
        <v>163</v>
      </c>
      <c r="BG202" s="6" t="s">
        <v>163</v>
      </c>
      <c r="BH202" s="6" t="s">
        <v>2196</v>
      </c>
      <c r="BK202" s="6" t="s">
        <v>163</v>
      </c>
      <c r="BL202" s="6" t="s">
        <v>163</v>
      </c>
      <c r="BM202" s="6" t="s">
        <v>163</v>
      </c>
      <c r="BN202" s="6" t="s">
        <v>163</v>
      </c>
      <c r="BO202" s="6" t="s">
        <v>163</v>
      </c>
      <c r="BP202" s="6" t="s">
        <v>347</v>
      </c>
      <c r="BQ202" s="0" t="n">
        <v>40.738577</v>
      </c>
      <c r="BR202" s="0" t="n">
        <v>-73.987151</v>
      </c>
      <c r="BS202" s="6" t="s">
        <v>168</v>
      </c>
      <c r="BT202" s="0" t="n">
        <v>0</v>
      </c>
      <c r="BU202" s="6" t="s">
        <v>1618</v>
      </c>
      <c r="BV202" s="6" t="s">
        <v>1619</v>
      </c>
      <c r="BW202" s="6" t="s">
        <v>3307</v>
      </c>
      <c r="BX202" s="6" t="s">
        <v>3308</v>
      </c>
      <c r="BY202" s="6" t="s">
        <v>248</v>
      </c>
      <c r="BZ202" s="6" t="s">
        <v>3312</v>
      </c>
      <c r="CA202" s="6" t="s">
        <v>3313</v>
      </c>
      <c r="CC202" s="6" t="s">
        <v>739</v>
      </c>
      <c r="CD202" s="6" t="s">
        <v>163</v>
      </c>
      <c r="CE202" s="6" t="s">
        <v>162</v>
      </c>
      <c r="CH202" s="6" t="s">
        <v>163</v>
      </c>
      <c r="CJ202" s="6" t="s">
        <v>163</v>
      </c>
      <c r="CK202" s="6" t="s">
        <v>162</v>
      </c>
      <c r="CL202" s="6" t="s">
        <v>163</v>
      </c>
      <c r="CO202" s="6" t="s">
        <v>163</v>
      </c>
      <c r="CQ202" s="6" t="s">
        <v>2197</v>
      </c>
      <c r="CR202" s="6" t="s">
        <v>206</v>
      </c>
      <c r="CS202" s="6" t="s">
        <v>163</v>
      </c>
      <c r="CT202" s="0" t="n">
        <v>26</v>
      </c>
      <c r="CU202" s="0" t="n">
        <v>7</v>
      </c>
      <c r="CV202" s="0" t="n">
        <v>8</v>
      </c>
      <c r="CW202" s="0" t="n">
        <v>6</v>
      </c>
      <c r="CX202" s="0" t="n">
        <v>5</v>
      </c>
      <c r="CY202" s="6" t="n">
        <f aca="false">IF(AH202="exact",10,IF(AH202="adjacent",5,0))</f>
        <v>0</v>
      </c>
      <c r="CZ202" s="6" t="n">
        <f aca="false">IF(R202="Y",15,0)</f>
        <v>0</v>
      </c>
      <c r="DF202" s="6" t="s">
        <v>158</v>
      </c>
      <c r="DG202" s="6" t="s">
        <v>211</v>
      </c>
      <c r="DJ202" s="6" t="s">
        <v>2631</v>
      </c>
      <c r="DK202" s="6" t="s">
        <v>3314</v>
      </c>
      <c r="DS202" s="6" t="s">
        <v>158</v>
      </c>
      <c r="DX202" s="6" t="s">
        <v>162</v>
      </c>
      <c r="ER202" s="0" t="str">
        <f aca="false">IF(ISNUMBER(MATCH(U202,{"queued","contacted","replied","call_booked","call_done","yes_in_principle","materials_sent"},0)),"Y","N")</f>
        <v>N</v>
      </c>
      <c r="ES202" s="0" t="str">
        <f aca="false">IF(COUNTIFS($AP$2:$AP$1000,AP202,$ER$2:$ER$1000,"Y")+COUNTIFS($AP$2:$AP$1000,AP202,$T$2:$T$1000,"Y")&gt;0,"Y","N")</f>
        <v>N</v>
      </c>
      <c r="ET202" s="0" t="str">
        <f aca="false">IF(AND(U202="new",T202="N",AT202="Y",AS202="",ES202="N"),"Y","N")</f>
        <v>N</v>
      </c>
      <c r="EU202" s="0" t="str">
        <f aca="false">IF(ET202&lt;&gt;"Y","N",IF(COUNTIFS($AP$2:$AP$1000,AP202,$ET$2:$ET$1000,"Y",$J$2:$J$1000,"&gt;"&amp;J202)+COUNTIFS($AP$2:$AP$1000,AP202,$ET$2:$ET$1000,"Y",$J$2:$J$1000,J202,$EW$2:$EW$1000,"&lt;"&amp;EW202)=0,"Y","N"))</f>
        <v>N</v>
      </c>
      <c r="EV202" s="0" t="str">
        <f aca="false">IF(Y202="","N",IF(Y202&lt;=10,"Y","N"))</f>
        <v>N</v>
      </c>
      <c r="EW202" s="6" t="n">
        <f aca="false">ROW()-1</f>
        <v>201</v>
      </c>
    </row>
    <row r="203" customFormat="false" ht="15" hidden="false" customHeight="false" outlineLevel="0" collapsed="false">
      <c r="A203" s="0" t="s">
        <v>3315</v>
      </c>
      <c r="B203" s="0" t="s">
        <v>3316</v>
      </c>
      <c r="H203" s="5" t="s">
        <v>158</v>
      </c>
      <c r="I203" s="5" t="s">
        <v>159</v>
      </c>
      <c r="J203" s="6" t="n">
        <f aca="false">IF(AX203="pass",ROUND(CU203+CV203+CW203+CX203+CY203+CZ203,1),0)</f>
        <v>26</v>
      </c>
      <c r="K203" s="6" t="s">
        <v>3296</v>
      </c>
      <c r="L203" s="6" t="s">
        <v>163</v>
      </c>
      <c r="O203" s="6" t="s">
        <v>3317</v>
      </c>
      <c r="P203" s="6" t="s">
        <v>2609</v>
      </c>
      <c r="Q203" s="6" t="s">
        <v>2614</v>
      </c>
      <c r="R203" s="5" t="s">
        <v>162</v>
      </c>
      <c r="S203" s="6" t="s">
        <v>163</v>
      </c>
      <c r="T203" s="5" t="s">
        <v>162</v>
      </c>
      <c r="U203" s="5" t="s">
        <v>228</v>
      </c>
      <c r="V203" s="6" t="s">
        <v>2609</v>
      </c>
      <c r="W203" s="6" t="s">
        <v>166</v>
      </c>
      <c r="X203" s="6" t="s">
        <v>167</v>
      </c>
      <c r="Y203" s="0" t="str">
        <f aca="false">IF(EU203&lt;&gt;"Y","",COUNTIFS($EU$2:$EU$1000,"Y",$J$2:$J$1000,"&gt;"&amp;J203)+COUNTIFS($EU$2:$EU$1000,"Y",$J$2:$J$1000,J203,$EW$2:$EW$1000,"&lt;"&amp;EW203)+1)</f>
        <v/>
      </c>
      <c r="Z203" s="0" t="n">
        <v>202</v>
      </c>
      <c r="AA203" s="6" t="s">
        <v>162</v>
      </c>
      <c r="AD203" s="6" t="s">
        <v>158</v>
      </c>
      <c r="AH203" s="5" t="s">
        <v>158</v>
      </c>
      <c r="AI203" s="6" t="s">
        <v>2610</v>
      </c>
      <c r="AJ203" s="6" t="s">
        <v>1141</v>
      </c>
      <c r="AK203" s="6" t="s">
        <v>890</v>
      </c>
      <c r="AL203" s="6" t="s">
        <v>163</v>
      </c>
      <c r="AM203" s="6" t="s">
        <v>163</v>
      </c>
      <c r="AN203" s="6" t="s">
        <v>158</v>
      </c>
      <c r="AO203" s="6" t="s">
        <v>163</v>
      </c>
      <c r="AP203" s="6" t="s">
        <v>3315</v>
      </c>
      <c r="AQ203" s="5" t="s">
        <v>168</v>
      </c>
      <c r="AR203" s="6" t="s">
        <v>891</v>
      </c>
      <c r="AT203" s="0" t="str">
        <f aca="false">IF(AND(AX203="pass",AQ203&lt;&gt;"Y",C203&lt;&gt;"",OR(AW203&lt;&gt;"Y",AV203="Y")),"Y","N")</f>
        <v>N</v>
      </c>
      <c r="AU203" s="0" t="str">
        <f aca="false">_xlfn.TEXTJOIN("; ",TRUE(),IF(AX203&lt;&gt;"pass","gated out",""),IF(AQ203="Y","on hold: "&amp;AR203,""),IF(C203="","no contact named on an opened page",""),IF(AND(AW203="Y",AV203&lt;&gt;"Y"),"Tuesday estimate band "&amp;L203&amp;": founder's call",""))</f>
        <v>on hold: lease signed, move not confirmed: check the lobby directory before outreach (B); no contact named on an opened page</v>
      </c>
      <c r="AW203" s="6" t="s">
        <v>162</v>
      </c>
      <c r="AX203" s="6" t="s">
        <v>181</v>
      </c>
      <c r="AY203" s="6" t="s">
        <v>182</v>
      </c>
      <c r="AZ203" s="6" t="s">
        <v>1</v>
      </c>
      <c r="BA203" s="6" t="s">
        <v>3318</v>
      </c>
      <c r="BB203" s="6" t="s">
        <v>163</v>
      </c>
      <c r="BC203" s="6" t="s">
        <v>3319</v>
      </c>
      <c r="BD203" s="6" t="s">
        <v>163</v>
      </c>
      <c r="BF203" s="6" t="s">
        <v>163</v>
      </c>
      <c r="BG203" s="6" t="s">
        <v>163</v>
      </c>
      <c r="BH203" s="6" t="s">
        <v>2196</v>
      </c>
      <c r="BK203" s="6" t="s">
        <v>163</v>
      </c>
      <c r="BL203" s="6" t="s">
        <v>163</v>
      </c>
      <c r="BM203" s="6" t="s">
        <v>163</v>
      </c>
      <c r="BN203" s="6" t="s">
        <v>163</v>
      </c>
      <c r="BO203" s="6" t="s">
        <v>163</v>
      </c>
      <c r="BP203" s="6" t="s">
        <v>378</v>
      </c>
      <c r="BQ203" s="0" t="n">
        <v>40.738186</v>
      </c>
      <c r="BR203" s="0" t="n">
        <v>-73.992429</v>
      </c>
      <c r="BS203" s="6" t="s">
        <v>168</v>
      </c>
      <c r="BT203" s="0" t="n">
        <v>0</v>
      </c>
      <c r="BU203" s="6" t="s">
        <v>2613</v>
      </c>
      <c r="BV203" s="6" t="s">
        <v>2610</v>
      </c>
      <c r="BW203" s="6" t="s">
        <v>2609</v>
      </c>
      <c r="BX203" s="6" t="s">
        <v>2614</v>
      </c>
      <c r="BY203" s="6" t="s">
        <v>248</v>
      </c>
      <c r="CC203" s="6" t="s">
        <v>739</v>
      </c>
      <c r="CD203" s="6" t="s">
        <v>163</v>
      </c>
      <c r="CE203" s="6" t="s">
        <v>162</v>
      </c>
      <c r="CH203" s="6" t="s">
        <v>163</v>
      </c>
      <c r="CJ203" s="6" t="s">
        <v>163</v>
      </c>
      <c r="CK203" s="6" t="s">
        <v>162</v>
      </c>
      <c r="CL203" s="6" t="s">
        <v>163</v>
      </c>
      <c r="CO203" s="6" t="s">
        <v>163</v>
      </c>
      <c r="CQ203" s="6" t="s">
        <v>2197</v>
      </c>
      <c r="CR203" s="6" t="s">
        <v>206</v>
      </c>
      <c r="CS203" s="6" t="s">
        <v>163</v>
      </c>
      <c r="CT203" s="0" t="n">
        <v>26</v>
      </c>
      <c r="CU203" s="0" t="n">
        <v>7</v>
      </c>
      <c r="CV203" s="0" t="n">
        <v>8</v>
      </c>
      <c r="CW203" s="0" t="n">
        <v>6</v>
      </c>
      <c r="CX203" s="0" t="n">
        <v>5</v>
      </c>
      <c r="CY203" s="6" t="n">
        <f aca="false">IF(AH203="exact",10,IF(AH203="adjacent",5,0))</f>
        <v>0</v>
      </c>
      <c r="CZ203" s="6" t="n">
        <f aca="false">IF(R203="Y",15,0)</f>
        <v>0</v>
      </c>
      <c r="DF203" s="6" t="s">
        <v>158</v>
      </c>
      <c r="DG203" s="6" t="s">
        <v>211</v>
      </c>
      <c r="DJ203" s="6" t="s">
        <v>2958</v>
      </c>
      <c r="DK203" s="6" t="s">
        <v>3320</v>
      </c>
      <c r="DS203" s="6" t="s">
        <v>158</v>
      </c>
      <c r="DX203" s="6" t="s">
        <v>162</v>
      </c>
      <c r="ER203" s="0" t="str">
        <f aca="false">IF(ISNUMBER(MATCH(U203,{"queued","contacted","replied","call_booked","call_done","yes_in_principle","materials_sent"},0)),"Y","N")</f>
        <v>N</v>
      </c>
      <c r="ES203" s="0" t="str">
        <f aca="false">IF(COUNTIFS($AP$2:$AP$1000,AP203,$ER$2:$ER$1000,"Y")+COUNTIFS($AP$2:$AP$1000,AP203,$T$2:$T$1000,"Y")&gt;0,"Y","N")</f>
        <v>N</v>
      </c>
      <c r="ET203" s="0" t="str">
        <f aca="false">IF(AND(U203="new",T203="N",AT203="Y",AS203="",ES203="N"),"Y","N")</f>
        <v>N</v>
      </c>
      <c r="EU203" s="0" t="str">
        <f aca="false">IF(ET203&lt;&gt;"Y","N",IF(COUNTIFS($AP$2:$AP$1000,AP203,$ET$2:$ET$1000,"Y",$J$2:$J$1000,"&gt;"&amp;J203)+COUNTIFS($AP$2:$AP$1000,AP203,$ET$2:$ET$1000,"Y",$J$2:$J$1000,J203,$EW$2:$EW$1000,"&lt;"&amp;EW203)=0,"Y","N"))</f>
        <v>N</v>
      </c>
      <c r="EV203" s="0" t="str">
        <f aca="false">IF(Y203="","N",IF(Y203&lt;=10,"Y","N"))</f>
        <v>N</v>
      </c>
      <c r="EW203" s="6" t="n">
        <f aca="false">ROW()-1</f>
        <v>202</v>
      </c>
    </row>
    <row r="204" customFormat="false" ht="15" hidden="false" customHeight="false" outlineLevel="0" collapsed="false">
      <c r="A204" s="0" t="s">
        <v>3321</v>
      </c>
      <c r="B204" s="0" t="s">
        <v>3322</v>
      </c>
      <c r="H204" s="5" t="s">
        <v>158</v>
      </c>
      <c r="I204" s="5" t="s">
        <v>159</v>
      </c>
      <c r="J204" s="6" t="n">
        <f aca="false">IF(AX204="pass",ROUND(CU204+CV204+CW204+CX204+CY204+CZ204,1),0)</f>
        <v>26</v>
      </c>
      <c r="K204" s="6" t="s">
        <v>3296</v>
      </c>
      <c r="L204" s="6" t="s">
        <v>163</v>
      </c>
      <c r="O204" s="6" t="s">
        <v>1490</v>
      </c>
      <c r="P204" s="6" t="s">
        <v>1491</v>
      </c>
      <c r="Q204" s="6" t="s">
        <v>1492</v>
      </c>
      <c r="R204" s="5" t="s">
        <v>162</v>
      </c>
      <c r="S204" s="6" t="s">
        <v>163</v>
      </c>
      <c r="T204" s="5" t="s">
        <v>162</v>
      </c>
      <c r="U204" s="5" t="s">
        <v>228</v>
      </c>
      <c r="V204" s="6" t="s">
        <v>1491</v>
      </c>
      <c r="W204" s="6" t="s">
        <v>166</v>
      </c>
      <c r="X204" s="6" t="s">
        <v>167</v>
      </c>
      <c r="Y204" s="0" t="str">
        <f aca="false">IF(EU204&lt;&gt;"Y","",COUNTIFS($EU$2:$EU$1000,"Y",$J$2:$J$1000,"&gt;"&amp;J204)+COUNTIFS($EU$2:$EU$1000,"Y",$J$2:$J$1000,J204,$EW$2:$EW$1000,"&lt;"&amp;EW204)+1)</f>
        <v/>
      </c>
      <c r="Z204" s="0" t="n">
        <v>203</v>
      </c>
      <c r="AA204" s="6" t="s">
        <v>162</v>
      </c>
      <c r="AD204" s="6" t="s">
        <v>158</v>
      </c>
      <c r="AH204" s="5" t="s">
        <v>158</v>
      </c>
      <c r="AI204" s="6" t="s">
        <v>1493</v>
      </c>
      <c r="AJ204" s="6" t="s">
        <v>2371</v>
      </c>
      <c r="AK204" s="6" t="s">
        <v>890</v>
      </c>
      <c r="AL204" s="6" t="s">
        <v>163</v>
      </c>
      <c r="AM204" s="6" t="s">
        <v>163</v>
      </c>
      <c r="AN204" s="6" t="s">
        <v>158</v>
      </c>
      <c r="AO204" s="6" t="s">
        <v>163</v>
      </c>
      <c r="AP204" s="6" t="s">
        <v>3321</v>
      </c>
      <c r="AQ204" s="5" t="s">
        <v>168</v>
      </c>
      <c r="AR204" s="6" t="s">
        <v>891</v>
      </c>
      <c r="AT204" s="0" t="str">
        <f aca="false">IF(AND(AX204="pass",AQ204&lt;&gt;"Y",C204&lt;&gt;"",OR(AW204&lt;&gt;"Y",AV204="Y")),"Y","N")</f>
        <v>N</v>
      </c>
      <c r="AU204" s="0" t="str">
        <f aca="false">_xlfn.TEXTJOIN("; ",TRUE(),IF(AX204&lt;&gt;"pass","gated out",""),IF(AQ204="Y","on hold: "&amp;AR204,""),IF(C204="","no contact named on an opened page",""),IF(AND(AW204="Y",AV204&lt;&gt;"Y"),"Tuesday estimate band "&amp;L204&amp;": founder's call",""))</f>
        <v>on hold: lease signed, move not confirmed: check the lobby directory before outreach (B); no contact named on an opened page</v>
      </c>
      <c r="AW204" s="6" t="s">
        <v>162</v>
      </c>
      <c r="AX204" s="6" t="s">
        <v>181</v>
      </c>
      <c r="AY204" s="6" t="s">
        <v>182</v>
      </c>
      <c r="AZ204" s="6" t="s">
        <v>1</v>
      </c>
      <c r="BA204" s="6" t="s">
        <v>3323</v>
      </c>
      <c r="BB204" s="6" t="s">
        <v>3324</v>
      </c>
      <c r="BC204" s="6" t="s">
        <v>3325</v>
      </c>
      <c r="BD204" s="6" t="s">
        <v>163</v>
      </c>
      <c r="BF204" s="6" t="s">
        <v>163</v>
      </c>
      <c r="BG204" s="6" t="s">
        <v>163</v>
      </c>
      <c r="BH204" s="6" t="s">
        <v>2196</v>
      </c>
      <c r="BK204" s="6" t="s">
        <v>163</v>
      </c>
      <c r="BL204" s="6" t="s">
        <v>163</v>
      </c>
      <c r="BM204" s="6" t="s">
        <v>163</v>
      </c>
      <c r="BN204" s="6" t="s">
        <v>163</v>
      </c>
      <c r="BO204" s="6" t="s">
        <v>163</v>
      </c>
      <c r="BP204" s="6" t="s">
        <v>378</v>
      </c>
      <c r="BQ204" s="0" t="n">
        <v>40.736981</v>
      </c>
      <c r="BR204" s="0" t="n">
        <v>-73.993144</v>
      </c>
      <c r="BS204" s="6" t="s">
        <v>168</v>
      </c>
      <c r="BT204" s="0" t="n">
        <v>0</v>
      </c>
      <c r="BU204" s="6" t="s">
        <v>1502</v>
      </c>
      <c r="BV204" s="6" t="s">
        <v>1503</v>
      </c>
      <c r="BW204" s="6" t="s">
        <v>1491</v>
      </c>
      <c r="BX204" s="6" t="s">
        <v>1492</v>
      </c>
      <c r="BY204" s="6" t="s">
        <v>248</v>
      </c>
      <c r="CC204" s="6" t="s">
        <v>739</v>
      </c>
      <c r="CD204" s="6" t="s">
        <v>163</v>
      </c>
      <c r="CE204" s="6" t="s">
        <v>162</v>
      </c>
      <c r="CH204" s="6" t="s">
        <v>163</v>
      </c>
      <c r="CJ204" s="6" t="s">
        <v>163</v>
      </c>
      <c r="CK204" s="6" t="s">
        <v>162</v>
      </c>
      <c r="CL204" s="6" t="s">
        <v>163</v>
      </c>
      <c r="CO204" s="6" t="s">
        <v>163</v>
      </c>
      <c r="CQ204" s="6" t="s">
        <v>2197</v>
      </c>
      <c r="CR204" s="6" t="s">
        <v>206</v>
      </c>
      <c r="CS204" s="6" t="s">
        <v>163</v>
      </c>
      <c r="CT204" s="0" t="n">
        <v>26</v>
      </c>
      <c r="CU204" s="0" t="n">
        <v>7</v>
      </c>
      <c r="CV204" s="0" t="n">
        <v>8</v>
      </c>
      <c r="CW204" s="0" t="n">
        <v>6</v>
      </c>
      <c r="CX204" s="0" t="n">
        <v>5</v>
      </c>
      <c r="CY204" s="6" t="n">
        <f aca="false">IF(AH204="exact",10,IF(AH204="adjacent",5,0))</f>
        <v>0</v>
      </c>
      <c r="CZ204" s="6" t="n">
        <f aca="false">IF(R204="Y",15,0)</f>
        <v>0</v>
      </c>
      <c r="DF204" s="6" t="s">
        <v>158</v>
      </c>
      <c r="DG204" s="6" t="s">
        <v>211</v>
      </c>
      <c r="DJ204" s="6" t="s">
        <v>3326</v>
      </c>
      <c r="DK204" s="6" t="s">
        <v>3327</v>
      </c>
      <c r="DS204" s="6" t="s">
        <v>158</v>
      </c>
      <c r="DX204" s="6" t="s">
        <v>162</v>
      </c>
      <c r="ER204" s="0" t="str">
        <f aca="false">IF(ISNUMBER(MATCH(U204,{"queued","contacted","replied","call_booked","call_done","yes_in_principle","materials_sent"},0)),"Y","N")</f>
        <v>N</v>
      </c>
      <c r="ES204" s="0" t="str">
        <f aca="false">IF(COUNTIFS($AP$2:$AP$1000,AP204,$ER$2:$ER$1000,"Y")+COUNTIFS($AP$2:$AP$1000,AP204,$T$2:$T$1000,"Y")&gt;0,"Y","N")</f>
        <v>N</v>
      </c>
      <c r="ET204" s="0" t="str">
        <f aca="false">IF(AND(U204="new",T204="N",AT204="Y",AS204="",ES204="N"),"Y","N")</f>
        <v>N</v>
      </c>
      <c r="EU204" s="0" t="str">
        <f aca="false">IF(ET204&lt;&gt;"Y","N",IF(COUNTIFS($AP$2:$AP$1000,AP204,$ET$2:$ET$1000,"Y",$J$2:$J$1000,"&gt;"&amp;J204)+COUNTIFS($AP$2:$AP$1000,AP204,$ET$2:$ET$1000,"Y",$J$2:$J$1000,J204,$EW$2:$EW$1000,"&lt;"&amp;EW204)=0,"Y","N"))</f>
        <v>N</v>
      </c>
      <c r="EV204" s="0" t="str">
        <f aca="false">IF(Y204="","N",IF(Y204&lt;=10,"Y","N"))</f>
        <v>N</v>
      </c>
      <c r="EW204" s="6" t="n">
        <f aca="false">ROW()-1</f>
        <v>203</v>
      </c>
    </row>
    <row r="205" customFormat="false" ht="15" hidden="false" customHeight="false" outlineLevel="0" collapsed="false">
      <c r="A205" s="0" t="s">
        <v>3328</v>
      </c>
      <c r="B205" s="0" t="s">
        <v>3329</v>
      </c>
      <c r="H205" s="5" t="s">
        <v>158</v>
      </c>
      <c r="I205" s="5" t="s">
        <v>159</v>
      </c>
      <c r="J205" s="6" t="n">
        <f aca="false">IF(AX205="pass",ROUND(CU205+CV205+CW205+CX205+CY205+CZ205,1),0)</f>
        <v>26</v>
      </c>
      <c r="K205" s="6" t="s">
        <v>3296</v>
      </c>
      <c r="L205" s="6" t="s">
        <v>163</v>
      </c>
      <c r="R205" s="5" t="s">
        <v>162</v>
      </c>
      <c r="S205" s="6" t="s">
        <v>163</v>
      </c>
      <c r="T205" s="5" t="s">
        <v>162</v>
      </c>
      <c r="U205" s="5" t="s">
        <v>228</v>
      </c>
      <c r="V205" s="6" t="s">
        <v>2268</v>
      </c>
      <c r="W205" s="6" t="s">
        <v>166</v>
      </c>
      <c r="X205" s="6" t="s">
        <v>167</v>
      </c>
      <c r="Y205" s="0" t="str">
        <f aca="false">IF(EU205&lt;&gt;"Y","",COUNTIFS($EU$2:$EU$1000,"Y",$J$2:$J$1000,"&gt;"&amp;J205)+COUNTIFS($EU$2:$EU$1000,"Y",$J$2:$J$1000,J205,$EW$2:$EW$1000,"&lt;"&amp;EW205)+1)</f>
        <v/>
      </c>
      <c r="Z205" s="0" t="n">
        <v>204</v>
      </c>
      <c r="AA205" s="6" t="s">
        <v>162</v>
      </c>
      <c r="AD205" s="6" t="s">
        <v>158</v>
      </c>
      <c r="AH205" s="5" t="s">
        <v>158</v>
      </c>
      <c r="AI205" s="6" t="s">
        <v>1734</v>
      </c>
      <c r="AJ205" s="6" t="s">
        <v>1258</v>
      </c>
      <c r="AK205" s="6" t="s">
        <v>890</v>
      </c>
      <c r="AL205" s="6" t="s">
        <v>163</v>
      </c>
      <c r="AM205" s="6" t="s">
        <v>163</v>
      </c>
      <c r="AN205" s="6" t="s">
        <v>158</v>
      </c>
      <c r="AO205" s="6" t="s">
        <v>163</v>
      </c>
      <c r="AP205" s="6" t="s">
        <v>3328</v>
      </c>
      <c r="AQ205" s="5" t="s">
        <v>168</v>
      </c>
      <c r="AR205" s="6" t="s">
        <v>891</v>
      </c>
      <c r="AT205" s="0" t="str">
        <f aca="false">IF(AND(AX205="pass",AQ205&lt;&gt;"Y",C205&lt;&gt;"",OR(AW205&lt;&gt;"Y",AV205="Y")),"Y","N")</f>
        <v>N</v>
      </c>
      <c r="AU205" s="0" t="str">
        <f aca="false">_xlfn.TEXTJOIN("; ",TRUE(),IF(AX205&lt;&gt;"pass","gated out",""),IF(AQ205="Y","on hold: "&amp;AR205,""),IF(C205="","no contact named on an opened page",""),IF(AND(AW205="Y",AV205&lt;&gt;"Y"),"Tuesday estimate band "&amp;L205&amp;": founder's call",""))</f>
        <v>on hold: lease signed, move not confirmed: check the lobby directory before outreach (B); no contact named on an opened page</v>
      </c>
      <c r="AW205" s="6" t="s">
        <v>162</v>
      </c>
      <c r="AX205" s="6" t="s">
        <v>181</v>
      </c>
      <c r="AY205" s="6" t="s">
        <v>182</v>
      </c>
      <c r="AZ205" s="6" t="s">
        <v>1</v>
      </c>
      <c r="BA205" s="6" t="s">
        <v>3330</v>
      </c>
      <c r="BB205" s="6" t="s">
        <v>163</v>
      </c>
      <c r="BC205" s="6" t="s">
        <v>3331</v>
      </c>
      <c r="BD205" s="6" t="s">
        <v>163</v>
      </c>
      <c r="BF205" s="6" t="s">
        <v>163</v>
      </c>
      <c r="BG205" s="6" t="s">
        <v>163</v>
      </c>
      <c r="BH205" s="6" t="s">
        <v>2196</v>
      </c>
      <c r="BK205" s="6" t="s">
        <v>163</v>
      </c>
      <c r="BL205" s="6" t="s">
        <v>192</v>
      </c>
      <c r="BM205" s="6" t="s">
        <v>168</v>
      </c>
      <c r="BN205" s="6" t="s">
        <v>163</v>
      </c>
      <c r="BO205" s="6" t="s">
        <v>163</v>
      </c>
      <c r="BP205" s="6" t="s">
        <v>347</v>
      </c>
      <c r="BQ205" s="0" t="n">
        <v>40.743288</v>
      </c>
      <c r="BR205" s="0" t="n">
        <v>-73.986627</v>
      </c>
      <c r="BS205" s="6" t="s">
        <v>168</v>
      </c>
      <c r="BT205" s="0" t="n">
        <v>0</v>
      </c>
      <c r="BU205" s="6" t="s">
        <v>1740</v>
      </c>
      <c r="BV205" s="6" t="s">
        <v>1741</v>
      </c>
      <c r="BW205" s="6" t="s">
        <v>2268</v>
      </c>
      <c r="BX205" s="6" t="s">
        <v>2141</v>
      </c>
      <c r="BY205" s="6" t="s">
        <v>248</v>
      </c>
      <c r="CC205" s="6" t="s">
        <v>739</v>
      </c>
      <c r="CD205" s="6" t="s">
        <v>163</v>
      </c>
      <c r="CE205" s="6" t="s">
        <v>162</v>
      </c>
      <c r="CH205" s="6" t="s">
        <v>163</v>
      </c>
      <c r="CJ205" s="6" t="s">
        <v>163</v>
      </c>
      <c r="CK205" s="6" t="s">
        <v>162</v>
      </c>
      <c r="CL205" s="6" t="s">
        <v>163</v>
      </c>
      <c r="CO205" s="6" t="s">
        <v>163</v>
      </c>
      <c r="CQ205" s="6" t="s">
        <v>2197</v>
      </c>
      <c r="CR205" s="6" t="s">
        <v>206</v>
      </c>
      <c r="CS205" s="6" t="s">
        <v>163</v>
      </c>
      <c r="CT205" s="0" t="n">
        <v>26</v>
      </c>
      <c r="CU205" s="0" t="n">
        <v>7</v>
      </c>
      <c r="CV205" s="0" t="n">
        <v>8</v>
      </c>
      <c r="CW205" s="0" t="n">
        <v>6</v>
      </c>
      <c r="CX205" s="0" t="n">
        <v>5</v>
      </c>
      <c r="CY205" s="6" t="n">
        <f aca="false">IF(AH205="exact",10,IF(AH205="adjacent",5,0))</f>
        <v>0</v>
      </c>
      <c r="CZ205" s="6" t="n">
        <f aca="false">IF(R205="Y",15,0)</f>
        <v>0</v>
      </c>
      <c r="DF205" s="6" t="s">
        <v>158</v>
      </c>
      <c r="DG205" s="6" t="s">
        <v>211</v>
      </c>
      <c r="DJ205" s="6" t="s">
        <v>3332</v>
      </c>
      <c r="DK205" s="6" t="s">
        <v>3333</v>
      </c>
      <c r="DS205" s="6" t="s">
        <v>158</v>
      </c>
      <c r="DX205" s="6" t="s">
        <v>162</v>
      </c>
      <c r="ER205" s="0" t="str">
        <f aca="false">IF(ISNUMBER(MATCH(U205,{"queued","contacted","replied","call_booked","call_done","yes_in_principle","materials_sent"},0)),"Y","N")</f>
        <v>N</v>
      </c>
      <c r="ES205" s="0" t="str">
        <f aca="false">IF(COUNTIFS($AP$2:$AP$1000,AP205,$ER$2:$ER$1000,"Y")+COUNTIFS($AP$2:$AP$1000,AP205,$T$2:$T$1000,"Y")&gt;0,"Y","N")</f>
        <v>N</v>
      </c>
      <c r="ET205" s="0" t="str">
        <f aca="false">IF(AND(U205="new",T205="N",AT205="Y",AS205="",ES205="N"),"Y","N")</f>
        <v>N</v>
      </c>
      <c r="EU205" s="0" t="str">
        <f aca="false">IF(ET205&lt;&gt;"Y","N",IF(COUNTIFS($AP$2:$AP$1000,AP205,$ET$2:$ET$1000,"Y",$J$2:$J$1000,"&gt;"&amp;J205)+COUNTIFS($AP$2:$AP$1000,AP205,$ET$2:$ET$1000,"Y",$J$2:$J$1000,J205,$EW$2:$EW$1000,"&lt;"&amp;EW205)=0,"Y","N"))</f>
        <v>N</v>
      </c>
      <c r="EV205" s="0" t="str">
        <f aca="false">IF(Y205="","N",IF(Y205&lt;=10,"Y","N"))</f>
        <v>N</v>
      </c>
      <c r="EW205" s="6" t="n">
        <f aca="false">ROW()-1</f>
        <v>204</v>
      </c>
    </row>
    <row r="206" customFormat="false" ht="15" hidden="false" customHeight="false" outlineLevel="0" collapsed="false">
      <c r="A206" s="0" t="s">
        <v>3334</v>
      </c>
      <c r="B206" s="0" t="s">
        <v>3335</v>
      </c>
      <c r="H206" s="5" t="s">
        <v>158</v>
      </c>
      <c r="I206" s="5" t="s">
        <v>159</v>
      </c>
      <c r="J206" s="6" t="n">
        <f aca="false">IF(AX206="pass",ROUND(CU206+CV206+CW206+CX206+CY206+CZ206,1),0)</f>
        <v>26</v>
      </c>
      <c r="K206" s="6" t="s">
        <v>3296</v>
      </c>
      <c r="L206" s="6" t="s">
        <v>163</v>
      </c>
      <c r="R206" s="5" t="s">
        <v>162</v>
      </c>
      <c r="S206" s="6" t="s">
        <v>163</v>
      </c>
      <c r="T206" s="5" t="s">
        <v>162</v>
      </c>
      <c r="U206" s="5" t="s">
        <v>228</v>
      </c>
      <c r="V206" s="6" t="s">
        <v>2009</v>
      </c>
      <c r="W206" s="6" t="s">
        <v>166</v>
      </c>
      <c r="X206" s="6" t="s">
        <v>167</v>
      </c>
      <c r="Y206" s="0" t="str">
        <f aca="false">IF(EU206&lt;&gt;"Y","",COUNTIFS($EU$2:$EU$1000,"Y",$J$2:$J$1000,"&gt;"&amp;J206)+COUNTIFS($EU$2:$EU$1000,"Y",$J$2:$J$1000,J206,$EW$2:$EW$1000,"&lt;"&amp;EW206)+1)</f>
        <v/>
      </c>
      <c r="Z206" s="0" t="n">
        <v>205</v>
      </c>
      <c r="AA206" s="6" t="s">
        <v>162</v>
      </c>
      <c r="AD206" s="6" t="s">
        <v>158</v>
      </c>
      <c r="AH206" s="5" t="s">
        <v>158</v>
      </c>
      <c r="AI206" s="6" t="s">
        <v>1474</v>
      </c>
      <c r="AJ206" s="6" t="s">
        <v>163</v>
      </c>
      <c r="AK206" s="6" t="s">
        <v>890</v>
      </c>
      <c r="AL206" s="6" t="s">
        <v>163</v>
      </c>
      <c r="AM206" s="6" t="s">
        <v>163</v>
      </c>
      <c r="AN206" s="6" t="s">
        <v>158</v>
      </c>
      <c r="AO206" s="6" t="s">
        <v>163</v>
      </c>
      <c r="AP206" s="6" t="s">
        <v>3334</v>
      </c>
      <c r="AQ206" s="5" t="s">
        <v>168</v>
      </c>
      <c r="AR206" s="6" t="s">
        <v>891</v>
      </c>
      <c r="AT206" s="0" t="str">
        <f aca="false">IF(AND(AX206="pass",AQ206&lt;&gt;"Y",C206&lt;&gt;"",OR(AW206&lt;&gt;"Y",AV206="Y")),"Y","N")</f>
        <v>N</v>
      </c>
      <c r="AU206" s="0" t="str">
        <f aca="false">_xlfn.TEXTJOIN("; ",TRUE(),IF(AX206&lt;&gt;"pass","gated out",""),IF(AQ206="Y","on hold: "&amp;AR206,""),IF(C206="","no contact named on an opened page",""),IF(AND(AW206="Y",AV206&lt;&gt;"Y"),"Tuesday estimate band "&amp;L206&amp;": founder's call",""))</f>
        <v>on hold: lease signed, move not confirmed: check the lobby directory before outreach (B); no contact named on an opened page</v>
      </c>
      <c r="AW206" s="6" t="s">
        <v>162</v>
      </c>
      <c r="AX206" s="6" t="s">
        <v>181</v>
      </c>
      <c r="AY206" s="6" t="s">
        <v>182</v>
      </c>
      <c r="AZ206" s="6" t="s">
        <v>1</v>
      </c>
      <c r="BA206" s="6" t="s">
        <v>3336</v>
      </c>
      <c r="BB206" s="6" t="s">
        <v>3337</v>
      </c>
      <c r="BC206" s="6" t="s">
        <v>3338</v>
      </c>
      <c r="BD206" s="6" t="s">
        <v>163</v>
      </c>
      <c r="BF206" s="6" t="s">
        <v>163</v>
      </c>
      <c r="BG206" s="6" t="s">
        <v>163</v>
      </c>
      <c r="BH206" s="6" t="s">
        <v>2196</v>
      </c>
      <c r="BK206" s="6" t="s">
        <v>163</v>
      </c>
      <c r="BL206" s="6" t="s">
        <v>163</v>
      </c>
      <c r="BM206" s="6" t="s">
        <v>163</v>
      </c>
      <c r="BN206" s="6" t="s">
        <v>163</v>
      </c>
      <c r="BO206" s="6" t="s">
        <v>163</v>
      </c>
      <c r="BP206" s="6" t="s">
        <v>347</v>
      </c>
      <c r="BQ206" s="0" t="n">
        <v>40.741968</v>
      </c>
      <c r="BR206" s="0" t="n">
        <v>-73.985327</v>
      </c>
      <c r="BS206" s="6" t="s">
        <v>168</v>
      </c>
      <c r="BT206" s="0" t="n">
        <v>0</v>
      </c>
      <c r="BU206" s="6" t="s">
        <v>1481</v>
      </c>
      <c r="BV206" s="6" t="s">
        <v>1482</v>
      </c>
      <c r="BW206" s="6" t="s">
        <v>2009</v>
      </c>
      <c r="BX206" s="6" t="s">
        <v>2017</v>
      </c>
      <c r="BY206" s="6" t="s">
        <v>248</v>
      </c>
      <c r="BZ206" s="6" t="s">
        <v>2018</v>
      </c>
      <c r="CA206" s="6" t="s">
        <v>2017</v>
      </c>
      <c r="CC206" s="6" t="s">
        <v>739</v>
      </c>
      <c r="CD206" s="6" t="s">
        <v>163</v>
      </c>
      <c r="CE206" s="6" t="s">
        <v>162</v>
      </c>
      <c r="CH206" s="6" t="s">
        <v>163</v>
      </c>
      <c r="CJ206" s="6" t="s">
        <v>163</v>
      </c>
      <c r="CK206" s="6" t="s">
        <v>162</v>
      </c>
      <c r="CL206" s="6" t="s">
        <v>163</v>
      </c>
      <c r="CO206" s="6" t="s">
        <v>163</v>
      </c>
      <c r="CQ206" s="6" t="s">
        <v>2197</v>
      </c>
      <c r="CR206" s="6" t="s">
        <v>206</v>
      </c>
      <c r="CS206" s="6" t="s">
        <v>163</v>
      </c>
      <c r="CT206" s="0" t="n">
        <v>26</v>
      </c>
      <c r="CU206" s="0" t="n">
        <v>7</v>
      </c>
      <c r="CV206" s="0" t="n">
        <v>8</v>
      </c>
      <c r="CW206" s="0" t="n">
        <v>6</v>
      </c>
      <c r="CX206" s="0" t="n">
        <v>5</v>
      </c>
      <c r="CY206" s="6" t="n">
        <f aca="false">IF(AH206="exact",10,IF(AH206="adjacent",5,0))</f>
        <v>0</v>
      </c>
      <c r="CZ206" s="6" t="n">
        <f aca="false">IF(R206="Y",15,0)</f>
        <v>0</v>
      </c>
      <c r="DF206" s="6" t="s">
        <v>158</v>
      </c>
      <c r="DG206" s="6" t="s">
        <v>211</v>
      </c>
      <c r="DJ206" s="6" t="s">
        <v>2426</v>
      </c>
      <c r="DK206" s="6" t="s">
        <v>3339</v>
      </c>
      <c r="DS206" s="6" t="s">
        <v>158</v>
      </c>
      <c r="DX206" s="6" t="s">
        <v>162</v>
      </c>
      <c r="ER206" s="0" t="str">
        <f aca="false">IF(ISNUMBER(MATCH(U206,{"queued","contacted","replied","call_booked","call_done","yes_in_principle","materials_sent"},0)),"Y","N")</f>
        <v>N</v>
      </c>
      <c r="ES206" s="0" t="str">
        <f aca="false">IF(COUNTIFS($AP$2:$AP$1000,AP206,$ER$2:$ER$1000,"Y")+COUNTIFS($AP$2:$AP$1000,AP206,$T$2:$T$1000,"Y")&gt;0,"Y","N")</f>
        <v>N</v>
      </c>
      <c r="ET206" s="0" t="str">
        <f aca="false">IF(AND(U206="new",T206="N",AT206="Y",AS206="",ES206="N"),"Y","N")</f>
        <v>N</v>
      </c>
      <c r="EU206" s="0" t="str">
        <f aca="false">IF(ET206&lt;&gt;"Y","N",IF(COUNTIFS($AP$2:$AP$1000,AP206,$ET$2:$ET$1000,"Y",$J$2:$J$1000,"&gt;"&amp;J206)+COUNTIFS($AP$2:$AP$1000,AP206,$ET$2:$ET$1000,"Y",$J$2:$J$1000,J206,$EW$2:$EW$1000,"&lt;"&amp;EW206)=0,"Y","N"))</f>
        <v>N</v>
      </c>
      <c r="EV206" s="0" t="str">
        <f aca="false">IF(Y206="","N",IF(Y206&lt;=10,"Y","N"))</f>
        <v>N</v>
      </c>
      <c r="EW206" s="6" t="n">
        <f aca="false">ROW()-1</f>
        <v>205</v>
      </c>
    </row>
    <row r="207" customFormat="false" ht="15" hidden="false" customHeight="false" outlineLevel="0" collapsed="false">
      <c r="A207" s="0" t="s">
        <v>3340</v>
      </c>
      <c r="B207" s="0" t="s">
        <v>3341</v>
      </c>
      <c r="H207" s="5" t="s">
        <v>158</v>
      </c>
      <c r="I207" s="5" t="s">
        <v>159</v>
      </c>
      <c r="J207" s="6" t="n">
        <f aca="false">IF(AX207="pass",ROUND(CU207+CV207+CW207+CX207+CY207+CZ207,1),0)</f>
        <v>26</v>
      </c>
      <c r="K207" s="6" t="s">
        <v>3296</v>
      </c>
      <c r="L207" s="6" t="s">
        <v>163</v>
      </c>
      <c r="O207" s="6" t="s">
        <v>3342</v>
      </c>
      <c r="P207" s="6" t="s">
        <v>3343</v>
      </c>
      <c r="Q207" s="6" t="s">
        <v>3344</v>
      </c>
      <c r="R207" s="5" t="s">
        <v>162</v>
      </c>
      <c r="S207" s="6" t="s">
        <v>163</v>
      </c>
      <c r="T207" s="5" t="s">
        <v>162</v>
      </c>
      <c r="U207" s="5" t="s">
        <v>228</v>
      </c>
      <c r="V207" s="6" t="s">
        <v>3343</v>
      </c>
      <c r="W207" s="6" t="s">
        <v>166</v>
      </c>
      <c r="X207" s="6" t="s">
        <v>167</v>
      </c>
      <c r="Y207" s="0" t="str">
        <f aca="false">IF(EU207&lt;&gt;"Y","",COUNTIFS($EU$2:$EU$1000,"Y",$J$2:$J$1000,"&gt;"&amp;J207)+COUNTIFS($EU$2:$EU$1000,"Y",$J$2:$J$1000,J207,$EW$2:$EW$1000,"&lt;"&amp;EW207)+1)</f>
        <v/>
      </c>
      <c r="Z207" s="0" t="n">
        <v>206</v>
      </c>
      <c r="AA207" s="6" t="s">
        <v>162</v>
      </c>
      <c r="AD207" s="6" t="s">
        <v>158</v>
      </c>
      <c r="AH207" s="5" t="s">
        <v>158</v>
      </c>
      <c r="AI207" s="6" t="s">
        <v>1578</v>
      </c>
      <c r="AJ207" s="6" t="s">
        <v>1752</v>
      </c>
      <c r="AK207" s="6" t="s">
        <v>890</v>
      </c>
      <c r="AL207" s="6" t="s">
        <v>163</v>
      </c>
      <c r="AM207" s="6" t="s">
        <v>163</v>
      </c>
      <c r="AN207" s="6" t="s">
        <v>158</v>
      </c>
      <c r="AO207" s="6" t="s">
        <v>163</v>
      </c>
      <c r="AP207" s="6" t="s">
        <v>3340</v>
      </c>
      <c r="AQ207" s="5" t="s">
        <v>168</v>
      </c>
      <c r="AR207" s="6" t="s">
        <v>891</v>
      </c>
      <c r="AT207" s="0" t="str">
        <f aca="false">IF(AND(AX207="pass",AQ207&lt;&gt;"Y",C207&lt;&gt;"",OR(AW207&lt;&gt;"Y",AV207="Y")),"Y","N")</f>
        <v>N</v>
      </c>
      <c r="AU207" s="0" t="str">
        <f aca="false">_xlfn.TEXTJOIN("; ",TRUE(),IF(AX207&lt;&gt;"pass","gated out",""),IF(AQ207="Y","on hold: "&amp;AR207,""),IF(C207="","no contact named on an opened page",""),IF(AND(AW207="Y",AV207&lt;&gt;"Y"),"Tuesday estimate band "&amp;L207&amp;": founder's call",""))</f>
        <v>on hold: lease signed, move not confirmed: check the lobby directory before outreach (B); no contact named on an opened page</v>
      </c>
      <c r="AW207" s="6" t="s">
        <v>162</v>
      </c>
      <c r="AX207" s="6" t="s">
        <v>181</v>
      </c>
      <c r="AY207" s="6" t="s">
        <v>182</v>
      </c>
      <c r="AZ207" s="6" t="s">
        <v>1</v>
      </c>
      <c r="BA207" s="6" t="s">
        <v>3345</v>
      </c>
      <c r="BB207" s="6" t="s">
        <v>163</v>
      </c>
      <c r="BC207" s="6" t="s">
        <v>3346</v>
      </c>
      <c r="BD207" s="6" t="s">
        <v>163</v>
      </c>
      <c r="BF207" s="6" t="s">
        <v>163</v>
      </c>
      <c r="BG207" s="6" t="s">
        <v>163</v>
      </c>
      <c r="BH207" s="6" t="s">
        <v>2196</v>
      </c>
      <c r="BK207" s="6" t="s">
        <v>163</v>
      </c>
      <c r="BL207" s="6" t="s">
        <v>163</v>
      </c>
      <c r="BM207" s="6" t="s">
        <v>163</v>
      </c>
      <c r="BN207" s="6" t="s">
        <v>163</v>
      </c>
      <c r="BO207" s="6" t="s">
        <v>163</v>
      </c>
      <c r="BP207" s="6" t="s">
        <v>244</v>
      </c>
      <c r="BQ207" s="0" t="n">
        <v>40.744255</v>
      </c>
      <c r="BR207" s="0" t="n">
        <v>-73.983762</v>
      </c>
      <c r="BS207" s="6" t="s">
        <v>168</v>
      </c>
      <c r="BT207" s="0" t="n">
        <v>0</v>
      </c>
      <c r="BU207" s="6" t="s">
        <v>1584</v>
      </c>
      <c r="BV207" s="6" t="s">
        <v>1585</v>
      </c>
      <c r="BW207" s="6" t="s">
        <v>3343</v>
      </c>
      <c r="BX207" s="6" t="s">
        <v>3344</v>
      </c>
      <c r="BY207" s="6" t="s">
        <v>248</v>
      </c>
      <c r="CC207" s="6" t="s">
        <v>739</v>
      </c>
      <c r="CD207" s="6" t="s">
        <v>163</v>
      </c>
      <c r="CE207" s="6" t="s">
        <v>162</v>
      </c>
      <c r="CH207" s="6" t="s">
        <v>163</v>
      </c>
      <c r="CJ207" s="6" t="s">
        <v>163</v>
      </c>
      <c r="CK207" s="6" t="s">
        <v>162</v>
      </c>
      <c r="CL207" s="6" t="s">
        <v>163</v>
      </c>
      <c r="CO207" s="6" t="s">
        <v>163</v>
      </c>
      <c r="CQ207" s="6" t="s">
        <v>2197</v>
      </c>
      <c r="CR207" s="6" t="s">
        <v>206</v>
      </c>
      <c r="CS207" s="6" t="s">
        <v>163</v>
      </c>
      <c r="CT207" s="0" t="n">
        <v>26</v>
      </c>
      <c r="CU207" s="0" t="n">
        <v>7</v>
      </c>
      <c r="CV207" s="0" t="n">
        <v>8</v>
      </c>
      <c r="CW207" s="0" t="n">
        <v>6</v>
      </c>
      <c r="CX207" s="0" t="n">
        <v>5</v>
      </c>
      <c r="CY207" s="6" t="n">
        <f aca="false">IF(AH207="exact",10,IF(AH207="adjacent",5,0))</f>
        <v>0</v>
      </c>
      <c r="CZ207" s="6" t="n">
        <f aca="false">IF(R207="Y",15,0)</f>
        <v>0</v>
      </c>
      <c r="DF207" s="6" t="s">
        <v>158</v>
      </c>
      <c r="DG207" s="6" t="s">
        <v>211</v>
      </c>
      <c r="DJ207" s="6" t="s">
        <v>3347</v>
      </c>
      <c r="DK207" s="6" t="s">
        <v>3348</v>
      </c>
      <c r="DS207" s="6" t="s">
        <v>158</v>
      </c>
      <c r="DX207" s="6" t="s">
        <v>162</v>
      </c>
      <c r="ER207" s="0" t="str">
        <f aca="false">IF(ISNUMBER(MATCH(U207,{"queued","contacted","replied","call_booked","call_done","yes_in_principle","materials_sent"},0)),"Y","N")</f>
        <v>N</v>
      </c>
      <c r="ES207" s="0" t="str">
        <f aca="false">IF(COUNTIFS($AP$2:$AP$1000,AP207,$ER$2:$ER$1000,"Y")+COUNTIFS($AP$2:$AP$1000,AP207,$T$2:$T$1000,"Y")&gt;0,"Y","N")</f>
        <v>N</v>
      </c>
      <c r="ET207" s="0" t="str">
        <f aca="false">IF(AND(U207="new",T207="N",AT207="Y",AS207="",ES207="N"),"Y","N")</f>
        <v>N</v>
      </c>
      <c r="EU207" s="0" t="str">
        <f aca="false">IF(ET207&lt;&gt;"Y","N",IF(COUNTIFS($AP$2:$AP$1000,AP207,$ET$2:$ET$1000,"Y",$J$2:$J$1000,"&gt;"&amp;J207)+COUNTIFS($AP$2:$AP$1000,AP207,$ET$2:$ET$1000,"Y",$J$2:$J$1000,J207,$EW$2:$EW$1000,"&lt;"&amp;EW207)=0,"Y","N"))</f>
        <v>N</v>
      </c>
      <c r="EV207" s="0" t="str">
        <f aca="false">IF(Y207="","N",IF(Y207&lt;=10,"Y","N"))</f>
        <v>N</v>
      </c>
      <c r="EW207" s="6" t="n">
        <f aca="false">ROW()-1</f>
        <v>206</v>
      </c>
    </row>
    <row r="208" customFormat="false" ht="15" hidden="false" customHeight="false" outlineLevel="0" collapsed="false">
      <c r="A208" s="0" t="s">
        <v>3349</v>
      </c>
      <c r="B208" s="0" t="s">
        <v>3350</v>
      </c>
      <c r="H208" s="5" t="s">
        <v>158</v>
      </c>
      <c r="I208" s="5" t="s">
        <v>159</v>
      </c>
      <c r="J208" s="6" t="n">
        <f aca="false">IF(AX208="pass",ROUND(CU208+CV208+CW208+CX208+CY208+CZ208,1),0)</f>
        <v>26</v>
      </c>
      <c r="K208" s="6" t="s">
        <v>3296</v>
      </c>
      <c r="L208" s="6" t="s">
        <v>163</v>
      </c>
      <c r="R208" s="5" t="s">
        <v>162</v>
      </c>
      <c r="S208" s="6" t="s">
        <v>163</v>
      </c>
      <c r="T208" s="5" t="s">
        <v>162</v>
      </c>
      <c r="U208" s="5" t="s">
        <v>228</v>
      </c>
      <c r="V208" s="6" t="s">
        <v>1611</v>
      </c>
      <c r="W208" s="6" t="s">
        <v>166</v>
      </c>
      <c r="X208" s="6" t="s">
        <v>167</v>
      </c>
      <c r="Y208" s="0" t="str">
        <f aca="false">IF(EU208&lt;&gt;"Y","",COUNTIFS($EU$2:$EU$1000,"Y",$J$2:$J$1000,"&gt;"&amp;J208)+COUNTIFS($EU$2:$EU$1000,"Y",$J$2:$J$1000,J208,$EW$2:$EW$1000,"&lt;"&amp;EW208)+1)</f>
        <v/>
      </c>
      <c r="Z208" s="0" t="n">
        <v>207</v>
      </c>
      <c r="AA208" s="6" t="s">
        <v>162</v>
      </c>
      <c r="AD208" s="6" t="s">
        <v>158</v>
      </c>
      <c r="AH208" s="5" t="s">
        <v>158</v>
      </c>
      <c r="AI208" s="6" t="s">
        <v>1612</v>
      </c>
      <c r="AJ208" s="6" t="s">
        <v>2371</v>
      </c>
      <c r="AK208" s="6" t="s">
        <v>890</v>
      </c>
      <c r="AL208" s="6" t="s">
        <v>163</v>
      </c>
      <c r="AM208" s="6" t="s">
        <v>163</v>
      </c>
      <c r="AN208" s="6" t="s">
        <v>158</v>
      </c>
      <c r="AO208" s="6" t="s">
        <v>163</v>
      </c>
      <c r="AP208" s="6" t="s">
        <v>3349</v>
      </c>
      <c r="AQ208" s="5" t="s">
        <v>168</v>
      </c>
      <c r="AR208" s="6" t="s">
        <v>891</v>
      </c>
      <c r="AT208" s="0" t="str">
        <f aca="false">IF(AND(AX208="pass",AQ208&lt;&gt;"Y",C208&lt;&gt;"",OR(AW208&lt;&gt;"Y",AV208="Y")),"Y","N")</f>
        <v>N</v>
      </c>
      <c r="AU208" s="0" t="str">
        <f aca="false">_xlfn.TEXTJOIN("; ",TRUE(),IF(AX208&lt;&gt;"pass","gated out",""),IF(AQ208="Y","on hold: "&amp;AR208,""),IF(C208="","no contact named on an opened page",""),IF(AND(AW208="Y",AV208&lt;&gt;"Y"),"Tuesday estimate band "&amp;L208&amp;": founder's call",""))</f>
        <v>on hold: lease signed, move not confirmed: check the lobby directory before outreach (B); no contact named on an opened page</v>
      </c>
      <c r="AW208" s="6" t="s">
        <v>162</v>
      </c>
      <c r="AX208" s="6" t="s">
        <v>181</v>
      </c>
      <c r="AY208" s="6" t="s">
        <v>182</v>
      </c>
      <c r="AZ208" s="6" t="s">
        <v>1</v>
      </c>
      <c r="BA208" s="6" t="s">
        <v>3351</v>
      </c>
      <c r="BB208" s="6" t="s">
        <v>3352</v>
      </c>
      <c r="BC208" s="6" t="s">
        <v>3353</v>
      </c>
      <c r="BD208" s="6" t="s">
        <v>163</v>
      </c>
      <c r="BF208" s="6" t="s">
        <v>163</v>
      </c>
      <c r="BG208" s="6" t="s">
        <v>163</v>
      </c>
      <c r="BH208" s="6" t="s">
        <v>2196</v>
      </c>
      <c r="BK208" s="6" t="s">
        <v>163</v>
      </c>
      <c r="BL208" s="6" t="s">
        <v>163</v>
      </c>
      <c r="BM208" s="6" t="s">
        <v>163</v>
      </c>
      <c r="BN208" s="6" t="s">
        <v>163</v>
      </c>
      <c r="BO208" s="6" t="s">
        <v>163</v>
      </c>
      <c r="BP208" s="6" t="s">
        <v>347</v>
      </c>
      <c r="BQ208" s="0" t="n">
        <v>40.738577</v>
      </c>
      <c r="BR208" s="0" t="n">
        <v>-73.987151</v>
      </c>
      <c r="BS208" s="6" t="s">
        <v>168</v>
      </c>
      <c r="BT208" s="0" t="n">
        <v>0</v>
      </c>
      <c r="BU208" s="6" t="s">
        <v>1618</v>
      </c>
      <c r="BV208" s="6" t="s">
        <v>1619</v>
      </c>
      <c r="BW208" s="6" t="s">
        <v>1611</v>
      </c>
      <c r="BX208" s="6" t="s">
        <v>1620</v>
      </c>
      <c r="BY208" s="6" t="s">
        <v>248</v>
      </c>
      <c r="CC208" s="6" t="s">
        <v>739</v>
      </c>
      <c r="CD208" s="6" t="s">
        <v>163</v>
      </c>
      <c r="CE208" s="6" t="s">
        <v>162</v>
      </c>
      <c r="CH208" s="6" t="s">
        <v>163</v>
      </c>
      <c r="CJ208" s="6" t="s">
        <v>163</v>
      </c>
      <c r="CK208" s="6" t="s">
        <v>162</v>
      </c>
      <c r="CL208" s="6" t="s">
        <v>163</v>
      </c>
      <c r="CO208" s="6" t="s">
        <v>163</v>
      </c>
      <c r="CQ208" s="6" t="s">
        <v>2197</v>
      </c>
      <c r="CR208" s="6" t="s">
        <v>206</v>
      </c>
      <c r="CS208" s="6" t="s">
        <v>163</v>
      </c>
      <c r="CT208" s="0" t="n">
        <v>26</v>
      </c>
      <c r="CU208" s="0" t="n">
        <v>7</v>
      </c>
      <c r="CV208" s="0" t="n">
        <v>8</v>
      </c>
      <c r="CW208" s="0" t="n">
        <v>6</v>
      </c>
      <c r="CX208" s="0" t="n">
        <v>5</v>
      </c>
      <c r="CY208" s="6" t="n">
        <f aca="false">IF(AH208="exact",10,IF(AH208="adjacent",5,0))</f>
        <v>0</v>
      </c>
      <c r="CZ208" s="6" t="n">
        <f aca="false">IF(R208="Y",15,0)</f>
        <v>0</v>
      </c>
      <c r="DF208" s="6" t="s">
        <v>158</v>
      </c>
      <c r="DG208" s="6" t="s">
        <v>211</v>
      </c>
      <c r="DJ208" s="6" t="s">
        <v>3354</v>
      </c>
      <c r="DK208" s="6" t="s">
        <v>3355</v>
      </c>
      <c r="DS208" s="6" t="s">
        <v>158</v>
      </c>
      <c r="DX208" s="6" t="s">
        <v>162</v>
      </c>
      <c r="ER208" s="0" t="str">
        <f aca="false">IF(ISNUMBER(MATCH(U208,{"queued","contacted","replied","call_booked","call_done","yes_in_principle","materials_sent"},0)),"Y","N")</f>
        <v>N</v>
      </c>
      <c r="ES208" s="0" t="str">
        <f aca="false">IF(COUNTIFS($AP$2:$AP$1000,AP208,$ER$2:$ER$1000,"Y")+COUNTIFS($AP$2:$AP$1000,AP208,$T$2:$T$1000,"Y")&gt;0,"Y","N")</f>
        <v>N</v>
      </c>
      <c r="ET208" s="0" t="str">
        <f aca="false">IF(AND(U208="new",T208="N",AT208="Y",AS208="",ES208="N"),"Y","N")</f>
        <v>N</v>
      </c>
      <c r="EU208" s="0" t="str">
        <f aca="false">IF(ET208&lt;&gt;"Y","N",IF(COUNTIFS($AP$2:$AP$1000,AP208,$ET$2:$ET$1000,"Y",$J$2:$J$1000,"&gt;"&amp;J208)+COUNTIFS($AP$2:$AP$1000,AP208,$ET$2:$ET$1000,"Y",$J$2:$J$1000,J208,$EW$2:$EW$1000,"&lt;"&amp;EW208)=0,"Y","N"))</f>
        <v>N</v>
      </c>
      <c r="EV208" s="0" t="str">
        <f aca="false">IF(Y208="","N",IF(Y208&lt;=10,"Y","N"))</f>
        <v>N</v>
      </c>
      <c r="EW208" s="6" t="n">
        <f aca="false">ROW()-1</f>
        <v>207</v>
      </c>
    </row>
    <row r="209" customFormat="false" ht="15" hidden="false" customHeight="false" outlineLevel="0" collapsed="false">
      <c r="A209" s="0" t="s">
        <v>3356</v>
      </c>
      <c r="B209" s="0" t="s">
        <v>3357</v>
      </c>
      <c r="H209" s="5" t="s">
        <v>158</v>
      </c>
      <c r="I209" s="5" t="s">
        <v>159</v>
      </c>
      <c r="J209" s="6" t="n">
        <f aca="false">IF(AX209="pass",ROUND(CU209+CV209+CW209+CX209+CY209+CZ209,1),0)</f>
        <v>26</v>
      </c>
      <c r="K209" s="6" t="s">
        <v>3296</v>
      </c>
      <c r="L209" s="6" t="s">
        <v>163</v>
      </c>
      <c r="O209" s="6" t="s">
        <v>3358</v>
      </c>
      <c r="P209" s="6" t="s">
        <v>1267</v>
      </c>
      <c r="Q209" s="6" t="s">
        <v>1268</v>
      </c>
      <c r="R209" s="5" t="s">
        <v>162</v>
      </c>
      <c r="S209" s="6" t="s">
        <v>163</v>
      </c>
      <c r="T209" s="5" t="s">
        <v>162</v>
      </c>
      <c r="U209" s="5" t="s">
        <v>228</v>
      </c>
      <c r="V209" s="6" t="s">
        <v>1267</v>
      </c>
      <c r="W209" s="6" t="s">
        <v>166</v>
      </c>
      <c r="X209" s="6" t="s">
        <v>167</v>
      </c>
      <c r="Y209" s="0" t="str">
        <f aca="false">IF(EU209&lt;&gt;"Y","",COUNTIFS($EU$2:$EU$1000,"Y",$J$2:$J$1000,"&gt;"&amp;J209)+COUNTIFS($EU$2:$EU$1000,"Y",$J$2:$J$1000,J209,$EW$2:$EW$1000,"&lt;"&amp;EW209)+1)</f>
        <v/>
      </c>
      <c r="Z209" s="0" t="n">
        <v>208</v>
      </c>
      <c r="AA209" s="6" t="s">
        <v>162</v>
      </c>
      <c r="AD209" s="6" t="s">
        <v>158</v>
      </c>
      <c r="AH209" s="5" t="s">
        <v>158</v>
      </c>
      <c r="AI209" s="6" t="s">
        <v>1257</v>
      </c>
      <c r="AJ209" s="6" t="s">
        <v>3359</v>
      </c>
      <c r="AK209" s="6" t="s">
        <v>890</v>
      </c>
      <c r="AL209" s="6" t="s">
        <v>163</v>
      </c>
      <c r="AM209" s="6" t="s">
        <v>163</v>
      </c>
      <c r="AN209" s="6" t="s">
        <v>158</v>
      </c>
      <c r="AO209" s="6" t="s">
        <v>163</v>
      </c>
      <c r="AP209" s="6" t="s">
        <v>3356</v>
      </c>
      <c r="AQ209" s="5" t="s">
        <v>168</v>
      </c>
      <c r="AR209" s="6" t="s">
        <v>891</v>
      </c>
      <c r="AT209" s="0" t="str">
        <f aca="false">IF(AND(AX209="pass",AQ209&lt;&gt;"Y",C209&lt;&gt;"",OR(AW209&lt;&gt;"Y",AV209="Y")),"Y","N")</f>
        <v>N</v>
      </c>
      <c r="AU209" s="0" t="str">
        <f aca="false">_xlfn.TEXTJOIN("; ",TRUE(),IF(AX209&lt;&gt;"pass","gated out",""),IF(AQ209="Y","on hold: "&amp;AR209,""),IF(C209="","no contact named on an opened page",""),IF(AND(AW209="Y",AV209&lt;&gt;"Y"),"Tuesday estimate band "&amp;L209&amp;": founder's call",""))</f>
        <v>on hold: lease signed, move not confirmed: check the lobby directory before outreach (B); no contact named on an opened page</v>
      </c>
      <c r="AW209" s="6" t="s">
        <v>162</v>
      </c>
      <c r="AX209" s="6" t="s">
        <v>181</v>
      </c>
      <c r="AY209" s="6" t="s">
        <v>182</v>
      </c>
      <c r="AZ209" s="6" t="s">
        <v>1</v>
      </c>
      <c r="BA209" s="6" t="s">
        <v>3360</v>
      </c>
      <c r="BB209" s="6" t="s">
        <v>3361</v>
      </c>
      <c r="BC209" s="6" t="s">
        <v>3362</v>
      </c>
      <c r="BD209" s="6" t="s">
        <v>163</v>
      </c>
      <c r="BF209" s="6" t="s">
        <v>163</v>
      </c>
      <c r="BG209" s="6" t="s">
        <v>163</v>
      </c>
      <c r="BH209" s="6" t="s">
        <v>2196</v>
      </c>
      <c r="BI209" s="6" t="s">
        <v>3363</v>
      </c>
      <c r="BK209" s="6" t="s">
        <v>163</v>
      </c>
      <c r="BL209" s="6" t="s">
        <v>192</v>
      </c>
      <c r="BM209" s="6" t="s">
        <v>168</v>
      </c>
      <c r="BN209" s="6" t="s">
        <v>163</v>
      </c>
      <c r="BO209" s="6" t="s">
        <v>163</v>
      </c>
      <c r="BP209" s="6" t="s">
        <v>193</v>
      </c>
      <c r="BQ209" s="0" t="n">
        <v>40.7357</v>
      </c>
      <c r="BR209" s="0" t="n">
        <v>-73.991754</v>
      </c>
      <c r="BS209" s="6" t="s">
        <v>168</v>
      </c>
      <c r="BT209" s="0" t="n">
        <v>0</v>
      </c>
      <c r="BU209" s="6" t="s">
        <v>1265</v>
      </c>
      <c r="BV209" s="6" t="s">
        <v>1266</v>
      </c>
      <c r="BW209" s="6" t="s">
        <v>1267</v>
      </c>
      <c r="BX209" s="6" t="s">
        <v>1268</v>
      </c>
      <c r="BY209" s="6" t="s">
        <v>248</v>
      </c>
      <c r="CC209" s="6" t="s">
        <v>739</v>
      </c>
      <c r="CD209" s="6" t="s">
        <v>163</v>
      </c>
      <c r="CE209" s="6" t="s">
        <v>162</v>
      </c>
      <c r="CH209" s="6" t="s">
        <v>163</v>
      </c>
      <c r="CJ209" s="6" t="s">
        <v>163</v>
      </c>
      <c r="CK209" s="6" t="s">
        <v>162</v>
      </c>
      <c r="CL209" s="6" t="s">
        <v>163</v>
      </c>
      <c r="CO209" s="6" t="s">
        <v>163</v>
      </c>
      <c r="CQ209" s="6" t="s">
        <v>2197</v>
      </c>
      <c r="CR209" s="6" t="s">
        <v>206</v>
      </c>
      <c r="CS209" s="6" t="s">
        <v>163</v>
      </c>
      <c r="CT209" s="0" t="n">
        <v>26</v>
      </c>
      <c r="CU209" s="0" t="n">
        <v>7</v>
      </c>
      <c r="CV209" s="0" t="n">
        <v>8</v>
      </c>
      <c r="CW209" s="0" t="n">
        <v>6</v>
      </c>
      <c r="CX209" s="0" t="n">
        <v>5</v>
      </c>
      <c r="CY209" s="6" t="n">
        <f aca="false">IF(AH209="exact",10,IF(AH209="adjacent",5,0))</f>
        <v>0</v>
      </c>
      <c r="CZ209" s="6" t="n">
        <f aca="false">IF(R209="Y",15,0)</f>
        <v>0</v>
      </c>
      <c r="DF209" s="6" t="s">
        <v>158</v>
      </c>
      <c r="DG209" s="6" t="s">
        <v>211</v>
      </c>
      <c r="DJ209" s="6" t="s">
        <v>3364</v>
      </c>
      <c r="DK209" s="6" t="s">
        <v>3365</v>
      </c>
      <c r="DS209" s="6" t="s">
        <v>158</v>
      </c>
      <c r="DX209" s="6" t="s">
        <v>162</v>
      </c>
      <c r="ER209" s="0" t="str">
        <f aca="false">IF(ISNUMBER(MATCH(U209,{"queued","contacted","replied","call_booked","call_done","yes_in_principle","materials_sent"},0)),"Y","N")</f>
        <v>N</v>
      </c>
      <c r="ES209" s="0" t="str">
        <f aca="false">IF(COUNTIFS($AP$2:$AP$1000,AP209,$ER$2:$ER$1000,"Y")+COUNTIFS($AP$2:$AP$1000,AP209,$T$2:$T$1000,"Y")&gt;0,"Y","N")</f>
        <v>N</v>
      </c>
      <c r="ET209" s="0" t="str">
        <f aca="false">IF(AND(U209="new",T209="N",AT209="Y",AS209="",ES209="N"),"Y","N")</f>
        <v>N</v>
      </c>
      <c r="EU209" s="0" t="str">
        <f aca="false">IF(ET209&lt;&gt;"Y","N",IF(COUNTIFS($AP$2:$AP$1000,AP209,$ET$2:$ET$1000,"Y",$J$2:$J$1000,"&gt;"&amp;J209)+COUNTIFS($AP$2:$AP$1000,AP209,$ET$2:$ET$1000,"Y",$J$2:$J$1000,J209,$EW$2:$EW$1000,"&lt;"&amp;EW209)=0,"Y","N"))</f>
        <v>N</v>
      </c>
      <c r="EV209" s="0" t="str">
        <f aca="false">IF(Y209="","N",IF(Y209&lt;=10,"Y","N"))</f>
        <v>N</v>
      </c>
      <c r="EW209" s="6" t="n">
        <f aca="false">ROW()-1</f>
        <v>208</v>
      </c>
    </row>
    <row r="210" customFormat="false" ht="15" hidden="false" customHeight="false" outlineLevel="0" collapsed="false">
      <c r="A210" s="0" t="s">
        <v>3366</v>
      </c>
      <c r="B210" s="0" t="s">
        <v>3367</v>
      </c>
      <c r="H210" s="5" t="s">
        <v>158</v>
      </c>
      <c r="I210" s="5" t="s">
        <v>159</v>
      </c>
      <c r="J210" s="6" t="n">
        <f aca="false">IF(AX210="pass",ROUND(CU210+CV210+CW210+CX210+CY210+CZ210,1),0)</f>
        <v>26</v>
      </c>
      <c r="K210" s="6" t="s">
        <v>3296</v>
      </c>
      <c r="L210" s="6" t="s">
        <v>163</v>
      </c>
      <c r="O210" s="6" t="s">
        <v>3368</v>
      </c>
      <c r="P210" s="6" t="s">
        <v>2707</v>
      </c>
      <c r="Q210" s="6" t="s">
        <v>2711</v>
      </c>
      <c r="R210" s="5" t="s">
        <v>162</v>
      </c>
      <c r="S210" s="6" t="s">
        <v>163</v>
      </c>
      <c r="T210" s="5" t="s">
        <v>162</v>
      </c>
      <c r="U210" s="5" t="s">
        <v>228</v>
      </c>
      <c r="V210" s="6" t="s">
        <v>2707</v>
      </c>
      <c r="W210" s="6" t="s">
        <v>166</v>
      </c>
      <c r="X210" s="6" t="s">
        <v>167</v>
      </c>
      <c r="Y210" s="0" t="str">
        <f aca="false">IF(EU210&lt;&gt;"Y","",COUNTIFS($EU$2:$EU$1000,"Y",$J$2:$J$1000,"&gt;"&amp;J210)+COUNTIFS($EU$2:$EU$1000,"Y",$J$2:$J$1000,J210,$EW$2:$EW$1000,"&lt;"&amp;EW210)+1)</f>
        <v/>
      </c>
      <c r="Z210" s="0" t="n">
        <v>209</v>
      </c>
      <c r="AA210" s="6" t="s">
        <v>162</v>
      </c>
      <c r="AD210" s="6" t="s">
        <v>158</v>
      </c>
      <c r="AH210" s="5" t="s">
        <v>158</v>
      </c>
      <c r="AI210" s="6" t="s">
        <v>1563</v>
      </c>
      <c r="AJ210" s="6" t="s">
        <v>2213</v>
      </c>
      <c r="AK210" s="6" t="s">
        <v>890</v>
      </c>
      <c r="AL210" s="6" t="s">
        <v>163</v>
      </c>
      <c r="AM210" s="6" t="s">
        <v>163</v>
      </c>
      <c r="AN210" s="6" t="s">
        <v>158</v>
      </c>
      <c r="AO210" s="6" t="s">
        <v>163</v>
      </c>
      <c r="AP210" s="6" t="s">
        <v>3366</v>
      </c>
      <c r="AQ210" s="5" t="s">
        <v>168</v>
      </c>
      <c r="AR210" s="6" t="s">
        <v>891</v>
      </c>
      <c r="AT210" s="0" t="str">
        <f aca="false">IF(AND(AX210="pass",AQ210&lt;&gt;"Y",C210&lt;&gt;"",OR(AW210&lt;&gt;"Y",AV210="Y")),"Y","N")</f>
        <v>N</v>
      </c>
      <c r="AU210" s="0" t="str">
        <f aca="false">_xlfn.TEXTJOIN("; ",TRUE(),IF(AX210&lt;&gt;"pass","gated out",""),IF(AQ210="Y","on hold: "&amp;AR210,""),IF(C210="","no contact named on an opened page",""),IF(AND(AW210="Y",AV210&lt;&gt;"Y"),"Tuesday estimate band "&amp;L210&amp;": founder's call",""))</f>
        <v>on hold: lease signed, move not confirmed: check the lobby directory before outreach (B); no contact named on an opened page</v>
      </c>
      <c r="AW210" s="6" t="s">
        <v>162</v>
      </c>
      <c r="AX210" s="6" t="s">
        <v>181</v>
      </c>
      <c r="AY210" s="6" t="s">
        <v>182</v>
      </c>
      <c r="AZ210" s="6" t="s">
        <v>1</v>
      </c>
      <c r="BA210" s="6" t="s">
        <v>3369</v>
      </c>
      <c r="BB210" s="6" t="s">
        <v>163</v>
      </c>
      <c r="BC210" s="6" t="s">
        <v>3370</v>
      </c>
      <c r="BD210" s="6" t="s">
        <v>163</v>
      </c>
      <c r="BF210" s="6" t="s">
        <v>163</v>
      </c>
      <c r="BG210" s="6" t="s">
        <v>163</v>
      </c>
      <c r="BH210" s="6" t="s">
        <v>2196</v>
      </c>
      <c r="BK210" s="6" t="s">
        <v>163</v>
      </c>
      <c r="BL210" s="6" t="s">
        <v>163</v>
      </c>
      <c r="BM210" s="6" t="s">
        <v>163</v>
      </c>
      <c r="BN210" s="6" t="s">
        <v>163</v>
      </c>
      <c r="BO210" s="6" t="s">
        <v>163</v>
      </c>
      <c r="BP210" s="6" t="s">
        <v>347</v>
      </c>
      <c r="BQ210" s="0" t="n">
        <v>40.743751</v>
      </c>
      <c r="BR210" s="0" t="n">
        <v>-73.991374</v>
      </c>
      <c r="BS210" s="6" t="s">
        <v>168</v>
      </c>
      <c r="BT210" s="0" t="n">
        <v>0</v>
      </c>
      <c r="BU210" s="6" t="s">
        <v>1570</v>
      </c>
      <c r="BV210" s="6" t="s">
        <v>1571</v>
      </c>
      <c r="BW210" s="6" t="s">
        <v>2707</v>
      </c>
      <c r="BX210" s="6" t="s">
        <v>2711</v>
      </c>
      <c r="BY210" s="6" t="s">
        <v>248</v>
      </c>
      <c r="BZ210" s="6" t="s">
        <v>3371</v>
      </c>
      <c r="CA210" s="6" t="s">
        <v>1292</v>
      </c>
      <c r="CC210" s="6" t="s">
        <v>739</v>
      </c>
      <c r="CD210" s="6" t="s">
        <v>163</v>
      </c>
      <c r="CE210" s="6" t="s">
        <v>162</v>
      </c>
      <c r="CH210" s="6" t="s">
        <v>163</v>
      </c>
      <c r="CJ210" s="6" t="s">
        <v>163</v>
      </c>
      <c r="CK210" s="6" t="s">
        <v>162</v>
      </c>
      <c r="CL210" s="6" t="s">
        <v>163</v>
      </c>
      <c r="CO210" s="6" t="s">
        <v>163</v>
      </c>
      <c r="CQ210" s="6" t="s">
        <v>2197</v>
      </c>
      <c r="CR210" s="6" t="s">
        <v>206</v>
      </c>
      <c r="CS210" s="6" t="s">
        <v>163</v>
      </c>
      <c r="CT210" s="0" t="n">
        <v>26</v>
      </c>
      <c r="CU210" s="0" t="n">
        <v>7</v>
      </c>
      <c r="CV210" s="0" t="n">
        <v>8</v>
      </c>
      <c r="CW210" s="0" t="n">
        <v>6</v>
      </c>
      <c r="CX210" s="0" t="n">
        <v>5</v>
      </c>
      <c r="CY210" s="6" t="n">
        <f aca="false">IF(AH210="exact",10,IF(AH210="adjacent",5,0))</f>
        <v>0</v>
      </c>
      <c r="CZ210" s="6" t="n">
        <f aca="false">IF(R210="Y",15,0)</f>
        <v>0</v>
      </c>
      <c r="DF210" s="6" t="s">
        <v>158</v>
      </c>
      <c r="DG210" s="6" t="s">
        <v>211</v>
      </c>
      <c r="DJ210" s="6" t="s">
        <v>3372</v>
      </c>
      <c r="DK210" s="6" t="s">
        <v>3373</v>
      </c>
      <c r="DS210" s="6" t="s">
        <v>158</v>
      </c>
      <c r="DX210" s="6" t="s">
        <v>162</v>
      </c>
      <c r="ER210" s="0" t="str">
        <f aca="false">IF(ISNUMBER(MATCH(U210,{"queued","contacted","replied","call_booked","call_done","yes_in_principle","materials_sent"},0)),"Y","N")</f>
        <v>N</v>
      </c>
      <c r="ES210" s="0" t="str">
        <f aca="false">IF(COUNTIFS($AP$2:$AP$1000,AP210,$ER$2:$ER$1000,"Y")+COUNTIFS($AP$2:$AP$1000,AP210,$T$2:$T$1000,"Y")&gt;0,"Y","N")</f>
        <v>N</v>
      </c>
      <c r="ET210" s="0" t="str">
        <f aca="false">IF(AND(U210="new",T210="N",AT210="Y",AS210="",ES210="N"),"Y","N")</f>
        <v>N</v>
      </c>
      <c r="EU210" s="0" t="str">
        <f aca="false">IF(ET210&lt;&gt;"Y","N",IF(COUNTIFS($AP$2:$AP$1000,AP210,$ET$2:$ET$1000,"Y",$J$2:$J$1000,"&gt;"&amp;J210)+COUNTIFS($AP$2:$AP$1000,AP210,$ET$2:$ET$1000,"Y",$J$2:$J$1000,J210,$EW$2:$EW$1000,"&lt;"&amp;EW210)=0,"Y","N"))</f>
        <v>N</v>
      </c>
      <c r="EV210" s="0" t="str">
        <f aca="false">IF(Y210="","N",IF(Y210&lt;=10,"Y","N"))</f>
        <v>N</v>
      </c>
      <c r="EW210" s="6" t="n">
        <f aca="false">ROW()-1</f>
        <v>209</v>
      </c>
    </row>
    <row r="211" customFormat="false" ht="15" hidden="false" customHeight="false" outlineLevel="0" collapsed="false">
      <c r="A211" s="0" t="s">
        <v>3374</v>
      </c>
      <c r="B211" s="0" t="s">
        <v>3375</v>
      </c>
      <c r="H211" s="5" t="s">
        <v>158</v>
      </c>
      <c r="I211" s="5" t="s">
        <v>159</v>
      </c>
      <c r="J211" s="6" t="n">
        <f aca="false">IF(AX211="pass",ROUND(CU211+CV211+CW211+CX211+CY211+CZ211,1),0)</f>
        <v>26</v>
      </c>
      <c r="K211" s="6" t="s">
        <v>3296</v>
      </c>
      <c r="L211" s="6" t="s">
        <v>163</v>
      </c>
      <c r="O211" s="6" t="s">
        <v>3376</v>
      </c>
      <c r="P211" s="6" t="s">
        <v>2268</v>
      </c>
      <c r="Q211" s="6" t="s">
        <v>2141</v>
      </c>
      <c r="R211" s="5" t="s">
        <v>162</v>
      </c>
      <c r="S211" s="6" t="s">
        <v>163</v>
      </c>
      <c r="T211" s="5" t="s">
        <v>162</v>
      </c>
      <c r="U211" s="5" t="s">
        <v>228</v>
      </c>
      <c r="V211" s="6" t="s">
        <v>2268</v>
      </c>
      <c r="W211" s="6" t="s">
        <v>166</v>
      </c>
      <c r="X211" s="6" t="s">
        <v>167</v>
      </c>
      <c r="Y211" s="0" t="str">
        <f aca="false">IF(EU211&lt;&gt;"Y","",COUNTIFS($EU$2:$EU$1000,"Y",$J$2:$J$1000,"&gt;"&amp;J211)+COUNTIFS($EU$2:$EU$1000,"Y",$J$2:$J$1000,J211,$EW$2:$EW$1000,"&lt;"&amp;EW211)+1)</f>
        <v/>
      </c>
      <c r="Z211" s="0" t="n">
        <v>210</v>
      </c>
      <c r="AA211" s="6" t="s">
        <v>162</v>
      </c>
      <c r="AD211" s="6" t="s">
        <v>158</v>
      </c>
      <c r="AH211" s="5" t="s">
        <v>158</v>
      </c>
      <c r="AI211" s="6" t="s">
        <v>1734</v>
      </c>
      <c r="AJ211" s="6" t="s">
        <v>3377</v>
      </c>
      <c r="AK211" s="6" t="s">
        <v>890</v>
      </c>
      <c r="AL211" s="6" t="s">
        <v>163</v>
      </c>
      <c r="AM211" s="6" t="s">
        <v>163</v>
      </c>
      <c r="AN211" s="6" t="s">
        <v>158</v>
      </c>
      <c r="AO211" s="6" t="s">
        <v>163</v>
      </c>
      <c r="AP211" s="6" t="s">
        <v>3374</v>
      </c>
      <c r="AQ211" s="5" t="s">
        <v>168</v>
      </c>
      <c r="AR211" s="6" t="s">
        <v>891</v>
      </c>
      <c r="AT211" s="0" t="str">
        <f aca="false">IF(AND(AX211="pass",AQ211&lt;&gt;"Y",C211&lt;&gt;"",OR(AW211&lt;&gt;"Y",AV211="Y")),"Y","N")</f>
        <v>N</v>
      </c>
      <c r="AU211" s="0" t="str">
        <f aca="false">_xlfn.TEXTJOIN("; ",TRUE(),IF(AX211&lt;&gt;"pass","gated out",""),IF(AQ211="Y","on hold: "&amp;AR211,""),IF(C211="","no contact named on an opened page",""),IF(AND(AW211="Y",AV211&lt;&gt;"Y"),"Tuesday estimate band "&amp;L211&amp;": founder's call",""))</f>
        <v>on hold: lease signed, move not confirmed: check the lobby directory before outreach (B); no contact named on an opened page</v>
      </c>
      <c r="AW211" s="6" t="s">
        <v>162</v>
      </c>
      <c r="AX211" s="6" t="s">
        <v>181</v>
      </c>
      <c r="AY211" s="6" t="s">
        <v>182</v>
      </c>
      <c r="AZ211" s="6" t="s">
        <v>1</v>
      </c>
      <c r="BA211" s="6" t="s">
        <v>3378</v>
      </c>
      <c r="BB211" s="6" t="s">
        <v>163</v>
      </c>
      <c r="BC211" s="6" t="s">
        <v>3379</v>
      </c>
      <c r="BD211" s="6" t="s">
        <v>163</v>
      </c>
      <c r="BF211" s="6" t="s">
        <v>163</v>
      </c>
      <c r="BG211" s="6" t="s">
        <v>163</v>
      </c>
      <c r="BH211" s="6" t="s">
        <v>2196</v>
      </c>
      <c r="BK211" s="6" t="s">
        <v>163</v>
      </c>
      <c r="BL211" s="6" t="s">
        <v>163</v>
      </c>
      <c r="BM211" s="6" t="s">
        <v>163</v>
      </c>
      <c r="BN211" s="6" t="s">
        <v>163</v>
      </c>
      <c r="BO211" s="6" t="s">
        <v>163</v>
      </c>
      <c r="BP211" s="6" t="s">
        <v>347</v>
      </c>
      <c r="BQ211" s="0" t="n">
        <v>40.743288</v>
      </c>
      <c r="BR211" s="0" t="n">
        <v>-73.986627</v>
      </c>
      <c r="BS211" s="6" t="s">
        <v>168</v>
      </c>
      <c r="BT211" s="0" t="n">
        <v>0</v>
      </c>
      <c r="BU211" s="6" t="s">
        <v>1740</v>
      </c>
      <c r="BV211" s="6" t="s">
        <v>1741</v>
      </c>
      <c r="BW211" s="6" t="s">
        <v>2268</v>
      </c>
      <c r="BX211" s="6" t="s">
        <v>2141</v>
      </c>
      <c r="BY211" s="6" t="s">
        <v>248</v>
      </c>
      <c r="CC211" s="6" t="s">
        <v>739</v>
      </c>
      <c r="CD211" s="6" t="s">
        <v>163</v>
      </c>
      <c r="CE211" s="6" t="s">
        <v>162</v>
      </c>
      <c r="CH211" s="6" t="s">
        <v>163</v>
      </c>
      <c r="CJ211" s="6" t="s">
        <v>163</v>
      </c>
      <c r="CK211" s="6" t="s">
        <v>162</v>
      </c>
      <c r="CL211" s="6" t="s">
        <v>163</v>
      </c>
      <c r="CO211" s="6" t="s">
        <v>163</v>
      </c>
      <c r="CQ211" s="6" t="s">
        <v>2197</v>
      </c>
      <c r="CR211" s="6" t="s">
        <v>206</v>
      </c>
      <c r="CS211" s="6" t="s">
        <v>163</v>
      </c>
      <c r="CT211" s="0" t="n">
        <v>26</v>
      </c>
      <c r="CU211" s="0" t="n">
        <v>7</v>
      </c>
      <c r="CV211" s="0" t="n">
        <v>8</v>
      </c>
      <c r="CW211" s="0" t="n">
        <v>6</v>
      </c>
      <c r="CX211" s="0" t="n">
        <v>5</v>
      </c>
      <c r="CY211" s="6" t="n">
        <f aca="false">IF(AH211="exact",10,IF(AH211="adjacent",5,0))</f>
        <v>0</v>
      </c>
      <c r="CZ211" s="6" t="n">
        <f aca="false">IF(R211="Y",15,0)</f>
        <v>0</v>
      </c>
      <c r="DF211" s="6" t="s">
        <v>158</v>
      </c>
      <c r="DG211" s="6" t="s">
        <v>211</v>
      </c>
      <c r="DJ211" s="6" t="s">
        <v>2712</v>
      </c>
      <c r="DK211" s="6" t="s">
        <v>3380</v>
      </c>
      <c r="DS211" s="6" t="s">
        <v>158</v>
      </c>
      <c r="DX211" s="6" t="s">
        <v>162</v>
      </c>
      <c r="ER211" s="0" t="str">
        <f aca="false">IF(ISNUMBER(MATCH(U211,{"queued","contacted","replied","call_booked","call_done","yes_in_principle","materials_sent"},0)),"Y","N")</f>
        <v>N</v>
      </c>
      <c r="ES211" s="0" t="str">
        <f aca="false">IF(COUNTIFS($AP$2:$AP$1000,AP211,$ER$2:$ER$1000,"Y")+COUNTIFS($AP$2:$AP$1000,AP211,$T$2:$T$1000,"Y")&gt;0,"Y","N")</f>
        <v>N</v>
      </c>
      <c r="ET211" s="0" t="str">
        <f aca="false">IF(AND(U211="new",T211="N",AT211="Y",AS211="",ES211="N"),"Y","N")</f>
        <v>N</v>
      </c>
      <c r="EU211" s="0" t="str">
        <f aca="false">IF(ET211&lt;&gt;"Y","N",IF(COUNTIFS($AP$2:$AP$1000,AP211,$ET$2:$ET$1000,"Y",$J$2:$J$1000,"&gt;"&amp;J211)+COUNTIFS($AP$2:$AP$1000,AP211,$ET$2:$ET$1000,"Y",$J$2:$J$1000,J211,$EW$2:$EW$1000,"&lt;"&amp;EW211)=0,"Y","N"))</f>
        <v>N</v>
      </c>
      <c r="EV211" s="0" t="str">
        <f aca="false">IF(Y211="","N",IF(Y211&lt;=10,"Y","N"))</f>
        <v>N</v>
      </c>
      <c r="EW211" s="6" t="n">
        <f aca="false">ROW()-1</f>
        <v>210</v>
      </c>
    </row>
    <row r="212" customFormat="false" ht="15" hidden="false" customHeight="false" outlineLevel="0" collapsed="false">
      <c r="A212" s="0" t="s">
        <v>3381</v>
      </c>
      <c r="B212" s="0" t="s">
        <v>3382</v>
      </c>
      <c r="H212" s="5" t="s">
        <v>158</v>
      </c>
      <c r="I212" s="5" t="s">
        <v>159</v>
      </c>
      <c r="J212" s="6" t="n">
        <f aca="false">IF(AX212="pass",ROUND(CU212+CV212+CW212+CX212+CY212+CZ212,1),0)</f>
        <v>26</v>
      </c>
      <c r="K212" s="6" t="s">
        <v>3296</v>
      </c>
      <c r="L212" s="6" t="s">
        <v>163</v>
      </c>
      <c r="O212" s="6" t="s">
        <v>3383</v>
      </c>
      <c r="P212" s="6" t="s">
        <v>2823</v>
      </c>
      <c r="Q212" s="6" t="s">
        <v>2824</v>
      </c>
      <c r="R212" s="5" t="s">
        <v>162</v>
      </c>
      <c r="S212" s="6" t="s">
        <v>163</v>
      </c>
      <c r="T212" s="5" t="s">
        <v>162</v>
      </c>
      <c r="U212" s="5" t="s">
        <v>228</v>
      </c>
      <c r="V212" s="6" t="s">
        <v>2823</v>
      </c>
      <c r="W212" s="6" t="s">
        <v>166</v>
      </c>
      <c r="X212" s="6" t="s">
        <v>167</v>
      </c>
      <c r="Y212" s="0" t="str">
        <f aca="false">IF(EU212&lt;&gt;"Y","",COUNTIFS($EU$2:$EU$1000,"Y",$J$2:$J$1000,"&gt;"&amp;J212)+COUNTIFS($EU$2:$EU$1000,"Y",$J$2:$J$1000,J212,$EW$2:$EW$1000,"&lt;"&amp;EW212)+1)</f>
        <v/>
      </c>
      <c r="Z212" s="0" t="n">
        <v>211</v>
      </c>
      <c r="AA212" s="6" t="s">
        <v>162</v>
      </c>
      <c r="AD212" s="6" t="s">
        <v>158</v>
      </c>
      <c r="AH212" s="5" t="s">
        <v>158</v>
      </c>
      <c r="AI212" s="6" t="s">
        <v>1433</v>
      </c>
      <c r="AJ212" s="6" t="s">
        <v>650</v>
      </c>
      <c r="AK212" s="6" t="s">
        <v>890</v>
      </c>
      <c r="AL212" s="6" t="s">
        <v>163</v>
      </c>
      <c r="AM212" s="6" t="s">
        <v>163</v>
      </c>
      <c r="AN212" s="6" t="s">
        <v>158</v>
      </c>
      <c r="AO212" s="6" t="s">
        <v>163</v>
      </c>
      <c r="AP212" s="6" t="s">
        <v>3381</v>
      </c>
      <c r="AQ212" s="5" t="s">
        <v>168</v>
      </c>
      <c r="AR212" s="6" t="s">
        <v>891</v>
      </c>
      <c r="AT212" s="0" t="str">
        <f aca="false">IF(AND(AX212="pass",AQ212&lt;&gt;"Y",C212&lt;&gt;"",OR(AW212&lt;&gt;"Y",AV212="Y")),"Y","N")</f>
        <v>N</v>
      </c>
      <c r="AU212" s="0" t="str">
        <f aca="false">_xlfn.TEXTJOIN("; ",TRUE(),IF(AX212&lt;&gt;"pass","gated out",""),IF(AQ212="Y","on hold: "&amp;AR212,""),IF(C212="","no contact named on an opened page",""),IF(AND(AW212="Y",AV212&lt;&gt;"Y"),"Tuesday estimate band "&amp;L212&amp;": founder's call",""))</f>
        <v>on hold: lease signed, move not confirmed: check the lobby directory before outreach (B); no contact named on an opened page</v>
      </c>
      <c r="AW212" s="6" t="s">
        <v>162</v>
      </c>
      <c r="AX212" s="6" t="s">
        <v>181</v>
      </c>
      <c r="AY212" s="6" t="s">
        <v>182</v>
      </c>
      <c r="AZ212" s="6" t="s">
        <v>1</v>
      </c>
      <c r="BA212" s="6" t="s">
        <v>3384</v>
      </c>
      <c r="BB212" s="6" t="s">
        <v>3385</v>
      </c>
      <c r="BC212" s="6" t="s">
        <v>3386</v>
      </c>
      <c r="BD212" s="6" t="s">
        <v>163</v>
      </c>
      <c r="BF212" s="6" t="s">
        <v>163</v>
      </c>
      <c r="BG212" s="6" t="s">
        <v>163</v>
      </c>
      <c r="BH212" s="6" t="s">
        <v>2196</v>
      </c>
      <c r="BK212" s="6" t="s">
        <v>163</v>
      </c>
      <c r="BL212" s="6" t="s">
        <v>163</v>
      </c>
      <c r="BM212" s="6" t="s">
        <v>163</v>
      </c>
      <c r="BN212" s="6" t="s">
        <v>163</v>
      </c>
      <c r="BO212" s="6" t="s">
        <v>163</v>
      </c>
      <c r="BP212" s="6" t="s">
        <v>347</v>
      </c>
      <c r="BQ212" s="0" t="n">
        <v>40.739363</v>
      </c>
      <c r="BR212" s="0" t="n">
        <v>-73.989534</v>
      </c>
      <c r="BS212" s="6" t="s">
        <v>168</v>
      </c>
      <c r="BT212" s="0" t="n">
        <v>0</v>
      </c>
      <c r="BU212" s="6" t="s">
        <v>1442</v>
      </c>
      <c r="BV212" s="6" t="s">
        <v>1443</v>
      </c>
      <c r="BW212" s="6" t="s">
        <v>2823</v>
      </c>
      <c r="BX212" s="6" t="s">
        <v>2824</v>
      </c>
      <c r="BY212" s="6" t="s">
        <v>248</v>
      </c>
      <c r="BZ212" s="6" t="s">
        <v>3387</v>
      </c>
      <c r="CA212" s="6" t="s">
        <v>3388</v>
      </c>
      <c r="CC212" s="6" t="s">
        <v>739</v>
      </c>
      <c r="CD212" s="6" t="s">
        <v>163</v>
      </c>
      <c r="CE212" s="6" t="s">
        <v>162</v>
      </c>
      <c r="CH212" s="6" t="s">
        <v>201</v>
      </c>
      <c r="CI212" s="6" t="s">
        <v>1445</v>
      </c>
      <c r="CJ212" s="6" t="s">
        <v>163</v>
      </c>
      <c r="CK212" s="6" t="s">
        <v>162</v>
      </c>
      <c r="CL212" s="6" t="s">
        <v>163</v>
      </c>
      <c r="CO212" s="6" t="s">
        <v>163</v>
      </c>
      <c r="CQ212" s="6" t="s">
        <v>2197</v>
      </c>
      <c r="CR212" s="6" t="s">
        <v>206</v>
      </c>
      <c r="CS212" s="6" t="s">
        <v>163</v>
      </c>
      <c r="CT212" s="0" t="n">
        <v>26</v>
      </c>
      <c r="CU212" s="0" t="n">
        <v>7</v>
      </c>
      <c r="CV212" s="0" t="n">
        <v>8</v>
      </c>
      <c r="CW212" s="0" t="n">
        <v>6</v>
      </c>
      <c r="CX212" s="0" t="n">
        <v>5</v>
      </c>
      <c r="CY212" s="6" t="n">
        <f aca="false">IF(AH212="exact",10,IF(AH212="adjacent",5,0))</f>
        <v>0</v>
      </c>
      <c r="CZ212" s="6" t="n">
        <f aca="false">IF(R212="Y",15,0)</f>
        <v>0</v>
      </c>
      <c r="DF212" s="6" t="s">
        <v>158</v>
      </c>
      <c r="DG212" s="6" t="s">
        <v>211</v>
      </c>
      <c r="DK212" s="6" t="s">
        <v>3389</v>
      </c>
      <c r="DS212" s="6" t="s">
        <v>158</v>
      </c>
      <c r="DX212" s="6" t="s">
        <v>162</v>
      </c>
      <c r="ER212" s="0" t="str">
        <f aca="false">IF(ISNUMBER(MATCH(U212,{"queued","contacted","replied","call_booked","call_done","yes_in_principle","materials_sent"},0)),"Y","N")</f>
        <v>N</v>
      </c>
      <c r="ES212" s="0" t="str">
        <f aca="false">IF(COUNTIFS($AP$2:$AP$1000,AP212,$ER$2:$ER$1000,"Y")+COUNTIFS($AP$2:$AP$1000,AP212,$T$2:$T$1000,"Y")&gt;0,"Y","N")</f>
        <v>N</v>
      </c>
      <c r="ET212" s="0" t="str">
        <f aca="false">IF(AND(U212="new",T212="N",AT212="Y",AS212="",ES212="N"),"Y","N")</f>
        <v>N</v>
      </c>
      <c r="EU212" s="0" t="str">
        <f aca="false">IF(ET212&lt;&gt;"Y","N",IF(COUNTIFS($AP$2:$AP$1000,AP212,$ET$2:$ET$1000,"Y",$J$2:$J$1000,"&gt;"&amp;J212)+COUNTIFS($AP$2:$AP$1000,AP212,$ET$2:$ET$1000,"Y",$J$2:$J$1000,J212,$EW$2:$EW$1000,"&lt;"&amp;EW212)=0,"Y","N"))</f>
        <v>N</v>
      </c>
      <c r="EV212" s="0" t="str">
        <f aca="false">IF(Y212="","N",IF(Y212&lt;=10,"Y","N"))</f>
        <v>N</v>
      </c>
      <c r="EW212" s="6" t="n">
        <f aca="false">ROW()-1</f>
        <v>211</v>
      </c>
    </row>
    <row r="213" customFormat="false" ht="15" hidden="false" customHeight="false" outlineLevel="0" collapsed="false">
      <c r="A213" s="0" t="s">
        <v>3390</v>
      </c>
      <c r="B213" s="0" t="s">
        <v>3391</v>
      </c>
      <c r="H213" s="5" t="s">
        <v>158</v>
      </c>
      <c r="I213" s="5" t="s">
        <v>159</v>
      </c>
      <c r="J213" s="6" t="n">
        <f aca="false">IF(AX213="pass",ROUND(CU213+CV213+CW213+CX213+CY213+CZ213,1),0)</f>
        <v>26</v>
      </c>
      <c r="K213" s="6" t="s">
        <v>3296</v>
      </c>
      <c r="L213" s="6" t="s">
        <v>163</v>
      </c>
      <c r="R213" s="5" t="s">
        <v>162</v>
      </c>
      <c r="S213" s="6" t="s">
        <v>163</v>
      </c>
      <c r="T213" s="5" t="s">
        <v>162</v>
      </c>
      <c r="U213" s="5" t="s">
        <v>228</v>
      </c>
      <c r="V213" s="6" t="s">
        <v>3392</v>
      </c>
      <c r="W213" s="6" t="s">
        <v>166</v>
      </c>
      <c r="X213" s="6" t="s">
        <v>167</v>
      </c>
      <c r="Y213" s="0" t="str">
        <f aca="false">IF(EU213&lt;&gt;"Y","",COUNTIFS($EU$2:$EU$1000,"Y",$J$2:$J$1000,"&gt;"&amp;J213)+COUNTIFS($EU$2:$EU$1000,"Y",$J$2:$J$1000,J213,$EW$2:$EW$1000,"&lt;"&amp;EW213)+1)</f>
        <v/>
      </c>
      <c r="Z213" s="0" t="n">
        <v>212</v>
      </c>
      <c r="AA213" s="6" t="s">
        <v>162</v>
      </c>
      <c r="AD213" s="6" t="s">
        <v>158</v>
      </c>
      <c r="AH213" s="5" t="s">
        <v>158</v>
      </c>
      <c r="AI213" s="6" t="s">
        <v>2383</v>
      </c>
      <c r="AJ213" s="6" t="s">
        <v>1258</v>
      </c>
      <c r="AK213" s="6" t="s">
        <v>890</v>
      </c>
      <c r="AL213" s="6" t="s">
        <v>163</v>
      </c>
      <c r="AM213" s="6" t="s">
        <v>163</v>
      </c>
      <c r="AN213" s="6" t="s">
        <v>158</v>
      </c>
      <c r="AO213" s="6" t="s">
        <v>163</v>
      </c>
      <c r="AP213" s="6" t="s">
        <v>3390</v>
      </c>
      <c r="AQ213" s="5" t="s">
        <v>168</v>
      </c>
      <c r="AR213" s="6" t="s">
        <v>891</v>
      </c>
      <c r="AT213" s="0" t="str">
        <f aca="false">IF(AND(AX213="pass",AQ213&lt;&gt;"Y",C213&lt;&gt;"",OR(AW213&lt;&gt;"Y",AV213="Y")),"Y","N")</f>
        <v>N</v>
      </c>
      <c r="AU213" s="0" t="str">
        <f aca="false">_xlfn.TEXTJOIN("; ",TRUE(),IF(AX213&lt;&gt;"pass","gated out",""),IF(AQ213="Y","on hold: "&amp;AR213,""),IF(C213="","no contact named on an opened page",""),IF(AND(AW213="Y",AV213&lt;&gt;"Y"),"Tuesday estimate band "&amp;L213&amp;": founder's call",""))</f>
        <v>on hold: lease signed, move not confirmed: check the lobby directory before outreach (B); no contact named on an opened page</v>
      </c>
      <c r="AW213" s="6" t="s">
        <v>162</v>
      </c>
      <c r="AX213" s="6" t="s">
        <v>181</v>
      </c>
      <c r="AY213" s="6" t="s">
        <v>182</v>
      </c>
      <c r="AZ213" s="6" t="s">
        <v>1</v>
      </c>
      <c r="BA213" s="6" t="s">
        <v>3393</v>
      </c>
      <c r="BB213" s="6" t="s">
        <v>3394</v>
      </c>
      <c r="BC213" s="6" t="s">
        <v>3395</v>
      </c>
      <c r="BD213" s="6" t="s">
        <v>163</v>
      </c>
      <c r="BF213" s="6" t="s">
        <v>163</v>
      </c>
      <c r="BG213" s="6" t="s">
        <v>163</v>
      </c>
      <c r="BH213" s="6" t="s">
        <v>2196</v>
      </c>
      <c r="BK213" s="6" t="s">
        <v>163</v>
      </c>
      <c r="BL213" s="6" t="s">
        <v>163</v>
      </c>
      <c r="BM213" s="6" t="s">
        <v>163</v>
      </c>
      <c r="BN213" s="6" t="s">
        <v>163</v>
      </c>
      <c r="BO213" s="6" t="s">
        <v>163</v>
      </c>
      <c r="BP213" s="6" t="s">
        <v>193</v>
      </c>
      <c r="BQ213" s="0" t="n">
        <v>40.73827</v>
      </c>
      <c r="BR213" s="0" t="n">
        <v>-73.988199</v>
      </c>
      <c r="BS213" s="6" t="s">
        <v>168</v>
      </c>
      <c r="BT213" s="0" t="n">
        <v>0</v>
      </c>
      <c r="BU213" s="6" t="s">
        <v>2387</v>
      </c>
      <c r="BV213" s="6" t="s">
        <v>2388</v>
      </c>
      <c r="BW213" s="6" t="s">
        <v>3392</v>
      </c>
      <c r="BX213" s="6" t="s">
        <v>3396</v>
      </c>
      <c r="BY213" s="6" t="s">
        <v>248</v>
      </c>
      <c r="BZ213" s="6" t="s">
        <v>2389</v>
      </c>
      <c r="CA213" s="6" t="s">
        <v>2390</v>
      </c>
      <c r="CC213" s="6" t="s">
        <v>739</v>
      </c>
      <c r="CD213" s="6" t="s">
        <v>163</v>
      </c>
      <c r="CE213" s="6" t="s">
        <v>162</v>
      </c>
      <c r="CH213" s="6" t="s">
        <v>163</v>
      </c>
      <c r="CJ213" s="6" t="s">
        <v>163</v>
      </c>
      <c r="CK213" s="6" t="s">
        <v>162</v>
      </c>
      <c r="CL213" s="6" t="s">
        <v>163</v>
      </c>
      <c r="CO213" s="6" t="s">
        <v>163</v>
      </c>
      <c r="CQ213" s="6" t="s">
        <v>2197</v>
      </c>
      <c r="CR213" s="6" t="s">
        <v>206</v>
      </c>
      <c r="CS213" s="6" t="s">
        <v>163</v>
      </c>
      <c r="CT213" s="0" t="n">
        <v>26</v>
      </c>
      <c r="CU213" s="0" t="n">
        <v>7</v>
      </c>
      <c r="CV213" s="0" t="n">
        <v>8</v>
      </c>
      <c r="CW213" s="0" t="n">
        <v>6</v>
      </c>
      <c r="CX213" s="0" t="n">
        <v>5</v>
      </c>
      <c r="CY213" s="6" t="n">
        <f aca="false">IF(AH213="exact",10,IF(AH213="adjacent",5,0))</f>
        <v>0</v>
      </c>
      <c r="CZ213" s="6" t="n">
        <f aca="false">IF(R213="Y",15,0)</f>
        <v>0</v>
      </c>
      <c r="DF213" s="6" t="s">
        <v>158</v>
      </c>
      <c r="DG213" s="6" t="s">
        <v>211</v>
      </c>
      <c r="DJ213" s="6" t="s">
        <v>3397</v>
      </c>
      <c r="DK213" s="6" t="s">
        <v>3398</v>
      </c>
      <c r="DS213" s="6" t="s">
        <v>158</v>
      </c>
      <c r="DX213" s="6" t="s">
        <v>162</v>
      </c>
      <c r="ER213" s="0" t="str">
        <f aca="false">IF(ISNUMBER(MATCH(U213,{"queued","contacted","replied","call_booked","call_done","yes_in_principle","materials_sent"},0)),"Y","N")</f>
        <v>N</v>
      </c>
      <c r="ES213" s="0" t="str">
        <f aca="false">IF(COUNTIFS($AP$2:$AP$1000,AP213,$ER$2:$ER$1000,"Y")+COUNTIFS($AP$2:$AP$1000,AP213,$T$2:$T$1000,"Y")&gt;0,"Y","N")</f>
        <v>N</v>
      </c>
      <c r="ET213" s="0" t="str">
        <f aca="false">IF(AND(U213="new",T213="N",AT213="Y",AS213="",ES213="N"),"Y","N")</f>
        <v>N</v>
      </c>
      <c r="EU213" s="0" t="str">
        <f aca="false">IF(ET213&lt;&gt;"Y","N",IF(COUNTIFS($AP$2:$AP$1000,AP213,$ET$2:$ET$1000,"Y",$J$2:$J$1000,"&gt;"&amp;J213)+COUNTIFS($AP$2:$AP$1000,AP213,$ET$2:$ET$1000,"Y",$J$2:$J$1000,J213,$EW$2:$EW$1000,"&lt;"&amp;EW213)=0,"Y","N"))</f>
        <v>N</v>
      </c>
      <c r="EV213" s="0" t="str">
        <f aca="false">IF(Y213="","N",IF(Y213&lt;=10,"Y","N"))</f>
        <v>N</v>
      </c>
      <c r="EW213" s="6" t="n">
        <f aca="false">ROW()-1</f>
        <v>212</v>
      </c>
    </row>
    <row r="214" customFormat="false" ht="15" hidden="false" customHeight="false" outlineLevel="0" collapsed="false">
      <c r="A214" s="0" t="s">
        <v>3399</v>
      </c>
      <c r="B214" s="0" t="s">
        <v>3400</v>
      </c>
      <c r="H214" s="5" t="s">
        <v>158</v>
      </c>
      <c r="I214" s="5" t="s">
        <v>159</v>
      </c>
      <c r="J214" s="6" t="n">
        <f aca="false">IF(AX214="pass",ROUND(CU214+CV214+CW214+CX214+CY214+CZ214,1),0)</f>
        <v>26</v>
      </c>
      <c r="K214" s="6" t="s">
        <v>3401</v>
      </c>
      <c r="L214" s="6" t="s">
        <v>163</v>
      </c>
      <c r="R214" s="5" t="s">
        <v>162</v>
      </c>
      <c r="S214" s="6" t="s">
        <v>163</v>
      </c>
      <c r="T214" s="5" t="s">
        <v>162</v>
      </c>
      <c r="U214" s="5" t="s">
        <v>228</v>
      </c>
      <c r="V214" s="6" t="s">
        <v>3402</v>
      </c>
      <c r="W214" s="6" t="s">
        <v>166</v>
      </c>
      <c r="X214" s="6" t="s">
        <v>167</v>
      </c>
      <c r="Y214" s="0" t="str">
        <f aca="false">IF(EU214&lt;&gt;"Y","",COUNTIFS($EU$2:$EU$1000,"Y",$J$2:$J$1000,"&gt;"&amp;J214)+COUNTIFS($EU$2:$EU$1000,"Y",$J$2:$J$1000,J214,$EW$2:$EW$1000,"&lt;"&amp;EW214)+1)</f>
        <v/>
      </c>
      <c r="Z214" s="0" t="n">
        <v>213</v>
      </c>
      <c r="AA214" s="6" t="s">
        <v>162</v>
      </c>
      <c r="AD214" s="6" t="s">
        <v>158</v>
      </c>
      <c r="AH214" s="5" t="s">
        <v>158</v>
      </c>
      <c r="AI214" s="6" t="s">
        <v>1612</v>
      </c>
      <c r="AJ214" s="6" t="s">
        <v>3403</v>
      </c>
      <c r="AK214" s="6" t="s">
        <v>435</v>
      </c>
      <c r="AL214" s="6" t="s">
        <v>163</v>
      </c>
      <c r="AM214" s="6" t="s">
        <v>163</v>
      </c>
      <c r="AN214" s="6" t="s">
        <v>158</v>
      </c>
      <c r="AO214" s="6" t="s">
        <v>163</v>
      </c>
      <c r="AP214" s="6" t="s">
        <v>3399</v>
      </c>
      <c r="AQ214" s="5" t="s">
        <v>162</v>
      </c>
      <c r="AT214" s="0" t="str">
        <f aca="false">IF(AND(AX214="pass",AQ214&lt;&gt;"Y",C214&lt;&gt;"",OR(AW214&lt;&gt;"Y",AV214="Y")),"Y","N")</f>
        <v>N</v>
      </c>
      <c r="AU214" s="0" t="str">
        <f aca="false">_xlfn.TEXTJOIN("; ",TRUE(),IF(AX214&lt;&gt;"pass","gated out",""),IF(AQ214="Y","on hold: "&amp;AR214,""),IF(C214="","no contact named on an opened page",""),IF(AND(AW214="Y",AV214&lt;&gt;"Y"),"Tuesday estimate band "&amp;L214&amp;": founder's call",""))</f>
        <v>no contact named on an opened page</v>
      </c>
      <c r="AW214" s="6" t="s">
        <v>162</v>
      </c>
      <c r="AX214" s="6" t="s">
        <v>181</v>
      </c>
      <c r="AY214" s="6" t="s">
        <v>182</v>
      </c>
      <c r="AZ214" s="6" t="s">
        <v>1</v>
      </c>
      <c r="BA214" s="6" t="s">
        <v>3404</v>
      </c>
      <c r="BB214" s="6" t="s">
        <v>3405</v>
      </c>
      <c r="BC214" s="6" t="s">
        <v>3406</v>
      </c>
      <c r="BD214" s="6" t="s">
        <v>163</v>
      </c>
      <c r="BF214" s="6" t="s">
        <v>163</v>
      </c>
      <c r="BG214" s="6" t="s">
        <v>163</v>
      </c>
      <c r="BH214" s="6" t="s">
        <v>2196</v>
      </c>
      <c r="BK214" s="6" t="s">
        <v>163</v>
      </c>
      <c r="BL214" s="6" t="s">
        <v>163</v>
      </c>
      <c r="BM214" s="6" t="s">
        <v>163</v>
      </c>
      <c r="BN214" s="6" t="s">
        <v>163</v>
      </c>
      <c r="BO214" s="6" t="s">
        <v>163</v>
      </c>
      <c r="BP214" s="6" t="s">
        <v>347</v>
      </c>
      <c r="BQ214" s="0" t="n">
        <v>40.738577</v>
      </c>
      <c r="BR214" s="0" t="n">
        <v>-73.987151</v>
      </c>
      <c r="BS214" s="6" t="s">
        <v>168</v>
      </c>
      <c r="BT214" s="0" t="n">
        <v>0</v>
      </c>
      <c r="BU214" s="6" t="s">
        <v>1618</v>
      </c>
      <c r="BV214" s="6" t="s">
        <v>1619</v>
      </c>
      <c r="BW214" s="6" t="s">
        <v>3402</v>
      </c>
      <c r="BX214" s="6" t="s">
        <v>3407</v>
      </c>
      <c r="BY214" s="6" t="s">
        <v>248</v>
      </c>
      <c r="CC214" s="6" t="s">
        <v>179</v>
      </c>
      <c r="CE214" s="6" t="s">
        <v>162</v>
      </c>
      <c r="CH214" s="6" t="s">
        <v>163</v>
      </c>
      <c r="CJ214" s="6" t="s">
        <v>163</v>
      </c>
      <c r="CK214" s="6" t="s">
        <v>162</v>
      </c>
      <c r="CL214" s="6" t="s">
        <v>163</v>
      </c>
      <c r="CO214" s="6" t="s">
        <v>163</v>
      </c>
      <c r="CQ214" s="6" t="s">
        <v>2197</v>
      </c>
      <c r="CR214" s="6" t="s">
        <v>206</v>
      </c>
      <c r="CS214" s="6" t="s">
        <v>163</v>
      </c>
      <c r="CT214" s="0" t="n">
        <v>26</v>
      </c>
      <c r="CU214" s="0" t="n">
        <v>7</v>
      </c>
      <c r="CV214" s="0" t="n">
        <v>8</v>
      </c>
      <c r="CW214" s="0" t="n">
        <v>6</v>
      </c>
      <c r="CX214" s="0" t="n">
        <v>5</v>
      </c>
      <c r="CY214" s="6" t="n">
        <f aca="false">IF(AH214="exact",10,IF(AH214="adjacent",5,0))</f>
        <v>0</v>
      </c>
      <c r="CZ214" s="6" t="n">
        <f aca="false">IF(R214="Y",15,0)</f>
        <v>0</v>
      </c>
      <c r="DF214" s="6" t="s">
        <v>158</v>
      </c>
      <c r="DG214" s="6" t="s">
        <v>211</v>
      </c>
      <c r="DJ214" s="6" t="s">
        <v>3408</v>
      </c>
      <c r="DK214" s="6" t="s">
        <v>3409</v>
      </c>
      <c r="DS214" s="6" t="s">
        <v>158</v>
      </c>
      <c r="DX214" s="6" t="s">
        <v>162</v>
      </c>
      <c r="ER214" s="0" t="str">
        <f aca="false">IF(ISNUMBER(MATCH(U214,{"queued","contacted","replied","call_booked","call_done","yes_in_principle","materials_sent"},0)),"Y","N")</f>
        <v>N</v>
      </c>
      <c r="ES214" s="0" t="str">
        <f aca="false">IF(COUNTIFS($AP$2:$AP$1000,AP214,$ER$2:$ER$1000,"Y")+COUNTIFS($AP$2:$AP$1000,AP214,$T$2:$T$1000,"Y")&gt;0,"Y","N")</f>
        <v>N</v>
      </c>
      <c r="ET214" s="0" t="str">
        <f aca="false">IF(AND(U214="new",T214="N",AT214="Y",AS214="",ES214="N"),"Y","N")</f>
        <v>N</v>
      </c>
      <c r="EU214" s="0" t="str">
        <f aca="false">IF(ET214&lt;&gt;"Y","N",IF(COUNTIFS($AP$2:$AP$1000,AP214,$ET$2:$ET$1000,"Y",$J$2:$J$1000,"&gt;"&amp;J214)+COUNTIFS($AP$2:$AP$1000,AP214,$ET$2:$ET$1000,"Y",$J$2:$J$1000,J214,$EW$2:$EW$1000,"&lt;"&amp;EW214)=0,"Y","N"))</f>
        <v>N</v>
      </c>
      <c r="EV214" s="0" t="str">
        <f aca="false">IF(Y214="","N",IF(Y214&lt;=10,"Y","N"))</f>
        <v>N</v>
      </c>
      <c r="EW214" s="6" t="n">
        <f aca="false">ROW()-1</f>
        <v>213</v>
      </c>
    </row>
    <row r="215" customFormat="false" ht="15" hidden="false" customHeight="false" outlineLevel="0" collapsed="false">
      <c r="A215" s="0" t="s">
        <v>3410</v>
      </c>
      <c r="B215" s="0" t="s">
        <v>3411</v>
      </c>
      <c r="H215" s="5" t="s">
        <v>158</v>
      </c>
      <c r="I215" s="5" t="s">
        <v>159</v>
      </c>
      <c r="J215" s="6" t="n">
        <f aca="false">IF(AX215="pass",ROUND(CU215+CV215+CW215+CX215+CY215+CZ215,1),0)</f>
        <v>26</v>
      </c>
      <c r="K215" s="6" t="s">
        <v>3401</v>
      </c>
      <c r="L215" s="6" t="s">
        <v>163</v>
      </c>
      <c r="R215" s="5" t="s">
        <v>162</v>
      </c>
      <c r="S215" s="6" t="s">
        <v>163</v>
      </c>
      <c r="T215" s="5" t="s">
        <v>162</v>
      </c>
      <c r="U215" s="5" t="s">
        <v>228</v>
      </c>
      <c r="V215" s="6" t="s">
        <v>3412</v>
      </c>
      <c r="W215" s="6" t="s">
        <v>166</v>
      </c>
      <c r="X215" s="6" t="s">
        <v>167</v>
      </c>
      <c r="Y215" s="0" t="str">
        <f aca="false">IF(EU215&lt;&gt;"Y","",COUNTIFS($EU$2:$EU$1000,"Y",$J$2:$J$1000,"&gt;"&amp;J215)+COUNTIFS($EU$2:$EU$1000,"Y",$J$2:$J$1000,J215,$EW$2:$EW$1000,"&lt;"&amp;EW215)+1)</f>
        <v/>
      </c>
      <c r="Z215" s="0" t="n">
        <v>214</v>
      </c>
      <c r="AA215" s="6" t="s">
        <v>162</v>
      </c>
      <c r="AD215" s="6" t="s">
        <v>158</v>
      </c>
      <c r="AH215" s="5" t="s">
        <v>158</v>
      </c>
      <c r="AI215" s="6" t="s">
        <v>1527</v>
      </c>
      <c r="AJ215" s="6" t="s">
        <v>434</v>
      </c>
      <c r="AK215" s="6" t="s">
        <v>435</v>
      </c>
      <c r="AL215" s="6" t="s">
        <v>163</v>
      </c>
      <c r="AM215" s="6" t="s">
        <v>163</v>
      </c>
      <c r="AN215" s="6" t="s">
        <v>158</v>
      </c>
      <c r="AO215" s="6" t="s">
        <v>163</v>
      </c>
      <c r="AP215" s="6" t="s">
        <v>3410</v>
      </c>
      <c r="AQ215" s="5" t="s">
        <v>162</v>
      </c>
      <c r="AT215" s="0" t="str">
        <f aca="false">IF(AND(AX215="pass",AQ215&lt;&gt;"Y",C215&lt;&gt;"",OR(AW215&lt;&gt;"Y",AV215="Y")),"Y","N")</f>
        <v>N</v>
      </c>
      <c r="AU215" s="0" t="str">
        <f aca="false">_xlfn.TEXTJOIN("; ",TRUE(),IF(AX215&lt;&gt;"pass","gated out",""),IF(AQ215="Y","on hold: "&amp;AR215,""),IF(C215="","no contact named on an opened page",""),IF(AND(AW215="Y",AV215&lt;&gt;"Y"),"Tuesday estimate band "&amp;L215&amp;": founder's call",""))</f>
        <v>no contact named on an opened page</v>
      </c>
      <c r="AW215" s="6" t="s">
        <v>162</v>
      </c>
      <c r="AX215" s="6" t="s">
        <v>181</v>
      </c>
      <c r="AY215" s="6" t="s">
        <v>182</v>
      </c>
      <c r="AZ215" s="6" t="s">
        <v>1</v>
      </c>
      <c r="BA215" s="6" t="s">
        <v>3413</v>
      </c>
      <c r="BB215" s="6" t="s">
        <v>163</v>
      </c>
      <c r="BC215" s="6" t="s">
        <v>3414</v>
      </c>
      <c r="BD215" s="6" t="s">
        <v>163</v>
      </c>
      <c r="BF215" s="6" t="s">
        <v>163</v>
      </c>
      <c r="BG215" s="6" t="s">
        <v>163</v>
      </c>
      <c r="BH215" s="6" t="s">
        <v>2196</v>
      </c>
      <c r="BK215" s="6" t="s">
        <v>163</v>
      </c>
      <c r="BL215" s="6" t="s">
        <v>163</v>
      </c>
      <c r="BM215" s="6" t="s">
        <v>163</v>
      </c>
      <c r="BN215" s="6" t="s">
        <v>163</v>
      </c>
      <c r="BO215" s="6" t="s">
        <v>163</v>
      </c>
      <c r="BP215" s="6" t="s">
        <v>244</v>
      </c>
      <c r="BQ215" s="0" t="n">
        <v>40.745027</v>
      </c>
      <c r="BR215" s="0" t="n">
        <v>-73.986825</v>
      </c>
      <c r="BS215" s="6" t="s">
        <v>168</v>
      </c>
      <c r="BT215" s="0" t="n">
        <v>0</v>
      </c>
      <c r="BU215" s="6" t="s">
        <v>1534</v>
      </c>
      <c r="BV215" s="6" t="s">
        <v>1535</v>
      </c>
      <c r="BW215" s="6" t="s">
        <v>3412</v>
      </c>
      <c r="BX215" s="6" t="s">
        <v>3415</v>
      </c>
      <c r="BY215" s="6" t="s">
        <v>248</v>
      </c>
      <c r="CC215" s="6" t="s">
        <v>179</v>
      </c>
      <c r="CE215" s="6" t="s">
        <v>162</v>
      </c>
      <c r="CH215" s="6" t="s">
        <v>201</v>
      </c>
      <c r="CI215" s="6" t="s">
        <v>1537</v>
      </c>
      <c r="CJ215" s="6" t="s">
        <v>163</v>
      </c>
      <c r="CK215" s="6" t="s">
        <v>162</v>
      </c>
      <c r="CL215" s="6" t="s">
        <v>163</v>
      </c>
      <c r="CO215" s="6" t="s">
        <v>163</v>
      </c>
      <c r="CQ215" s="6" t="s">
        <v>2197</v>
      </c>
      <c r="CR215" s="6" t="s">
        <v>206</v>
      </c>
      <c r="CS215" s="6" t="s">
        <v>163</v>
      </c>
      <c r="CT215" s="0" t="n">
        <v>26</v>
      </c>
      <c r="CU215" s="0" t="n">
        <v>7</v>
      </c>
      <c r="CV215" s="0" t="n">
        <v>8</v>
      </c>
      <c r="CW215" s="0" t="n">
        <v>6</v>
      </c>
      <c r="CX215" s="0" t="n">
        <v>5</v>
      </c>
      <c r="CY215" s="6" t="n">
        <f aca="false">IF(AH215="exact",10,IF(AH215="adjacent",5,0))</f>
        <v>0</v>
      </c>
      <c r="CZ215" s="6" t="n">
        <f aca="false">IF(R215="Y",15,0)</f>
        <v>0</v>
      </c>
      <c r="DF215" s="6" t="s">
        <v>158</v>
      </c>
      <c r="DG215" s="6" t="s">
        <v>211</v>
      </c>
      <c r="DJ215" s="6" t="s">
        <v>3416</v>
      </c>
      <c r="DK215" s="6" t="s">
        <v>3417</v>
      </c>
      <c r="DS215" s="6" t="s">
        <v>158</v>
      </c>
      <c r="DX215" s="6" t="s">
        <v>162</v>
      </c>
      <c r="ER215" s="0" t="str">
        <f aca="false">IF(ISNUMBER(MATCH(U215,{"queued","contacted","replied","call_booked","call_done","yes_in_principle","materials_sent"},0)),"Y","N")</f>
        <v>N</v>
      </c>
      <c r="ES215" s="0" t="str">
        <f aca="false">IF(COUNTIFS($AP$2:$AP$1000,AP215,$ER$2:$ER$1000,"Y")+COUNTIFS($AP$2:$AP$1000,AP215,$T$2:$T$1000,"Y")&gt;0,"Y","N")</f>
        <v>N</v>
      </c>
      <c r="ET215" s="0" t="str">
        <f aca="false">IF(AND(U215="new",T215="N",AT215="Y",AS215="",ES215="N"),"Y","N")</f>
        <v>N</v>
      </c>
      <c r="EU215" s="0" t="str">
        <f aca="false">IF(ET215&lt;&gt;"Y","N",IF(COUNTIFS($AP$2:$AP$1000,AP215,$ET$2:$ET$1000,"Y",$J$2:$J$1000,"&gt;"&amp;J215)+COUNTIFS($AP$2:$AP$1000,AP215,$ET$2:$ET$1000,"Y",$J$2:$J$1000,J215,$EW$2:$EW$1000,"&lt;"&amp;EW215)=0,"Y","N"))</f>
        <v>N</v>
      </c>
      <c r="EV215" s="0" t="str">
        <f aca="false">IF(Y215="","N",IF(Y215&lt;=10,"Y","N"))</f>
        <v>N</v>
      </c>
      <c r="EW215" s="6" t="n">
        <f aca="false">ROW()-1</f>
        <v>214</v>
      </c>
    </row>
    <row r="216" customFormat="false" ht="15" hidden="false" customHeight="false" outlineLevel="0" collapsed="false">
      <c r="A216" s="0" t="s">
        <v>3418</v>
      </c>
      <c r="B216" s="0" t="s">
        <v>3419</v>
      </c>
      <c r="H216" s="5" t="s">
        <v>158</v>
      </c>
      <c r="I216" s="5" t="s">
        <v>159</v>
      </c>
      <c r="J216" s="6" t="n">
        <f aca="false">IF(AX216="pass",ROUND(CU216+CV216+CW216+CX216+CY216+CZ216,1),0)</f>
        <v>26</v>
      </c>
      <c r="K216" s="6" t="s">
        <v>3401</v>
      </c>
      <c r="L216" s="6" t="s">
        <v>163</v>
      </c>
      <c r="R216" s="5" t="s">
        <v>162</v>
      </c>
      <c r="S216" s="6" t="s">
        <v>163</v>
      </c>
      <c r="T216" s="5" t="s">
        <v>162</v>
      </c>
      <c r="U216" s="5" t="s">
        <v>228</v>
      </c>
      <c r="V216" s="6" t="s">
        <v>3420</v>
      </c>
      <c r="W216" s="6" t="s">
        <v>166</v>
      </c>
      <c r="X216" s="6" t="s">
        <v>167</v>
      </c>
      <c r="Y216" s="0" t="str">
        <f aca="false">IF(EU216&lt;&gt;"Y","",COUNTIFS($EU$2:$EU$1000,"Y",$J$2:$J$1000,"&gt;"&amp;J216)+COUNTIFS($EU$2:$EU$1000,"Y",$J$2:$J$1000,J216,$EW$2:$EW$1000,"&lt;"&amp;EW216)+1)</f>
        <v/>
      </c>
      <c r="Z216" s="0" t="n">
        <v>215</v>
      </c>
      <c r="AA216" s="6" t="s">
        <v>162</v>
      </c>
      <c r="AD216" s="6" t="s">
        <v>158</v>
      </c>
      <c r="AH216" s="5" t="s">
        <v>158</v>
      </c>
      <c r="AI216" s="6" t="s">
        <v>2336</v>
      </c>
      <c r="AJ216" s="6" t="s">
        <v>163</v>
      </c>
      <c r="AK216" s="6" t="s">
        <v>435</v>
      </c>
      <c r="AL216" s="6" t="s">
        <v>163</v>
      </c>
      <c r="AM216" s="6" t="s">
        <v>163</v>
      </c>
      <c r="AN216" s="6" t="s">
        <v>158</v>
      </c>
      <c r="AO216" s="6" t="s">
        <v>163</v>
      </c>
      <c r="AP216" s="6" t="s">
        <v>3418</v>
      </c>
      <c r="AQ216" s="5" t="s">
        <v>162</v>
      </c>
      <c r="AT216" s="0" t="str">
        <f aca="false">IF(AND(AX216="pass",AQ216&lt;&gt;"Y",C216&lt;&gt;"",OR(AW216&lt;&gt;"Y",AV216="Y")),"Y","N")</f>
        <v>N</v>
      </c>
      <c r="AU216" s="0" t="str">
        <f aca="false">_xlfn.TEXTJOIN("; ",TRUE(),IF(AX216&lt;&gt;"pass","gated out",""),IF(AQ216="Y","on hold: "&amp;AR216,""),IF(C216="","no contact named on an opened page",""),IF(AND(AW216="Y",AV216&lt;&gt;"Y"),"Tuesday estimate band "&amp;L216&amp;": founder's call",""))</f>
        <v>no contact named on an opened page</v>
      </c>
      <c r="AW216" s="6" t="s">
        <v>162</v>
      </c>
      <c r="AX216" s="6" t="s">
        <v>181</v>
      </c>
      <c r="AY216" s="6" t="s">
        <v>182</v>
      </c>
      <c r="AZ216" s="6" t="s">
        <v>1</v>
      </c>
      <c r="BA216" s="6" t="s">
        <v>3421</v>
      </c>
      <c r="BB216" s="6" t="s">
        <v>3422</v>
      </c>
      <c r="BC216" s="6" t="s">
        <v>3414</v>
      </c>
      <c r="BD216" s="6" t="s">
        <v>163</v>
      </c>
      <c r="BF216" s="6" t="s">
        <v>163</v>
      </c>
      <c r="BG216" s="6" t="s">
        <v>163</v>
      </c>
      <c r="BH216" s="6" t="s">
        <v>2196</v>
      </c>
      <c r="BK216" s="6" t="s">
        <v>163</v>
      </c>
      <c r="BL216" s="6" t="s">
        <v>163</v>
      </c>
      <c r="BM216" s="6" t="s">
        <v>163</v>
      </c>
      <c r="BN216" s="6" t="s">
        <v>163</v>
      </c>
      <c r="BO216" s="6" t="s">
        <v>163</v>
      </c>
      <c r="BP216" s="6" t="s">
        <v>244</v>
      </c>
      <c r="BQ216" s="0" t="n">
        <v>40.7425</v>
      </c>
      <c r="BR216" s="0" t="n">
        <v>-73.984446</v>
      </c>
      <c r="BS216" s="6" t="s">
        <v>168</v>
      </c>
      <c r="BT216" s="0" t="n">
        <v>0</v>
      </c>
      <c r="BU216" s="6" t="s">
        <v>2341</v>
      </c>
      <c r="BV216" s="6" t="s">
        <v>2342</v>
      </c>
      <c r="BW216" s="6" t="s">
        <v>3420</v>
      </c>
      <c r="BX216" s="6" t="s">
        <v>3423</v>
      </c>
      <c r="BY216" s="6" t="s">
        <v>248</v>
      </c>
      <c r="CC216" s="6" t="s">
        <v>179</v>
      </c>
      <c r="CE216" s="6" t="s">
        <v>162</v>
      </c>
      <c r="CH216" s="6" t="s">
        <v>163</v>
      </c>
      <c r="CJ216" s="6" t="s">
        <v>163</v>
      </c>
      <c r="CK216" s="6" t="s">
        <v>162</v>
      </c>
      <c r="CL216" s="6" t="s">
        <v>163</v>
      </c>
      <c r="CO216" s="6" t="s">
        <v>163</v>
      </c>
      <c r="CQ216" s="6" t="s">
        <v>2197</v>
      </c>
      <c r="CR216" s="6" t="s">
        <v>206</v>
      </c>
      <c r="CS216" s="6" t="s">
        <v>163</v>
      </c>
      <c r="CT216" s="0" t="n">
        <v>26</v>
      </c>
      <c r="CU216" s="0" t="n">
        <v>7</v>
      </c>
      <c r="CV216" s="0" t="n">
        <v>8</v>
      </c>
      <c r="CW216" s="0" t="n">
        <v>6</v>
      </c>
      <c r="CX216" s="0" t="n">
        <v>5</v>
      </c>
      <c r="CY216" s="6" t="n">
        <f aca="false">IF(AH216="exact",10,IF(AH216="adjacent",5,0))</f>
        <v>0</v>
      </c>
      <c r="CZ216" s="6" t="n">
        <f aca="false">IF(R216="Y",15,0)</f>
        <v>0</v>
      </c>
      <c r="DF216" s="6" t="s">
        <v>158</v>
      </c>
      <c r="DG216" s="6" t="s">
        <v>211</v>
      </c>
      <c r="DJ216" s="6" t="s">
        <v>2674</v>
      </c>
      <c r="DK216" s="6" t="s">
        <v>3424</v>
      </c>
      <c r="DS216" s="6" t="s">
        <v>158</v>
      </c>
      <c r="DX216" s="6" t="s">
        <v>162</v>
      </c>
      <c r="ER216" s="0" t="str">
        <f aca="false">IF(ISNUMBER(MATCH(U216,{"queued","contacted","replied","call_booked","call_done","yes_in_principle","materials_sent"},0)),"Y","N")</f>
        <v>N</v>
      </c>
      <c r="ES216" s="0" t="str">
        <f aca="false">IF(COUNTIFS($AP$2:$AP$1000,AP216,$ER$2:$ER$1000,"Y")+COUNTIFS($AP$2:$AP$1000,AP216,$T$2:$T$1000,"Y")&gt;0,"Y","N")</f>
        <v>N</v>
      </c>
      <c r="ET216" s="0" t="str">
        <f aca="false">IF(AND(U216="new",T216="N",AT216="Y",AS216="",ES216="N"),"Y","N")</f>
        <v>N</v>
      </c>
      <c r="EU216" s="0" t="str">
        <f aca="false">IF(ET216&lt;&gt;"Y","N",IF(COUNTIFS($AP$2:$AP$1000,AP216,$ET$2:$ET$1000,"Y",$J$2:$J$1000,"&gt;"&amp;J216)+COUNTIFS($AP$2:$AP$1000,AP216,$ET$2:$ET$1000,"Y",$J$2:$J$1000,J216,$EW$2:$EW$1000,"&lt;"&amp;EW216)=0,"Y","N"))</f>
        <v>N</v>
      </c>
      <c r="EV216" s="0" t="str">
        <f aca="false">IF(Y216="","N",IF(Y216&lt;=10,"Y","N"))</f>
        <v>N</v>
      </c>
      <c r="EW216" s="6" t="n">
        <f aca="false">ROW()-1</f>
        <v>215</v>
      </c>
    </row>
    <row r="217" customFormat="false" ht="15" hidden="false" customHeight="false" outlineLevel="0" collapsed="false">
      <c r="A217" s="0" t="s">
        <v>3425</v>
      </c>
      <c r="B217" s="0" t="s">
        <v>3426</v>
      </c>
      <c r="H217" s="5" t="s">
        <v>158</v>
      </c>
      <c r="I217" s="5" t="s">
        <v>159</v>
      </c>
      <c r="J217" s="6" t="n">
        <f aca="false">IF(AX217="pass",ROUND(CU217+CV217+CW217+CX217+CY217+CZ217,1),0)</f>
        <v>26</v>
      </c>
      <c r="K217" s="6" t="s">
        <v>3401</v>
      </c>
      <c r="L217" s="6" t="s">
        <v>163</v>
      </c>
      <c r="R217" s="5" t="s">
        <v>162</v>
      </c>
      <c r="S217" s="6" t="s">
        <v>163</v>
      </c>
      <c r="T217" s="5" t="s">
        <v>162</v>
      </c>
      <c r="U217" s="5" t="s">
        <v>228</v>
      </c>
      <c r="V217" s="6" t="s">
        <v>3427</v>
      </c>
      <c r="W217" s="6" t="s">
        <v>166</v>
      </c>
      <c r="X217" s="6" t="s">
        <v>167</v>
      </c>
      <c r="Y217" s="0" t="str">
        <f aca="false">IF(EU217&lt;&gt;"Y","",COUNTIFS($EU$2:$EU$1000,"Y",$J$2:$J$1000,"&gt;"&amp;J217)+COUNTIFS($EU$2:$EU$1000,"Y",$J$2:$J$1000,J217,$EW$2:$EW$1000,"&lt;"&amp;EW217)+1)</f>
        <v/>
      </c>
      <c r="Z217" s="0" t="n">
        <v>216</v>
      </c>
      <c r="AA217" s="6" t="s">
        <v>162</v>
      </c>
      <c r="AD217" s="6" t="s">
        <v>158</v>
      </c>
      <c r="AH217" s="5" t="s">
        <v>158</v>
      </c>
      <c r="AI217" s="6" t="s">
        <v>2408</v>
      </c>
      <c r="AJ217" s="6" t="s">
        <v>3428</v>
      </c>
      <c r="AK217" s="6" t="s">
        <v>435</v>
      </c>
      <c r="AL217" s="6" t="s">
        <v>163</v>
      </c>
      <c r="AM217" s="6" t="s">
        <v>163</v>
      </c>
      <c r="AN217" s="6" t="s">
        <v>158</v>
      </c>
      <c r="AO217" s="6" t="s">
        <v>163</v>
      </c>
      <c r="AP217" s="6" t="s">
        <v>3425</v>
      </c>
      <c r="AQ217" s="5" t="s">
        <v>162</v>
      </c>
      <c r="AT217" s="0" t="str">
        <f aca="false">IF(AND(AX217="pass",AQ217&lt;&gt;"Y",C217&lt;&gt;"",OR(AW217&lt;&gt;"Y",AV217="Y")),"Y","N")</f>
        <v>N</v>
      </c>
      <c r="AU217" s="0" t="str">
        <f aca="false">_xlfn.TEXTJOIN("; ",TRUE(),IF(AX217&lt;&gt;"pass","gated out",""),IF(AQ217="Y","on hold: "&amp;AR217,""),IF(C217="","no contact named on an opened page",""),IF(AND(AW217="Y",AV217&lt;&gt;"Y"),"Tuesday estimate band "&amp;L217&amp;": founder's call",""))</f>
        <v>no contact named on an opened page</v>
      </c>
      <c r="AW217" s="6" t="s">
        <v>162</v>
      </c>
      <c r="AX217" s="6" t="s">
        <v>181</v>
      </c>
      <c r="AY217" s="6" t="s">
        <v>182</v>
      </c>
      <c r="AZ217" s="6" t="s">
        <v>1</v>
      </c>
      <c r="BA217" s="6" t="s">
        <v>3429</v>
      </c>
      <c r="BB217" s="6" t="s">
        <v>163</v>
      </c>
      <c r="BC217" s="6" t="s">
        <v>3430</v>
      </c>
      <c r="BD217" s="6" t="s">
        <v>163</v>
      </c>
      <c r="BF217" s="6" t="s">
        <v>163</v>
      </c>
      <c r="BG217" s="6" t="s">
        <v>163</v>
      </c>
      <c r="BH217" s="6" t="s">
        <v>2196</v>
      </c>
      <c r="BK217" s="6" t="s">
        <v>163</v>
      </c>
      <c r="BL217" s="6" t="s">
        <v>163</v>
      </c>
      <c r="BM217" s="6" t="s">
        <v>163</v>
      </c>
      <c r="BN217" s="6" t="s">
        <v>163</v>
      </c>
      <c r="BO217" s="6" t="s">
        <v>163</v>
      </c>
      <c r="BP217" s="6" t="s">
        <v>347</v>
      </c>
      <c r="BQ217" s="0" t="n">
        <v>40.742477</v>
      </c>
      <c r="BR217" s="0" t="n">
        <v>-73.986608</v>
      </c>
      <c r="BS217" s="6" t="s">
        <v>168</v>
      </c>
      <c r="BT217" s="0" t="n">
        <v>0</v>
      </c>
      <c r="BU217" s="6" t="s">
        <v>2413</v>
      </c>
      <c r="BV217" s="6" t="s">
        <v>2414</v>
      </c>
      <c r="BW217" s="6" t="s">
        <v>3427</v>
      </c>
      <c r="BX217" s="6" t="s">
        <v>3431</v>
      </c>
      <c r="BY217" s="6" t="s">
        <v>248</v>
      </c>
      <c r="CC217" s="6" t="s">
        <v>179</v>
      </c>
      <c r="CE217" s="6" t="s">
        <v>162</v>
      </c>
      <c r="CH217" s="6" t="s">
        <v>201</v>
      </c>
      <c r="CI217" s="6" t="s">
        <v>2416</v>
      </c>
      <c r="CJ217" s="6" t="s">
        <v>163</v>
      </c>
      <c r="CK217" s="6" t="s">
        <v>162</v>
      </c>
      <c r="CL217" s="6" t="s">
        <v>163</v>
      </c>
      <c r="CO217" s="6" t="s">
        <v>163</v>
      </c>
      <c r="CQ217" s="6" t="s">
        <v>2197</v>
      </c>
      <c r="CR217" s="6" t="s">
        <v>206</v>
      </c>
      <c r="CS217" s="6" t="s">
        <v>163</v>
      </c>
      <c r="CT217" s="0" t="n">
        <v>26</v>
      </c>
      <c r="CU217" s="0" t="n">
        <v>7</v>
      </c>
      <c r="CV217" s="0" t="n">
        <v>8</v>
      </c>
      <c r="CW217" s="0" t="n">
        <v>6</v>
      </c>
      <c r="CX217" s="0" t="n">
        <v>5</v>
      </c>
      <c r="CY217" s="6" t="n">
        <f aca="false">IF(AH217="exact",10,IF(AH217="adjacent",5,0))</f>
        <v>0</v>
      </c>
      <c r="CZ217" s="6" t="n">
        <f aca="false">IF(R217="Y",15,0)</f>
        <v>0</v>
      </c>
      <c r="DF217" s="6" t="s">
        <v>158</v>
      </c>
      <c r="DG217" s="6" t="s">
        <v>211</v>
      </c>
      <c r="DJ217" s="6" t="s">
        <v>3432</v>
      </c>
      <c r="DK217" s="6" t="s">
        <v>3433</v>
      </c>
      <c r="DS217" s="6" t="s">
        <v>158</v>
      </c>
      <c r="DX217" s="6" t="s">
        <v>162</v>
      </c>
      <c r="ER217" s="0" t="str">
        <f aca="false">IF(ISNUMBER(MATCH(U217,{"queued","contacted","replied","call_booked","call_done","yes_in_principle","materials_sent"},0)),"Y","N")</f>
        <v>N</v>
      </c>
      <c r="ES217" s="0" t="str">
        <f aca="false">IF(COUNTIFS($AP$2:$AP$1000,AP217,$ER$2:$ER$1000,"Y")+COUNTIFS($AP$2:$AP$1000,AP217,$T$2:$T$1000,"Y")&gt;0,"Y","N")</f>
        <v>N</v>
      </c>
      <c r="ET217" s="0" t="str">
        <f aca="false">IF(AND(U217="new",T217="N",AT217="Y",AS217="",ES217="N"),"Y","N")</f>
        <v>N</v>
      </c>
      <c r="EU217" s="0" t="str">
        <f aca="false">IF(ET217&lt;&gt;"Y","N",IF(COUNTIFS($AP$2:$AP$1000,AP217,$ET$2:$ET$1000,"Y",$J$2:$J$1000,"&gt;"&amp;J217)+COUNTIFS($AP$2:$AP$1000,AP217,$ET$2:$ET$1000,"Y",$J$2:$J$1000,J217,$EW$2:$EW$1000,"&lt;"&amp;EW217)=0,"Y","N"))</f>
        <v>N</v>
      </c>
      <c r="EV217" s="0" t="str">
        <f aca="false">IF(Y217="","N",IF(Y217&lt;=10,"Y","N"))</f>
        <v>N</v>
      </c>
      <c r="EW217" s="6" t="n">
        <f aca="false">ROW()-1</f>
        <v>216</v>
      </c>
    </row>
    <row r="218" customFormat="false" ht="15" hidden="false" customHeight="false" outlineLevel="0" collapsed="false">
      <c r="A218" s="0" t="s">
        <v>3434</v>
      </c>
      <c r="B218" s="0" t="s">
        <v>3435</v>
      </c>
      <c r="H218" s="5" t="s">
        <v>158</v>
      </c>
      <c r="I218" s="5" t="s">
        <v>159</v>
      </c>
      <c r="J218" s="6" t="n">
        <f aca="false">IF(AX218="pass",ROUND(CU218+CV218+CW218+CX218+CY218+CZ218,1),0)</f>
        <v>26</v>
      </c>
      <c r="K218" s="6" t="s">
        <v>3401</v>
      </c>
      <c r="L218" s="6" t="s">
        <v>163</v>
      </c>
      <c r="R218" s="5" t="s">
        <v>162</v>
      </c>
      <c r="S218" s="6" t="s">
        <v>163</v>
      </c>
      <c r="T218" s="5" t="s">
        <v>162</v>
      </c>
      <c r="U218" s="5" t="s">
        <v>228</v>
      </c>
      <c r="V218" s="6" t="s">
        <v>3436</v>
      </c>
      <c r="W218" s="6" t="s">
        <v>166</v>
      </c>
      <c r="X218" s="6" t="s">
        <v>167</v>
      </c>
      <c r="Y218" s="0" t="str">
        <f aca="false">IF(EU218&lt;&gt;"Y","",COUNTIFS($EU$2:$EU$1000,"Y",$J$2:$J$1000,"&gt;"&amp;J218)+COUNTIFS($EU$2:$EU$1000,"Y",$J$2:$J$1000,J218,$EW$2:$EW$1000,"&lt;"&amp;EW218)+1)</f>
        <v/>
      </c>
      <c r="Z218" s="0" t="n">
        <v>217</v>
      </c>
      <c r="AA218" s="6" t="s">
        <v>162</v>
      </c>
      <c r="AD218" s="6" t="s">
        <v>158</v>
      </c>
      <c r="AH218" s="5" t="s">
        <v>158</v>
      </c>
      <c r="AI218" s="6" t="s">
        <v>2336</v>
      </c>
      <c r="AJ218" s="6" t="s">
        <v>163</v>
      </c>
      <c r="AK218" s="6" t="s">
        <v>435</v>
      </c>
      <c r="AL218" s="6" t="s">
        <v>163</v>
      </c>
      <c r="AM218" s="6" t="s">
        <v>163</v>
      </c>
      <c r="AN218" s="6" t="s">
        <v>158</v>
      </c>
      <c r="AO218" s="6" t="s">
        <v>163</v>
      </c>
      <c r="AP218" s="6" t="s">
        <v>3434</v>
      </c>
      <c r="AQ218" s="5" t="s">
        <v>162</v>
      </c>
      <c r="AT218" s="0" t="str">
        <f aca="false">IF(AND(AX218="pass",AQ218&lt;&gt;"Y",C218&lt;&gt;"",OR(AW218&lt;&gt;"Y",AV218="Y")),"Y","N")</f>
        <v>N</v>
      </c>
      <c r="AU218" s="0" t="str">
        <f aca="false">_xlfn.TEXTJOIN("; ",TRUE(),IF(AX218&lt;&gt;"pass","gated out",""),IF(AQ218="Y","on hold: "&amp;AR218,""),IF(C218="","no contact named on an opened page",""),IF(AND(AW218="Y",AV218&lt;&gt;"Y"),"Tuesday estimate band "&amp;L218&amp;": founder's call",""))</f>
        <v>no contact named on an opened page</v>
      </c>
      <c r="AW218" s="6" t="s">
        <v>162</v>
      </c>
      <c r="AX218" s="6" t="s">
        <v>181</v>
      </c>
      <c r="AY218" s="6" t="s">
        <v>182</v>
      </c>
      <c r="AZ218" s="6" t="s">
        <v>1</v>
      </c>
      <c r="BA218" s="6" t="s">
        <v>3437</v>
      </c>
      <c r="BB218" s="6" t="s">
        <v>3438</v>
      </c>
      <c r="BC218" s="6" t="s">
        <v>3439</v>
      </c>
      <c r="BD218" s="6" t="s">
        <v>163</v>
      </c>
      <c r="BF218" s="6" t="s">
        <v>163</v>
      </c>
      <c r="BG218" s="6" t="s">
        <v>163</v>
      </c>
      <c r="BH218" s="6" t="s">
        <v>2196</v>
      </c>
      <c r="BK218" s="6" t="s">
        <v>163</v>
      </c>
      <c r="BL218" s="6" t="s">
        <v>163</v>
      </c>
      <c r="BM218" s="6" t="s">
        <v>163</v>
      </c>
      <c r="BN218" s="6" t="s">
        <v>163</v>
      </c>
      <c r="BO218" s="6" t="s">
        <v>163</v>
      </c>
      <c r="BP218" s="6" t="s">
        <v>244</v>
      </c>
      <c r="BQ218" s="0" t="n">
        <v>40.7425</v>
      </c>
      <c r="BR218" s="0" t="n">
        <v>-73.984446</v>
      </c>
      <c r="BS218" s="6" t="s">
        <v>168</v>
      </c>
      <c r="BT218" s="0" t="n">
        <v>0</v>
      </c>
      <c r="BU218" s="6" t="s">
        <v>2341</v>
      </c>
      <c r="BV218" s="6" t="s">
        <v>2342</v>
      </c>
      <c r="BW218" s="6" t="s">
        <v>3436</v>
      </c>
      <c r="BX218" s="6" t="s">
        <v>3440</v>
      </c>
      <c r="BY218" s="6" t="s">
        <v>248</v>
      </c>
      <c r="CC218" s="6" t="s">
        <v>179</v>
      </c>
      <c r="CE218" s="6" t="s">
        <v>162</v>
      </c>
      <c r="CH218" s="6" t="s">
        <v>163</v>
      </c>
      <c r="CJ218" s="6" t="s">
        <v>163</v>
      </c>
      <c r="CK218" s="6" t="s">
        <v>162</v>
      </c>
      <c r="CL218" s="6" t="s">
        <v>163</v>
      </c>
      <c r="CO218" s="6" t="s">
        <v>163</v>
      </c>
      <c r="CQ218" s="6" t="s">
        <v>2197</v>
      </c>
      <c r="CR218" s="6" t="s">
        <v>206</v>
      </c>
      <c r="CS218" s="6" t="s">
        <v>163</v>
      </c>
      <c r="CT218" s="0" t="n">
        <v>26</v>
      </c>
      <c r="CU218" s="0" t="n">
        <v>7</v>
      </c>
      <c r="CV218" s="0" t="n">
        <v>8</v>
      </c>
      <c r="CW218" s="0" t="n">
        <v>6</v>
      </c>
      <c r="CX218" s="0" t="n">
        <v>5</v>
      </c>
      <c r="CY218" s="6" t="n">
        <f aca="false">IF(AH218="exact",10,IF(AH218="adjacent",5,0))</f>
        <v>0</v>
      </c>
      <c r="CZ218" s="6" t="n">
        <f aca="false">IF(R218="Y",15,0)</f>
        <v>0</v>
      </c>
      <c r="DF218" s="6" t="s">
        <v>158</v>
      </c>
      <c r="DG218" s="6" t="s">
        <v>211</v>
      </c>
      <c r="DJ218" s="6" t="s">
        <v>2378</v>
      </c>
      <c r="DK218" s="6" t="s">
        <v>3441</v>
      </c>
      <c r="DS218" s="6" t="s">
        <v>158</v>
      </c>
      <c r="DX218" s="6" t="s">
        <v>162</v>
      </c>
      <c r="ER218" s="0" t="str">
        <f aca="false">IF(ISNUMBER(MATCH(U218,{"queued","contacted","replied","call_booked","call_done","yes_in_principle","materials_sent"},0)),"Y","N")</f>
        <v>N</v>
      </c>
      <c r="ES218" s="0" t="str">
        <f aca="false">IF(COUNTIFS($AP$2:$AP$1000,AP218,$ER$2:$ER$1000,"Y")+COUNTIFS($AP$2:$AP$1000,AP218,$T$2:$T$1000,"Y")&gt;0,"Y","N")</f>
        <v>N</v>
      </c>
      <c r="ET218" s="0" t="str">
        <f aca="false">IF(AND(U218="new",T218="N",AT218="Y",AS218="",ES218="N"),"Y","N")</f>
        <v>N</v>
      </c>
      <c r="EU218" s="0" t="str">
        <f aca="false">IF(ET218&lt;&gt;"Y","N",IF(COUNTIFS($AP$2:$AP$1000,AP218,$ET$2:$ET$1000,"Y",$J$2:$J$1000,"&gt;"&amp;J218)+COUNTIFS($AP$2:$AP$1000,AP218,$ET$2:$ET$1000,"Y",$J$2:$J$1000,J218,$EW$2:$EW$1000,"&lt;"&amp;EW218)=0,"Y","N"))</f>
        <v>N</v>
      </c>
      <c r="EV218" s="0" t="str">
        <f aca="false">IF(Y218="","N",IF(Y218&lt;=10,"Y","N"))</f>
        <v>N</v>
      </c>
      <c r="EW218" s="6" t="n">
        <f aca="false">ROW()-1</f>
        <v>217</v>
      </c>
    </row>
    <row r="219" customFormat="false" ht="15" hidden="false" customHeight="false" outlineLevel="0" collapsed="false">
      <c r="A219" s="0" t="s">
        <v>3442</v>
      </c>
      <c r="B219" s="0" t="s">
        <v>3443</v>
      </c>
      <c r="H219" s="5" t="s">
        <v>158</v>
      </c>
      <c r="I219" s="5" t="s">
        <v>159</v>
      </c>
      <c r="J219" s="6" t="n">
        <f aca="false">IF(AX219="pass",ROUND(CU219+CV219+CW219+CX219+CY219+CZ219,1),0)</f>
        <v>26</v>
      </c>
      <c r="K219" s="6" t="s">
        <v>3401</v>
      </c>
      <c r="L219" s="6" t="s">
        <v>163</v>
      </c>
      <c r="R219" s="5" t="s">
        <v>162</v>
      </c>
      <c r="S219" s="6" t="s">
        <v>163</v>
      </c>
      <c r="T219" s="5" t="s">
        <v>162</v>
      </c>
      <c r="U219" s="5" t="s">
        <v>228</v>
      </c>
      <c r="V219" s="6" t="s">
        <v>3444</v>
      </c>
      <c r="W219" s="6" t="s">
        <v>166</v>
      </c>
      <c r="X219" s="6" t="s">
        <v>167</v>
      </c>
      <c r="Y219" s="0" t="str">
        <f aca="false">IF(EU219&lt;&gt;"Y","",COUNTIFS($EU$2:$EU$1000,"Y",$J$2:$J$1000,"&gt;"&amp;J219)+COUNTIFS($EU$2:$EU$1000,"Y",$J$2:$J$1000,J219,$EW$2:$EW$1000,"&lt;"&amp;EW219)+1)</f>
        <v/>
      </c>
      <c r="Z219" s="0" t="n">
        <v>218</v>
      </c>
      <c r="AA219" s="6" t="s">
        <v>162</v>
      </c>
      <c r="AD219" s="6" t="s">
        <v>158</v>
      </c>
      <c r="AH219" s="5" t="s">
        <v>158</v>
      </c>
      <c r="AI219" s="6" t="s">
        <v>3445</v>
      </c>
      <c r="AJ219" s="6" t="s">
        <v>472</v>
      </c>
      <c r="AK219" s="6" t="s">
        <v>435</v>
      </c>
      <c r="AL219" s="6" t="s">
        <v>163</v>
      </c>
      <c r="AM219" s="6" t="s">
        <v>163</v>
      </c>
      <c r="AN219" s="6" t="s">
        <v>158</v>
      </c>
      <c r="AO219" s="6" t="s">
        <v>163</v>
      </c>
      <c r="AP219" s="6" t="s">
        <v>3442</v>
      </c>
      <c r="AQ219" s="5" t="s">
        <v>162</v>
      </c>
      <c r="AT219" s="0" t="str">
        <f aca="false">IF(AND(AX219="pass",AQ219&lt;&gt;"Y",C219&lt;&gt;"",OR(AW219&lt;&gt;"Y",AV219="Y")),"Y","N")</f>
        <v>N</v>
      </c>
      <c r="AU219" s="0" t="str">
        <f aca="false">_xlfn.TEXTJOIN("; ",TRUE(),IF(AX219&lt;&gt;"pass","gated out",""),IF(AQ219="Y","on hold: "&amp;AR219,""),IF(C219="","no contact named on an opened page",""),IF(AND(AW219="Y",AV219&lt;&gt;"Y"),"Tuesday estimate band "&amp;L219&amp;": founder's call",""))</f>
        <v>no contact named on an opened page</v>
      </c>
      <c r="AW219" s="6" t="s">
        <v>162</v>
      </c>
      <c r="AX219" s="6" t="s">
        <v>181</v>
      </c>
      <c r="AY219" s="6" t="s">
        <v>182</v>
      </c>
      <c r="AZ219" s="6" t="s">
        <v>1</v>
      </c>
      <c r="BA219" s="6" t="s">
        <v>3446</v>
      </c>
      <c r="BB219" s="6" t="s">
        <v>163</v>
      </c>
      <c r="BC219" s="6" t="s">
        <v>3447</v>
      </c>
      <c r="BD219" s="6" t="s">
        <v>163</v>
      </c>
      <c r="BF219" s="6" t="s">
        <v>163</v>
      </c>
      <c r="BG219" s="6" t="s">
        <v>163</v>
      </c>
      <c r="BH219" s="6" t="s">
        <v>2196</v>
      </c>
      <c r="BK219" s="6" t="s">
        <v>163</v>
      </c>
      <c r="BL219" s="6" t="s">
        <v>163</v>
      </c>
      <c r="BM219" s="6" t="s">
        <v>163</v>
      </c>
      <c r="BN219" s="6" t="s">
        <v>163</v>
      </c>
      <c r="BO219" s="6" t="s">
        <v>163</v>
      </c>
      <c r="BP219" s="6" t="s">
        <v>347</v>
      </c>
      <c r="BQ219" s="0" t="n">
        <v>40.744624</v>
      </c>
      <c r="BR219" s="0" t="n">
        <v>-73.990418</v>
      </c>
      <c r="BS219" s="6" t="s">
        <v>168</v>
      </c>
      <c r="BT219" s="0" t="n">
        <v>0</v>
      </c>
      <c r="BU219" s="6" t="s">
        <v>3448</v>
      </c>
      <c r="BV219" s="6" t="s">
        <v>3445</v>
      </c>
      <c r="BW219" s="6" t="s">
        <v>3444</v>
      </c>
      <c r="BX219" s="6" t="s">
        <v>3449</v>
      </c>
      <c r="BY219" s="6" t="s">
        <v>248</v>
      </c>
      <c r="CC219" s="6" t="s">
        <v>179</v>
      </c>
      <c r="CE219" s="6" t="s">
        <v>162</v>
      </c>
      <c r="CH219" s="6" t="s">
        <v>163</v>
      </c>
      <c r="CJ219" s="6" t="s">
        <v>163</v>
      </c>
      <c r="CK219" s="6" t="s">
        <v>162</v>
      </c>
      <c r="CL219" s="6" t="s">
        <v>163</v>
      </c>
      <c r="CO219" s="6" t="s">
        <v>163</v>
      </c>
      <c r="CQ219" s="6" t="s">
        <v>2197</v>
      </c>
      <c r="CR219" s="6" t="s">
        <v>206</v>
      </c>
      <c r="CS219" s="6" t="s">
        <v>163</v>
      </c>
      <c r="CT219" s="0" t="n">
        <v>26</v>
      </c>
      <c r="CU219" s="0" t="n">
        <v>7</v>
      </c>
      <c r="CV219" s="0" t="n">
        <v>8</v>
      </c>
      <c r="CW219" s="0" t="n">
        <v>6</v>
      </c>
      <c r="CX219" s="0" t="n">
        <v>5</v>
      </c>
      <c r="CY219" s="6" t="n">
        <f aca="false">IF(AH219="exact",10,IF(AH219="adjacent",5,0))</f>
        <v>0</v>
      </c>
      <c r="CZ219" s="6" t="n">
        <f aca="false">IF(R219="Y",15,0)</f>
        <v>0</v>
      </c>
      <c r="DF219" s="6" t="s">
        <v>158</v>
      </c>
      <c r="DG219" s="6" t="s">
        <v>211</v>
      </c>
      <c r="DJ219" s="6" t="s">
        <v>3450</v>
      </c>
      <c r="DK219" s="6" t="s">
        <v>3451</v>
      </c>
      <c r="DS219" s="6" t="s">
        <v>158</v>
      </c>
      <c r="DX219" s="6" t="s">
        <v>162</v>
      </c>
      <c r="ER219" s="0" t="str">
        <f aca="false">IF(ISNUMBER(MATCH(U219,{"queued","contacted","replied","call_booked","call_done","yes_in_principle","materials_sent"},0)),"Y","N")</f>
        <v>N</v>
      </c>
      <c r="ES219" s="0" t="str">
        <f aca="false">IF(COUNTIFS($AP$2:$AP$1000,AP219,$ER$2:$ER$1000,"Y")+COUNTIFS($AP$2:$AP$1000,AP219,$T$2:$T$1000,"Y")&gt;0,"Y","N")</f>
        <v>N</v>
      </c>
      <c r="ET219" s="0" t="str">
        <f aca="false">IF(AND(U219="new",T219="N",AT219="Y",AS219="",ES219="N"),"Y","N")</f>
        <v>N</v>
      </c>
      <c r="EU219" s="0" t="str">
        <f aca="false">IF(ET219&lt;&gt;"Y","N",IF(COUNTIFS($AP$2:$AP$1000,AP219,$ET$2:$ET$1000,"Y",$J$2:$J$1000,"&gt;"&amp;J219)+COUNTIFS($AP$2:$AP$1000,AP219,$ET$2:$ET$1000,"Y",$J$2:$J$1000,J219,$EW$2:$EW$1000,"&lt;"&amp;EW219)=0,"Y","N"))</f>
        <v>N</v>
      </c>
      <c r="EV219" s="0" t="str">
        <f aca="false">IF(Y219="","N",IF(Y219&lt;=10,"Y","N"))</f>
        <v>N</v>
      </c>
      <c r="EW219" s="6" t="n">
        <f aca="false">ROW()-1</f>
        <v>218</v>
      </c>
    </row>
    <row r="220" customFormat="false" ht="15" hidden="false" customHeight="false" outlineLevel="0" collapsed="false">
      <c r="A220" s="0" t="s">
        <v>3452</v>
      </c>
      <c r="B220" s="0" t="s">
        <v>3453</v>
      </c>
      <c r="H220" s="5" t="s">
        <v>158</v>
      </c>
      <c r="I220" s="5" t="s">
        <v>159</v>
      </c>
      <c r="J220" s="6" t="n">
        <f aca="false">IF(AX220="pass",ROUND(CU220+CV220+CW220+CX220+CY220+CZ220,1),0)</f>
        <v>26</v>
      </c>
      <c r="K220" s="6" t="s">
        <v>3401</v>
      </c>
      <c r="L220" s="6" t="s">
        <v>163</v>
      </c>
      <c r="R220" s="5" t="s">
        <v>162</v>
      </c>
      <c r="S220" s="6" t="s">
        <v>163</v>
      </c>
      <c r="T220" s="5" t="s">
        <v>162</v>
      </c>
      <c r="U220" s="5" t="s">
        <v>228</v>
      </c>
      <c r="V220" s="6" t="s">
        <v>3454</v>
      </c>
      <c r="W220" s="6" t="s">
        <v>166</v>
      </c>
      <c r="X220" s="6" t="s">
        <v>167</v>
      </c>
      <c r="Y220" s="0" t="str">
        <f aca="false">IF(EU220&lt;&gt;"Y","",COUNTIFS($EU$2:$EU$1000,"Y",$J$2:$J$1000,"&gt;"&amp;J220)+COUNTIFS($EU$2:$EU$1000,"Y",$J$2:$J$1000,J220,$EW$2:$EW$1000,"&lt;"&amp;EW220)+1)</f>
        <v/>
      </c>
      <c r="Z220" s="0" t="n">
        <v>219</v>
      </c>
      <c r="AA220" s="6" t="s">
        <v>162</v>
      </c>
      <c r="AD220" s="6" t="s">
        <v>158</v>
      </c>
      <c r="AH220" s="5" t="s">
        <v>158</v>
      </c>
      <c r="AI220" s="6" t="s">
        <v>2408</v>
      </c>
      <c r="AJ220" s="6" t="s">
        <v>2069</v>
      </c>
      <c r="AK220" s="6" t="s">
        <v>435</v>
      </c>
      <c r="AL220" s="6" t="s">
        <v>163</v>
      </c>
      <c r="AM220" s="6" t="s">
        <v>163</v>
      </c>
      <c r="AN220" s="6" t="s">
        <v>158</v>
      </c>
      <c r="AO220" s="6" t="s">
        <v>163</v>
      </c>
      <c r="AP220" s="6" t="s">
        <v>3452</v>
      </c>
      <c r="AQ220" s="5" t="s">
        <v>162</v>
      </c>
      <c r="AT220" s="0" t="str">
        <f aca="false">IF(AND(AX220="pass",AQ220&lt;&gt;"Y",C220&lt;&gt;"",OR(AW220&lt;&gt;"Y",AV220="Y")),"Y","N")</f>
        <v>N</v>
      </c>
      <c r="AU220" s="0" t="str">
        <f aca="false">_xlfn.TEXTJOIN("; ",TRUE(),IF(AX220&lt;&gt;"pass","gated out",""),IF(AQ220="Y","on hold: "&amp;AR220,""),IF(C220="","no contact named on an opened page",""),IF(AND(AW220="Y",AV220&lt;&gt;"Y"),"Tuesday estimate band "&amp;L220&amp;": founder's call",""))</f>
        <v>no contact named on an opened page</v>
      </c>
      <c r="AW220" s="6" t="s">
        <v>162</v>
      </c>
      <c r="AX220" s="6" t="s">
        <v>181</v>
      </c>
      <c r="AY220" s="6" t="s">
        <v>182</v>
      </c>
      <c r="AZ220" s="6" t="s">
        <v>1</v>
      </c>
      <c r="BA220" s="6" t="s">
        <v>3455</v>
      </c>
      <c r="BB220" s="6" t="s">
        <v>3456</v>
      </c>
      <c r="BC220" s="6" t="s">
        <v>3457</v>
      </c>
      <c r="BD220" s="6" t="s">
        <v>163</v>
      </c>
      <c r="BF220" s="6" t="s">
        <v>163</v>
      </c>
      <c r="BG220" s="6" t="s">
        <v>163</v>
      </c>
      <c r="BH220" s="6" t="s">
        <v>2196</v>
      </c>
      <c r="BK220" s="6" t="s">
        <v>163</v>
      </c>
      <c r="BL220" s="6" t="s">
        <v>163</v>
      </c>
      <c r="BM220" s="6" t="s">
        <v>163</v>
      </c>
      <c r="BN220" s="6" t="s">
        <v>163</v>
      </c>
      <c r="BO220" s="6" t="s">
        <v>163</v>
      </c>
      <c r="BP220" s="6" t="s">
        <v>347</v>
      </c>
      <c r="BQ220" s="0" t="n">
        <v>40.742477</v>
      </c>
      <c r="BR220" s="0" t="n">
        <v>-73.986608</v>
      </c>
      <c r="BS220" s="6" t="s">
        <v>168</v>
      </c>
      <c r="BT220" s="0" t="n">
        <v>0</v>
      </c>
      <c r="BU220" s="6" t="s">
        <v>2413</v>
      </c>
      <c r="BV220" s="6" t="s">
        <v>2414</v>
      </c>
      <c r="BW220" s="6" t="s">
        <v>3454</v>
      </c>
      <c r="BX220" s="6" t="s">
        <v>3458</v>
      </c>
      <c r="BY220" s="6" t="s">
        <v>248</v>
      </c>
      <c r="CC220" s="6" t="s">
        <v>179</v>
      </c>
      <c r="CE220" s="6" t="s">
        <v>162</v>
      </c>
      <c r="CH220" s="6" t="s">
        <v>201</v>
      </c>
      <c r="CI220" s="6" t="s">
        <v>2416</v>
      </c>
      <c r="CJ220" s="6" t="s">
        <v>163</v>
      </c>
      <c r="CK220" s="6" t="s">
        <v>162</v>
      </c>
      <c r="CL220" s="6" t="s">
        <v>163</v>
      </c>
      <c r="CO220" s="6" t="s">
        <v>163</v>
      </c>
      <c r="CQ220" s="6" t="s">
        <v>2197</v>
      </c>
      <c r="CR220" s="6" t="s">
        <v>206</v>
      </c>
      <c r="CS220" s="6" t="s">
        <v>163</v>
      </c>
      <c r="CT220" s="0" t="n">
        <v>26</v>
      </c>
      <c r="CU220" s="0" t="n">
        <v>7</v>
      </c>
      <c r="CV220" s="0" t="n">
        <v>8</v>
      </c>
      <c r="CW220" s="0" t="n">
        <v>6</v>
      </c>
      <c r="CX220" s="0" t="n">
        <v>5</v>
      </c>
      <c r="CY220" s="6" t="n">
        <f aca="false">IF(AH220="exact",10,IF(AH220="adjacent",5,0))</f>
        <v>0</v>
      </c>
      <c r="CZ220" s="6" t="n">
        <f aca="false">IF(R220="Y",15,0)</f>
        <v>0</v>
      </c>
      <c r="DF220" s="6" t="s">
        <v>158</v>
      </c>
      <c r="DG220" s="6" t="s">
        <v>211</v>
      </c>
      <c r="DJ220" s="6" t="s">
        <v>3432</v>
      </c>
      <c r="DK220" s="6" t="s">
        <v>3459</v>
      </c>
      <c r="DS220" s="6" t="s">
        <v>158</v>
      </c>
      <c r="DX220" s="6" t="s">
        <v>162</v>
      </c>
      <c r="ER220" s="0" t="str">
        <f aca="false">IF(ISNUMBER(MATCH(U220,{"queued","contacted","replied","call_booked","call_done","yes_in_principle","materials_sent"},0)),"Y","N")</f>
        <v>N</v>
      </c>
      <c r="ES220" s="0" t="str">
        <f aca="false">IF(COUNTIFS($AP$2:$AP$1000,AP220,$ER$2:$ER$1000,"Y")+COUNTIFS($AP$2:$AP$1000,AP220,$T$2:$T$1000,"Y")&gt;0,"Y","N")</f>
        <v>N</v>
      </c>
      <c r="ET220" s="0" t="str">
        <f aca="false">IF(AND(U220="new",T220="N",AT220="Y",AS220="",ES220="N"),"Y","N")</f>
        <v>N</v>
      </c>
      <c r="EU220" s="0" t="str">
        <f aca="false">IF(ET220&lt;&gt;"Y","N",IF(COUNTIFS($AP$2:$AP$1000,AP220,$ET$2:$ET$1000,"Y",$J$2:$J$1000,"&gt;"&amp;J220)+COUNTIFS($AP$2:$AP$1000,AP220,$ET$2:$ET$1000,"Y",$J$2:$J$1000,J220,$EW$2:$EW$1000,"&lt;"&amp;EW220)=0,"Y","N"))</f>
        <v>N</v>
      </c>
      <c r="EV220" s="0" t="str">
        <f aca="false">IF(Y220="","N",IF(Y220&lt;=10,"Y","N"))</f>
        <v>N</v>
      </c>
      <c r="EW220" s="6" t="n">
        <f aca="false">ROW()-1</f>
        <v>219</v>
      </c>
    </row>
    <row r="221" customFormat="false" ht="15" hidden="false" customHeight="false" outlineLevel="0" collapsed="false">
      <c r="A221" s="0" t="s">
        <v>3460</v>
      </c>
      <c r="B221" s="0" t="s">
        <v>3461</v>
      </c>
      <c r="H221" s="5" t="s">
        <v>158</v>
      </c>
      <c r="I221" s="5" t="s">
        <v>159</v>
      </c>
      <c r="J221" s="6" t="n">
        <f aca="false">IF(AX221="pass",ROUND(CU221+CV221+CW221+CX221+CY221+CZ221,1),0)</f>
        <v>26</v>
      </c>
      <c r="K221" s="6" t="s">
        <v>3401</v>
      </c>
      <c r="L221" s="6" t="s">
        <v>163</v>
      </c>
      <c r="R221" s="5" t="s">
        <v>162</v>
      </c>
      <c r="S221" s="6" t="s">
        <v>163</v>
      </c>
      <c r="T221" s="5" t="s">
        <v>162</v>
      </c>
      <c r="U221" s="5" t="s">
        <v>228</v>
      </c>
      <c r="V221" s="6" t="s">
        <v>3462</v>
      </c>
      <c r="W221" s="6" t="s">
        <v>166</v>
      </c>
      <c r="X221" s="6" t="s">
        <v>167</v>
      </c>
      <c r="Y221" s="0" t="str">
        <f aca="false">IF(EU221&lt;&gt;"Y","",COUNTIFS($EU$2:$EU$1000,"Y",$J$2:$J$1000,"&gt;"&amp;J221)+COUNTIFS($EU$2:$EU$1000,"Y",$J$2:$J$1000,J221,$EW$2:$EW$1000,"&lt;"&amp;EW221)+1)</f>
        <v/>
      </c>
      <c r="Z221" s="0" t="n">
        <v>220</v>
      </c>
      <c r="AA221" s="6" t="s">
        <v>162</v>
      </c>
      <c r="AD221" s="6" t="s">
        <v>158</v>
      </c>
      <c r="AH221" s="5" t="s">
        <v>158</v>
      </c>
      <c r="AI221" s="6" t="s">
        <v>1855</v>
      </c>
      <c r="AJ221" s="6" t="s">
        <v>3463</v>
      </c>
      <c r="AK221" s="6" t="s">
        <v>435</v>
      </c>
      <c r="AL221" s="6" t="s">
        <v>163</v>
      </c>
      <c r="AM221" s="6" t="s">
        <v>163</v>
      </c>
      <c r="AN221" s="6" t="s">
        <v>158</v>
      </c>
      <c r="AO221" s="6" t="s">
        <v>163</v>
      </c>
      <c r="AP221" s="6" t="s">
        <v>3460</v>
      </c>
      <c r="AQ221" s="5" t="s">
        <v>162</v>
      </c>
      <c r="AT221" s="0" t="str">
        <f aca="false">IF(AND(AX221="pass",AQ221&lt;&gt;"Y",C221&lt;&gt;"",OR(AW221&lt;&gt;"Y",AV221="Y")),"Y","N")</f>
        <v>N</v>
      </c>
      <c r="AU221" s="0" t="str">
        <f aca="false">_xlfn.TEXTJOIN("; ",TRUE(),IF(AX221&lt;&gt;"pass","gated out",""),IF(AQ221="Y","on hold: "&amp;AR221,""),IF(C221="","no contact named on an opened page",""),IF(AND(AW221="Y",AV221&lt;&gt;"Y"),"Tuesday estimate band "&amp;L221&amp;": founder's call",""))</f>
        <v>no contact named on an opened page</v>
      </c>
      <c r="AW221" s="6" t="s">
        <v>162</v>
      </c>
      <c r="AX221" s="6" t="s">
        <v>181</v>
      </c>
      <c r="AY221" s="6" t="s">
        <v>182</v>
      </c>
      <c r="AZ221" s="6" t="s">
        <v>1</v>
      </c>
      <c r="BA221" s="6" t="s">
        <v>3464</v>
      </c>
      <c r="BB221" s="6" t="s">
        <v>163</v>
      </c>
      <c r="BC221" s="6" t="s">
        <v>3465</v>
      </c>
      <c r="BD221" s="6" t="s">
        <v>163</v>
      </c>
      <c r="BF221" s="6" t="s">
        <v>163</v>
      </c>
      <c r="BG221" s="6" t="s">
        <v>163</v>
      </c>
      <c r="BH221" s="6" t="s">
        <v>2196</v>
      </c>
      <c r="BK221" s="6" t="s">
        <v>163</v>
      </c>
      <c r="BL221" s="6" t="s">
        <v>163</v>
      </c>
      <c r="BM221" s="6" t="s">
        <v>163</v>
      </c>
      <c r="BN221" s="6" t="s">
        <v>163</v>
      </c>
      <c r="BO221" s="6" t="s">
        <v>163</v>
      </c>
      <c r="BP221" s="6" t="s">
        <v>378</v>
      </c>
      <c r="BQ221" s="0" t="n">
        <v>40.740157</v>
      </c>
      <c r="BR221" s="0" t="n">
        <v>-73.993377</v>
      </c>
      <c r="BS221" s="6" t="s">
        <v>168</v>
      </c>
      <c r="BT221" s="0" t="n">
        <v>0</v>
      </c>
      <c r="BU221" s="6" t="s">
        <v>1860</v>
      </c>
      <c r="BV221" s="6" t="s">
        <v>1861</v>
      </c>
      <c r="BW221" s="6" t="s">
        <v>3462</v>
      </c>
      <c r="BX221" s="6" t="s">
        <v>3466</v>
      </c>
      <c r="BY221" s="6" t="s">
        <v>248</v>
      </c>
      <c r="CC221" s="6" t="s">
        <v>179</v>
      </c>
      <c r="CE221" s="6" t="s">
        <v>162</v>
      </c>
      <c r="CH221" s="6" t="s">
        <v>163</v>
      </c>
      <c r="CJ221" s="6" t="s">
        <v>163</v>
      </c>
      <c r="CK221" s="6" t="s">
        <v>162</v>
      </c>
      <c r="CL221" s="6" t="s">
        <v>163</v>
      </c>
      <c r="CO221" s="6" t="s">
        <v>163</v>
      </c>
      <c r="CQ221" s="6" t="s">
        <v>2197</v>
      </c>
      <c r="CR221" s="6" t="s">
        <v>206</v>
      </c>
      <c r="CS221" s="6" t="s">
        <v>163</v>
      </c>
      <c r="CT221" s="0" t="n">
        <v>26</v>
      </c>
      <c r="CU221" s="0" t="n">
        <v>7</v>
      </c>
      <c r="CV221" s="0" t="n">
        <v>8</v>
      </c>
      <c r="CW221" s="0" t="n">
        <v>6</v>
      </c>
      <c r="CX221" s="0" t="n">
        <v>5</v>
      </c>
      <c r="CY221" s="6" t="n">
        <f aca="false">IF(AH221="exact",10,IF(AH221="adjacent",5,0))</f>
        <v>0</v>
      </c>
      <c r="CZ221" s="6" t="n">
        <f aca="false">IF(R221="Y",15,0)</f>
        <v>0</v>
      </c>
      <c r="DF221" s="6" t="s">
        <v>158</v>
      </c>
      <c r="DG221" s="6" t="s">
        <v>211</v>
      </c>
      <c r="DJ221" s="6" t="s">
        <v>1606</v>
      </c>
      <c r="DK221" s="6" t="s">
        <v>3467</v>
      </c>
      <c r="DS221" s="6" t="s">
        <v>158</v>
      </c>
      <c r="DX221" s="6" t="s">
        <v>162</v>
      </c>
      <c r="ER221" s="0" t="str">
        <f aca="false">IF(ISNUMBER(MATCH(U221,{"queued","contacted","replied","call_booked","call_done","yes_in_principle","materials_sent"},0)),"Y","N")</f>
        <v>N</v>
      </c>
      <c r="ES221" s="0" t="str">
        <f aca="false">IF(COUNTIFS($AP$2:$AP$1000,AP221,$ER$2:$ER$1000,"Y")+COUNTIFS($AP$2:$AP$1000,AP221,$T$2:$T$1000,"Y")&gt;0,"Y","N")</f>
        <v>N</v>
      </c>
      <c r="ET221" s="0" t="str">
        <f aca="false">IF(AND(U221="new",T221="N",AT221="Y",AS221="",ES221="N"),"Y","N")</f>
        <v>N</v>
      </c>
      <c r="EU221" s="0" t="str">
        <f aca="false">IF(ET221&lt;&gt;"Y","N",IF(COUNTIFS($AP$2:$AP$1000,AP221,$ET$2:$ET$1000,"Y",$J$2:$J$1000,"&gt;"&amp;J221)+COUNTIFS($AP$2:$AP$1000,AP221,$ET$2:$ET$1000,"Y",$J$2:$J$1000,J221,$EW$2:$EW$1000,"&lt;"&amp;EW221)=0,"Y","N"))</f>
        <v>N</v>
      </c>
      <c r="EV221" s="0" t="str">
        <f aca="false">IF(Y221="","N",IF(Y221&lt;=10,"Y","N"))</f>
        <v>N</v>
      </c>
      <c r="EW221" s="6" t="n">
        <f aca="false">ROW()-1</f>
        <v>220</v>
      </c>
    </row>
    <row r="222" customFormat="false" ht="15" hidden="false" customHeight="false" outlineLevel="0" collapsed="false">
      <c r="A222" s="0" t="s">
        <v>3468</v>
      </c>
      <c r="B222" s="0" t="s">
        <v>3469</v>
      </c>
      <c r="H222" s="5" t="s">
        <v>158</v>
      </c>
      <c r="I222" s="5" t="s">
        <v>159</v>
      </c>
      <c r="J222" s="6" t="n">
        <f aca="false">IF(AX222="pass",ROUND(CU222+CV222+CW222+CX222+CY222+CZ222,1),0)</f>
        <v>26</v>
      </c>
      <c r="K222" s="6" t="s">
        <v>3401</v>
      </c>
      <c r="L222" s="6" t="s">
        <v>163</v>
      </c>
      <c r="R222" s="5" t="s">
        <v>162</v>
      </c>
      <c r="S222" s="6" t="s">
        <v>163</v>
      </c>
      <c r="T222" s="5" t="s">
        <v>162</v>
      </c>
      <c r="U222" s="5" t="s">
        <v>228</v>
      </c>
      <c r="V222" s="6" t="s">
        <v>3402</v>
      </c>
      <c r="W222" s="6" t="s">
        <v>166</v>
      </c>
      <c r="X222" s="6" t="s">
        <v>167</v>
      </c>
      <c r="Y222" s="0" t="str">
        <f aca="false">IF(EU222&lt;&gt;"Y","",COUNTIFS($EU$2:$EU$1000,"Y",$J$2:$J$1000,"&gt;"&amp;J222)+COUNTIFS($EU$2:$EU$1000,"Y",$J$2:$J$1000,J222,$EW$2:$EW$1000,"&lt;"&amp;EW222)+1)</f>
        <v/>
      </c>
      <c r="Z222" s="0" t="n">
        <v>221</v>
      </c>
      <c r="AA222" s="6" t="s">
        <v>162</v>
      </c>
      <c r="AD222" s="6" t="s">
        <v>158</v>
      </c>
      <c r="AH222" s="5" t="s">
        <v>158</v>
      </c>
      <c r="AI222" s="6" t="s">
        <v>1612</v>
      </c>
      <c r="AJ222" s="6" t="s">
        <v>2213</v>
      </c>
      <c r="AK222" s="6" t="s">
        <v>435</v>
      </c>
      <c r="AL222" s="6" t="s">
        <v>163</v>
      </c>
      <c r="AM222" s="6" t="s">
        <v>163</v>
      </c>
      <c r="AN222" s="6" t="s">
        <v>158</v>
      </c>
      <c r="AO222" s="6" t="s">
        <v>163</v>
      </c>
      <c r="AP222" s="6" t="s">
        <v>3468</v>
      </c>
      <c r="AQ222" s="5" t="s">
        <v>162</v>
      </c>
      <c r="AT222" s="0" t="str">
        <f aca="false">IF(AND(AX222="pass",AQ222&lt;&gt;"Y",C222&lt;&gt;"",OR(AW222&lt;&gt;"Y",AV222="Y")),"Y","N")</f>
        <v>N</v>
      </c>
      <c r="AU222" s="0" t="str">
        <f aca="false">_xlfn.TEXTJOIN("; ",TRUE(),IF(AX222&lt;&gt;"pass","gated out",""),IF(AQ222="Y","on hold: "&amp;AR222,""),IF(C222="","no contact named on an opened page",""),IF(AND(AW222="Y",AV222&lt;&gt;"Y"),"Tuesday estimate band "&amp;L222&amp;": founder's call",""))</f>
        <v>no contact named on an opened page</v>
      </c>
      <c r="AW222" s="6" t="s">
        <v>162</v>
      </c>
      <c r="AX222" s="6" t="s">
        <v>181</v>
      </c>
      <c r="AY222" s="6" t="s">
        <v>182</v>
      </c>
      <c r="AZ222" s="6" t="s">
        <v>1</v>
      </c>
      <c r="BA222" s="6" t="s">
        <v>3470</v>
      </c>
      <c r="BB222" s="6" t="s">
        <v>3471</v>
      </c>
      <c r="BC222" s="6" t="s">
        <v>3472</v>
      </c>
      <c r="BD222" s="6" t="s">
        <v>163</v>
      </c>
      <c r="BF222" s="6" t="s">
        <v>163</v>
      </c>
      <c r="BG222" s="6" t="s">
        <v>163</v>
      </c>
      <c r="BH222" s="6" t="s">
        <v>2196</v>
      </c>
      <c r="BK222" s="6" t="s">
        <v>163</v>
      </c>
      <c r="BL222" s="6" t="s">
        <v>163</v>
      </c>
      <c r="BM222" s="6" t="s">
        <v>163</v>
      </c>
      <c r="BN222" s="6" t="s">
        <v>163</v>
      </c>
      <c r="BO222" s="6" t="s">
        <v>163</v>
      </c>
      <c r="BP222" s="6" t="s">
        <v>347</v>
      </c>
      <c r="BQ222" s="0" t="n">
        <v>40.738577</v>
      </c>
      <c r="BR222" s="0" t="n">
        <v>-73.987151</v>
      </c>
      <c r="BS222" s="6" t="s">
        <v>168</v>
      </c>
      <c r="BT222" s="0" t="n">
        <v>0</v>
      </c>
      <c r="BU222" s="6" t="s">
        <v>1618</v>
      </c>
      <c r="BV222" s="6" t="s">
        <v>1619</v>
      </c>
      <c r="BW222" s="6" t="s">
        <v>3402</v>
      </c>
      <c r="BX222" s="6" t="s">
        <v>3407</v>
      </c>
      <c r="BY222" s="6" t="s">
        <v>248</v>
      </c>
      <c r="CC222" s="6" t="s">
        <v>179</v>
      </c>
      <c r="CE222" s="6" t="s">
        <v>162</v>
      </c>
      <c r="CH222" s="6" t="s">
        <v>163</v>
      </c>
      <c r="CJ222" s="6" t="s">
        <v>163</v>
      </c>
      <c r="CK222" s="6" t="s">
        <v>162</v>
      </c>
      <c r="CL222" s="6" t="s">
        <v>163</v>
      </c>
      <c r="CO222" s="6" t="s">
        <v>163</v>
      </c>
      <c r="CQ222" s="6" t="s">
        <v>2197</v>
      </c>
      <c r="CR222" s="6" t="s">
        <v>206</v>
      </c>
      <c r="CS222" s="6" t="s">
        <v>163</v>
      </c>
      <c r="CT222" s="0" t="n">
        <v>26</v>
      </c>
      <c r="CU222" s="0" t="n">
        <v>7</v>
      </c>
      <c r="CV222" s="0" t="n">
        <v>8</v>
      </c>
      <c r="CW222" s="0" t="n">
        <v>6</v>
      </c>
      <c r="CX222" s="0" t="n">
        <v>5</v>
      </c>
      <c r="CY222" s="6" t="n">
        <f aca="false">IF(AH222="exact",10,IF(AH222="adjacent",5,0))</f>
        <v>0</v>
      </c>
      <c r="CZ222" s="6" t="n">
        <f aca="false">IF(R222="Y",15,0)</f>
        <v>0</v>
      </c>
      <c r="DF222" s="6" t="s">
        <v>158</v>
      </c>
      <c r="DG222" s="6" t="s">
        <v>211</v>
      </c>
      <c r="DJ222" s="6" t="s">
        <v>3473</v>
      </c>
      <c r="DK222" s="6" t="s">
        <v>3474</v>
      </c>
      <c r="DS222" s="6" t="s">
        <v>158</v>
      </c>
      <c r="DX222" s="6" t="s">
        <v>162</v>
      </c>
      <c r="ER222" s="0" t="str">
        <f aca="false">IF(ISNUMBER(MATCH(U222,{"queued","contacted","replied","call_booked","call_done","yes_in_principle","materials_sent"},0)),"Y","N")</f>
        <v>N</v>
      </c>
      <c r="ES222" s="0" t="str">
        <f aca="false">IF(COUNTIFS($AP$2:$AP$1000,AP222,$ER$2:$ER$1000,"Y")+COUNTIFS($AP$2:$AP$1000,AP222,$T$2:$T$1000,"Y")&gt;0,"Y","N")</f>
        <v>N</v>
      </c>
      <c r="ET222" s="0" t="str">
        <f aca="false">IF(AND(U222="new",T222="N",AT222="Y",AS222="",ES222="N"),"Y","N")</f>
        <v>N</v>
      </c>
      <c r="EU222" s="0" t="str">
        <f aca="false">IF(ET222&lt;&gt;"Y","N",IF(COUNTIFS($AP$2:$AP$1000,AP222,$ET$2:$ET$1000,"Y",$J$2:$J$1000,"&gt;"&amp;J222)+COUNTIFS($AP$2:$AP$1000,AP222,$ET$2:$ET$1000,"Y",$J$2:$J$1000,J222,$EW$2:$EW$1000,"&lt;"&amp;EW222)=0,"Y","N"))</f>
        <v>N</v>
      </c>
      <c r="EV222" s="0" t="str">
        <f aca="false">IF(Y222="","N",IF(Y222&lt;=10,"Y","N"))</f>
        <v>N</v>
      </c>
      <c r="EW222" s="6" t="n">
        <f aca="false">ROW()-1</f>
        <v>221</v>
      </c>
    </row>
    <row r="223" customFormat="false" ht="15" hidden="false" customHeight="false" outlineLevel="0" collapsed="false">
      <c r="A223" s="0" t="s">
        <v>3475</v>
      </c>
      <c r="B223" s="0" t="s">
        <v>3476</v>
      </c>
      <c r="H223" s="5" t="s">
        <v>158</v>
      </c>
      <c r="I223" s="5" t="s">
        <v>159</v>
      </c>
      <c r="J223" s="6" t="n">
        <f aca="false">IF(AX223="pass",ROUND(CU223+CV223+CW223+CX223+CY223+CZ223,1),0)</f>
        <v>26</v>
      </c>
      <c r="K223" s="6" t="s">
        <v>3401</v>
      </c>
      <c r="L223" s="6" t="s">
        <v>163</v>
      </c>
      <c r="R223" s="5" t="s">
        <v>162</v>
      </c>
      <c r="S223" s="6" t="s">
        <v>163</v>
      </c>
      <c r="T223" s="5" t="s">
        <v>162</v>
      </c>
      <c r="U223" s="5" t="s">
        <v>228</v>
      </c>
      <c r="V223" s="6" t="s">
        <v>3477</v>
      </c>
      <c r="W223" s="6" t="s">
        <v>166</v>
      </c>
      <c r="X223" s="6" t="s">
        <v>167</v>
      </c>
      <c r="Y223" s="0" t="str">
        <f aca="false">IF(EU223&lt;&gt;"Y","",COUNTIFS($EU$2:$EU$1000,"Y",$J$2:$J$1000,"&gt;"&amp;J223)+COUNTIFS($EU$2:$EU$1000,"Y",$J$2:$J$1000,J223,$EW$2:$EW$1000,"&lt;"&amp;EW223)+1)</f>
        <v/>
      </c>
      <c r="Z223" s="0" t="n">
        <v>222</v>
      </c>
      <c r="AA223" s="6" t="s">
        <v>162</v>
      </c>
      <c r="AD223" s="6" t="s">
        <v>158</v>
      </c>
      <c r="AH223" s="5" t="s">
        <v>158</v>
      </c>
      <c r="AI223" s="6" t="s">
        <v>1612</v>
      </c>
      <c r="AJ223" s="6" t="s">
        <v>729</v>
      </c>
      <c r="AK223" s="6" t="s">
        <v>435</v>
      </c>
      <c r="AL223" s="6" t="s">
        <v>163</v>
      </c>
      <c r="AM223" s="6" t="s">
        <v>163</v>
      </c>
      <c r="AN223" s="6" t="s">
        <v>158</v>
      </c>
      <c r="AO223" s="6" t="s">
        <v>163</v>
      </c>
      <c r="AP223" s="6" t="s">
        <v>3475</v>
      </c>
      <c r="AQ223" s="5" t="s">
        <v>162</v>
      </c>
      <c r="AT223" s="0" t="str">
        <f aca="false">IF(AND(AX223="pass",AQ223&lt;&gt;"Y",C223&lt;&gt;"",OR(AW223&lt;&gt;"Y",AV223="Y")),"Y","N")</f>
        <v>N</v>
      </c>
      <c r="AU223" s="0" t="str">
        <f aca="false">_xlfn.TEXTJOIN("; ",TRUE(),IF(AX223&lt;&gt;"pass","gated out",""),IF(AQ223="Y","on hold: "&amp;AR223,""),IF(C223="","no contact named on an opened page",""),IF(AND(AW223="Y",AV223&lt;&gt;"Y"),"Tuesday estimate band "&amp;L223&amp;": founder's call",""))</f>
        <v>no contact named on an opened page</v>
      </c>
      <c r="AW223" s="6" t="s">
        <v>162</v>
      </c>
      <c r="AX223" s="6" t="s">
        <v>181</v>
      </c>
      <c r="AY223" s="6" t="s">
        <v>182</v>
      </c>
      <c r="AZ223" s="6" t="s">
        <v>1</v>
      </c>
      <c r="BA223" s="6" t="s">
        <v>3478</v>
      </c>
      <c r="BB223" s="6" t="s">
        <v>163</v>
      </c>
      <c r="BC223" s="6" t="s">
        <v>1737</v>
      </c>
      <c r="BD223" s="6" t="s">
        <v>163</v>
      </c>
      <c r="BF223" s="6" t="s">
        <v>163</v>
      </c>
      <c r="BG223" s="6" t="s">
        <v>163</v>
      </c>
      <c r="BH223" s="6" t="s">
        <v>2196</v>
      </c>
      <c r="BK223" s="6" t="s">
        <v>163</v>
      </c>
      <c r="BL223" s="6" t="s">
        <v>163</v>
      </c>
      <c r="BM223" s="6" t="s">
        <v>163</v>
      </c>
      <c r="BN223" s="6" t="s">
        <v>163</v>
      </c>
      <c r="BO223" s="6" t="s">
        <v>163</v>
      </c>
      <c r="BP223" s="6" t="s">
        <v>347</v>
      </c>
      <c r="BQ223" s="0" t="n">
        <v>40.738577</v>
      </c>
      <c r="BR223" s="0" t="n">
        <v>-73.987151</v>
      </c>
      <c r="BS223" s="6" t="s">
        <v>168</v>
      </c>
      <c r="BT223" s="0" t="n">
        <v>0</v>
      </c>
      <c r="BU223" s="6" t="s">
        <v>1618</v>
      </c>
      <c r="BV223" s="6" t="s">
        <v>1619</v>
      </c>
      <c r="BW223" s="6" t="s">
        <v>3477</v>
      </c>
      <c r="BX223" s="6" t="s">
        <v>3479</v>
      </c>
      <c r="BY223" s="6" t="s">
        <v>248</v>
      </c>
      <c r="CC223" s="6" t="s">
        <v>179</v>
      </c>
      <c r="CE223" s="6" t="s">
        <v>162</v>
      </c>
      <c r="CH223" s="6" t="s">
        <v>163</v>
      </c>
      <c r="CJ223" s="6" t="s">
        <v>163</v>
      </c>
      <c r="CK223" s="6" t="s">
        <v>162</v>
      </c>
      <c r="CL223" s="6" t="s">
        <v>163</v>
      </c>
      <c r="CO223" s="6" t="s">
        <v>163</v>
      </c>
      <c r="CQ223" s="6" t="s">
        <v>2197</v>
      </c>
      <c r="CR223" s="6" t="s">
        <v>206</v>
      </c>
      <c r="CS223" s="6" t="s">
        <v>163</v>
      </c>
      <c r="CT223" s="0" t="n">
        <v>26</v>
      </c>
      <c r="CU223" s="0" t="n">
        <v>7</v>
      </c>
      <c r="CV223" s="0" t="n">
        <v>8</v>
      </c>
      <c r="CW223" s="0" t="n">
        <v>6</v>
      </c>
      <c r="CX223" s="0" t="n">
        <v>5</v>
      </c>
      <c r="CY223" s="6" t="n">
        <f aca="false">IF(AH223="exact",10,IF(AH223="adjacent",5,0))</f>
        <v>0</v>
      </c>
      <c r="CZ223" s="6" t="n">
        <f aca="false">IF(R223="Y",15,0)</f>
        <v>0</v>
      </c>
      <c r="DF223" s="6" t="s">
        <v>158</v>
      </c>
      <c r="DG223" s="6" t="s">
        <v>211</v>
      </c>
      <c r="DJ223" s="6" t="s">
        <v>3473</v>
      </c>
      <c r="DK223" s="6" t="s">
        <v>3480</v>
      </c>
      <c r="DS223" s="6" t="s">
        <v>158</v>
      </c>
      <c r="DX223" s="6" t="s">
        <v>162</v>
      </c>
      <c r="ER223" s="0" t="str">
        <f aca="false">IF(ISNUMBER(MATCH(U223,{"queued","contacted","replied","call_booked","call_done","yes_in_principle","materials_sent"},0)),"Y","N")</f>
        <v>N</v>
      </c>
      <c r="ES223" s="0" t="str">
        <f aca="false">IF(COUNTIFS($AP$2:$AP$1000,AP223,$ER$2:$ER$1000,"Y")+COUNTIFS($AP$2:$AP$1000,AP223,$T$2:$T$1000,"Y")&gt;0,"Y","N")</f>
        <v>N</v>
      </c>
      <c r="ET223" s="0" t="str">
        <f aca="false">IF(AND(U223="new",T223="N",AT223="Y",AS223="",ES223="N"),"Y","N")</f>
        <v>N</v>
      </c>
      <c r="EU223" s="0" t="str">
        <f aca="false">IF(ET223&lt;&gt;"Y","N",IF(COUNTIFS($AP$2:$AP$1000,AP223,$ET$2:$ET$1000,"Y",$J$2:$J$1000,"&gt;"&amp;J223)+COUNTIFS($AP$2:$AP$1000,AP223,$ET$2:$ET$1000,"Y",$J$2:$J$1000,J223,$EW$2:$EW$1000,"&lt;"&amp;EW223)=0,"Y","N"))</f>
        <v>N</v>
      </c>
      <c r="EV223" s="0" t="str">
        <f aca="false">IF(Y223="","N",IF(Y223&lt;=10,"Y","N"))</f>
        <v>N</v>
      </c>
      <c r="EW223" s="6" t="n">
        <f aca="false">ROW()-1</f>
        <v>222</v>
      </c>
    </row>
    <row r="224" customFormat="false" ht="15" hidden="false" customHeight="false" outlineLevel="0" collapsed="false">
      <c r="A224" s="0" t="s">
        <v>3481</v>
      </c>
      <c r="B224" s="0" t="s">
        <v>3482</v>
      </c>
      <c r="H224" s="5" t="s">
        <v>158</v>
      </c>
      <c r="I224" s="5" t="s">
        <v>159</v>
      </c>
      <c r="J224" s="6" t="n">
        <f aca="false">IF(AX224="pass",ROUND(CU224+CV224+CW224+CX224+CY224+CZ224,1),0)</f>
        <v>26</v>
      </c>
      <c r="K224" s="6" t="s">
        <v>3401</v>
      </c>
      <c r="L224" s="6" t="s">
        <v>163</v>
      </c>
      <c r="R224" s="5" t="s">
        <v>162</v>
      </c>
      <c r="S224" s="6" t="s">
        <v>163</v>
      </c>
      <c r="T224" s="5" t="s">
        <v>162</v>
      </c>
      <c r="U224" s="5" t="s">
        <v>228</v>
      </c>
      <c r="V224" s="6" t="s">
        <v>3483</v>
      </c>
      <c r="W224" s="6" t="s">
        <v>166</v>
      </c>
      <c r="X224" s="6" t="s">
        <v>167</v>
      </c>
      <c r="Y224" s="0" t="str">
        <f aca="false">IF(EU224&lt;&gt;"Y","",COUNTIFS($EU$2:$EU$1000,"Y",$J$2:$J$1000,"&gt;"&amp;J224)+COUNTIFS($EU$2:$EU$1000,"Y",$J$2:$J$1000,J224,$EW$2:$EW$1000,"&lt;"&amp;EW224)+1)</f>
        <v/>
      </c>
      <c r="Z224" s="0" t="n">
        <v>223</v>
      </c>
      <c r="AA224" s="6" t="s">
        <v>162</v>
      </c>
      <c r="AD224" s="6" t="s">
        <v>158</v>
      </c>
      <c r="AH224" s="5" t="s">
        <v>158</v>
      </c>
      <c r="AI224" s="6" t="s">
        <v>341</v>
      </c>
      <c r="AJ224" s="6" t="s">
        <v>1752</v>
      </c>
      <c r="AK224" s="6" t="s">
        <v>435</v>
      </c>
      <c r="AL224" s="6" t="s">
        <v>163</v>
      </c>
      <c r="AM224" s="6" t="s">
        <v>163</v>
      </c>
      <c r="AN224" s="6" t="s">
        <v>158</v>
      </c>
      <c r="AO224" s="6" t="s">
        <v>163</v>
      </c>
      <c r="AP224" s="6" t="s">
        <v>3481</v>
      </c>
      <c r="AQ224" s="5" t="s">
        <v>162</v>
      </c>
      <c r="AT224" s="0" t="str">
        <f aca="false">IF(AND(AX224="pass",AQ224&lt;&gt;"Y",C224&lt;&gt;"",OR(AW224&lt;&gt;"Y",AV224="Y")),"Y","N")</f>
        <v>N</v>
      </c>
      <c r="AU224" s="0" t="str">
        <f aca="false">_xlfn.TEXTJOIN("; ",TRUE(),IF(AX224&lt;&gt;"pass","gated out",""),IF(AQ224="Y","on hold: "&amp;AR224,""),IF(C224="","no contact named on an opened page",""),IF(AND(AW224="Y",AV224&lt;&gt;"Y"),"Tuesday estimate band "&amp;L224&amp;": founder's call",""))</f>
        <v>no contact named on an opened page</v>
      </c>
      <c r="AW224" s="6" t="s">
        <v>162</v>
      </c>
      <c r="AX224" s="6" t="s">
        <v>181</v>
      </c>
      <c r="AY224" s="6" t="s">
        <v>182</v>
      </c>
      <c r="AZ224" s="6" t="s">
        <v>1</v>
      </c>
      <c r="BA224" s="6" t="s">
        <v>3484</v>
      </c>
      <c r="BB224" s="6" t="s">
        <v>3485</v>
      </c>
      <c r="BC224" s="6" t="s">
        <v>3486</v>
      </c>
      <c r="BD224" s="6" t="s">
        <v>163</v>
      </c>
      <c r="BF224" s="6" t="s">
        <v>163</v>
      </c>
      <c r="BG224" s="6" t="s">
        <v>163</v>
      </c>
      <c r="BH224" s="6" t="s">
        <v>2196</v>
      </c>
      <c r="BK224" s="6" t="s">
        <v>163</v>
      </c>
      <c r="BL224" s="6" t="s">
        <v>163</v>
      </c>
      <c r="BM224" s="6" t="s">
        <v>163</v>
      </c>
      <c r="BN224" s="6" t="s">
        <v>163</v>
      </c>
      <c r="BO224" s="6" t="s">
        <v>163</v>
      </c>
      <c r="BP224" s="6" t="s">
        <v>347</v>
      </c>
      <c r="BQ224" s="0" t="n">
        <v>40.741838</v>
      </c>
      <c r="BR224" s="0" t="n">
        <v>-73.992892</v>
      </c>
      <c r="BS224" s="6" t="s">
        <v>168</v>
      </c>
      <c r="BT224" s="0" t="n">
        <v>0</v>
      </c>
      <c r="BU224" s="6" t="s">
        <v>348</v>
      </c>
      <c r="BV224" s="6" t="s">
        <v>349</v>
      </c>
      <c r="BW224" s="6" t="s">
        <v>3483</v>
      </c>
      <c r="BX224" s="6" t="s">
        <v>3487</v>
      </c>
      <c r="BY224" s="6" t="s">
        <v>248</v>
      </c>
      <c r="CC224" s="6" t="s">
        <v>179</v>
      </c>
      <c r="CE224" s="6" t="s">
        <v>162</v>
      </c>
      <c r="CH224" s="6" t="s">
        <v>163</v>
      </c>
      <c r="CJ224" s="6" t="s">
        <v>163</v>
      </c>
      <c r="CK224" s="6" t="s">
        <v>162</v>
      </c>
      <c r="CL224" s="6" t="s">
        <v>163</v>
      </c>
      <c r="CO224" s="6" t="s">
        <v>163</v>
      </c>
      <c r="CQ224" s="6" t="s">
        <v>2197</v>
      </c>
      <c r="CR224" s="6" t="s">
        <v>206</v>
      </c>
      <c r="CS224" s="6" t="s">
        <v>163</v>
      </c>
      <c r="CT224" s="0" t="n">
        <v>26</v>
      </c>
      <c r="CU224" s="0" t="n">
        <v>7</v>
      </c>
      <c r="CV224" s="0" t="n">
        <v>8</v>
      </c>
      <c r="CW224" s="0" t="n">
        <v>6</v>
      </c>
      <c r="CX224" s="0" t="n">
        <v>5</v>
      </c>
      <c r="CY224" s="6" t="n">
        <f aca="false">IF(AH224="exact",10,IF(AH224="adjacent",5,0))</f>
        <v>0</v>
      </c>
      <c r="CZ224" s="6" t="n">
        <f aca="false">IF(R224="Y",15,0)</f>
        <v>0</v>
      </c>
      <c r="DF224" s="6" t="s">
        <v>158</v>
      </c>
      <c r="DG224" s="6" t="s">
        <v>211</v>
      </c>
      <c r="DJ224" s="6" t="s">
        <v>355</v>
      </c>
      <c r="DK224" s="6" t="s">
        <v>3488</v>
      </c>
      <c r="DS224" s="6" t="s">
        <v>158</v>
      </c>
      <c r="DX224" s="6" t="s">
        <v>162</v>
      </c>
      <c r="ER224" s="0" t="str">
        <f aca="false">IF(ISNUMBER(MATCH(U224,{"queued","contacted","replied","call_booked","call_done","yes_in_principle","materials_sent"},0)),"Y","N")</f>
        <v>N</v>
      </c>
      <c r="ES224" s="0" t="str">
        <f aca="false">IF(COUNTIFS($AP$2:$AP$1000,AP224,$ER$2:$ER$1000,"Y")+COUNTIFS($AP$2:$AP$1000,AP224,$T$2:$T$1000,"Y")&gt;0,"Y","N")</f>
        <v>N</v>
      </c>
      <c r="ET224" s="0" t="str">
        <f aca="false">IF(AND(U224="new",T224="N",AT224="Y",AS224="",ES224="N"),"Y","N")</f>
        <v>N</v>
      </c>
      <c r="EU224" s="0" t="str">
        <f aca="false">IF(ET224&lt;&gt;"Y","N",IF(COUNTIFS($AP$2:$AP$1000,AP224,$ET$2:$ET$1000,"Y",$J$2:$J$1000,"&gt;"&amp;J224)+COUNTIFS($AP$2:$AP$1000,AP224,$ET$2:$ET$1000,"Y",$J$2:$J$1000,J224,$EW$2:$EW$1000,"&lt;"&amp;EW224)=0,"Y","N"))</f>
        <v>N</v>
      </c>
      <c r="EV224" s="0" t="str">
        <f aca="false">IF(Y224="","N",IF(Y224&lt;=10,"Y","N"))</f>
        <v>N</v>
      </c>
      <c r="EW224" s="6" t="n">
        <f aca="false">ROW()-1</f>
        <v>223</v>
      </c>
    </row>
    <row r="225" customFormat="false" ht="15" hidden="false" customHeight="false" outlineLevel="0" collapsed="false">
      <c r="A225" s="0" t="s">
        <v>3489</v>
      </c>
      <c r="B225" s="0" t="s">
        <v>3490</v>
      </c>
      <c r="H225" s="5" t="s">
        <v>158</v>
      </c>
      <c r="I225" s="5" t="s">
        <v>159</v>
      </c>
      <c r="J225" s="6" t="n">
        <f aca="false">IF(AX225="pass",ROUND(CU225+CV225+CW225+CX225+CY225+CZ225,1),0)</f>
        <v>26</v>
      </c>
      <c r="K225" s="6" t="s">
        <v>3401</v>
      </c>
      <c r="L225" s="6" t="s">
        <v>163</v>
      </c>
      <c r="R225" s="5" t="s">
        <v>162</v>
      </c>
      <c r="S225" s="6" t="s">
        <v>163</v>
      </c>
      <c r="T225" s="5" t="s">
        <v>162</v>
      </c>
      <c r="U225" s="5" t="s">
        <v>228</v>
      </c>
      <c r="V225" s="6" t="s">
        <v>3491</v>
      </c>
      <c r="W225" s="6" t="s">
        <v>166</v>
      </c>
      <c r="X225" s="6" t="s">
        <v>167</v>
      </c>
      <c r="Y225" s="0" t="str">
        <f aca="false">IF(EU225&lt;&gt;"Y","",COUNTIFS($EU$2:$EU$1000,"Y",$J$2:$J$1000,"&gt;"&amp;J225)+COUNTIFS($EU$2:$EU$1000,"Y",$J$2:$J$1000,J225,$EW$2:$EW$1000,"&lt;"&amp;EW225)+1)</f>
        <v/>
      </c>
      <c r="Z225" s="0" t="n">
        <v>224</v>
      </c>
      <c r="AA225" s="6" t="s">
        <v>162</v>
      </c>
      <c r="AD225" s="6" t="s">
        <v>158</v>
      </c>
      <c r="AH225" s="5" t="s">
        <v>158</v>
      </c>
      <c r="AI225" s="6" t="s">
        <v>2051</v>
      </c>
      <c r="AJ225" s="6" t="s">
        <v>434</v>
      </c>
      <c r="AK225" s="6" t="s">
        <v>435</v>
      </c>
      <c r="AL225" s="6" t="s">
        <v>163</v>
      </c>
      <c r="AM225" s="6" t="s">
        <v>163</v>
      </c>
      <c r="AN225" s="6" t="s">
        <v>158</v>
      </c>
      <c r="AO225" s="6" t="s">
        <v>163</v>
      </c>
      <c r="AP225" s="6" t="s">
        <v>3489</v>
      </c>
      <c r="AQ225" s="5" t="s">
        <v>162</v>
      </c>
      <c r="AT225" s="0" t="str">
        <f aca="false">IF(AND(AX225="pass",AQ225&lt;&gt;"Y",C225&lt;&gt;"",OR(AW225&lt;&gt;"Y",AV225="Y")),"Y","N")</f>
        <v>N</v>
      </c>
      <c r="AU225" s="0" t="str">
        <f aca="false">_xlfn.TEXTJOIN("; ",TRUE(),IF(AX225&lt;&gt;"pass","gated out",""),IF(AQ225="Y","on hold: "&amp;AR225,""),IF(C225="","no contact named on an opened page",""),IF(AND(AW225="Y",AV225&lt;&gt;"Y"),"Tuesday estimate band "&amp;L225&amp;": founder's call",""))</f>
        <v>no contact named on an opened page</v>
      </c>
      <c r="AW225" s="6" t="s">
        <v>162</v>
      </c>
      <c r="AX225" s="6" t="s">
        <v>181</v>
      </c>
      <c r="AY225" s="6" t="s">
        <v>182</v>
      </c>
      <c r="AZ225" s="6" t="s">
        <v>1</v>
      </c>
      <c r="BA225" s="6" t="s">
        <v>3492</v>
      </c>
      <c r="BB225" s="6" t="s">
        <v>3493</v>
      </c>
      <c r="BC225" s="6" t="s">
        <v>3494</v>
      </c>
      <c r="BD225" s="6" t="s">
        <v>163</v>
      </c>
      <c r="BF225" s="6" t="s">
        <v>163</v>
      </c>
      <c r="BG225" s="6" t="s">
        <v>163</v>
      </c>
      <c r="BH225" s="6" t="s">
        <v>2196</v>
      </c>
      <c r="BK225" s="6" t="s">
        <v>163</v>
      </c>
      <c r="BL225" s="6" t="s">
        <v>163</v>
      </c>
      <c r="BM225" s="6" t="s">
        <v>163</v>
      </c>
      <c r="BN225" s="6" t="s">
        <v>163</v>
      </c>
      <c r="BO225" s="6" t="s">
        <v>163</v>
      </c>
      <c r="BP225" s="6" t="s">
        <v>347</v>
      </c>
      <c r="BQ225" s="0" t="n">
        <v>40.74118</v>
      </c>
      <c r="BR225" s="0" t="n">
        <v>-73.99129</v>
      </c>
      <c r="BS225" s="6" t="s">
        <v>168</v>
      </c>
      <c r="BT225" s="0" t="n">
        <v>0</v>
      </c>
      <c r="BU225" s="6" t="s">
        <v>2058</v>
      </c>
      <c r="BV225" s="6" t="s">
        <v>2059</v>
      </c>
      <c r="BW225" s="6" t="s">
        <v>3491</v>
      </c>
      <c r="BX225" s="6" t="s">
        <v>3495</v>
      </c>
      <c r="BY225" s="6" t="s">
        <v>248</v>
      </c>
      <c r="CC225" s="6" t="s">
        <v>179</v>
      </c>
      <c r="CE225" s="6" t="s">
        <v>162</v>
      </c>
      <c r="CH225" s="6" t="s">
        <v>163</v>
      </c>
      <c r="CJ225" s="6" t="s">
        <v>163</v>
      </c>
      <c r="CK225" s="6" t="s">
        <v>162</v>
      </c>
      <c r="CL225" s="6" t="s">
        <v>163</v>
      </c>
      <c r="CO225" s="6" t="s">
        <v>163</v>
      </c>
      <c r="CQ225" s="6" t="s">
        <v>2197</v>
      </c>
      <c r="CR225" s="6" t="s">
        <v>206</v>
      </c>
      <c r="CS225" s="6" t="s">
        <v>163</v>
      </c>
      <c r="CT225" s="0" t="n">
        <v>26</v>
      </c>
      <c r="CU225" s="0" t="n">
        <v>7</v>
      </c>
      <c r="CV225" s="0" t="n">
        <v>8</v>
      </c>
      <c r="CW225" s="0" t="n">
        <v>6</v>
      </c>
      <c r="CX225" s="0" t="n">
        <v>5</v>
      </c>
      <c r="CY225" s="6" t="n">
        <f aca="false">IF(AH225="exact",10,IF(AH225="adjacent",5,0))</f>
        <v>0</v>
      </c>
      <c r="CZ225" s="6" t="n">
        <f aca="false">IF(R225="Y",15,0)</f>
        <v>0</v>
      </c>
      <c r="DF225" s="6" t="s">
        <v>158</v>
      </c>
      <c r="DG225" s="6" t="s">
        <v>211</v>
      </c>
      <c r="DJ225" s="6" t="s">
        <v>3496</v>
      </c>
      <c r="DK225" s="6" t="s">
        <v>3497</v>
      </c>
      <c r="DS225" s="6" t="s">
        <v>158</v>
      </c>
      <c r="DX225" s="6" t="s">
        <v>162</v>
      </c>
      <c r="ER225" s="0" t="str">
        <f aca="false">IF(ISNUMBER(MATCH(U225,{"queued","contacted","replied","call_booked","call_done","yes_in_principle","materials_sent"},0)),"Y","N")</f>
        <v>N</v>
      </c>
      <c r="ES225" s="0" t="str">
        <f aca="false">IF(COUNTIFS($AP$2:$AP$1000,AP225,$ER$2:$ER$1000,"Y")+COUNTIFS($AP$2:$AP$1000,AP225,$T$2:$T$1000,"Y")&gt;0,"Y","N")</f>
        <v>N</v>
      </c>
      <c r="ET225" s="0" t="str">
        <f aca="false">IF(AND(U225="new",T225="N",AT225="Y",AS225="",ES225="N"),"Y","N")</f>
        <v>N</v>
      </c>
      <c r="EU225" s="0" t="str">
        <f aca="false">IF(ET225&lt;&gt;"Y","N",IF(COUNTIFS($AP$2:$AP$1000,AP225,$ET$2:$ET$1000,"Y",$J$2:$J$1000,"&gt;"&amp;J225)+COUNTIFS($AP$2:$AP$1000,AP225,$ET$2:$ET$1000,"Y",$J$2:$J$1000,J225,$EW$2:$EW$1000,"&lt;"&amp;EW225)=0,"Y","N"))</f>
        <v>N</v>
      </c>
      <c r="EV225" s="0" t="str">
        <f aca="false">IF(Y225="","N",IF(Y225&lt;=10,"Y","N"))</f>
        <v>N</v>
      </c>
      <c r="EW225" s="6" t="n">
        <f aca="false">ROW()-1</f>
        <v>224</v>
      </c>
    </row>
    <row r="226" customFormat="false" ht="15" hidden="false" customHeight="false" outlineLevel="0" collapsed="false">
      <c r="A226" s="0" t="s">
        <v>3498</v>
      </c>
      <c r="B226" s="0" t="s">
        <v>3499</v>
      </c>
      <c r="H226" s="5" t="s">
        <v>158</v>
      </c>
      <c r="I226" s="5" t="s">
        <v>159</v>
      </c>
      <c r="J226" s="6" t="n">
        <f aca="false">IF(AX226="pass",ROUND(CU226+CV226+CW226+CX226+CY226+CZ226,1),0)</f>
        <v>25</v>
      </c>
      <c r="K226" s="6" t="s">
        <v>3500</v>
      </c>
      <c r="L226" s="6" t="s">
        <v>163</v>
      </c>
      <c r="O226" s="6" t="s">
        <v>3501</v>
      </c>
      <c r="P226" s="6" t="s">
        <v>3502</v>
      </c>
      <c r="Q226" s="6" t="s">
        <v>3503</v>
      </c>
      <c r="R226" s="5" t="s">
        <v>162</v>
      </c>
      <c r="S226" s="6" t="s">
        <v>163</v>
      </c>
      <c r="T226" s="5" t="s">
        <v>162</v>
      </c>
      <c r="U226" s="5" t="s">
        <v>228</v>
      </c>
      <c r="V226" s="6" t="s">
        <v>3502</v>
      </c>
      <c r="W226" s="6" t="s">
        <v>166</v>
      </c>
      <c r="X226" s="6" t="s">
        <v>167</v>
      </c>
      <c r="Y226" s="0" t="str">
        <f aca="false">IF(EU226&lt;&gt;"Y","",COUNTIFS($EU$2:$EU$1000,"Y",$J$2:$J$1000,"&gt;"&amp;J226)+COUNTIFS($EU$2:$EU$1000,"Y",$J$2:$J$1000,J226,$EW$2:$EW$1000,"&lt;"&amp;EW226)+1)</f>
        <v/>
      </c>
      <c r="Z226" s="0" t="n">
        <v>225</v>
      </c>
      <c r="AA226" s="6" t="s">
        <v>162</v>
      </c>
      <c r="AD226" s="6" t="s">
        <v>158</v>
      </c>
      <c r="AH226" s="5" t="s">
        <v>158</v>
      </c>
      <c r="AI226" s="6" t="s">
        <v>2336</v>
      </c>
      <c r="AJ226" s="6" t="s">
        <v>3127</v>
      </c>
      <c r="AK226" s="6" t="s">
        <v>435</v>
      </c>
      <c r="AL226" s="6" t="s">
        <v>163</v>
      </c>
      <c r="AM226" s="6" t="s">
        <v>163</v>
      </c>
      <c r="AN226" s="6" t="s">
        <v>158</v>
      </c>
      <c r="AO226" s="6" t="s">
        <v>163</v>
      </c>
      <c r="AP226" s="6" t="s">
        <v>3498</v>
      </c>
      <c r="AQ226" s="5" t="s">
        <v>162</v>
      </c>
      <c r="AT226" s="0" t="str">
        <f aca="false">IF(AND(AX226="pass",AQ226&lt;&gt;"Y",C226&lt;&gt;"",OR(AW226&lt;&gt;"Y",AV226="Y")),"Y","N")</f>
        <v>N</v>
      </c>
      <c r="AU226" s="0" t="str">
        <f aca="false">_xlfn.TEXTJOIN("; ",TRUE(),IF(AX226&lt;&gt;"pass","gated out",""),IF(AQ226="Y","on hold: "&amp;AR226,""),IF(C226="","no contact named on an opened page",""),IF(AND(AW226="Y",AV226&lt;&gt;"Y"),"Tuesday estimate band "&amp;L226&amp;": founder's call",""))</f>
        <v>no contact named on an opened page</v>
      </c>
      <c r="AW226" s="6" t="s">
        <v>162</v>
      </c>
      <c r="AX226" s="6" t="s">
        <v>181</v>
      </c>
      <c r="AY226" s="6" t="s">
        <v>182</v>
      </c>
      <c r="AZ226" s="6" t="s">
        <v>1</v>
      </c>
      <c r="BA226" s="6" t="s">
        <v>3504</v>
      </c>
      <c r="BB226" s="6" t="s">
        <v>3505</v>
      </c>
      <c r="BC226" s="6" t="s">
        <v>1194</v>
      </c>
      <c r="BD226" s="6" t="s">
        <v>163</v>
      </c>
      <c r="BF226" s="6" t="s">
        <v>163</v>
      </c>
      <c r="BG226" s="6" t="s">
        <v>163</v>
      </c>
      <c r="BH226" s="6" t="s">
        <v>2196</v>
      </c>
      <c r="BK226" s="6" t="s">
        <v>163</v>
      </c>
      <c r="BL226" s="6" t="s">
        <v>163</v>
      </c>
      <c r="BM226" s="6" t="s">
        <v>163</v>
      </c>
      <c r="BN226" s="6" t="s">
        <v>3506</v>
      </c>
      <c r="BO226" s="6" t="s">
        <v>163</v>
      </c>
      <c r="BP226" s="6" t="s">
        <v>244</v>
      </c>
      <c r="BQ226" s="0" t="n">
        <v>40.7425</v>
      </c>
      <c r="BR226" s="0" t="n">
        <v>-73.984446</v>
      </c>
      <c r="BS226" s="6" t="s">
        <v>168</v>
      </c>
      <c r="BT226" s="0" t="n">
        <v>0</v>
      </c>
      <c r="BU226" s="6" t="s">
        <v>2341</v>
      </c>
      <c r="BV226" s="6" t="s">
        <v>2342</v>
      </c>
      <c r="BW226" s="6" t="s">
        <v>3502</v>
      </c>
      <c r="BX226" s="6" t="s">
        <v>3503</v>
      </c>
      <c r="BY226" s="6" t="s">
        <v>248</v>
      </c>
      <c r="CC226" s="6" t="s">
        <v>739</v>
      </c>
      <c r="CE226" s="6" t="s">
        <v>162</v>
      </c>
      <c r="CH226" s="6" t="s">
        <v>163</v>
      </c>
      <c r="CJ226" s="6" t="s">
        <v>163</v>
      </c>
      <c r="CK226" s="6" t="s">
        <v>162</v>
      </c>
      <c r="CL226" s="6" t="s">
        <v>163</v>
      </c>
      <c r="CO226" s="6" t="s">
        <v>163</v>
      </c>
      <c r="CQ226" s="6" t="s">
        <v>2197</v>
      </c>
      <c r="CR226" s="6" t="s">
        <v>206</v>
      </c>
      <c r="CS226" s="6" t="s">
        <v>163</v>
      </c>
      <c r="CT226" s="0" t="n">
        <v>25</v>
      </c>
      <c r="CU226" s="0" t="n">
        <v>7</v>
      </c>
      <c r="CV226" s="0" t="n">
        <v>4</v>
      </c>
      <c r="CW226" s="0" t="n">
        <v>6</v>
      </c>
      <c r="CX226" s="0" t="n">
        <v>8</v>
      </c>
      <c r="CY226" s="6" t="n">
        <f aca="false">IF(AH226="exact",10,IF(AH226="adjacent",5,0))</f>
        <v>0</v>
      </c>
      <c r="CZ226" s="6" t="n">
        <f aca="false">IF(R226="Y",15,0)</f>
        <v>0</v>
      </c>
      <c r="DF226" s="6" t="s">
        <v>158</v>
      </c>
      <c r="DG226" s="6" t="s">
        <v>211</v>
      </c>
      <c r="DJ226" s="6" t="s">
        <v>3507</v>
      </c>
      <c r="DK226" s="6" t="s">
        <v>3508</v>
      </c>
      <c r="DS226" s="6" t="s">
        <v>158</v>
      </c>
      <c r="DX226" s="6" t="s">
        <v>162</v>
      </c>
      <c r="ER226" s="0" t="str">
        <f aca="false">IF(ISNUMBER(MATCH(U226,{"queued","contacted","replied","call_booked","call_done","yes_in_principle","materials_sent"},0)),"Y","N")</f>
        <v>N</v>
      </c>
      <c r="ES226" s="0" t="str">
        <f aca="false">IF(COUNTIFS($AP$2:$AP$1000,AP226,$ER$2:$ER$1000,"Y")+COUNTIFS($AP$2:$AP$1000,AP226,$T$2:$T$1000,"Y")&gt;0,"Y","N")</f>
        <v>N</v>
      </c>
      <c r="ET226" s="0" t="str">
        <f aca="false">IF(AND(U226="new",T226="N",AT226="Y",AS226="",ES226="N"),"Y","N")</f>
        <v>N</v>
      </c>
      <c r="EU226" s="0" t="str">
        <f aca="false">IF(ET226&lt;&gt;"Y","N",IF(COUNTIFS($AP$2:$AP$1000,AP226,$ET$2:$ET$1000,"Y",$J$2:$J$1000,"&gt;"&amp;J226)+COUNTIFS($AP$2:$AP$1000,AP226,$ET$2:$ET$1000,"Y",$J$2:$J$1000,J226,$EW$2:$EW$1000,"&lt;"&amp;EW226)=0,"Y","N"))</f>
        <v>N</v>
      </c>
      <c r="EV226" s="0" t="str">
        <f aca="false">IF(Y226="","N",IF(Y226&lt;=10,"Y","N"))</f>
        <v>N</v>
      </c>
      <c r="EW226" s="6" t="n">
        <f aca="false">ROW()-1</f>
        <v>225</v>
      </c>
    </row>
    <row r="227" customFormat="false" ht="15" hidden="false" customHeight="false" outlineLevel="0" collapsed="false">
      <c r="A227" s="0" t="s">
        <v>3509</v>
      </c>
      <c r="B227" s="0" t="s">
        <v>3510</v>
      </c>
      <c r="H227" s="5" t="s">
        <v>158</v>
      </c>
      <c r="I227" s="5" t="s">
        <v>159</v>
      </c>
      <c r="J227" s="6" t="n">
        <f aca="false">IF(AX227="pass",ROUND(CU227+CV227+CW227+CX227+CY227+CZ227,1),0)</f>
        <v>23</v>
      </c>
      <c r="K227" s="6" t="s">
        <v>3511</v>
      </c>
      <c r="L227" s="6" t="s">
        <v>163</v>
      </c>
      <c r="R227" s="5" t="s">
        <v>162</v>
      </c>
      <c r="S227" s="6" t="s">
        <v>163</v>
      </c>
      <c r="T227" s="5" t="s">
        <v>162</v>
      </c>
      <c r="U227" s="5" t="s">
        <v>228</v>
      </c>
      <c r="V227" s="6" t="s">
        <v>3512</v>
      </c>
      <c r="W227" s="6" t="s">
        <v>166</v>
      </c>
      <c r="X227" s="6" t="s">
        <v>167</v>
      </c>
      <c r="Y227" s="0" t="str">
        <f aca="false">IF(EU227&lt;&gt;"Y","",COUNTIFS($EU$2:$EU$1000,"Y",$J$2:$J$1000,"&gt;"&amp;J227)+COUNTIFS($EU$2:$EU$1000,"Y",$J$2:$J$1000,J227,$EW$2:$EW$1000,"&lt;"&amp;EW227)+1)</f>
        <v/>
      </c>
      <c r="Z227" s="0" t="n">
        <v>226</v>
      </c>
      <c r="AA227" s="6" t="s">
        <v>162</v>
      </c>
      <c r="AD227" s="6" t="s">
        <v>158</v>
      </c>
      <c r="AH227" s="5" t="s">
        <v>158</v>
      </c>
      <c r="AI227" s="6" t="s">
        <v>754</v>
      </c>
      <c r="AJ227" s="6" t="s">
        <v>311</v>
      </c>
      <c r="AK227" s="6" t="s">
        <v>890</v>
      </c>
      <c r="AL227" s="6" t="s">
        <v>163</v>
      </c>
      <c r="AM227" s="6" t="s">
        <v>163</v>
      </c>
      <c r="AN227" s="6" t="s">
        <v>158</v>
      </c>
      <c r="AO227" s="6" t="s">
        <v>163</v>
      </c>
      <c r="AP227" s="6" t="s">
        <v>3509</v>
      </c>
      <c r="AQ227" s="5" t="s">
        <v>168</v>
      </c>
      <c r="AR227" s="6" t="s">
        <v>891</v>
      </c>
      <c r="AT227" s="0" t="str">
        <f aca="false">IF(AND(AX227="pass",AQ227&lt;&gt;"Y",C227&lt;&gt;"",OR(AW227&lt;&gt;"Y",AV227="Y")),"Y","N")</f>
        <v>N</v>
      </c>
      <c r="AU227" s="0" t="str">
        <f aca="false">_xlfn.TEXTJOIN("; ",TRUE(),IF(AX227&lt;&gt;"pass","gated out",""),IF(AQ227="Y","on hold: "&amp;AR227,""),IF(C227="","no contact named on an opened page",""),IF(AND(AW227="Y",AV227&lt;&gt;"Y"),"Tuesday estimate band "&amp;L227&amp;": founder's call",""))</f>
        <v>on hold: lease signed, move not confirmed: check the lobby directory before outreach (B); no contact named on an opened page</v>
      </c>
      <c r="AW227" s="6" t="s">
        <v>162</v>
      </c>
      <c r="AX227" s="6" t="s">
        <v>181</v>
      </c>
      <c r="AY227" s="6" t="s">
        <v>182</v>
      </c>
      <c r="AZ227" s="6" t="s">
        <v>1</v>
      </c>
      <c r="BA227" s="6" t="s">
        <v>3513</v>
      </c>
      <c r="BB227" s="6" t="s">
        <v>3514</v>
      </c>
      <c r="BC227" s="6" t="s">
        <v>2128</v>
      </c>
      <c r="BD227" s="6" t="s">
        <v>163</v>
      </c>
      <c r="BF227" s="6" t="s">
        <v>163</v>
      </c>
      <c r="BG227" s="6" t="s">
        <v>163</v>
      </c>
      <c r="BH227" s="6" t="s">
        <v>2196</v>
      </c>
      <c r="BK227" s="6" t="s">
        <v>163</v>
      </c>
      <c r="BL227" s="6" t="s">
        <v>163</v>
      </c>
      <c r="BM227" s="6" t="s">
        <v>163</v>
      </c>
      <c r="BN227" s="6" t="s">
        <v>163</v>
      </c>
      <c r="BO227" s="6" t="s">
        <v>163</v>
      </c>
      <c r="BP227" s="6" t="s">
        <v>347</v>
      </c>
      <c r="BQ227" s="0" t="n">
        <v>40.743309</v>
      </c>
      <c r="BR227" s="0" t="n">
        <v>-73.987329</v>
      </c>
      <c r="BS227" s="6" t="s">
        <v>168</v>
      </c>
      <c r="BT227" s="0" t="n">
        <v>0</v>
      </c>
      <c r="BU227" s="6" t="s">
        <v>764</v>
      </c>
      <c r="BV227" s="6" t="s">
        <v>765</v>
      </c>
      <c r="BW227" s="6" t="s">
        <v>3512</v>
      </c>
      <c r="BX227" s="6" t="s">
        <v>3515</v>
      </c>
      <c r="BY227" s="6" t="s">
        <v>248</v>
      </c>
      <c r="CC227" s="6" t="s">
        <v>179</v>
      </c>
      <c r="CD227" s="6" t="s">
        <v>163</v>
      </c>
      <c r="CE227" s="6" t="s">
        <v>162</v>
      </c>
      <c r="CH227" s="6" t="s">
        <v>163</v>
      </c>
      <c r="CJ227" s="6" t="s">
        <v>163</v>
      </c>
      <c r="CK227" s="6" t="s">
        <v>162</v>
      </c>
      <c r="CL227" s="6" t="s">
        <v>163</v>
      </c>
      <c r="CO227" s="6" t="s">
        <v>163</v>
      </c>
      <c r="CQ227" s="6" t="s">
        <v>2197</v>
      </c>
      <c r="CR227" s="6" t="s">
        <v>206</v>
      </c>
      <c r="CS227" s="6" t="s">
        <v>163</v>
      </c>
      <c r="CT227" s="0" t="n">
        <v>23</v>
      </c>
      <c r="CU227" s="0" t="n">
        <v>7</v>
      </c>
      <c r="CV227" s="0" t="n">
        <v>8</v>
      </c>
      <c r="CW227" s="0" t="n">
        <v>6</v>
      </c>
      <c r="CX227" s="0" t="n">
        <v>2</v>
      </c>
      <c r="CY227" s="6" t="n">
        <f aca="false">IF(AH227="exact",10,IF(AH227="adjacent",5,0))</f>
        <v>0</v>
      </c>
      <c r="CZ227" s="6" t="n">
        <f aca="false">IF(R227="Y",15,0)</f>
        <v>0</v>
      </c>
      <c r="DF227" s="6" t="s">
        <v>158</v>
      </c>
      <c r="DG227" s="6" t="s">
        <v>211</v>
      </c>
      <c r="DJ227" s="6" t="s">
        <v>1104</v>
      </c>
      <c r="DK227" s="6" t="s">
        <v>3516</v>
      </c>
      <c r="DS227" s="6" t="s">
        <v>158</v>
      </c>
      <c r="DX227" s="6" t="s">
        <v>162</v>
      </c>
      <c r="ER227" s="0" t="str">
        <f aca="false">IF(ISNUMBER(MATCH(U227,{"queued","contacted","replied","call_booked","call_done","yes_in_principle","materials_sent"},0)),"Y","N")</f>
        <v>N</v>
      </c>
      <c r="ES227" s="0" t="str">
        <f aca="false">IF(COUNTIFS($AP$2:$AP$1000,AP227,$ER$2:$ER$1000,"Y")+COUNTIFS($AP$2:$AP$1000,AP227,$T$2:$T$1000,"Y")&gt;0,"Y","N")</f>
        <v>N</v>
      </c>
      <c r="ET227" s="0" t="str">
        <f aca="false">IF(AND(U227="new",T227="N",AT227="Y",AS227="",ES227="N"),"Y","N")</f>
        <v>N</v>
      </c>
      <c r="EU227" s="0" t="str">
        <f aca="false">IF(ET227&lt;&gt;"Y","N",IF(COUNTIFS($AP$2:$AP$1000,AP227,$ET$2:$ET$1000,"Y",$J$2:$J$1000,"&gt;"&amp;J227)+COUNTIFS($AP$2:$AP$1000,AP227,$ET$2:$ET$1000,"Y",$J$2:$J$1000,J227,$EW$2:$EW$1000,"&lt;"&amp;EW227)=0,"Y","N"))</f>
        <v>N</v>
      </c>
      <c r="EV227" s="0" t="str">
        <f aca="false">IF(Y227="","N",IF(Y227&lt;=10,"Y","N"))</f>
        <v>N</v>
      </c>
      <c r="EW227" s="6" t="n">
        <f aca="false">ROW()-1</f>
        <v>226</v>
      </c>
    </row>
    <row r="228" customFormat="false" ht="15" hidden="false" customHeight="false" outlineLevel="0" collapsed="false">
      <c r="A228" s="0" t="s">
        <v>3517</v>
      </c>
      <c r="B228" s="0" t="s">
        <v>3518</v>
      </c>
      <c r="H228" s="5" t="s">
        <v>158</v>
      </c>
      <c r="I228" s="5" t="s">
        <v>159</v>
      </c>
      <c r="J228" s="6" t="n">
        <f aca="false">IF(AX228="pass",ROUND(CU228+CV228+CW228+CX228+CY228+CZ228,1),0)</f>
        <v>23</v>
      </c>
      <c r="K228" s="6" t="s">
        <v>3511</v>
      </c>
      <c r="L228" s="6" t="s">
        <v>163</v>
      </c>
      <c r="O228" s="6" t="s">
        <v>3519</v>
      </c>
      <c r="P228" s="6" t="s">
        <v>2167</v>
      </c>
      <c r="Q228" s="6" t="s">
        <v>1292</v>
      </c>
      <c r="R228" s="5" t="s">
        <v>162</v>
      </c>
      <c r="S228" s="6" t="s">
        <v>163</v>
      </c>
      <c r="T228" s="5" t="s">
        <v>162</v>
      </c>
      <c r="U228" s="5" t="s">
        <v>228</v>
      </c>
      <c r="V228" s="6" t="s">
        <v>2167</v>
      </c>
      <c r="W228" s="6" t="s">
        <v>166</v>
      </c>
      <c r="X228" s="6" t="s">
        <v>167</v>
      </c>
      <c r="Y228" s="0" t="str">
        <f aca="false">IF(EU228&lt;&gt;"Y","",COUNTIFS($EU$2:$EU$1000,"Y",$J$2:$J$1000,"&gt;"&amp;J228)+COUNTIFS($EU$2:$EU$1000,"Y",$J$2:$J$1000,J228,$EW$2:$EW$1000,"&lt;"&amp;EW228)+1)</f>
        <v/>
      </c>
      <c r="Z228" s="0" t="n">
        <v>227</v>
      </c>
      <c r="AA228" s="6" t="s">
        <v>162</v>
      </c>
      <c r="AD228" s="6" t="s">
        <v>158</v>
      </c>
      <c r="AH228" s="5" t="s">
        <v>158</v>
      </c>
      <c r="AI228" s="6" t="s">
        <v>754</v>
      </c>
      <c r="AJ228" s="6" t="s">
        <v>650</v>
      </c>
      <c r="AK228" s="6" t="s">
        <v>890</v>
      </c>
      <c r="AL228" s="6" t="s">
        <v>163</v>
      </c>
      <c r="AM228" s="6" t="s">
        <v>163</v>
      </c>
      <c r="AN228" s="6" t="s">
        <v>158</v>
      </c>
      <c r="AO228" s="6" t="s">
        <v>163</v>
      </c>
      <c r="AP228" s="6" t="s">
        <v>3517</v>
      </c>
      <c r="AQ228" s="5" t="s">
        <v>168</v>
      </c>
      <c r="AR228" s="6" t="s">
        <v>891</v>
      </c>
      <c r="AT228" s="0" t="str">
        <f aca="false">IF(AND(AX228="pass",AQ228&lt;&gt;"Y",C228&lt;&gt;"",OR(AW228&lt;&gt;"Y",AV228="Y")),"Y","N")</f>
        <v>N</v>
      </c>
      <c r="AU228" s="0" t="str">
        <f aca="false">_xlfn.TEXTJOIN("; ",TRUE(),IF(AX228&lt;&gt;"pass","gated out",""),IF(AQ228="Y","on hold: "&amp;AR228,""),IF(C228="","no contact named on an opened page",""),IF(AND(AW228="Y",AV228&lt;&gt;"Y"),"Tuesday estimate band "&amp;L228&amp;": founder's call",""))</f>
        <v>on hold: lease signed, move not confirmed: check the lobby directory before outreach (B); no contact named on an opened page</v>
      </c>
      <c r="AW228" s="6" t="s">
        <v>162</v>
      </c>
      <c r="AX228" s="6" t="s">
        <v>181</v>
      </c>
      <c r="AY228" s="6" t="s">
        <v>182</v>
      </c>
      <c r="AZ228" s="6" t="s">
        <v>1</v>
      </c>
      <c r="BA228" s="6" t="s">
        <v>3520</v>
      </c>
      <c r="BB228" s="6" t="s">
        <v>163</v>
      </c>
      <c r="BC228" s="6" t="s">
        <v>2128</v>
      </c>
      <c r="BD228" s="6" t="s">
        <v>163</v>
      </c>
      <c r="BF228" s="6" t="s">
        <v>163</v>
      </c>
      <c r="BG228" s="6" t="s">
        <v>163</v>
      </c>
      <c r="BH228" s="6" t="s">
        <v>2196</v>
      </c>
      <c r="BK228" s="6" t="s">
        <v>163</v>
      </c>
      <c r="BL228" s="6" t="s">
        <v>163</v>
      </c>
      <c r="BM228" s="6" t="s">
        <v>163</v>
      </c>
      <c r="BN228" s="6" t="s">
        <v>163</v>
      </c>
      <c r="BO228" s="6" t="s">
        <v>163</v>
      </c>
      <c r="BP228" s="6" t="s">
        <v>347</v>
      </c>
      <c r="BQ228" s="0" t="n">
        <v>40.743309</v>
      </c>
      <c r="BR228" s="0" t="n">
        <v>-73.987329</v>
      </c>
      <c r="BS228" s="6" t="s">
        <v>168</v>
      </c>
      <c r="BT228" s="0" t="n">
        <v>0</v>
      </c>
      <c r="BU228" s="6" t="s">
        <v>764</v>
      </c>
      <c r="BV228" s="6" t="s">
        <v>765</v>
      </c>
      <c r="BW228" s="6" t="s">
        <v>2167</v>
      </c>
      <c r="BX228" s="6" t="s">
        <v>1292</v>
      </c>
      <c r="BY228" s="6" t="s">
        <v>248</v>
      </c>
      <c r="CC228" s="6" t="s">
        <v>179</v>
      </c>
      <c r="CD228" s="6" t="s">
        <v>163</v>
      </c>
      <c r="CE228" s="6" t="s">
        <v>162</v>
      </c>
      <c r="CH228" s="6" t="s">
        <v>163</v>
      </c>
      <c r="CJ228" s="6" t="s">
        <v>163</v>
      </c>
      <c r="CK228" s="6" t="s">
        <v>162</v>
      </c>
      <c r="CL228" s="6" t="s">
        <v>163</v>
      </c>
      <c r="CO228" s="6" t="s">
        <v>163</v>
      </c>
      <c r="CQ228" s="6" t="s">
        <v>2197</v>
      </c>
      <c r="CR228" s="6" t="s">
        <v>206</v>
      </c>
      <c r="CS228" s="6" t="s">
        <v>163</v>
      </c>
      <c r="CT228" s="0" t="n">
        <v>23</v>
      </c>
      <c r="CU228" s="0" t="n">
        <v>7</v>
      </c>
      <c r="CV228" s="0" t="n">
        <v>8</v>
      </c>
      <c r="CW228" s="0" t="n">
        <v>6</v>
      </c>
      <c r="CX228" s="0" t="n">
        <v>2</v>
      </c>
      <c r="CY228" s="6" t="n">
        <f aca="false">IF(AH228="exact",10,IF(AH228="adjacent",5,0))</f>
        <v>0</v>
      </c>
      <c r="CZ228" s="6" t="n">
        <f aca="false">IF(R228="Y",15,0)</f>
        <v>0</v>
      </c>
      <c r="DF228" s="6" t="s">
        <v>158</v>
      </c>
      <c r="DG228" s="6" t="s">
        <v>211</v>
      </c>
      <c r="DJ228" s="6" t="s">
        <v>3521</v>
      </c>
      <c r="DK228" s="6" t="s">
        <v>3522</v>
      </c>
      <c r="DS228" s="6" t="s">
        <v>158</v>
      </c>
      <c r="DX228" s="6" t="s">
        <v>162</v>
      </c>
      <c r="ER228" s="0" t="str">
        <f aca="false">IF(ISNUMBER(MATCH(U228,{"queued","contacted","replied","call_booked","call_done","yes_in_principle","materials_sent"},0)),"Y","N")</f>
        <v>N</v>
      </c>
      <c r="ES228" s="0" t="str">
        <f aca="false">IF(COUNTIFS($AP$2:$AP$1000,AP228,$ER$2:$ER$1000,"Y")+COUNTIFS($AP$2:$AP$1000,AP228,$T$2:$T$1000,"Y")&gt;0,"Y","N")</f>
        <v>N</v>
      </c>
      <c r="ET228" s="0" t="str">
        <f aca="false">IF(AND(U228="new",T228="N",AT228="Y",AS228="",ES228="N"),"Y","N")</f>
        <v>N</v>
      </c>
      <c r="EU228" s="0" t="str">
        <f aca="false">IF(ET228&lt;&gt;"Y","N",IF(COUNTIFS($AP$2:$AP$1000,AP228,$ET$2:$ET$1000,"Y",$J$2:$J$1000,"&gt;"&amp;J228)+COUNTIFS($AP$2:$AP$1000,AP228,$ET$2:$ET$1000,"Y",$J$2:$J$1000,J228,$EW$2:$EW$1000,"&lt;"&amp;EW228)=0,"Y","N"))</f>
        <v>N</v>
      </c>
      <c r="EV228" s="0" t="str">
        <f aca="false">IF(Y228="","N",IF(Y228&lt;=10,"Y","N"))</f>
        <v>N</v>
      </c>
      <c r="EW228" s="6" t="n">
        <f aca="false">ROW()-1</f>
        <v>227</v>
      </c>
    </row>
    <row r="229" customFormat="false" ht="15" hidden="false" customHeight="false" outlineLevel="0" collapsed="false">
      <c r="A229" s="0" t="s">
        <v>3523</v>
      </c>
      <c r="B229" s="0" t="s">
        <v>3524</v>
      </c>
      <c r="H229" s="5" t="s">
        <v>158</v>
      </c>
      <c r="I229" s="5" t="s">
        <v>159</v>
      </c>
      <c r="J229" s="6" t="n">
        <f aca="false">IF(AX229="pass",ROUND(CU229+CV229+CW229+CX229+CY229+CZ229,1),0)</f>
        <v>23</v>
      </c>
      <c r="K229" s="6" t="s">
        <v>3511</v>
      </c>
      <c r="L229" s="6" t="s">
        <v>163</v>
      </c>
      <c r="R229" s="5" t="s">
        <v>162</v>
      </c>
      <c r="S229" s="6" t="s">
        <v>163</v>
      </c>
      <c r="T229" s="5" t="s">
        <v>162</v>
      </c>
      <c r="U229" s="5" t="s">
        <v>228</v>
      </c>
      <c r="V229" s="6" t="s">
        <v>3525</v>
      </c>
      <c r="W229" s="6" t="s">
        <v>166</v>
      </c>
      <c r="X229" s="6" t="s">
        <v>167</v>
      </c>
      <c r="Y229" s="0" t="str">
        <f aca="false">IF(EU229&lt;&gt;"Y","",COUNTIFS($EU$2:$EU$1000,"Y",$J$2:$J$1000,"&gt;"&amp;J229)+COUNTIFS($EU$2:$EU$1000,"Y",$J$2:$J$1000,J229,$EW$2:$EW$1000,"&lt;"&amp;EW229)+1)</f>
        <v/>
      </c>
      <c r="Z229" s="0" t="n">
        <v>228</v>
      </c>
      <c r="AA229" s="6" t="s">
        <v>162</v>
      </c>
      <c r="AD229" s="6" t="s">
        <v>158</v>
      </c>
      <c r="AH229" s="5" t="s">
        <v>158</v>
      </c>
      <c r="AI229" s="6" t="s">
        <v>2408</v>
      </c>
      <c r="AJ229" s="6" t="s">
        <v>3526</v>
      </c>
      <c r="AK229" s="6" t="s">
        <v>890</v>
      </c>
      <c r="AL229" s="6" t="s">
        <v>163</v>
      </c>
      <c r="AM229" s="6" t="s">
        <v>163</v>
      </c>
      <c r="AN229" s="6" t="s">
        <v>158</v>
      </c>
      <c r="AO229" s="6" t="s">
        <v>163</v>
      </c>
      <c r="AP229" s="6" t="s">
        <v>3523</v>
      </c>
      <c r="AQ229" s="5" t="s">
        <v>168</v>
      </c>
      <c r="AR229" s="6" t="s">
        <v>891</v>
      </c>
      <c r="AT229" s="0" t="str">
        <f aca="false">IF(AND(AX229="pass",AQ229&lt;&gt;"Y",C229&lt;&gt;"",OR(AW229&lt;&gt;"Y",AV229="Y")),"Y","N")</f>
        <v>N</v>
      </c>
      <c r="AU229" s="0" t="str">
        <f aca="false">_xlfn.TEXTJOIN("; ",TRUE(),IF(AX229&lt;&gt;"pass","gated out",""),IF(AQ229="Y","on hold: "&amp;AR229,""),IF(C229="","no contact named on an opened page",""),IF(AND(AW229="Y",AV229&lt;&gt;"Y"),"Tuesday estimate band "&amp;L229&amp;": founder's call",""))</f>
        <v>on hold: lease signed, move not confirmed: check the lobby directory before outreach (B); no contact named on an opened page</v>
      </c>
      <c r="AW229" s="6" t="s">
        <v>162</v>
      </c>
      <c r="AX229" s="6" t="s">
        <v>181</v>
      </c>
      <c r="AY229" s="6" t="s">
        <v>182</v>
      </c>
      <c r="AZ229" s="6" t="s">
        <v>1</v>
      </c>
      <c r="BA229" s="6" t="s">
        <v>3527</v>
      </c>
      <c r="BB229" s="6" t="s">
        <v>163</v>
      </c>
      <c r="BC229" s="6" t="s">
        <v>3528</v>
      </c>
      <c r="BD229" s="6" t="s">
        <v>163</v>
      </c>
      <c r="BF229" s="6" t="s">
        <v>163</v>
      </c>
      <c r="BG229" s="6" t="s">
        <v>163</v>
      </c>
      <c r="BH229" s="6" t="s">
        <v>2196</v>
      </c>
      <c r="BK229" s="6" t="s">
        <v>163</v>
      </c>
      <c r="BL229" s="6" t="s">
        <v>163</v>
      </c>
      <c r="BM229" s="6" t="s">
        <v>163</v>
      </c>
      <c r="BN229" s="6" t="s">
        <v>163</v>
      </c>
      <c r="BO229" s="6" t="s">
        <v>163</v>
      </c>
      <c r="BP229" s="6" t="s">
        <v>347</v>
      </c>
      <c r="BQ229" s="0" t="n">
        <v>40.742477</v>
      </c>
      <c r="BR229" s="0" t="n">
        <v>-73.986608</v>
      </c>
      <c r="BS229" s="6" t="s">
        <v>168</v>
      </c>
      <c r="BT229" s="0" t="n">
        <v>0</v>
      </c>
      <c r="BU229" s="6" t="s">
        <v>2413</v>
      </c>
      <c r="BV229" s="6" t="s">
        <v>2414</v>
      </c>
      <c r="BW229" s="6" t="s">
        <v>3525</v>
      </c>
      <c r="BX229" s="6" t="s">
        <v>3529</v>
      </c>
      <c r="BY229" s="6" t="s">
        <v>248</v>
      </c>
      <c r="CC229" s="6" t="s">
        <v>179</v>
      </c>
      <c r="CD229" s="6" t="s">
        <v>3530</v>
      </c>
      <c r="CE229" s="6" t="s">
        <v>162</v>
      </c>
      <c r="CH229" s="6" t="s">
        <v>201</v>
      </c>
      <c r="CI229" s="6" t="s">
        <v>2416</v>
      </c>
      <c r="CJ229" s="6" t="s">
        <v>163</v>
      </c>
      <c r="CK229" s="6" t="s">
        <v>162</v>
      </c>
      <c r="CL229" s="6" t="s">
        <v>163</v>
      </c>
      <c r="CO229" s="6" t="s">
        <v>163</v>
      </c>
      <c r="CQ229" s="6" t="s">
        <v>2197</v>
      </c>
      <c r="CR229" s="6" t="s">
        <v>206</v>
      </c>
      <c r="CS229" s="6" t="s">
        <v>163</v>
      </c>
      <c r="CT229" s="0" t="n">
        <v>23</v>
      </c>
      <c r="CU229" s="0" t="n">
        <v>7</v>
      </c>
      <c r="CV229" s="0" t="n">
        <v>8</v>
      </c>
      <c r="CW229" s="0" t="n">
        <v>6</v>
      </c>
      <c r="CX229" s="0" t="n">
        <v>2</v>
      </c>
      <c r="CY229" s="6" t="n">
        <f aca="false">IF(AH229="exact",10,IF(AH229="adjacent",5,0))</f>
        <v>0</v>
      </c>
      <c r="CZ229" s="6" t="n">
        <f aca="false">IF(R229="Y",15,0)</f>
        <v>0</v>
      </c>
      <c r="DF229" s="6" t="s">
        <v>158</v>
      </c>
      <c r="DG229" s="6" t="s">
        <v>211</v>
      </c>
      <c r="DJ229" s="6" t="s">
        <v>3432</v>
      </c>
      <c r="DK229" s="6" t="s">
        <v>3531</v>
      </c>
      <c r="DS229" s="6" t="s">
        <v>158</v>
      </c>
      <c r="DX229" s="6" t="s">
        <v>162</v>
      </c>
      <c r="ER229" s="0" t="str">
        <f aca="false">IF(ISNUMBER(MATCH(U229,{"queued","contacted","replied","call_booked","call_done","yes_in_principle","materials_sent"},0)),"Y","N")</f>
        <v>N</v>
      </c>
      <c r="ES229" s="0" t="str">
        <f aca="false">IF(COUNTIFS($AP$2:$AP$1000,AP229,$ER$2:$ER$1000,"Y")+COUNTIFS($AP$2:$AP$1000,AP229,$T$2:$T$1000,"Y")&gt;0,"Y","N")</f>
        <v>N</v>
      </c>
      <c r="ET229" s="0" t="str">
        <f aca="false">IF(AND(U229="new",T229="N",AT229="Y",AS229="",ES229="N"),"Y","N")</f>
        <v>N</v>
      </c>
      <c r="EU229" s="0" t="str">
        <f aca="false">IF(ET229&lt;&gt;"Y","N",IF(COUNTIFS($AP$2:$AP$1000,AP229,$ET$2:$ET$1000,"Y",$J$2:$J$1000,"&gt;"&amp;J229)+COUNTIFS($AP$2:$AP$1000,AP229,$ET$2:$ET$1000,"Y",$J$2:$J$1000,J229,$EW$2:$EW$1000,"&lt;"&amp;EW229)=0,"Y","N"))</f>
        <v>N</v>
      </c>
      <c r="EV229" s="0" t="str">
        <f aca="false">IF(Y229="","N",IF(Y229&lt;=10,"Y","N"))</f>
        <v>N</v>
      </c>
      <c r="EW229" s="6" t="n">
        <f aca="false">ROW()-1</f>
        <v>228</v>
      </c>
    </row>
    <row r="230" customFormat="false" ht="15" hidden="false" customHeight="false" outlineLevel="0" collapsed="false">
      <c r="A230" s="0" t="s">
        <v>3532</v>
      </c>
      <c r="B230" s="0" t="s">
        <v>3533</v>
      </c>
      <c r="H230" s="5" t="s">
        <v>158</v>
      </c>
      <c r="I230" s="5" t="s">
        <v>159</v>
      </c>
      <c r="J230" s="6" t="n">
        <f aca="false">IF(AX230="pass",ROUND(CU230+CV230+CW230+CX230+CY230+CZ230,1),0)</f>
        <v>22.5</v>
      </c>
      <c r="K230" s="6" t="s">
        <v>3534</v>
      </c>
      <c r="L230" s="6" t="s">
        <v>240</v>
      </c>
      <c r="O230" s="6" t="s">
        <v>3535</v>
      </c>
      <c r="P230" s="6" t="s">
        <v>3536</v>
      </c>
      <c r="Q230" s="6" t="s">
        <v>1930</v>
      </c>
      <c r="R230" s="5" t="s">
        <v>162</v>
      </c>
      <c r="S230" s="6" t="s">
        <v>163</v>
      </c>
      <c r="T230" s="5" t="s">
        <v>162</v>
      </c>
      <c r="U230" s="5" t="s">
        <v>228</v>
      </c>
      <c r="V230" s="6" t="s">
        <v>3536</v>
      </c>
      <c r="W230" s="6" t="s">
        <v>166</v>
      </c>
      <c r="X230" s="6" t="s">
        <v>167</v>
      </c>
      <c r="Y230" s="0" t="str">
        <f aca="false">IF(EU230&lt;&gt;"Y","",COUNTIFS($EU$2:$EU$1000,"Y",$J$2:$J$1000,"&gt;"&amp;J230)+COUNTIFS($EU$2:$EU$1000,"Y",$J$2:$J$1000,J230,$EW$2:$EW$1000,"&lt;"&amp;EW230)+1)</f>
        <v/>
      </c>
      <c r="Z230" s="0" t="n">
        <v>229</v>
      </c>
      <c r="AA230" s="6" t="s">
        <v>162</v>
      </c>
      <c r="AB230" s="6" t="s">
        <v>1662</v>
      </c>
      <c r="AD230" s="6" t="s">
        <v>158</v>
      </c>
      <c r="AH230" s="5" t="s">
        <v>158</v>
      </c>
      <c r="AI230" s="6" t="s">
        <v>3537</v>
      </c>
      <c r="AJ230" s="6" t="s">
        <v>163</v>
      </c>
      <c r="AK230" s="6" t="s">
        <v>3189</v>
      </c>
      <c r="AL230" s="0" t="n">
        <v>63</v>
      </c>
      <c r="AM230" s="0" t="n">
        <v>1254</v>
      </c>
      <c r="AN230" s="6" t="s">
        <v>179</v>
      </c>
      <c r="AO230" s="6" t="s">
        <v>163</v>
      </c>
      <c r="AP230" s="6" t="s">
        <v>3532</v>
      </c>
      <c r="AQ230" s="5" t="s">
        <v>168</v>
      </c>
      <c r="AR230" s="6" t="s">
        <v>3190</v>
      </c>
      <c r="AT230" s="0" t="str">
        <f aca="false">IF(AND(AX230="pass",AQ230&lt;&gt;"Y",C230&lt;&gt;"",OR(AW230&lt;&gt;"Y",AV230="Y")),"Y","N")</f>
        <v>N</v>
      </c>
      <c r="AU230" s="0" t="str">
        <f aca="false">_xlfn.TEXTJOIN("; ",TRUE(),IF(AX230&lt;&gt;"pass","gated out",""),IF(AQ230="Y","on hold: "&amp;AR230,""),IF(C230="","no contact named on an opened page",""),IF(AND(AW230="Y",AV230&lt;&gt;"Y"),"Tuesday estimate band "&amp;L230&amp;": founder's call",""))</f>
        <v>on hold: moving out of this address: confirm where the office will be before outreach (B); no contact named on an opened page; Tuesday estimate band 251-500: founder's call</v>
      </c>
      <c r="AW230" s="6" t="s">
        <v>168</v>
      </c>
      <c r="AX230" s="6" t="s">
        <v>181</v>
      </c>
      <c r="AY230" s="6" t="s">
        <v>182</v>
      </c>
      <c r="AZ230" s="6" t="s">
        <v>1</v>
      </c>
      <c r="BA230" s="6" t="s">
        <v>3538</v>
      </c>
      <c r="BB230" s="6" t="s">
        <v>3539</v>
      </c>
      <c r="BC230" s="6" t="s">
        <v>3540</v>
      </c>
      <c r="BD230" s="6" t="s">
        <v>3541</v>
      </c>
      <c r="BF230" s="6" t="s">
        <v>1323</v>
      </c>
      <c r="BG230" s="6" t="s">
        <v>188</v>
      </c>
      <c r="BH230" s="6" t="s">
        <v>189</v>
      </c>
      <c r="BI230" s="6" t="s">
        <v>3542</v>
      </c>
      <c r="BK230" s="6" t="s">
        <v>1440</v>
      </c>
      <c r="BL230" s="6" t="s">
        <v>163</v>
      </c>
      <c r="BM230" s="6" t="s">
        <v>163</v>
      </c>
      <c r="BN230" s="6" t="s">
        <v>163</v>
      </c>
      <c r="BO230" s="6" t="s">
        <v>163</v>
      </c>
      <c r="BP230" s="6" t="s">
        <v>347</v>
      </c>
      <c r="BQ230" s="0" t="n">
        <v>40.743196</v>
      </c>
      <c r="BR230" s="0" t="n">
        <v>-73.99084</v>
      </c>
      <c r="BS230" s="6" t="s">
        <v>168</v>
      </c>
      <c r="BT230" s="0" t="n">
        <v>0</v>
      </c>
      <c r="BV230" s="6" t="s">
        <v>163</v>
      </c>
      <c r="BW230" s="6" t="s">
        <v>3536</v>
      </c>
      <c r="BX230" s="6" t="s">
        <v>1930</v>
      </c>
      <c r="BY230" s="6" t="s">
        <v>248</v>
      </c>
      <c r="CC230" s="6" t="s">
        <v>739</v>
      </c>
      <c r="CD230" s="6" t="s">
        <v>163</v>
      </c>
      <c r="CE230" s="6" t="s">
        <v>162</v>
      </c>
      <c r="CH230" s="6" t="s">
        <v>163</v>
      </c>
      <c r="CJ230" s="6" t="s">
        <v>163</v>
      </c>
      <c r="CK230" s="6" t="s">
        <v>162</v>
      </c>
      <c r="CL230" s="6" t="s">
        <v>163</v>
      </c>
      <c r="CO230" s="0" t="n">
        <v>281</v>
      </c>
      <c r="CP230" s="6" t="s">
        <v>251</v>
      </c>
      <c r="CQ230" s="6" t="s">
        <v>3543</v>
      </c>
      <c r="CR230" s="6" t="s">
        <v>206</v>
      </c>
      <c r="CS230" s="0" t="n">
        <v>0.46</v>
      </c>
      <c r="CT230" s="0" t="n">
        <v>22.5</v>
      </c>
      <c r="CU230" s="0" t="n">
        <v>11.5</v>
      </c>
      <c r="CV230" s="0" t="n">
        <v>2</v>
      </c>
      <c r="CW230" s="0" t="n">
        <v>6</v>
      </c>
      <c r="CX230" s="0" t="n">
        <v>3</v>
      </c>
      <c r="CY230" s="6" t="n">
        <f aca="false">IF(AH230="exact",10,IF(AH230="adjacent",5,0))</f>
        <v>0</v>
      </c>
      <c r="CZ230" s="6" t="n">
        <f aca="false">IF(R230="Y",15,0)</f>
        <v>0</v>
      </c>
      <c r="DF230" s="6" t="s">
        <v>158</v>
      </c>
      <c r="DG230" s="6" t="s">
        <v>1336</v>
      </c>
      <c r="DH230" s="6" t="s">
        <v>1447</v>
      </c>
      <c r="DI230" s="6" t="s">
        <v>162</v>
      </c>
      <c r="DK230" s="6" t="s">
        <v>3544</v>
      </c>
      <c r="DS230" s="6" t="s">
        <v>158</v>
      </c>
      <c r="DX230" s="6" t="s">
        <v>162</v>
      </c>
      <c r="ER230" s="0" t="str">
        <f aca="false">IF(ISNUMBER(MATCH(U230,{"queued","contacted","replied","call_booked","call_done","yes_in_principle","materials_sent"},0)),"Y","N")</f>
        <v>N</v>
      </c>
      <c r="ES230" s="0" t="str">
        <f aca="false">IF(COUNTIFS($AP$2:$AP$1000,AP230,$ER$2:$ER$1000,"Y")+COUNTIFS($AP$2:$AP$1000,AP230,$T$2:$T$1000,"Y")&gt;0,"Y","N")</f>
        <v>N</v>
      </c>
      <c r="ET230" s="0" t="str">
        <f aca="false">IF(AND(U230="new",T230="N",AT230="Y",AS230="",ES230="N"),"Y","N")</f>
        <v>N</v>
      </c>
      <c r="EU230" s="0" t="str">
        <f aca="false">IF(ET230&lt;&gt;"Y","N",IF(COUNTIFS($AP$2:$AP$1000,AP230,$ET$2:$ET$1000,"Y",$J$2:$J$1000,"&gt;"&amp;J230)+COUNTIFS($AP$2:$AP$1000,AP230,$ET$2:$ET$1000,"Y",$J$2:$J$1000,J230,$EW$2:$EW$1000,"&lt;"&amp;EW230)=0,"Y","N"))</f>
        <v>N</v>
      </c>
      <c r="EV230" s="0" t="str">
        <f aca="false">IF(Y230="","N",IF(Y230&lt;=10,"Y","N"))</f>
        <v>N</v>
      </c>
      <c r="EW230" s="6" t="n">
        <f aca="false">ROW()-1</f>
        <v>229</v>
      </c>
    </row>
    <row r="231" customFormat="false" ht="15" hidden="false" customHeight="false" outlineLevel="0" collapsed="false">
      <c r="A231" s="0" t="s">
        <v>3545</v>
      </c>
      <c r="B231" s="0" t="s">
        <v>3546</v>
      </c>
      <c r="H231" s="5" t="s">
        <v>158</v>
      </c>
      <c r="I231" s="5" t="s">
        <v>159</v>
      </c>
      <c r="J231" s="6" t="n">
        <f aca="false">IF(AX231="pass",ROUND(CU231+CV231+CW231+CX231+CY231+CZ231,1),0)</f>
        <v>22.5</v>
      </c>
      <c r="K231" s="6" t="s">
        <v>3547</v>
      </c>
      <c r="L231" s="6" t="s">
        <v>240</v>
      </c>
      <c r="R231" s="5" t="s">
        <v>162</v>
      </c>
      <c r="S231" s="6" t="s">
        <v>163</v>
      </c>
      <c r="T231" s="5" t="s">
        <v>162</v>
      </c>
      <c r="U231" s="5" t="s">
        <v>228</v>
      </c>
      <c r="V231" s="6" t="s">
        <v>3548</v>
      </c>
      <c r="W231" s="6" t="s">
        <v>166</v>
      </c>
      <c r="X231" s="6" t="s">
        <v>167</v>
      </c>
      <c r="Y231" s="0" t="str">
        <f aca="false">IF(EU231&lt;&gt;"Y","",COUNTIFS($EU$2:$EU$1000,"Y",$J$2:$J$1000,"&gt;"&amp;J231)+COUNTIFS($EU$2:$EU$1000,"Y",$J$2:$J$1000,J231,$EW$2:$EW$1000,"&lt;"&amp;EW231)+1)</f>
        <v/>
      </c>
      <c r="Z231" s="0" t="n">
        <v>230</v>
      </c>
      <c r="AA231" s="6" t="s">
        <v>162</v>
      </c>
      <c r="AB231" s="6" t="s">
        <v>1662</v>
      </c>
      <c r="AD231" s="6" t="s">
        <v>158</v>
      </c>
      <c r="AH231" s="5" t="s">
        <v>158</v>
      </c>
      <c r="AI231" s="6" t="s">
        <v>3027</v>
      </c>
      <c r="AJ231" s="6" t="s">
        <v>3549</v>
      </c>
      <c r="AK231" s="6" t="s">
        <v>890</v>
      </c>
      <c r="AL231" s="0" t="n">
        <v>80</v>
      </c>
      <c r="AM231" s="0" t="n">
        <v>1596</v>
      </c>
      <c r="AN231" s="6" t="s">
        <v>179</v>
      </c>
      <c r="AO231" s="6" t="s">
        <v>163</v>
      </c>
      <c r="AP231" s="6" t="s">
        <v>3545</v>
      </c>
      <c r="AQ231" s="5" t="s">
        <v>168</v>
      </c>
      <c r="AR231" s="6" t="s">
        <v>891</v>
      </c>
      <c r="AT231" s="0" t="str">
        <f aca="false">IF(AND(AX231="pass",AQ231&lt;&gt;"Y",C231&lt;&gt;"",OR(AW231&lt;&gt;"Y",AV231="Y")),"Y","N")</f>
        <v>N</v>
      </c>
      <c r="AU231" s="0" t="str">
        <f aca="false">_xlfn.TEXTJOIN("; ",TRUE(),IF(AX231&lt;&gt;"pass","gated out",""),IF(AQ231="Y","on hold: "&amp;AR231,""),IF(C231="","no contact named on an opened page",""),IF(AND(AW231="Y",AV231&lt;&gt;"Y"),"Tuesday estimate band "&amp;L231&amp;": founder's call",""))</f>
        <v>on hold: lease signed, move not confirmed: check the lobby directory before outreach (B); no contact named on an opened page; Tuesday estimate band 251-500: founder's call</v>
      </c>
      <c r="AW231" s="6" t="s">
        <v>168</v>
      </c>
      <c r="AX231" s="6" t="s">
        <v>181</v>
      </c>
      <c r="AY231" s="6" t="s">
        <v>182</v>
      </c>
      <c r="AZ231" s="6" t="s">
        <v>1</v>
      </c>
      <c r="BA231" s="6" t="s">
        <v>3550</v>
      </c>
      <c r="BB231" s="6" t="s">
        <v>3551</v>
      </c>
      <c r="BC231" s="6" t="s">
        <v>3552</v>
      </c>
      <c r="BD231" s="6" t="s">
        <v>3553</v>
      </c>
      <c r="BF231" s="6" t="s">
        <v>1323</v>
      </c>
      <c r="BG231" s="6" t="s">
        <v>188</v>
      </c>
      <c r="BH231" s="6" t="s">
        <v>189</v>
      </c>
      <c r="BI231" s="6" t="s">
        <v>3554</v>
      </c>
      <c r="BK231" s="6" t="s">
        <v>1440</v>
      </c>
      <c r="BL231" s="6" t="s">
        <v>163</v>
      </c>
      <c r="BM231" s="6" t="s">
        <v>163</v>
      </c>
      <c r="BN231" s="6" t="s">
        <v>163</v>
      </c>
      <c r="BO231" s="6" t="s">
        <v>163</v>
      </c>
      <c r="BP231" s="6" t="s">
        <v>347</v>
      </c>
      <c r="BQ231" s="0" t="n">
        <v>40.741986</v>
      </c>
      <c r="BR231" s="0" t="n">
        <v>-73.989477</v>
      </c>
      <c r="BS231" s="6" t="s">
        <v>168</v>
      </c>
      <c r="BT231" s="0" t="n">
        <v>0</v>
      </c>
      <c r="BV231" s="6" t="s">
        <v>163</v>
      </c>
      <c r="BW231" s="6" t="s">
        <v>3548</v>
      </c>
      <c r="BX231" s="6" t="s">
        <v>3555</v>
      </c>
      <c r="BY231" s="6" t="s">
        <v>248</v>
      </c>
      <c r="BZ231" s="6" t="s">
        <v>3556</v>
      </c>
      <c r="CA231" s="6" t="s">
        <v>3557</v>
      </c>
      <c r="CC231" s="6" t="s">
        <v>739</v>
      </c>
      <c r="CD231" s="6" t="s">
        <v>163</v>
      </c>
      <c r="CE231" s="6" t="s">
        <v>162</v>
      </c>
      <c r="CH231" s="6" t="s">
        <v>163</v>
      </c>
      <c r="CJ231" s="6" t="s">
        <v>163</v>
      </c>
      <c r="CK231" s="6" t="s">
        <v>162</v>
      </c>
      <c r="CL231" s="6" t="s">
        <v>163</v>
      </c>
      <c r="CO231" s="0" t="n">
        <v>357</v>
      </c>
      <c r="CP231" s="6" t="s">
        <v>251</v>
      </c>
      <c r="CQ231" s="6" t="s">
        <v>3558</v>
      </c>
      <c r="CR231" s="6" t="s">
        <v>206</v>
      </c>
      <c r="CS231" s="0" t="n">
        <v>0.38</v>
      </c>
      <c r="CT231" s="0" t="n">
        <v>22.5</v>
      </c>
      <c r="CU231" s="0" t="n">
        <v>9.5</v>
      </c>
      <c r="CV231" s="0" t="n">
        <v>2</v>
      </c>
      <c r="CW231" s="0" t="n">
        <v>6</v>
      </c>
      <c r="CX231" s="0" t="n">
        <v>5</v>
      </c>
      <c r="CY231" s="6" t="n">
        <f aca="false">IF(AH231="exact",10,IF(AH231="adjacent",5,0))</f>
        <v>0</v>
      </c>
      <c r="CZ231" s="6" t="n">
        <f aca="false">IF(R231="Y",15,0)</f>
        <v>0</v>
      </c>
      <c r="DF231" s="6" t="s">
        <v>158</v>
      </c>
      <c r="DG231" s="6" t="s">
        <v>1336</v>
      </c>
      <c r="DH231" s="6" t="s">
        <v>1447</v>
      </c>
      <c r="DI231" s="6" t="s">
        <v>162</v>
      </c>
      <c r="DJ231" s="6" t="s">
        <v>3559</v>
      </c>
      <c r="DK231" s="6" t="s">
        <v>3560</v>
      </c>
      <c r="DS231" s="6" t="s">
        <v>158</v>
      </c>
      <c r="DX231" s="6" t="s">
        <v>162</v>
      </c>
      <c r="ER231" s="0" t="str">
        <f aca="false">IF(ISNUMBER(MATCH(U231,{"queued","contacted","replied","call_booked","call_done","yes_in_principle","materials_sent"},0)),"Y","N")</f>
        <v>N</v>
      </c>
      <c r="ES231" s="0" t="str">
        <f aca="false">IF(COUNTIFS($AP$2:$AP$1000,AP231,$ER$2:$ER$1000,"Y")+COUNTIFS($AP$2:$AP$1000,AP231,$T$2:$T$1000,"Y")&gt;0,"Y","N")</f>
        <v>N</v>
      </c>
      <c r="ET231" s="0" t="str">
        <f aca="false">IF(AND(U231="new",T231="N",AT231="Y",AS231="",ES231="N"),"Y","N")</f>
        <v>N</v>
      </c>
      <c r="EU231" s="0" t="str">
        <f aca="false">IF(ET231&lt;&gt;"Y","N",IF(COUNTIFS($AP$2:$AP$1000,AP231,$ET$2:$ET$1000,"Y",$J$2:$J$1000,"&gt;"&amp;J231)+COUNTIFS($AP$2:$AP$1000,AP231,$ET$2:$ET$1000,"Y",$J$2:$J$1000,J231,$EW$2:$EW$1000,"&lt;"&amp;EW231)=0,"Y","N"))</f>
        <v>N</v>
      </c>
      <c r="EV231" s="0" t="str">
        <f aca="false">IF(Y231="","N",IF(Y231&lt;=10,"Y","N"))</f>
        <v>N</v>
      </c>
      <c r="EW231" s="6" t="n">
        <f aca="false">ROW()-1</f>
        <v>230</v>
      </c>
    </row>
    <row r="232" customFormat="false" ht="15" hidden="false" customHeight="false" outlineLevel="0" collapsed="false">
      <c r="A232" s="0" t="s">
        <v>3561</v>
      </c>
      <c r="B232" s="0" t="s">
        <v>3562</v>
      </c>
      <c r="H232" s="5" t="s">
        <v>158</v>
      </c>
      <c r="I232" s="5" t="s">
        <v>159</v>
      </c>
      <c r="J232" s="6" t="n">
        <f aca="false">IF(AX232="pass",ROUND(CU232+CV232+CW232+CX232+CY232+CZ232,1),0)</f>
        <v>22</v>
      </c>
      <c r="K232" s="6" t="s">
        <v>3563</v>
      </c>
      <c r="L232" s="6" t="s">
        <v>163</v>
      </c>
      <c r="R232" s="5" t="s">
        <v>162</v>
      </c>
      <c r="S232" s="6" t="s">
        <v>163</v>
      </c>
      <c r="T232" s="5" t="s">
        <v>162</v>
      </c>
      <c r="U232" s="5" t="s">
        <v>228</v>
      </c>
      <c r="V232" s="6" t="s">
        <v>3564</v>
      </c>
      <c r="W232" s="6" t="s">
        <v>166</v>
      </c>
      <c r="X232" s="6" t="s">
        <v>167</v>
      </c>
      <c r="Y232" s="0" t="str">
        <f aca="false">IF(EU232&lt;&gt;"Y","",COUNTIFS($EU$2:$EU$1000,"Y",$J$2:$J$1000,"&gt;"&amp;J232)+COUNTIFS($EU$2:$EU$1000,"Y",$J$2:$J$1000,J232,$EW$2:$EW$1000,"&lt;"&amp;EW232)+1)</f>
        <v/>
      </c>
      <c r="Z232" s="0" t="n">
        <v>231</v>
      </c>
      <c r="AA232" s="6" t="s">
        <v>162</v>
      </c>
      <c r="AD232" s="6" t="s">
        <v>158</v>
      </c>
      <c r="AH232" s="5" t="s">
        <v>158</v>
      </c>
      <c r="AI232" s="6" t="s">
        <v>2667</v>
      </c>
      <c r="AJ232" s="6" t="s">
        <v>3565</v>
      </c>
      <c r="AK232" s="6" t="s">
        <v>890</v>
      </c>
      <c r="AL232" s="6" t="s">
        <v>163</v>
      </c>
      <c r="AM232" s="6" t="s">
        <v>163</v>
      </c>
      <c r="AN232" s="6" t="s">
        <v>158</v>
      </c>
      <c r="AO232" s="6" t="s">
        <v>163</v>
      </c>
      <c r="AP232" s="6" t="s">
        <v>3561</v>
      </c>
      <c r="AQ232" s="5" t="s">
        <v>168</v>
      </c>
      <c r="AR232" s="6" t="s">
        <v>891</v>
      </c>
      <c r="AT232" s="0" t="str">
        <f aca="false">IF(AND(AX232="pass",AQ232&lt;&gt;"Y",C232&lt;&gt;"",OR(AW232&lt;&gt;"Y",AV232="Y")),"Y","N")</f>
        <v>N</v>
      </c>
      <c r="AU232" s="0" t="str">
        <f aca="false">_xlfn.TEXTJOIN("; ",TRUE(),IF(AX232&lt;&gt;"pass","gated out",""),IF(AQ232="Y","on hold: "&amp;AR232,""),IF(C232="","no contact named on an opened page",""),IF(AND(AW232="Y",AV232&lt;&gt;"Y"),"Tuesday estimate band "&amp;L232&amp;": founder's call",""))</f>
        <v>on hold: lease signed, move not confirmed: check the lobby directory before outreach (B); no contact named on an opened page</v>
      </c>
      <c r="AW232" s="6" t="s">
        <v>162</v>
      </c>
      <c r="AX232" s="6" t="s">
        <v>181</v>
      </c>
      <c r="AY232" s="6" t="s">
        <v>182</v>
      </c>
      <c r="AZ232" s="6" t="s">
        <v>1</v>
      </c>
      <c r="BA232" s="6" t="s">
        <v>3566</v>
      </c>
      <c r="BB232" s="6" t="s">
        <v>3567</v>
      </c>
      <c r="BC232" s="6" t="s">
        <v>3568</v>
      </c>
      <c r="BD232" s="6" t="s">
        <v>163</v>
      </c>
      <c r="BF232" s="6" t="s">
        <v>163</v>
      </c>
      <c r="BG232" s="6" t="s">
        <v>163</v>
      </c>
      <c r="BH232" s="6" t="s">
        <v>2196</v>
      </c>
      <c r="BK232" s="6" t="s">
        <v>163</v>
      </c>
      <c r="BL232" s="6" t="s">
        <v>163</v>
      </c>
      <c r="BM232" s="6" t="s">
        <v>163</v>
      </c>
      <c r="BN232" s="6" t="s">
        <v>3569</v>
      </c>
      <c r="BO232" s="6" t="s">
        <v>163</v>
      </c>
      <c r="BP232" s="6" t="s">
        <v>244</v>
      </c>
      <c r="BQ232" s="0" t="n">
        <v>40.74441</v>
      </c>
      <c r="BR232" s="0" t="n">
        <v>-73.987275</v>
      </c>
      <c r="BS232" s="6" t="s">
        <v>168</v>
      </c>
      <c r="BT232" s="0" t="n">
        <v>0</v>
      </c>
      <c r="BU232" s="6" t="s">
        <v>2670</v>
      </c>
      <c r="BV232" s="6" t="s">
        <v>2671</v>
      </c>
      <c r="BW232" s="6" t="s">
        <v>3564</v>
      </c>
      <c r="BX232" s="6" t="s">
        <v>3570</v>
      </c>
      <c r="BY232" s="6" t="s">
        <v>248</v>
      </c>
      <c r="CC232" s="6" t="s">
        <v>739</v>
      </c>
      <c r="CD232" s="6" t="s">
        <v>163</v>
      </c>
      <c r="CE232" s="6" t="s">
        <v>162</v>
      </c>
      <c r="CH232" s="6" t="s">
        <v>201</v>
      </c>
      <c r="CI232" s="6" t="s">
        <v>2673</v>
      </c>
      <c r="CJ232" s="6" t="s">
        <v>163</v>
      </c>
      <c r="CK232" s="6" t="s">
        <v>162</v>
      </c>
      <c r="CL232" s="6" t="s">
        <v>163</v>
      </c>
      <c r="CO232" s="6" t="s">
        <v>163</v>
      </c>
      <c r="CQ232" s="6" t="s">
        <v>2197</v>
      </c>
      <c r="CR232" s="6" t="s">
        <v>206</v>
      </c>
      <c r="CS232" s="6" t="s">
        <v>163</v>
      </c>
      <c r="CT232" s="0" t="n">
        <v>22</v>
      </c>
      <c r="CU232" s="0" t="n">
        <v>7</v>
      </c>
      <c r="CV232" s="0" t="n">
        <v>4</v>
      </c>
      <c r="CW232" s="0" t="n">
        <v>6</v>
      </c>
      <c r="CX232" s="0" t="n">
        <v>5</v>
      </c>
      <c r="CY232" s="6" t="n">
        <f aca="false">IF(AH232="exact",10,IF(AH232="adjacent",5,0))</f>
        <v>0</v>
      </c>
      <c r="CZ232" s="6" t="n">
        <f aca="false">IF(R232="Y",15,0)</f>
        <v>0</v>
      </c>
      <c r="DF232" s="6" t="s">
        <v>158</v>
      </c>
      <c r="DG232" s="6" t="s">
        <v>211</v>
      </c>
      <c r="DJ232" s="6" t="s">
        <v>3571</v>
      </c>
      <c r="DK232" s="6" t="s">
        <v>3572</v>
      </c>
      <c r="DS232" s="6" t="s">
        <v>158</v>
      </c>
      <c r="DX232" s="6" t="s">
        <v>162</v>
      </c>
      <c r="ER232" s="0" t="str">
        <f aca="false">IF(ISNUMBER(MATCH(U232,{"queued","contacted","replied","call_booked","call_done","yes_in_principle","materials_sent"},0)),"Y","N")</f>
        <v>N</v>
      </c>
      <c r="ES232" s="0" t="str">
        <f aca="false">IF(COUNTIFS($AP$2:$AP$1000,AP232,$ER$2:$ER$1000,"Y")+COUNTIFS($AP$2:$AP$1000,AP232,$T$2:$T$1000,"Y")&gt;0,"Y","N")</f>
        <v>N</v>
      </c>
      <c r="ET232" s="0" t="str">
        <f aca="false">IF(AND(U232="new",T232="N",AT232="Y",AS232="",ES232="N"),"Y","N")</f>
        <v>N</v>
      </c>
      <c r="EU232" s="0" t="str">
        <f aca="false">IF(ET232&lt;&gt;"Y","N",IF(COUNTIFS($AP$2:$AP$1000,AP232,$ET$2:$ET$1000,"Y",$J$2:$J$1000,"&gt;"&amp;J232)+COUNTIFS($AP$2:$AP$1000,AP232,$ET$2:$ET$1000,"Y",$J$2:$J$1000,J232,$EW$2:$EW$1000,"&lt;"&amp;EW232)=0,"Y","N"))</f>
        <v>N</v>
      </c>
      <c r="EV232" s="0" t="str">
        <f aca="false">IF(Y232="","N",IF(Y232&lt;=10,"Y","N"))</f>
        <v>N</v>
      </c>
      <c r="EW232" s="6" t="n">
        <f aca="false">ROW()-1</f>
        <v>231</v>
      </c>
    </row>
    <row r="233" customFormat="false" ht="15" hidden="false" customHeight="false" outlineLevel="0" collapsed="false">
      <c r="A233" s="0" t="s">
        <v>3573</v>
      </c>
      <c r="B233" s="0" t="s">
        <v>3574</v>
      </c>
      <c r="H233" s="5" t="s">
        <v>158</v>
      </c>
      <c r="I233" s="5" t="s">
        <v>159</v>
      </c>
      <c r="J233" s="6" t="n">
        <f aca="false">IF(AX233="pass",ROUND(CU233+CV233+CW233+CX233+CY233+CZ233,1),0)</f>
        <v>22</v>
      </c>
      <c r="K233" s="6" t="s">
        <v>3575</v>
      </c>
      <c r="L233" s="6" t="s">
        <v>163</v>
      </c>
      <c r="R233" s="5" t="s">
        <v>162</v>
      </c>
      <c r="S233" s="6" t="s">
        <v>163</v>
      </c>
      <c r="T233" s="5" t="s">
        <v>162</v>
      </c>
      <c r="U233" s="5" t="s">
        <v>228</v>
      </c>
      <c r="V233" s="6" t="s">
        <v>3576</v>
      </c>
      <c r="W233" s="6" t="s">
        <v>166</v>
      </c>
      <c r="X233" s="6" t="s">
        <v>167</v>
      </c>
      <c r="Y233" s="0" t="str">
        <f aca="false">IF(EU233&lt;&gt;"Y","",COUNTIFS($EU$2:$EU$1000,"Y",$J$2:$J$1000,"&gt;"&amp;J233)+COUNTIFS($EU$2:$EU$1000,"Y",$J$2:$J$1000,J233,$EW$2:$EW$1000,"&lt;"&amp;EW233)+1)</f>
        <v/>
      </c>
      <c r="Z233" s="0" t="n">
        <v>232</v>
      </c>
      <c r="AA233" s="6" t="s">
        <v>162</v>
      </c>
      <c r="AD233" s="6" t="s">
        <v>158</v>
      </c>
      <c r="AH233" s="5" t="s">
        <v>158</v>
      </c>
      <c r="AI233" s="6" t="s">
        <v>1454</v>
      </c>
      <c r="AJ233" s="6" t="s">
        <v>434</v>
      </c>
      <c r="AK233" s="6" t="s">
        <v>435</v>
      </c>
      <c r="AL233" s="6" t="s">
        <v>163</v>
      </c>
      <c r="AM233" s="6" t="s">
        <v>163</v>
      </c>
      <c r="AN233" s="6" t="s">
        <v>158</v>
      </c>
      <c r="AO233" s="6" t="s">
        <v>163</v>
      </c>
      <c r="AP233" s="6" t="s">
        <v>3573</v>
      </c>
      <c r="AQ233" s="5" t="s">
        <v>162</v>
      </c>
      <c r="AT233" s="0" t="str">
        <f aca="false">IF(AND(AX233="pass",AQ233&lt;&gt;"Y",C233&lt;&gt;"",OR(AW233&lt;&gt;"Y",AV233="Y")),"Y","N")</f>
        <v>N</v>
      </c>
      <c r="AU233" s="0" t="str">
        <f aca="false">_xlfn.TEXTJOIN("; ",TRUE(),IF(AX233&lt;&gt;"pass","gated out",""),IF(AQ233="Y","on hold: "&amp;AR233,""),IF(C233="","no contact named on an opened page",""),IF(AND(AW233="Y",AV233&lt;&gt;"Y"),"Tuesday estimate band "&amp;L233&amp;": founder's call",""))</f>
        <v>no contact named on an opened page</v>
      </c>
      <c r="AW233" s="6" t="s">
        <v>162</v>
      </c>
      <c r="AX233" s="6" t="s">
        <v>181</v>
      </c>
      <c r="AY233" s="6" t="s">
        <v>182</v>
      </c>
      <c r="AZ233" s="6" t="s">
        <v>1</v>
      </c>
      <c r="BA233" s="6" t="s">
        <v>3577</v>
      </c>
      <c r="BB233" s="6" t="s">
        <v>3578</v>
      </c>
      <c r="BC233" s="6" t="s">
        <v>3579</v>
      </c>
      <c r="BD233" s="6" t="s">
        <v>163</v>
      </c>
      <c r="BF233" s="6" t="s">
        <v>163</v>
      </c>
      <c r="BG233" s="6" t="s">
        <v>163</v>
      </c>
      <c r="BH233" s="6" t="s">
        <v>2196</v>
      </c>
      <c r="BK233" s="6" t="s">
        <v>163</v>
      </c>
      <c r="BL233" s="6" t="s">
        <v>163</v>
      </c>
      <c r="BM233" s="6" t="s">
        <v>163</v>
      </c>
      <c r="BN233" s="6" t="s">
        <v>3580</v>
      </c>
      <c r="BO233" s="6" t="s">
        <v>163</v>
      </c>
      <c r="BP233" s="6" t="s">
        <v>712</v>
      </c>
      <c r="BQ233" s="0" t="n">
        <v>40.744515</v>
      </c>
      <c r="BR233" s="0" t="n">
        <v>-73.988255</v>
      </c>
      <c r="BS233" s="6" t="s">
        <v>168</v>
      </c>
      <c r="BT233" s="0" t="n">
        <v>0</v>
      </c>
      <c r="BU233" s="6" t="s">
        <v>1463</v>
      </c>
      <c r="BV233" s="6" t="s">
        <v>1464</v>
      </c>
      <c r="BW233" s="6" t="s">
        <v>3576</v>
      </c>
      <c r="BX233" s="6" t="s">
        <v>3581</v>
      </c>
      <c r="BY233" s="6" t="s">
        <v>248</v>
      </c>
      <c r="CC233" s="6" t="s">
        <v>179</v>
      </c>
      <c r="CE233" s="6" t="s">
        <v>162</v>
      </c>
      <c r="CH233" s="6" t="s">
        <v>163</v>
      </c>
      <c r="CJ233" s="6" t="s">
        <v>163</v>
      </c>
      <c r="CK233" s="6" t="s">
        <v>162</v>
      </c>
      <c r="CL233" s="6" t="s">
        <v>163</v>
      </c>
      <c r="CO233" s="6" t="s">
        <v>163</v>
      </c>
      <c r="CQ233" s="6" t="s">
        <v>2197</v>
      </c>
      <c r="CR233" s="6" t="s">
        <v>206</v>
      </c>
      <c r="CS233" s="6" t="s">
        <v>163</v>
      </c>
      <c r="CT233" s="0" t="n">
        <v>22</v>
      </c>
      <c r="CU233" s="0" t="n">
        <v>7</v>
      </c>
      <c r="CV233" s="0" t="n">
        <v>4</v>
      </c>
      <c r="CW233" s="0" t="n">
        <v>6</v>
      </c>
      <c r="CX233" s="0" t="n">
        <v>5</v>
      </c>
      <c r="CY233" s="6" t="n">
        <f aca="false">IF(AH233="exact",10,IF(AH233="adjacent",5,0))</f>
        <v>0</v>
      </c>
      <c r="CZ233" s="6" t="n">
        <f aca="false">IF(R233="Y",15,0)</f>
        <v>0</v>
      </c>
      <c r="DF233" s="6" t="s">
        <v>158</v>
      </c>
      <c r="DG233" s="6" t="s">
        <v>211</v>
      </c>
      <c r="DJ233" s="6" t="s">
        <v>3582</v>
      </c>
      <c r="DK233" s="6" t="s">
        <v>3583</v>
      </c>
      <c r="DS233" s="6" t="s">
        <v>158</v>
      </c>
      <c r="DX233" s="6" t="s">
        <v>162</v>
      </c>
      <c r="ER233" s="0" t="str">
        <f aca="false">IF(ISNUMBER(MATCH(U233,{"queued","contacted","replied","call_booked","call_done","yes_in_principle","materials_sent"},0)),"Y","N")</f>
        <v>N</v>
      </c>
      <c r="ES233" s="0" t="str">
        <f aca="false">IF(COUNTIFS($AP$2:$AP$1000,AP233,$ER$2:$ER$1000,"Y")+COUNTIFS($AP$2:$AP$1000,AP233,$T$2:$T$1000,"Y")&gt;0,"Y","N")</f>
        <v>N</v>
      </c>
      <c r="ET233" s="0" t="str">
        <f aca="false">IF(AND(U233="new",T233="N",AT233="Y",AS233="",ES233="N"),"Y","N")</f>
        <v>N</v>
      </c>
      <c r="EU233" s="0" t="str">
        <f aca="false">IF(ET233&lt;&gt;"Y","N",IF(COUNTIFS($AP$2:$AP$1000,AP233,$ET$2:$ET$1000,"Y",$J$2:$J$1000,"&gt;"&amp;J233)+COUNTIFS($AP$2:$AP$1000,AP233,$ET$2:$ET$1000,"Y",$J$2:$J$1000,J233,$EW$2:$EW$1000,"&lt;"&amp;EW233)=0,"Y","N"))</f>
        <v>N</v>
      </c>
      <c r="EV233" s="0" t="str">
        <f aca="false">IF(Y233="","N",IF(Y233&lt;=10,"Y","N"))</f>
        <v>N</v>
      </c>
      <c r="EW233" s="6" t="n">
        <f aca="false">ROW()-1</f>
        <v>232</v>
      </c>
    </row>
    <row r="234" customFormat="false" ht="15" hidden="false" customHeight="false" outlineLevel="0" collapsed="false">
      <c r="A234" s="0" t="s">
        <v>3584</v>
      </c>
      <c r="B234" s="0" t="s">
        <v>3585</v>
      </c>
      <c r="H234" s="5" t="s">
        <v>158</v>
      </c>
      <c r="I234" s="5" t="s">
        <v>159</v>
      </c>
      <c r="J234" s="6" t="n">
        <f aca="false">IF(AX234="pass",ROUND(CU234+CV234+CW234+CX234+CY234+CZ234,1),0)</f>
        <v>22</v>
      </c>
      <c r="K234" s="6" t="s">
        <v>3586</v>
      </c>
      <c r="L234" s="6" t="s">
        <v>163</v>
      </c>
      <c r="R234" s="5" t="s">
        <v>162</v>
      </c>
      <c r="S234" s="6" t="s">
        <v>163</v>
      </c>
      <c r="T234" s="5" t="s">
        <v>162</v>
      </c>
      <c r="U234" s="5" t="s">
        <v>228</v>
      </c>
      <c r="V234" s="6" t="s">
        <v>3587</v>
      </c>
      <c r="W234" s="6" t="s">
        <v>166</v>
      </c>
      <c r="X234" s="6" t="s">
        <v>167</v>
      </c>
      <c r="Y234" s="0" t="str">
        <f aca="false">IF(EU234&lt;&gt;"Y","",COUNTIFS($EU$2:$EU$1000,"Y",$J$2:$J$1000,"&gt;"&amp;J234)+COUNTIFS($EU$2:$EU$1000,"Y",$J$2:$J$1000,J234,$EW$2:$EW$1000,"&lt;"&amp;EW234)+1)</f>
        <v/>
      </c>
      <c r="Z234" s="0" t="n">
        <v>233</v>
      </c>
      <c r="AA234" s="6" t="s">
        <v>162</v>
      </c>
      <c r="AD234" s="6" t="s">
        <v>158</v>
      </c>
      <c r="AH234" s="5" t="s">
        <v>158</v>
      </c>
      <c r="AI234" s="6" t="s">
        <v>1546</v>
      </c>
      <c r="AJ234" s="6" t="s">
        <v>3588</v>
      </c>
      <c r="AK234" s="6" t="s">
        <v>435</v>
      </c>
      <c r="AL234" s="6" t="s">
        <v>163</v>
      </c>
      <c r="AM234" s="6" t="s">
        <v>163</v>
      </c>
      <c r="AN234" s="6" t="s">
        <v>158</v>
      </c>
      <c r="AO234" s="6" t="s">
        <v>163</v>
      </c>
      <c r="AP234" s="6" t="s">
        <v>3584</v>
      </c>
      <c r="AQ234" s="5" t="s">
        <v>162</v>
      </c>
      <c r="AT234" s="0" t="str">
        <f aca="false">IF(AND(AX234="pass",AQ234&lt;&gt;"Y",C234&lt;&gt;"",OR(AW234&lt;&gt;"Y",AV234="Y")),"Y","N")</f>
        <v>N</v>
      </c>
      <c r="AU234" s="0" t="str">
        <f aca="false">_xlfn.TEXTJOIN("; ",TRUE(),IF(AX234&lt;&gt;"pass","gated out",""),IF(AQ234="Y","on hold: "&amp;AR234,""),IF(C234="","no contact named on an opened page",""),IF(AND(AW234="Y",AV234&lt;&gt;"Y"),"Tuesday estimate band "&amp;L234&amp;": founder's call",""))</f>
        <v>no contact named on an opened page</v>
      </c>
      <c r="AW234" s="6" t="s">
        <v>162</v>
      </c>
      <c r="AX234" s="6" t="s">
        <v>181</v>
      </c>
      <c r="AY234" s="6" t="s">
        <v>182</v>
      </c>
      <c r="AZ234" s="6" t="s">
        <v>1</v>
      </c>
      <c r="BA234" s="6" t="s">
        <v>3589</v>
      </c>
      <c r="BB234" s="6" t="s">
        <v>163</v>
      </c>
      <c r="BC234" s="6" t="s">
        <v>3590</v>
      </c>
      <c r="BD234" s="6" t="s">
        <v>163</v>
      </c>
      <c r="BF234" s="6" t="s">
        <v>163</v>
      </c>
      <c r="BG234" s="6" t="s">
        <v>163</v>
      </c>
      <c r="BH234" s="6" t="s">
        <v>2196</v>
      </c>
      <c r="BK234" s="6" t="s">
        <v>163</v>
      </c>
      <c r="BL234" s="6" t="s">
        <v>163</v>
      </c>
      <c r="BM234" s="6" t="s">
        <v>163</v>
      </c>
      <c r="BN234" s="6" t="s">
        <v>3591</v>
      </c>
      <c r="BO234" s="6" t="s">
        <v>163</v>
      </c>
      <c r="BP234" s="6" t="s">
        <v>347</v>
      </c>
      <c r="BQ234" s="0" t="n">
        <v>40.739695</v>
      </c>
      <c r="BR234" s="0" t="n">
        <v>-73.989816</v>
      </c>
      <c r="BS234" s="6" t="s">
        <v>168</v>
      </c>
      <c r="BT234" s="0" t="n">
        <v>0</v>
      </c>
      <c r="BU234" s="6" t="s">
        <v>1553</v>
      </c>
      <c r="BV234" s="6" t="s">
        <v>1554</v>
      </c>
      <c r="BW234" s="6" t="s">
        <v>3587</v>
      </c>
      <c r="BX234" s="6" t="s">
        <v>3592</v>
      </c>
      <c r="BY234" s="6" t="s">
        <v>248</v>
      </c>
      <c r="BZ234" s="6" t="s">
        <v>1555</v>
      </c>
      <c r="CA234" s="6" t="s">
        <v>3593</v>
      </c>
      <c r="CC234" s="6" t="s">
        <v>179</v>
      </c>
      <c r="CE234" s="6" t="s">
        <v>162</v>
      </c>
      <c r="CH234" s="6" t="s">
        <v>201</v>
      </c>
      <c r="CI234" s="6" t="s">
        <v>1555</v>
      </c>
      <c r="CJ234" s="6" t="s">
        <v>163</v>
      </c>
      <c r="CK234" s="6" t="s">
        <v>162</v>
      </c>
      <c r="CL234" s="6" t="s">
        <v>163</v>
      </c>
      <c r="CO234" s="6" t="s">
        <v>163</v>
      </c>
      <c r="CQ234" s="6" t="s">
        <v>2197</v>
      </c>
      <c r="CR234" s="6" t="s">
        <v>206</v>
      </c>
      <c r="CS234" s="6" t="s">
        <v>163</v>
      </c>
      <c r="CT234" s="0" t="n">
        <v>22</v>
      </c>
      <c r="CU234" s="0" t="n">
        <v>7</v>
      </c>
      <c r="CV234" s="0" t="n">
        <v>4</v>
      </c>
      <c r="CW234" s="0" t="n">
        <v>6</v>
      </c>
      <c r="CX234" s="0" t="n">
        <v>5</v>
      </c>
      <c r="CY234" s="6" t="n">
        <f aca="false">IF(AH234="exact",10,IF(AH234="adjacent",5,0))</f>
        <v>0</v>
      </c>
      <c r="CZ234" s="6" t="n">
        <f aca="false">IF(R234="Y",15,0)</f>
        <v>0</v>
      </c>
      <c r="DF234" s="6" t="s">
        <v>158</v>
      </c>
      <c r="DG234" s="6" t="s">
        <v>211</v>
      </c>
      <c r="DJ234" s="6" t="s">
        <v>3594</v>
      </c>
      <c r="DK234" s="6" t="s">
        <v>3595</v>
      </c>
      <c r="DS234" s="6" t="s">
        <v>158</v>
      </c>
      <c r="DX234" s="6" t="s">
        <v>162</v>
      </c>
      <c r="ER234" s="0" t="str">
        <f aca="false">IF(ISNUMBER(MATCH(U234,{"queued","contacted","replied","call_booked","call_done","yes_in_principle","materials_sent"},0)),"Y","N")</f>
        <v>N</v>
      </c>
      <c r="ES234" s="0" t="str">
        <f aca="false">IF(COUNTIFS($AP$2:$AP$1000,AP234,$ER$2:$ER$1000,"Y")+COUNTIFS($AP$2:$AP$1000,AP234,$T$2:$T$1000,"Y")&gt;0,"Y","N")</f>
        <v>N</v>
      </c>
      <c r="ET234" s="0" t="str">
        <f aca="false">IF(AND(U234="new",T234="N",AT234="Y",AS234="",ES234="N"),"Y","N")</f>
        <v>N</v>
      </c>
      <c r="EU234" s="0" t="str">
        <f aca="false">IF(ET234&lt;&gt;"Y","N",IF(COUNTIFS($AP$2:$AP$1000,AP234,$ET$2:$ET$1000,"Y",$J$2:$J$1000,"&gt;"&amp;J234)+COUNTIFS($AP$2:$AP$1000,AP234,$ET$2:$ET$1000,"Y",$J$2:$J$1000,J234,$EW$2:$EW$1000,"&lt;"&amp;EW234)=0,"Y","N"))</f>
        <v>N</v>
      </c>
      <c r="EV234" s="0" t="str">
        <f aca="false">IF(Y234="","N",IF(Y234&lt;=10,"Y","N"))</f>
        <v>N</v>
      </c>
      <c r="EW234" s="6" t="n">
        <f aca="false">ROW()-1</f>
        <v>233</v>
      </c>
    </row>
    <row r="235" customFormat="false" ht="15" hidden="false" customHeight="false" outlineLevel="0" collapsed="false">
      <c r="A235" s="0" t="s">
        <v>3596</v>
      </c>
      <c r="B235" s="0" t="s">
        <v>3597</v>
      </c>
      <c r="H235" s="5" t="s">
        <v>158</v>
      </c>
      <c r="I235" s="5" t="s">
        <v>159</v>
      </c>
      <c r="J235" s="6" t="n">
        <f aca="false">IF(AX235="pass",ROUND(CU235+CV235+CW235+CX235+CY235+CZ235,1),0)</f>
        <v>21.9</v>
      </c>
      <c r="K235" s="6" t="s">
        <v>3598</v>
      </c>
      <c r="L235" s="6" t="s">
        <v>1323</v>
      </c>
      <c r="R235" s="5" t="s">
        <v>162</v>
      </c>
      <c r="S235" s="6" t="s">
        <v>163</v>
      </c>
      <c r="T235" s="5" t="s">
        <v>162</v>
      </c>
      <c r="U235" s="5" t="s">
        <v>228</v>
      </c>
      <c r="V235" s="6" t="s">
        <v>3202</v>
      </c>
      <c r="W235" s="6" t="s">
        <v>166</v>
      </c>
      <c r="X235" s="6" t="s">
        <v>167</v>
      </c>
      <c r="Y235" s="0" t="str">
        <f aca="false">IF(EU235&lt;&gt;"Y","",COUNTIFS($EU$2:$EU$1000,"Y",$J$2:$J$1000,"&gt;"&amp;J235)+COUNTIFS($EU$2:$EU$1000,"Y",$J$2:$J$1000,J235,$EW$2:$EW$1000,"&lt;"&amp;EW235)+1)</f>
        <v/>
      </c>
      <c r="Z235" s="0" t="n">
        <v>234</v>
      </c>
      <c r="AA235" s="6" t="s">
        <v>162</v>
      </c>
      <c r="AB235" s="6" t="s">
        <v>2528</v>
      </c>
      <c r="AD235" s="6" t="s">
        <v>158</v>
      </c>
      <c r="AH235" s="5" t="s">
        <v>158</v>
      </c>
      <c r="AI235" s="6" t="s">
        <v>1992</v>
      </c>
      <c r="AJ235" s="6" t="s">
        <v>163</v>
      </c>
      <c r="AK235" s="6" t="s">
        <v>178</v>
      </c>
      <c r="AL235" s="0" t="n">
        <v>225</v>
      </c>
      <c r="AM235" s="0" t="n">
        <v>4508</v>
      </c>
      <c r="AN235" s="6" t="s">
        <v>179</v>
      </c>
      <c r="AO235" s="6" t="s">
        <v>163</v>
      </c>
      <c r="AP235" s="6" t="s">
        <v>3596</v>
      </c>
      <c r="AQ235" s="5" t="s">
        <v>162</v>
      </c>
      <c r="AT235" s="0" t="str">
        <f aca="false">IF(AND(AX235="pass",AQ235&lt;&gt;"Y",C235&lt;&gt;"",OR(AW235&lt;&gt;"Y",AV235="Y")),"Y","N")</f>
        <v>N</v>
      </c>
      <c r="AU235" s="0" t="str">
        <f aca="false">_xlfn.TEXTJOIN("; ",TRUE(),IF(AX235&lt;&gt;"pass","gated out",""),IF(AQ235="Y","on hold: "&amp;AR235,""),IF(C235="","no contact named on an opened page",""),IF(AND(AW235="Y",AV235&lt;&gt;"Y"),"Tuesday estimate band "&amp;L235&amp;": founder's call",""))</f>
        <v>no contact named on an opened page; Tuesday estimate band over-500: founder's call</v>
      </c>
      <c r="AW235" s="6" t="s">
        <v>168</v>
      </c>
      <c r="AX235" s="6" t="s">
        <v>181</v>
      </c>
      <c r="AY235" s="6" t="s">
        <v>182</v>
      </c>
      <c r="AZ235" s="6" t="s">
        <v>1</v>
      </c>
      <c r="BA235" s="6" t="s">
        <v>3599</v>
      </c>
      <c r="BB235" s="6" t="s">
        <v>3600</v>
      </c>
      <c r="BC235" s="6" t="s">
        <v>3601</v>
      </c>
      <c r="BD235" s="6" t="s">
        <v>3602</v>
      </c>
      <c r="BF235" s="6" t="s">
        <v>1323</v>
      </c>
      <c r="BG235" s="6" t="s">
        <v>188</v>
      </c>
      <c r="BH235" s="6" t="s">
        <v>189</v>
      </c>
      <c r="BI235" s="6" t="s">
        <v>3603</v>
      </c>
      <c r="BK235" s="6" t="s">
        <v>3288</v>
      </c>
      <c r="BL235" s="6" t="s">
        <v>163</v>
      </c>
      <c r="BM235" s="6" t="s">
        <v>163</v>
      </c>
      <c r="BN235" s="6" t="s">
        <v>163</v>
      </c>
      <c r="BO235" s="6" t="s">
        <v>163</v>
      </c>
      <c r="BP235" s="6" t="s">
        <v>347</v>
      </c>
      <c r="BQ235" s="0" t="n">
        <v>40.741141</v>
      </c>
      <c r="BR235" s="0" t="n">
        <v>-73.987489</v>
      </c>
      <c r="BS235" s="6" t="s">
        <v>168</v>
      </c>
      <c r="BT235" s="0" t="n">
        <v>0</v>
      </c>
      <c r="BV235" s="6" t="s">
        <v>163</v>
      </c>
      <c r="BW235" s="6" t="s">
        <v>3202</v>
      </c>
      <c r="BX235" s="6" t="s">
        <v>3208</v>
      </c>
      <c r="BY235" s="6" t="s">
        <v>3209</v>
      </c>
      <c r="BZ235" s="6" t="s">
        <v>3604</v>
      </c>
      <c r="CA235" s="6" t="s">
        <v>3605</v>
      </c>
      <c r="CC235" s="6" t="s">
        <v>200</v>
      </c>
      <c r="CE235" s="6" t="s">
        <v>162</v>
      </c>
      <c r="CH235" s="6" t="s">
        <v>163</v>
      </c>
      <c r="CJ235" s="6" t="s">
        <v>163</v>
      </c>
      <c r="CK235" s="6" t="s">
        <v>162</v>
      </c>
      <c r="CL235" s="6" t="s">
        <v>163</v>
      </c>
      <c r="CO235" s="0" t="n">
        <v>1007</v>
      </c>
      <c r="CP235" s="6" t="s">
        <v>251</v>
      </c>
      <c r="CQ235" s="6" t="s">
        <v>3606</v>
      </c>
      <c r="CR235" s="6" t="s">
        <v>206</v>
      </c>
      <c r="CS235" s="0" t="n">
        <v>0.04</v>
      </c>
      <c r="CT235" s="0" t="n">
        <v>21.9</v>
      </c>
      <c r="CU235" s="0" t="n">
        <v>0.9</v>
      </c>
      <c r="CV235" s="0" t="n">
        <v>0</v>
      </c>
      <c r="CW235" s="0" t="n">
        <v>6</v>
      </c>
      <c r="CX235" s="0" t="n">
        <v>15</v>
      </c>
      <c r="CY235" s="6" t="n">
        <f aca="false">IF(AH235="exact",10,IF(AH235="adjacent",5,0))</f>
        <v>0</v>
      </c>
      <c r="CZ235" s="6" t="n">
        <f aca="false">IF(R235="Y",15,0)</f>
        <v>0</v>
      </c>
      <c r="DF235" s="6" t="s">
        <v>158</v>
      </c>
      <c r="DG235" s="6" t="s">
        <v>1336</v>
      </c>
      <c r="DH235" s="6" t="s">
        <v>3291</v>
      </c>
      <c r="DI235" s="6" t="s">
        <v>162</v>
      </c>
      <c r="DJ235" s="6" t="s">
        <v>3607</v>
      </c>
      <c r="DK235" s="6" t="s">
        <v>3608</v>
      </c>
      <c r="DS235" s="6" t="s">
        <v>158</v>
      </c>
      <c r="DX235" s="6" t="s">
        <v>162</v>
      </c>
      <c r="ER235" s="0" t="str">
        <f aca="false">IF(ISNUMBER(MATCH(U235,{"queued","contacted","replied","call_booked","call_done","yes_in_principle","materials_sent"},0)),"Y","N")</f>
        <v>N</v>
      </c>
      <c r="ES235" s="0" t="str">
        <f aca="false">IF(COUNTIFS($AP$2:$AP$1000,AP235,$ER$2:$ER$1000,"Y")+COUNTIFS($AP$2:$AP$1000,AP235,$T$2:$T$1000,"Y")&gt;0,"Y","N")</f>
        <v>N</v>
      </c>
      <c r="ET235" s="0" t="str">
        <f aca="false">IF(AND(U235="new",T235="N",AT235="Y",AS235="",ES235="N"),"Y","N")</f>
        <v>N</v>
      </c>
      <c r="EU235" s="0" t="str">
        <f aca="false">IF(ET235&lt;&gt;"Y","N",IF(COUNTIFS($AP$2:$AP$1000,AP235,$ET$2:$ET$1000,"Y",$J$2:$J$1000,"&gt;"&amp;J235)+COUNTIFS($AP$2:$AP$1000,AP235,$ET$2:$ET$1000,"Y",$J$2:$J$1000,J235,$EW$2:$EW$1000,"&lt;"&amp;EW235)=0,"Y","N"))</f>
        <v>N</v>
      </c>
      <c r="EV235" s="0" t="str">
        <f aca="false">IF(Y235="","N",IF(Y235&lt;=10,"Y","N"))</f>
        <v>N</v>
      </c>
      <c r="EW235" s="6" t="n">
        <f aca="false">ROW()-1</f>
        <v>234</v>
      </c>
    </row>
    <row r="236" customFormat="false" ht="15" hidden="false" customHeight="false" outlineLevel="0" collapsed="false">
      <c r="A236" s="0" t="s">
        <v>3609</v>
      </c>
      <c r="B236" s="0" t="s">
        <v>3610</v>
      </c>
      <c r="H236" s="5" t="s">
        <v>158</v>
      </c>
      <c r="I236" s="5" t="s">
        <v>159</v>
      </c>
      <c r="J236" s="6" t="n">
        <f aca="false">IF(AX236="pass",ROUND(CU236+CV236+CW236+CX236+CY236+CZ236,1),0)</f>
        <v>21.7</v>
      </c>
      <c r="K236" s="6" t="s">
        <v>3611</v>
      </c>
      <c r="L236" s="6" t="s">
        <v>1323</v>
      </c>
      <c r="R236" s="5" t="s">
        <v>162</v>
      </c>
      <c r="S236" s="6" t="s">
        <v>163</v>
      </c>
      <c r="T236" s="5" t="s">
        <v>162</v>
      </c>
      <c r="U236" s="5" t="s">
        <v>228</v>
      </c>
      <c r="V236" s="6" t="s">
        <v>3282</v>
      </c>
      <c r="W236" s="6" t="s">
        <v>166</v>
      </c>
      <c r="X236" s="6" t="s">
        <v>167</v>
      </c>
      <c r="Y236" s="0" t="str">
        <f aca="false">IF(EU236&lt;&gt;"Y","",COUNTIFS($EU$2:$EU$1000,"Y",$J$2:$J$1000,"&gt;"&amp;J236)+COUNTIFS($EU$2:$EU$1000,"Y",$J$2:$J$1000,J236,$EW$2:$EW$1000,"&lt;"&amp;EW236)+1)</f>
        <v/>
      </c>
      <c r="Z236" s="0" t="n">
        <v>235</v>
      </c>
      <c r="AA236" s="6" t="s">
        <v>162</v>
      </c>
      <c r="AB236" s="6" t="s">
        <v>2528</v>
      </c>
      <c r="AD236" s="6" t="s">
        <v>158</v>
      </c>
      <c r="AH236" s="5" t="s">
        <v>158</v>
      </c>
      <c r="AI236" s="6" t="s">
        <v>1694</v>
      </c>
      <c r="AJ236" s="6" t="s">
        <v>163</v>
      </c>
      <c r="AK236" s="6" t="s">
        <v>178</v>
      </c>
      <c r="AL236" s="0" t="n">
        <v>230</v>
      </c>
      <c r="AM236" s="0" t="n">
        <v>4600</v>
      </c>
      <c r="AN236" s="6" t="s">
        <v>179</v>
      </c>
      <c r="AO236" s="6" t="s">
        <v>163</v>
      </c>
      <c r="AP236" s="6" t="s">
        <v>3609</v>
      </c>
      <c r="AQ236" s="5" t="s">
        <v>162</v>
      </c>
      <c r="AT236" s="0" t="str">
        <f aca="false">IF(AND(AX236="pass",AQ236&lt;&gt;"Y",C236&lt;&gt;"",OR(AW236&lt;&gt;"Y",AV236="Y")),"Y","N")</f>
        <v>N</v>
      </c>
      <c r="AU236" s="0" t="str">
        <f aca="false">_xlfn.TEXTJOIN("; ",TRUE(),IF(AX236&lt;&gt;"pass","gated out",""),IF(AQ236="Y","on hold: "&amp;AR236,""),IF(C236="","no contact named on an opened page",""),IF(AND(AW236="Y",AV236&lt;&gt;"Y"),"Tuesday estimate band "&amp;L236&amp;": founder's call",""))</f>
        <v>no contact named on an opened page; Tuesday estimate band over-500: founder's call</v>
      </c>
      <c r="AW236" s="6" t="s">
        <v>168</v>
      </c>
      <c r="AX236" s="6" t="s">
        <v>181</v>
      </c>
      <c r="AY236" s="6" t="s">
        <v>182</v>
      </c>
      <c r="AZ236" s="6" t="s">
        <v>1</v>
      </c>
      <c r="BA236" s="6" t="s">
        <v>3612</v>
      </c>
      <c r="BB236" s="6" t="s">
        <v>3613</v>
      </c>
      <c r="BC236" s="6" t="s">
        <v>3540</v>
      </c>
      <c r="BD236" s="6" t="s">
        <v>3614</v>
      </c>
      <c r="BF236" s="6" t="s">
        <v>1323</v>
      </c>
      <c r="BG236" s="6" t="s">
        <v>188</v>
      </c>
      <c r="BH236" s="6" t="s">
        <v>189</v>
      </c>
      <c r="BI236" s="6" t="s">
        <v>3615</v>
      </c>
      <c r="BK236" s="6" t="s">
        <v>3288</v>
      </c>
      <c r="BL236" s="6" t="s">
        <v>163</v>
      </c>
      <c r="BM236" s="6" t="s">
        <v>163</v>
      </c>
      <c r="BN236" s="6" t="s">
        <v>163</v>
      </c>
      <c r="BO236" s="6" t="s">
        <v>163</v>
      </c>
      <c r="BP236" s="6" t="s">
        <v>347</v>
      </c>
      <c r="BQ236" s="0" t="n">
        <v>40.741761</v>
      </c>
      <c r="BR236" s="0" t="n">
        <v>-73.987033</v>
      </c>
      <c r="BS236" s="6" t="s">
        <v>168</v>
      </c>
      <c r="BT236" s="0" t="n">
        <v>0</v>
      </c>
      <c r="BU236" s="6" t="s">
        <v>1703</v>
      </c>
      <c r="BV236" s="6" t="s">
        <v>1704</v>
      </c>
      <c r="BW236" s="6" t="s">
        <v>3282</v>
      </c>
      <c r="BX236" s="6" t="s">
        <v>3289</v>
      </c>
      <c r="BY236" s="6" t="s">
        <v>3209</v>
      </c>
      <c r="BZ236" s="6" t="s">
        <v>3228</v>
      </c>
      <c r="CA236" s="6" t="s">
        <v>3229</v>
      </c>
      <c r="CC236" s="6" t="s">
        <v>200</v>
      </c>
      <c r="CE236" s="6" t="s">
        <v>162</v>
      </c>
      <c r="CH236" s="6" t="s">
        <v>1707</v>
      </c>
      <c r="CI236" s="6" t="s">
        <v>1708</v>
      </c>
      <c r="CJ236" s="6" t="s">
        <v>163</v>
      </c>
      <c r="CK236" s="6" t="s">
        <v>162</v>
      </c>
      <c r="CL236" s="6" t="s">
        <v>163</v>
      </c>
      <c r="CO236" s="0" t="n">
        <v>1029</v>
      </c>
      <c r="CP236" s="6" t="s">
        <v>251</v>
      </c>
      <c r="CQ236" s="6" t="s">
        <v>3616</v>
      </c>
      <c r="CR236" s="6" t="s">
        <v>206</v>
      </c>
      <c r="CS236" s="0" t="n">
        <v>0.03</v>
      </c>
      <c r="CT236" s="0" t="n">
        <v>21.7</v>
      </c>
      <c r="CU236" s="0" t="n">
        <v>0.7</v>
      </c>
      <c r="CV236" s="0" t="n">
        <v>0</v>
      </c>
      <c r="CW236" s="0" t="n">
        <v>6</v>
      </c>
      <c r="CX236" s="0" t="n">
        <v>15</v>
      </c>
      <c r="CY236" s="6" t="n">
        <f aca="false">IF(AH236="exact",10,IF(AH236="adjacent",5,0))</f>
        <v>0</v>
      </c>
      <c r="CZ236" s="6" t="n">
        <f aca="false">IF(R236="Y",15,0)</f>
        <v>0</v>
      </c>
      <c r="DF236" s="6" t="s">
        <v>158</v>
      </c>
      <c r="DG236" s="6" t="s">
        <v>1336</v>
      </c>
      <c r="DH236" s="6" t="s">
        <v>3291</v>
      </c>
      <c r="DI236" s="6" t="s">
        <v>162</v>
      </c>
      <c r="DK236" s="6" t="s">
        <v>3617</v>
      </c>
      <c r="DS236" s="6" t="s">
        <v>158</v>
      </c>
      <c r="DX236" s="6" t="s">
        <v>162</v>
      </c>
      <c r="ER236" s="0" t="str">
        <f aca="false">IF(ISNUMBER(MATCH(U236,{"queued","contacted","replied","call_booked","call_done","yes_in_principle","materials_sent"},0)),"Y","N")</f>
        <v>N</v>
      </c>
      <c r="ES236" s="0" t="str">
        <f aca="false">IF(COUNTIFS($AP$2:$AP$1000,AP236,$ER$2:$ER$1000,"Y")+COUNTIFS($AP$2:$AP$1000,AP236,$T$2:$T$1000,"Y")&gt;0,"Y","N")</f>
        <v>N</v>
      </c>
      <c r="ET236" s="0" t="str">
        <f aca="false">IF(AND(U236="new",T236="N",AT236="Y",AS236="",ES236="N"),"Y","N")</f>
        <v>N</v>
      </c>
      <c r="EU236" s="0" t="str">
        <f aca="false">IF(ET236&lt;&gt;"Y","N",IF(COUNTIFS($AP$2:$AP$1000,AP236,$ET$2:$ET$1000,"Y",$J$2:$J$1000,"&gt;"&amp;J236)+COUNTIFS($AP$2:$AP$1000,AP236,$ET$2:$ET$1000,"Y",$J$2:$J$1000,J236,$EW$2:$EW$1000,"&lt;"&amp;EW236)=0,"Y","N"))</f>
        <v>N</v>
      </c>
      <c r="EV236" s="0" t="str">
        <f aca="false">IF(Y236="","N",IF(Y236&lt;=10,"Y","N"))</f>
        <v>N</v>
      </c>
      <c r="EW236" s="6" t="n">
        <f aca="false">ROW()-1</f>
        <v>235</v>
      </c>
    </row>
    <row r="237" customFormat="false" ht="15" hidden="false" customHeight="false" outlineLevel="0" collapsed="false">
      <c r="A237" s="0" t="s">
        <v>3618</v>
      </c>
      <c r="B237" s="0" t="s">
        <v>3619</v>
      </c>
      <c r="H237" s="5" t="s">
        <v>158</v>
      </c>
      <c r="I237" s="5" t="s">
        <v>159</v>
      </c>
      <c r="J237" s="6" t="n">
        <f aca="false">IF(AX237="pass",ROUND(CU237+CV237+CW237+CX237+CY237+CZ237,1),0)</f>
        <v>20.3</v>
      </c>
      <c r="K237" s="6" t="s">
        <v>3620</v>
      </c>
      <c r="L237" s="6" t="s">
        <v>1323</v>
      </c>
      <c r="R237" s="5" t="s">
        <v>162</v>
      </c>
      <c r="S237" s="6" t="s">
        <v>163</v>
      </c>
      <c r="T237" s="5" t="s">
        <v>162</v>
      </c>
      <c r="U237" s="5" t="s">
        <v>228</v>
      </c>
      <c r="V237" s="6" t="s">
        <v>3228</v>
      </c>
      <c r="W237" s="6" t="s">
        <v>166</v>
      </c>
      <c r="X237" s="6" t="s">
        <v>167</v>
      </c>
      <c r="Y237" s="0" t="str">
        <f aca="false">IF(EU237&lt;&gt;"Y","",COUNTIFS($EU$2:$EU$1000,"Y",$J$2:$J$1000,"&gt;"&amp;J237)+COUNTIFS($EU$2:$EU$1000,"Y",$J$2:$J$1000,J237,$EW$2:$EW$1000,"&lt;"&amp;EW237)+1)</f>
        <v/>
      </c>
      <c r="Z237" s="0" t="n">
        <v>236</v>
      </c>
      <c r="AA237" s="6" t="s">
        <v>162</v>
      </c>
      <c r="AB237" s="6" t="s">
        <v>2528</v>
      </c>
      <c r="AD237" s="6" t="s">
        <v>158</v>
      </c>
      <c r="AH237" s="5" t="s">
        <v>158</v>
      </c>
      <c r="AI237" s="6" t="s">
        <v>1694</v>
      </c>
      <c r="AJ237" s="6" t="s">
        <v>3403</v>
      </c>
      <c r="AK237" s="6" t="s">
        <v>890</v>
      </c>
      <c r="AL237" s="0" t="n">
        <v>133</v>
      </c>
      <c r="AM237" s="0" t="n">
        <v>2660</v>
      </c>
      <c r="AN237" s="6" t="s">
        <v>179</v>
      </c>
      <c r="AO237" s="6" t="s">
        <v>163</v>
      </c>
      <c r="AP237" s="6" t="s">
        <v>3618</v>
      </c>
      <c r="AQ237" s="5" t="s">
        <v>168</v>
      </c>
      <c r="AR237" s="6" t="s">
        <v>891</v>
      </c>
      <c r="AT237" s="0" t="str">
        <f aca="false">IF(AND(AX237="pass",AQ237&lt;&gt;"Y",C237&lt;&gt;"",OR(AW237&lt;&gt;"Y",AV237="Y")),"Y","N")</f>
        <v>N</v>
      </c>
      <c r="AU237" s="0" t="str">
        <f aca="false">_xlfn.TEXTJOIN("; ",TRUE(),IF(AX237&lt;&gt;"pass","gated out",""),IF(AQ237="Y","on hold: "&amp;AR237,""),IF(C237="","no contact named on an opened page",""),IF(AND(AW237="Y",AV237&lt;&gt;"Y"),"Tuesday estimate band "&amp;L237&amp;": founder's call",""))</f>
        <v>on hold: lease signed, move not confirmed: check the lobby directory before outreach (B); no contact named on an opened page; Tuesday estimate band over-500: founder's call</v>
      </c>
      <c r="AW237" s="6" t="s">
        <v>168</v>
      </c>
      <c r="AX237" s="6" t="s">
        <v>181</v>
      </c>
      <c r="AY237" s="6" t="s">
        <v>182</v>
      </c>
      <c r="AZ237" s="6" t="s">
        <v>1</v>
      </c>
      <c r="BA237" s="6" t="s">
        <v>3621</v>
      </c>
      <c r="BB237" s="6" t="s">
        <v>3622</v>
      </c>
      <c r="BC237" s="6" t="s">
        <v>3623</v>
      </c>
      <c r="BD237" s="6" t="s">
        <v>3624</v>
      </c>
      <c r="BF237" s="6" t="s">
        <v>1323</v>
      </c>
      <c r="BG237" s="6" t="s">
        <v>188</v>
      </c>
      <c r="BH237" s="6" t="s">
        <v>189</v>
      </c>
      <c r="BI237" s="6" t="s">
        <v>3625</v>
      </c>
      <c r="BK237" s="6" t="s">
        <v>1440</v>
      </c>
      <c r="BL237" s="6" t="s">
        <v>163</v>
      </c>
      <c r="BM237" s="6" t="s">
        <v>163</v>
      </c>
      <c r="BN237" s="6" t="s">
        <v>163</v>
      </c>
      <c r="BO237" s="6" t="s">
        <v>163</v>
      </c>
      <c r="BP237" s="6" t="s">
        <v>347</v>
      </c>
      <c r="BQ237" s="0" t="n">
        <v>40.741761</v>
      </c>
      <c r="BR237" s="0" t="n">
        <v>-73.987033</v>
      </c>
      <c r="BS237" s="6" t="s">
        <v>168</v>
      </c>
      <c r="BT237" s="0" t="n">
        <v>0</v>
      </c>
      <c r="BU237" s="6" t="s">
        <v>1703</v>
      </c>
      <c r="BV237" s="6" t="s">
        <v>1704</v>
      </c>
      <c r="BW237" s="6" t="s">
        <v>3228</v>
      </c>
      <c r="BX237" s="6" t="s">
        <v>3229</v>
      </c>
      <c r="BY237" s="6" t="s">
        <v>248</v>
      </c>
      <c r="BZ237" s="6" t="s">
        <v>3282</v>
      </c>
      <c r="CA237" s="6" t="s">
        <v>3289</v>
      </c>
      <c r="CC237" s="6" t="s">
        <v>200</v>
      </c>
      <c r="CD237" s="6" t="s">
        <v>163</v>
      </c>
      <c r="CE237" s="6" t="s">
        <v>162</v>
      </c>
      <c r="CH237" s="6" t="s">
        <v>1707</v>
      </c>
      <c r="CI237" s="6" t="s">
        <v>1708</v>
      </c>
      <c r="CJ237" s="6" t="s">
        <v>163</v>
      </c>
      <c r="CK237" s="6" t="s">
        <v>162</v>
      </c>
      <c r="CL237" s="6" t="s">
        <v>163</v>
      </c>
      <c r="CO237" s="0" t="n">
        <v>595</v>
      </c>
      <c r="CP237" s="6" t="s">
        <v>251</v>
      </c>
      <c r="CQ237" s="6" t="s">
        <v>3626</v>
      </c>
      <c r="CR237" s="6" t="s">
        <v>206</v>
      </c>
      <c r="CS237" s="0" t="n">
        <v>0.21</v>
      </c>
      <c r="CT237" s="0" t="n">
        <v>20.3</v>
      </c>
      <c r="CU237" s="0" t="n">
        <v>5.3</v>
      </c>
      <c r="CV237" s="0" t="n">
        <v>2</v>
      </c>
      <c r="CW237" s="0" t="n">
        <v>6</v>
      </c>
      <c r="CX237" s="0" t="n">
        <v>7</v>
      </c>
      <c r="CY237" s="6" t="n">
        <f aca="false">IF(AH237="exact",10,IF(AH237="adjacent",5,0))</f>
        <v>0</v>
      </c>
      <c r="CZ237" s="6" t="n">
        <f aca="false">IF(R237="Y",15,0)</f>
        <v>0</v>
      </c>
      <c r="DF237" s="6" t="s">
        <v>158</v>
      </c>
      <c r="DG237" s="6" t="s">
        <v>1336</v>
      </c>
      <c r="DH237" s="6" t="s">
        <v>1447</v>
      </c>
      <c r="DI237" s="6" t="s">
        <v>162</v>
      </c>
      <c r="DJ237" s="6" t="s">
        <v>3627</v>
      </c>
      <c r="DK237" s="6" t="s">
        <v>3628</v>
      </c>
      <c r="DS237" s="6" t="s">
        <v>158</v>
      </c>
      <c r="DX237" s="6" t="s">
        <v>162</v>
      </c>
      <c r="ER237" s="0" t="str">
        <f aca="false">IF(ISNUMBER(MATCH(U237,{"queued","contacted","replied","call_booked","call_done","yes_in_principle","materials_sent"},0)),"Y","N")</f>
        <v>N</v>
      </c>
      <c r="ES237" s="0" t="str">
        <f aca="false">IF(COUNTIFS($AP$2:$AP$1000,AP237,$ER$2:$ER$1000,"Y")+COUNTIFS($AP$2:$AP$1000,AP237,$T$2:$T$1000,"Y")&gt;0,"Y","N")</f>
        <v>N</v>
      </c>
      <c r="ET237" s="0" t="str">
        <f aca="false">IF(AND(U237="new",T237="N",AT237="Y",AS237="",ES237="N"),"Y","N")</f>
        <v>N</v>
      </c>
      <c r="EU237" s="0" t="str">
        <f aca="false">IF(ET237&lt;&gt;"Y","N",IF(COUNTIFS($AP$2:$AP$1000,AP237,$ET$2:$ET$1000,"Y",$J$2:$J$1000,"&gt;"&amp;J237)+COUNTIFS($AP$2:$AP$1000,AP237,$ET$2:$ET$1000,"Y",$J$2:$J$1000,J237,$EW$2:$EW$1000,"&lt;"&amp;EW237)=0,"Y","N"))</f>
        <v>N</v>
      </c>
      <c r="EV237" s="0" t="str">
        <f aca="false">IF(Y237="","N",IF(Y237&lt;=10,"Y","N"))</f>
        <v>N</v>
      </c>
      <c r="EW237" s="6" t="n">
        <f aca="false">ROW()-1</f>
        <v>236</v>
      </c>
    </row>
    <row r="238" customFormat="false" ht="15" hidden="false" customHeight="false" outlineLevel="0" collapsed="false">
      <c r="A238" s="0" t="s">
        <v>3629</v>
      </c>
      <c r="B238" s="0" t="s">
        <v>3630</v>
      </c>
      <c r="H238" s="5" t="s">
        <v>158</v>
      </c>
      <c r="I238" s="5" t="s">
        <v>159</v>
      </c>
      <c r="J238" s="6" t="n">
        <f aca="false">IF(AX238="pass",ROUND(CU238+CV238+CW238+CX238+CY238+CZ238,1),0)</f>
        <v>19.1</v>
      </c>
      <c r="K238" s="6" t="s">
        <v>3631</v>
      </c>
      <c r="L238" s="6" t="s">
        <v>1323</v>
      </c>
      <c r="R238" s="5" t="s">
        <v>162</v>
      </c>
      <c r="S238" s="6" t="s">
        <v>163</v>
      </c>
      <c r="T238" s="5" t="s">
        <v>162</v>
      </c>
      <c r="U238" s="5" t="s">
        <v>228</v>
      </c>
      <c r="V238" s="6" t="s">
        <v>3632</v>
      </c>
      <c r="W238" s="6" t="s">
        <v>166</v>
      </c>
      <c r="X238" s="6" t="s">
        <v>167</v>
      </c>
      <c r="Y238" s="0" t="str">
        <f aca="false">IF(EU238&lt;&gt;"Y","",COUNTIFS($EU$2:$EU$1000,"Y",$J$2:$J$1000,"&gt;"&amp;J238)+COUNTIFS($EU$2:$EU$1000,"Y",$J$2:$J$1000,J238,$EW$2:$EW$1000,"&lt;"&amp;EW238)+1)</f>
        <v/>
      </c>
      <c r="Z238" s="0" t="n">
        <v>237</v>
      </c>
      <c r="AA238" s="6" t="s">
        <v>162</v>
      </c>
      <c r="AB238" s="6" t="s">
        <v>2528</v>
      </c>
      <c r="AD238" s="6" t="s">
        <v>158</v>
      </c>
      <c r="AH238" s="5" t="s">
        <v>158</v>
      </c>
      <c r="AI238" s="6" t="s">
        <v>2100</v>
      </c>
      <c r="AJ238" s="6" t="s">
        <v>1752</v>
      </c>
      <c r="AK238" s="6" t="s">
        <v>3189</v>
      </c>
      <c r="AL238" s="0" t="n">
        <v>136</v>
      </c>
      <c r="AM238" s="0" t="n">
        <v>2719</v>
      </c>
      <c r="AN238" s="6" t="s">
        <v>179</v>
      </c>
      <c r="AO238" s="6" t="s">
        <v>370</v>
      </c>
      <c r="AP238" s="6" t="s">
        <v>3629</v>
      </c>
      <c r="AQ238" s="5" t="s">
        <v>168</v>
      </c>
      <c r="AR238" s="6" t="s">
        <v>3190</v>
      </c>
      <c r="AT238" s="0" t="str">
        <f aca="false">IF(AND(AX238="pass",AQ238&lt;&gt;"Y",C238&lt;&gt;"",OR(AW238&lt;&gt;"Y",AV238="Y")),"Y","N")</f>
        <v>N</v>
      </c>
      <c r="AU238" s="0" t="str">
        <f aca="false">_xlfn.TEXTJOIN("; ",TRUE(),IF(AX238&lt;&gt;"pass","gated out",""),IF(AQ238="Y","on hold: "&amp;AR238,""),IF(C238="","no contact named on an opened page",""),IF(AND(AW238="Y",AV238&lt;&gt;"Y"),"Tuesday estimate band "&amp;L238&amp;": founder's call",""))</f>
        <v>on hold: moving out of this address: confirm where the office will be before outreach (B); no contact named on an opened page; Tuesday estimate band over-500: founder's call</v>
      </c>
      <c r="AW238" s="6" t="s">
        <v>168</v>
      </c>
      <c r="AX238" s="6" t="s">
        <v>181</v>
      </c>
      <c r="AY238" s="6" t="s">
        <v>182</v>
      </c>
      <c r="AZ238" s="6" t="s">
        <v>1</v>
      </c>
      <c r="BA238" s="6" t="s">
        <v>3633</v>
      </c>
      <c r="BB238" s="6" t="s">
        <v>3634</v>
      </c>
      <c r="BC238" s="6" t="s">
        <v>3635</v>
      </c>
      <c r="BD238" s="6" t="s">
        <v>3636</v>
      </c>
      <c r="BF238" s="6" t="s">
        <v>1323</v>
      </c>
      <c r="BG238" s="6" t="s">
        <v>188</v>
      </c>
      <c r="BH238" s="6" t="s">
        <v>189</v>
      </c>
      <c r="BI238" s="6" t="s">
        <v>3637</v>
      </c>
      <c r="BK238" s="6" t="s">
        <v>1440</v>
      </c>
      <c r="BL238" s="6" t="s">
        <v>163</v>
      </c>
      <c r="BM238" s="6" t="s">
        <v>163</v>
      </c>
      <c r="BN238" s="6" t="s">
        <v>163</v>
      </c>
      <c r="BO238" s="6" t="s">
        <v>163</v>
      </c>
      <c r="BP238" s="6" t="s">
        <v>193</v>
      </c>
      <c r="BQ238" s="0" t="n">
        <v>40.736419</v>
      </c>
      <c r="BR238" s="0" t="n">
        <v>-73.993096</v>
      </c>
      <c r="BS238" s="6" t="s">
        <v>168</v>
      </c>
      <c r="BT238" s="0" t="n">
        <v>0</v>
      </c>
      <c r="BU238" s="6" t="s">
        <v>2105</v>
      </c>
      <c r="BV238" s="6" t="s">
        <v>2100</v>
      </c>
      <c r="BW238" s="6" t="s">
        <v>3632</v>
      </c>
      <c r="BX238" s="6" t="s">
        <v>166</v>
      </c>
      <c r="BY238" s="6" t="s">
        <v>196</v>
      </c>
      <c r="BZ238" s="6" t="s">
        <v>3638</v>
      </c>
      <c r="CA238" s="6" t="s">
        <v>3639</v>
      </c>
      <c r="CC238" s="6" t="s">
        <v>200</v>
      </c>
      <c r="CD238" s="6" t="s">
        <v>163</v>
      </c>
      <c r="CE238" s="6" t="s">
        <v>162</v>
      </c>
      <c r="CH238" s="6" t="s">
        <v>163</v>
      </c>
      <c r="CJ238" s="6" t="s">
        <v>163</v>
      </c>
      <c r="CK238" s="6" t="s">
        <v>162</v>
      </c>
      <c r="CL238" s="6" t="s">
        <v>716</v>
      </c>
      <c r="CM238" s="6" t="s">
        <v>3640</v>
      </c>
      <c r="CN238" s="6" t="s">
        <v>174</v>
      </c>
      <c r="CO238" s="0" t="n">
        <v>608</v>
      </c>
      <c r="CP238" s="6" t="s">
        <v>251</v>
      </c>
      <c r="CQ238" s="6" t="s">
        <v>3641</v>
      </c>
      <c r="CR238" s="6" t="s">
        <v>206</v>
      </c>
      <c r="CS238" s="0" t="n">
        <v>0.2</v>
      </c>
      <c r="CT238" s="0" t="n">
        <v>19.1</v>
      </c>
      <c r="CU238" s="0" t="n">
        <v>5.1</v>
      </c>
      <c r="CV238" s="0" t="n">
        <v>2</v>
      </c>
      <c r="CW238" s="0" t="n">
        <v>7</v>
      </c>
      <c r="CX238" s="0" t="n">
        <v>5</v>
      </c>
      <c r="CY238" s="6" t="n">
        <f aca="false">IF(AH238="exact",10,IF(AH238="adjacent",5,0))</f>
        <v>0</v>
      </c>
      <c r="CZ238" s="6" t="n">
        <f aca="false">IF(R238="Y",15,0)</f>
        <v>0</v>
      </c>
      <c r="DF238" s="6" t="s">
        <v>158</v>
      </c>
      <c r="DG238" s="6" t="s">
        <v>1336</v>
      </c>
      <c r="DH238" s="6" t="s">
        <v>1447</v>
      </c>
      <c r="DI238" s="6" t="s">
        <v>162</v>
      </c>
      <c r="DJ238" s="6" t="s">
        <v>3642</v>
      </c>
      <c r="DK238" s="6" t="s">
        <v>3643</v>
      </c>
      <c r="DS238" s="6" t="s">
        <v>158</v>
      </c>
      <c r="DX238" s="6" t="s">
        <v>162</v>
      </c>
      <c r="ER238" s="0" t="str">
        <f aca="false">IF(ISNUMBER(MATCH(U238,{"queued","contacted","replied","call_booked","call_done","yes_in_principle","materials_sent"},0)),"Y","N")</f>
        <v>N</v>
      </c>
      <c r="ES238" s="0" t="str">
        <f aca="false">IF(COUNTIFS($AP$2:$AP$1000,AP238,$ER$2:$ER$1000,"Y")+COUNTIFS($AP$2:$AP$1000,AP238,$T$2:$T$1000,"Y")&gt;0,"Y","N")</f>
        <v>N</v>
      </c>
      <c r="ET238" s="0" t="str">
        <f aca="false">IF(AND(U238="new",T238="N",AT238="Y",AS238="",ES238="N"),"Y","N")</f>
        <v>N</v>
      </c>
      <c r="EU238" s="0" t="str">
        <f aca="false">IF(ET238&lt;&gt;"Y","N",IF(COUNTIFS($AP$2:$AP$1000,AP238,$ET$2:$ET$1000,"Y",$J$2:$J$1000,"&gt;"&amp;J238)+COUNTIFS($AP$2:$AP$1000,AP238,$ET$2:$ET$1000,"Y",$J$2:$J$1000,J238,$EW$2:$EW$1000,"&lt;"&amp;EW238)=0,"Y","N"))</f>
        <v>N</v>
      </c>
      <c r="EV238" s="0" t="str">
        <f aca="false">IF(Y238="","N",IF(Y238&lt;=10,"Y","N"))</f>
        <v>N</v>
      </c>
      <c r="EW238" s="6" t="n">
        <f aca="false">ROW()-1</f>
        <v>237</v>
      </c>
    </row>
    <row r="239" customFormat="false" ht="15" hidden="false" customHeight="false" outlineLevel="0" collapsed="false">
      <c r="A239" s="0" t="s">
        <v>3644</v>
      </c>
      <c r="B239" s="0" t="s">
        <v>3645</v>
      </c>
      <c r="H239" s="5" t="s">
        <v>158</v>
      </c>
      <c r="I239" s="5" t="s">
        <v>159</v>
      </c>
      <c r="J239" s="6" t="n">
        <f aca="false">IF(AX239="pass",ROUND(CU239+CV239+CW239+CX239+CY239+CZ239,1),0)</f>
        <v>19</v>
      </c>
      <c r="K239" s="6" t="s">
        <v>3646</v>
      </c>
      <c r="L239" s="6" t="s">
        <v>240</v>
      </c>
      <c r="R239" s="5" t="s">
        <v>162</v>
      </c>
      <c r="S239" s="6" t="s">
        <v>163</v>
      </c>
      <c r="T239" s="5" t="s">
        <v>162</v>
      </c>
      <c r="U239" s="5" t="s">
        <v>228</v>
      </c>
      <c r="V239" s="6" t="s">
        <v>3647</v>
      </c>
      <c r="W239" s="6" t="s">
        <v>166</v>
      </c>
      <c r="X239" s="6" t="s">
        <v>167</v>
      </c>
      <c r="Y239" s="0" t="str">
        <f aca="false">IF(EU239&lt;&gt;"Y","",COUNTIFS($EU$2:$EU$1000,"Y",$J$2:$J$1000,"&gt;"&amp;J239)+COUNTIFS($EU$2:$EU$1000,"Y",$J$2:$J$1000,J239,$EW$2:$EW$1000,"&lt;"&amp;EW239)+1)</f>
        <v/>
      </c>
      <c r="Z239" s="0" t="n">
        <v>238</v>
      </c>
      <c r="AA239" s="6" t="s">
        <v>162</v>
      </c>
      <c r="AB239" s="6" t="s">
        <v>1662</v>
      </c>
      <c r="AD239" s="6" t="s">
        <v>158</v>
      </c>
      <c r="AH239" s="5" t="s">
        <v>158</v>
      </c>
      <c r="AI239" s="6" t="s">
        <v>1645</v>
      </c>
      <c r="AJ239" s="6" t="s">
        <v>889</v>
      </c>
      <c r="AK239" s="6" t="s">
        <v>890</v>
      </c>
      <c r="AL239" s="0" t="n">
        <v>230</v>
      </c>
      <c r="AM239" s="0" t="n">
        <v>461</v>
      </c>
      <c r="AN239" s="6" t="s">
        <v>179</v>
      </c>
      <c r="AO239" s="6" t="s">
        <v>862</v>
      </c>
      <c r="AP239" s="6" t="s">
        <v>3644</v>
      </c>
      <c r="AQ239" s="5" t="s">
        <v>168</v>
      </c>
      <c r="AR239" s="6" t="s">
        <v>891</v>
      </c>
      <c r="AT239" s="0" t="str">
        <f aca="false">IF(AND(AX239="pass",AQ239&lt;&gt;"Y",C239&lt;&gt;"",OR(AW239&lt;&gt;"Y",AV239="Y")),"Y","N")</f>
        <v>N</v>
      </c>
      <c r="AU239" s="0" t="str">
        <f aca="false">_xlfn.TEXTJOIN("; ",TRUE(),IF(AX239&lt;&gt;"pass","gated out",""),IF(AQ239="Y","on hold: "&amp;AR239,""),IF(C239="","no contact named on an opened page",""),IF(AND(AW239="Y",AV239&lt;&gt;"Y"),"Tuesday estimate band "&amp;L239&amp;": founder's call",""))</f>
        <v>on hold: lease signed, move not confirmed: check the lobby directory before outreach (B); no contact named on an opened page; Tuesday estimate band 251-500: founder's call</v>
      </c>
      <c r="AW239" s="6" t="s">
        <v>168</v>
      </c>
      <c r="AX239" s="6" t="s">
        <v>181</v>
      </c>
      <c r="AY239" s="6" t="s">
        <v>182</v>
      </c>
      <c r="AZ239" s="6" t="s">
        <v>1</v>
      </c>
      <c r="BA239" s="6" t="s">
        <v>3648</v>
      </c>
      <c r="BB239" s="6" t="s">
        <v>3649</v>
      </c>
      <c r="BC239" s="6" t="s">
        <v>3650</v>
      </c>
      <c r="BD239" s="6" t="s">
        <v>3651</v>
      </c>
      <c r="BF239" s="6" t="s">
        <v>1323</v>
      </c>
      <c r="BG239" s="6" t="s">
        <v>188</v>
      </c>
      <c r="BH239" s="6" t="s">
        <v>189</v>
      </c>
      <c r="BI239" s="6" t="s">
        <v>3652</v>
      </c>
      <c r="BK239" s="6" t="s">
        <v>1264</v>
      </c>
      <c r="BL239" s="6" t="s">
        <v>192</v>
      </c>
      <c r="BM239" s="6" t="s">
        <v>168</v>
      </c>
      <c r="BN239" s="6" t="s">
        <v>163</v>
      </c>
      <c r="BO239" s="6" t="s">
        <v>163</v>
      </c>
      <c r="BP239" s="6" t="s">
        <v>244</v>
      </c>
      <c r="BQ239" s="0" t="n">
        <v>40.746186</v>
      </c>
      <c r="BR239" s="0" t="n">
        <v>-73.985981</v>
      </c>
      <c r="BS239" s="6" t="s">
        <v>168</v>
      </c>
      <c r="BT239" s="0" t="n">
        <v>0</v>
      </c>
      <c r="BU239" s="6" t="s">
        <v>1653</v>
      </c>
      <c r="BV239" s="6" t="s">
        <v>1654</v>
      </c>
      <c r="BW239" s="6" t="s">
        <v>3647</v>
      </c>
      <c r="BX239" s="6" t="s">
        <v>3653</v>
      </c>
      <c r="BY239" s="6" t="s">
        <v>248</v>
      </c>
      <c r="CC239" s="6" t="s">
        <v>739</v>
      </c>
      <c r="CD239" s="6" t="s">
        <v>163</v>
      </c>
      <c r="CE239" s="6" t="s">
        <v>162</v>
      </c>
      <c r="CH239" s="6" t="s">
        <v>163</v>
      </c>
      <c r="CJ239" s="6" t="s">
        <v>163</v>
      </c>
      <c r="CK239" s="6" t="s">
        <v>162</v>
      </c>
      <c r="CL239" s="6" t="s">
        <v>1911</v>
      </c>
      <c r="CM239" s="6" t="s">
        <v>3652</v>
      </c>
      <c r="CN239" s="6" t="s">
        <v>174</v>
      </c>
      <c r="CO239" s="0" t="n">
        <v>326</v>
      </c>
      <c r="CP239" s="6" t="s">
        <v>251</v>
      </c>
      <c r="CQ239" s="6" t="s">
        <v>3654</v>
      </c>
      <c r="CR239" s="6" t="s">
        <v>206</v>
      </c>
      <c r="CS239" s="0" t="n">
        <v>0.12</v>
      </c>
      <c r="CT239" s="0" t="n">
        <v>19</v>
      </c>
      <c r="CU239" s="0" t="n">
        <v>3</v>
      </c>
      <c r="CV239" s="0" t="n">
        <v>6</v>
      </c>
      <c r="CW239" s="0" t="n">
        <v>5</v>
      </c>
      <c r="CX239" s="0" t="n">
        <v>5</v>
      </c>
      <c r="CY239" s="6" t="n">
        <f aca="false">IF(AH239="exact",10,IF(AH239="adjacent",5,0))</f>
        <v>0</v>
      </c>
      <c r="CZ239" s="6" t="n">
        <f aca="false">IF(R239="Y",15,0)</f>
        <v>0</v>
      </c>
      <c r="DF239" s="6" t="s">
        <v>158</v>
      </c>
      <c r="DG239" s="6" t="s">
        <v>1336</v>
      </c>
      <c r="DH239" s="6" t="s">
        <v>1337</v>
      </c>
      <c r="DI239" s="6" t="s">
        <v>162</v>
      </c>
      <c r="DJ239" s="6" t="s">
        <v>3655</v>
      </c>
      <c r="DK239" s="6" t="s">
        <v>3656</v>
      </c>
      <c r="DS239" s="6" t="s">
        <v>158</v>
      </c>
      <c r="DX239" s="6" t="s">
        <v>162</v>
      </c>
      <c r="ER239" s="0" t="str">
        <f aca="false">IF(ISNUMBER(MATCH(U239,{"queued","contacted","replied","call_booked","call_done","yes_in_principle","materials_sent"},0)),"Y","N")</f>
        <v>N</v>
      </c>
      <c r="ES239" s="0" t="str">
        <f aca="false">IF(COUNTIFS($AP$2:$AP$1000,AP239,$ER$2:$ER$1000,"Y")+COUNTIFS($AP$2:$AP$1000,AP239,$T$2:$T$1000,"Y")&gt;0,"Y","N")</f>
        <v>N</v>
      </c>
      <c r="ET239" s="0" t="str">
        <f aca="false">IF(AND(U239="new",T239="N",AT239="Y",AS239="",ES239="N"),"Y","N")</f>
        <v>N</v>
      </c>
      <c r="EU239" s="0" t="str">
        <f aca="false">IF(ET239&lt;&gt;"Y","N",IF(COUNTIFS($AP$2:$AP$1000,AP239,$ET$2:$ET$1000,"Y",$J$2:$J$1000,"&gt;"&amp;J239)+COUNTIFS($AP$2:$AP$1000,AP239,$ET$2:$ET$1000,"Y",$J$2:$J$1000,J239,$EW$2:$EW$1000,"&lt;"&amp;EW239)=0,"Y","N"))</f>
        <v>N</v>
      </c>
      <c r="EV239" s="0" t="str">
        <f aca="false">IF(Y239="","N",IF(Y239&lt;=10,"Y","N"))</f>
        <v>N</v>
      </c>
      <c r="EW239" s="6" t="n">
        <f aca="false">ROW()-1</f>
        <v>238</v>
      </c>
    </row>
    <row r="240" customFormat="false" ht="15" hidden="false" customHeight="false" outlineLevel="0" collapsed="false">
      <c r="A240" s="0" t="s">
        <v>3657</v>
      </c>
      <c r="B240" s="0" t="s">
        <v>3658</v>
      </c>
      <c r="H240" s="5" t="s">
        <v>158</v>
      </c>
      <c r="I240" s="5" t="s">
        <v>159</v>
      </c>
      <c r="J240" s="6" t="n">
        <f aca="false">IF(AX240="pass",ROUND(CU240+CV240+CW240+CX240+CY240+CZ240,1),0)</f>
        <v>18.7</v>
      </c>
      <c r="K240" s="6" t="s">
        <v>3659</v>
      </c>
      <c r="L240" s="6" t="s">
        <v>1323</v>
      </c>
      <c r="R240" s="5" t="s">
        <v>162</v>
      </c>
      <c r="S240" s="6" t="s">
        <v>163</v>
      </c>
      <c r="T240" s="5" t="s">
        <v>162</v>
      </c>
      <c r="U240" s="5" t="s">
        <v>228</v>
      </c>
      <c r="V240" s="6" t="s">
        <v>3660</v>
      </c>
      <c r="W240" s="6" t="s">
        <v>166</v>
      </c>
      <c r="X240" s="6" t="s">
        <v>167</v>
      </c>
      <c r="Y240" s="0" t="str">
        <f aca="false">IF(EU240&lt;&gt;"Y","",COUNTIFS($EU$2:$EU$1000,"Y",$J$2:$J$1000,"&gt;"&amp;J240)+COUNTIFS($EU$2:$EU$1000,"Y",$J$2:$J$1000,J240,$EW$2:$EW$1000,"&lt;"&amp;EW240)+1)</f>
        <v/>
      </c>
      <c r="Z240" s="0" t="n">
        <v>239</v>
      </c>
      <c r="AA240" s="6" t="s">
        <v>162</v>
      </c>
      <c r="AB240" s="6" t="s">
        <v>2528</v>
      </c>
      <c r="AD240" s="6" t="s">
        <v>158</v>
      </c>
      <c r="AH240" s="5" t="s">
        <v>158</v>
      </c>
      <c r="AI240" s="6" t="s">
        <v>2175</v>
      </c>
      <c r="AJ240" s="6" t="s">
        <v>163</v>
      </c>
      <c r="AK240" s="6" t="s">
        <v>435</v>
      </c>
      <c r="AL240" s="0" t="n">
        <v>126</v>
      </c>
      <c r="AM240" s="0" t="n">
        <v>2525</v>
      </c>
      <c r="AN240" s="6" t="s">
        <v>179</v>
      </c>
      <c r="AO240" s="6" t="s">
        <v>163</v>
      </c>
      <c r="AP240" s="6" t="s">
        <v>3657</v>
      </c>
      <c r="AQ240" s="5" t="s">
        <v>162</v>
      </c>
      <c r="AT240" s="0" t="str">
        <f aca="false">IF(AND(AX240="pass",AQ240&lt;&gt;"Y",C240&lt;&gt;"",OR(AW240&lt;&gt;"Y",AV240="Y")),"Y","N")</f>
        <v>N</v>
      </c>
      <c r="AU240" s="0" t="str">
        <f aca="false">_xlfn.TEXTJOIN("; ",TRUE(),IF(AX240&lt;&gt;"pass","gated out",""),IF(AQ240="Y","on hold: "&amp;AR240,""),IF(C240="","no contact named on an opened page",""),IF(AND(AW240="Y",AV240&lt;&gt;"Y"),"Tuesday estimate band "&amp;L240&amp;": founder's call",""))</f>
        <v>no contact named on an opened page; Tuesday estimate band over-500: founder's call</v>
      </c>
      <c r="AW240" s="6" t="s">
        <v>168</v>
      </c>
      <c r="AX240" s="6" t="s">
        <v>181</v>
      </c>
      <c r="AY240" s="6" t="s">
        <v>182</v>
      </c>
      <c r="AZ240" s="6" t="s">
        <v>1</v>
      </c>
      <c r="BA240" s="6" t="s">
        <v>3661</v>
      </c>
      <c r="BB240" s="6" t="s">
        <v>3662</v>
      </c>
      <c r="BC240" s="6" t="s">
        <v>3663</v>
      </c>
      <c r="BD240" s="6" t="s">
        <v>3664</v>
      </c>
      <c r="BF240" s="6" t="s">
        <v>1323</v>
      </c>
      <c r="BG240" s="6" t="s">
        <v>188</v>
      </c>
      <c r="BH240" s="6" t="s">
        <v>189</v>
      </c>
      <c r="BI240" s="6" t="s">
        <v>3665</v>
      </c>
      <c r="BK240" s="6" t="s">
        <v>1440</v>
      </c>
      <c r="BL240" s="6" t="s">
        <v>163</v>
      </c>
      <c r="BM240" s="6" t="s">
        <v>163</v>
      </c>
      <c r="BN240" s="6" t="s">
        <v>163</v>
      </c>
      <c r="BO240" s="6" t="s">
        <v>163</v>
      </c>
      <c r="BP240" s="6" t="s">
        <v>378</v>
      </c>
      <c r="BQ240" s="0" t="n">
        <v>40.740084</v>
      </c>
      <c r="BR240" s="0" t="n">
        <v>-73.994613</v>
      </c>
      <c r="BS240" s="6" t="s">
        <v>168</v>
      </c>
      <c r="BT240" s="0" t="n">
        <v>0</v>
      </c>
      <c r="BU240" s="6" t="s">
        <v>2182</v>
      </c>
      <c r="BV240" s="6" t="s">
        <v>2183</v>
      </c>
      <c r="BW240" s="6" t="s">
        <v>3660</v>
      </c>
      <c r="BX240" s="6" t="s">
        <v>3666</v>
      </c>
      <c r="BY240" s="6" t="s">
        <v>248</v>
      </c>
      <c r="CC240" s="6" t="s">
        <v>179</v>
      </c>
      <c r="CE240" s="6" t="s">
        <v>162</v>
      </c>
      <c r="CH240" s="6" t="s">
        <v>1707</v>
      </c>
      <c r="CI240" s="6" t="s">
        <v>2186</v>
      </c>
      <c r="CJ240" s="6" t="s">
        <v>163</v>
      </c>
      <c r="CK240" s="6" t="s">
        <v>162</v>
      </c>
      <c r="CL240" s="6" t="s">
        <v>163</v>
      </c>
      <c r="CO240" s="0" t="n">
        <v>564</v>
      </c>
      <c r="CP240" s="6" t="s">
        <v>251</v>
      </c>
      <c r="CQ240" s="6" t="s">
        <v>3667</v>
      </c>
      <c r="CR240" s="6" t="s">
        <v>206</v>
      </c>
      <c r="CS240" s="0" t="n">
        <v>0.23</v>
      </c>
      <c r="CT240" s="0" t="n">
        <v>18.7</v>
      </c>
      <c r="CU240" s="0" t="n">
        <v>5.7</v>
      </c>
      <c r="CV240" s="0" t="n">
        <v>2</v>
      </c>
      <c r="CW240" s="0" t="n">
        <v>6</v>
      </c>
      <c r="CX240" s="0" t="n">
        <v>5</v>
      </c>
      <c r="CY240" s="6" t="n">
        <f aca="false">IF(AH240="exact",10,IF(AH240="adjacent",5,0))</f>
        <v>0</v>
      </c>
      <c r="CZ240" s="6" t="n">
        <f aca="false">IF(R240="Y",15,0)</f>
        <v>0</v>
      </c>
      <c r="DF240" s="6" t="s">
        <v>158</v>
      </c>
      <c r="DG240" s="6" t="s">
        <v>1336</v>
      </c>
      <c r="DH240" s="6" t="s">
        <v>1447</v>
      </c>
      <c r="DI240" s="6" t="s">
        <v>162</v>
      </c>
      <c r="DJ240" s="6" t="s">
        <v>3668</v>
      </c>
      <c r="DK240" s="6" t="s">
        <v>3669</v>
      </c>
      <c r="DS240" s="6" t="s">
        <v>158</v>
      </c>
      <c r="DX240" s="6" t="s">
        <v>162</v>
      </c>
      <c r="ER240" s="0" t="str">
        <f aca="false">IF(ISNUMBER(MATCH(U240,{"queued","contacted","replied","call_booked","call_done","yes_in_principle","materials_sent"},0)),"Y","N")</f>
        <v>N</v>
      </c>
      <c r="ES240" s="0" t="str">
        <f aca="false">IF(COUNTIFS($AP$2:$AP$1000,AP240,$ER$2:$ER$1000,"Y")+COUNTIFS($AP$2:$AP$1000,AP240,$T$2:$T$1000,"Y")&gt;0,"Y","N")</f>
        <v>N</v>
      </c>
      <c r="ET240" s="0" t="str">
        <f aca="false">IF(AND(U240="new",T240="N",AT240="Y",AS240="",ES240="N"),"Y","N")</f>
        <v>N</v>
      </c>
      <c r="EU240" s="0" t="str">
        <f aca="false">IF(ET240&lt;&gt;"Y","N",IF(COUNTIFS($AP$2:$AP$1000,AP240,$ET$2:$ET$1000,"Y",$J$2:$J$1000,"&gt;"&amp;J240)+COUNTIFS($AP$2:$AP$1000,AP240,$ET$2:$ET$1000,"Y",$J$2:$J$1000,J240,$EW$2:$EW$1000,"&lt;"&amp;EW240)=0,"Y","N"))</f>
        <v>N</v>
      </c>
      <c r="EV240" s="0" t="str">
        <f aca="false">IF(Y240="","N",IF(Y240&lt;=10,"Y","N"))</f>
        <v>N</v>
      </c>
      <c r="EW240" s="6" t="n">
        <f aca="false">ROW()-1</f>
        <v>239</v>
      </c>
    </row>
    <row r="241" customFormat="false" ht="15" hidden="false" customHeight="false" outlineLevel="0" collapsed="false">
      <c r="A241" s="0" t="s">
        <v>3670</v>
      </c>
      <c r="B241" s="0" t="s">
        <v>3671</v>
      </c>
      <c r="H241" s="5" t="s">
        <v>158</v>
      </c>
      <c r="I241" s="5" t="s">
        <v>159</v>
      </c>
      <c r="J241" s="6" t="n">
        <f aca="false">IF(AX241="pass",ROUND(CU241+CV241+CW241+CX241+CY241+CZ241,1),0)</f>
        <v>18</v>
      </c>
      <c r="K241" s="6" t="s">
        <v>3672</v>
      </c>
      <c r="L241" s="6" t="s">
        <v>240</v>
      </c>
      <c r="R241" s="5" t="s">
        <v>162</v>
      </c>
      <c r="S241" s="6" t="s">
        <v>163</v>
      </c>
      <c r="T241" s="5" t="s">
        <v>162</v>
      </c>
      <c r="U241" s="5" t="s">
        <v>228</v>
      </c>
      <c r="V241" s="6" t="s">
        <v>1075</v>
      </c>
      <c r="W241" s="6" t="s">
        <v>166</v>
      </c>
      <c r="X241" s="6" t="s">
        <v>167</v>
      </c>
      <c r="Y241" s="0" t="str">
        <f aca="false">IF(EU241&lt;&gt;"Y","",COUNTIFS($EU$2:$EU$1000,"Y",$J$2:$J$1000,"&gt;"&amp;J241)+COUNTIFS($EU$2:$EU$1000,"Y",$J$2:$J$1000,J241,$EW$2:$EW$1000,"&lt;"&amp;EW241)+1)</f>
        <v/>
      </c>
      <c r="Z241" s="0" t="n">
        <v>240</v>
      </c>
      <c r="AA241" s="6" t="s">
        <v>162</v>
      </c>
      <c r="AB241" s="6" t="s">
        <v>1662</v>
      </c>
      <c r="AD241" s="6" t="s">
        <v>158</v>
      </c>
      <c r="AH241" s="5" t="s">
        <v>158</v>
      </c>
      <c r="AI241" s="6" t="s">
        <v>1065</v>
      </c>
      <c r="AJ241" s="6" t="s">
        <v>163</v>
      </c>
      <c r="AK241" s="6" t="s">
        <v>3189</v>
      </c>
      <c r="AL241" s="0" t="n">
        <v>85</v>
      </c>
      <c r="AM241" s="0" t="n">
        <v>1710</v>
      </c>
      <c r="AN241" s="6" t="s">
        <v>179</v>
      </c>
      <c r="AO241" s="6" t="s">
        <v>370</v>
      </c>
      <c r="AP241" s="6" t="s">
        <v>3670</v>
      </c>
      <c r="AQ241" s="5" t="s">
        <v>168</v>
      </c>
      <c r="AR241" s="6" t="s">
        <v>3190</v>
      </c>
      <c r="AT241" s="0" t="str">
        <f aca="false">IF(AND(AX241="pass",AQ241&lt;&gt;"Y",C241&lt;&gt;"",OR(AW241&lt;&gt;"Y",AV241="Y")),"Y","N")</f>
        <v>N</v>
      </c>
      <c r="AU241" s="0" t="str">
        <f aca="false">_xlfn.TEXTJOIN("; ",TRUE(),IF(AX241&lt;&gt;"pass","gated out",""),IF(AQ241="Y","on hold: "&amp;AR241,""),IF(C241="","no contact named on an opened page",""),IF(AND(AW241="Y",AV241&lt;&gt;"Y"),"Tuesday estimate band "&amp;L241&amp;": founder's call",""))</f>
        <v>on hold: moving out of this address: confirm where the office will be before outreach (B); no contact named on an opened page; Tuesday estimate band 251-500: founder's call</v>
      </c>
      <c r="AW241" s="6" t="s">
        <v>168</v>
      </c>
      <c r="AX241" s="6" t="s">
        <v>181</v>
      </c>
      <c r="AY241" s="6" t="s">
        <v>182</v>
      </c>
      <c r="AZ241" s="6" t="s">
        <v>1</v>
      </c>
      <c r="BA241" s="6" t="s">
        <v>3673</v>
      </c>
      <c r="BB241" s="6" t="s">
        <v>3674</v>
      </c>
      <c r="BC241" s="6" t="s">
        <v>3675</v>
      </c>
      <c r="BD241" s="6" t="s">
        <v>3270</v>
      </c>
      <c r="BF241" s="6" t="s">
        <v>1323</v>
      </c>
      <c r="BG241" s="6" t="s">
        <v>188</v>
      </c>
      <c r="BH241" s="6" t="s">
        <v>189</v>
      </c>
      <c r="BI241" s="6" t="s">
        <v>3676</v>
      </c>
      <c r="BK241" s="6" t="s">
        <v>1440</v>
      </c>
      <c r="BL241" s="6" t="s">
        <v>656</v>
      </c>
      <c r="BM241" s="6" t="s">
        <v>162</v>
      </c>
      <c r="BN241" s="6" t="s">
        <v>163</v>
      </c>
      <c r="BO241" s="6" t="s">
        <v>163</v>
      </c>
      <c r="BP241" s="6" t="s">
        <v>347</v>
      </c>
      <c r="BQ241" s="0" t="n">
        <v>40.742199</v>
      </c>
      <c r="BR241" s="0" t="n">
        <v>-73.99172</v>
      </c>
      <c r="BS241" s="6" t="s">
        <v>168</v>
      </c>
      <c r="BT241" s="0" t="n">
        <v>0</v>
      </c>
      <c r="BU241" s="6" t="s">
        <v>1073</v>
      </c>
      <c r="BV241" s="6" t="s">
        <v>1074</v>
      </c>
      <c r="BW241" s="6" t="s">
        <v>1075</v>
      </c>
      <c r="BX241" s="6" t="s">
        <v>1076</v>
      </c>
      <c r="BY241" s="6" t="s">
        <v>248</v>
      </c>
      <c r="BZ241" s="6" t="s">
        <v>3677</v>
      </c>
      <c r="CA241" s="6" t="s">
        <v>3678</v>
      </c>
      <c r="CC241" s="6" t="s">
        <v>179</v>
      </c>
      <c r="CD241" s="6" t="s">
        <v>163</v>
      </c>
      <c r="CE241" s="6" t="s">
        <v>162</v>
      </c>
      <c r="CH241" s="6" t="s">
        <v>201</v>
      </c>
      <c r="CI241" s="6" t="s">
        <v>1075</v>
      </c>
      <c r="CJ241" s="6" t="s">
        <v>163</v>
      </c>
      <c r="CK241" s="6" t="s">
        <v>162</v>
      </c>
      <c r="CL241" s="6" t="s">
        <v>716</v>
      </c>
      <c r="CM241" s="6" t="s">
        <v>3676</v>
      </c>
      <c r="CN241" s="6" t="s">
        <v>174</v>
      </c>
      <c r="CO241" s="0" t="n">
        <v>381</v>
      </c>
      <c r="CP241" s="6" t="s">
        <v>251</v>
      </c>
      <c r="CQ241" s="6" t="s">
        <v>3679</v>
      </c>
      <c r="CR241" s="6" t="s">
        <v>206</v>
      </c>
      <c r="CS241" s="0" t="n">
        <v>0.36</v>
      </c>
      <c r="CT241" s="0" t="n">
        <v>18</v>
      </c>
      <c r="CU241" s="0" t="n">
        <v>9</v>
      </c>
      <c r="CV241" s="0" t="n">
        <v>2</v>
      </c>
      <c r="CW241" s="0" t="n">
        <v>7</v>
      </c>
      <c r="CX241" s="0" t="n">
        <v>0</v>
      </c>
      <c r="CY241" s="6" t="n">
        <f aca="false">IF(AH241="exact",10,IF(AH241="adjacent",5,0))</f>
        <v>0</v>
      </c>
      <c r="CZ241" s="6" t="n">
        <f aca="false">IF(R241="Y",15,0)</f>
        <v>0</v>
      </c>
      <c r="DF241" s="6" t="s">
        <v>158</v>
      </c>
      <c r="DG241" s="6" t="s">
        <v>1336</v>
      </c>
      <c r="DH241" s="6" t="s">
        <v>1447</v>
      </c>
      <c r="DI241" s="6" t="s">
        <v>162</v>
      </c>
      <c r="DJ241" s="6" t="s">
        <v>3680</v>
      </c>
      <c r="DK241" s="6" t="s">
        <v>3681</v>
      </c>
      <c r="DS241" s="6" t="s">
        <v>158</v>
      </c>
      <c r="DX241" s="6" t="s">
        <v>162</v>
      </c>
      <c r="ER241" s="0" t="str">
        <f aca="false">IF(ISNUMBER(MATCH(U241,{"queued","contacted","replied","call_booked","call_done","yes_in_principle","materials_sent"},0)),"Y","N")</f>
        <v>N</v>
      </c>
      <c r="ES241" s="0" t="str">
        <f aca="false">IF(COUNTIFS($AP$2:$AP$1000,AP241,$ER$2:$ER$1000,"Y")+COUNTIFS($AP$2:$AP$1000,AP241,$T$2:$T$1000,"Y")&gt;0,"Y","N")</f>
        <v>N</v>
      </c>
      <c r="ET241" s="0" t="str">
        <f aca="false">IF(AND(U241="new",T241="N",AT241="Y",AS241="",ES241="N"),"Y","N")</f>
        <v>N</v>
      </c>
      <c r="EU241" s="0" t="str">
        <f aca="false">IF(ET241&lt;&gt;"Y","N",IF(COUNTIFS($AP$2:$AP$1000,AP241,$ET$2:$ET$1000,"Y",$J$2:$J$1000,"&gt;"&amp;J241)+COUNTIFS($AP$2:$AP$1000,AP241,$ET$2:$ET$1000,"Y",$J$2:$J$1000,J241,$EW$2:$EW$1000,"&lt;"&amp;EW241)=0,"Y","N"))</f>
        <v>N</v>
      </c>
      <c r="EV241" s="0" t="str">
        <f aca="false">IF(Y241="","N",IF(Y241&lt;=10,"Y","N"))</f>
        <v>N</v>
      </c>
      <c r="EW241" s="6" t="n">
        <f aca="false">ROW()-1</f>
        <v>240</v>
      </c>
    </row>
    <row r="242" customFormat="false" ht="15" hidden="false" customHeight="false" outlineLevel="0" collapsed="false">
      <c r="A242" s="0" t="s">
        <v>3682</v>
      </c>
      <c r="B242" s="0" t="s">
        <v>3683</v>
      </c>
      <c r="H242" s="5" t="s">
        <v>158</v>
      </c>
      <c r="I242" s="5" t="s">
        <v>159</v>
      </c>
      <c r="J242" s="6" t="n">
        <f aca="false">IF(AX242="pass",ROUND(CU242+CV242+CW242+CX242+CY242+CZ242,1),0)</f>
        <v>1.1</v>
      </c>
      <c r="K242" s="6" t="s">
        <v>3684</v>
      </c>
      <c r="L242" s="6" t="s">
        <v>1323</v>
      </c>
      <c r="R242" s="5" t="s">
        <v>162</v>
      </c>
      <c r="S242" s="6" t="s">
        <v>163</v>
      </c>
      <c r="T242" s="5" t="s">
        <v>162</v>
      </c>
      <c r="U242" s="5" t="s">
        <v>228</v>
      </c>
      <c r="V242" s="6" t="s">
        <v>3685</v>
      </c>
      <c r="W242" s="6" t="s">
        <v>166</v>
      </c>
      <c r="X242" s="6" t="s">
        <v>167</v>
      </c>
      <c r="Y242" s="0" t="str">
        <f aca="false">IF(EU242&lt;&gt;"Y","",COUNTIFS($EU$2:$EU$1000,"Y",$J$2:$J$1000,"&gt;"&amp;J242)+COUNTIFS($EU$2:$EU$1000,"Y",$J$2:$J$1000,J242,$EW$2:$EW$1000,"&lt;"&amp;EW242)+1)</f>
        <v/>
      </c>
      <c r="Z242" s="0" t="n">
        <v>241</v>
      </c>
      <c r="AA242" s="6" t="s">
        <v>162</v>
      </c>
      <c r="AB242" s="6" t="s">
        <v>2528</v>
      </c>
      <c r="AD242" s="6" t="s">
        <v>158</v>
      </c>
      <c r="AH242" s="5" t="s">
        <v>158</v>
      </c>
      <c r="AI242" s="6" t="s">
        <v>3686</v>
      </c>
      <c r="AJ242" s="6" t="s">
        <v>3687</v>
      </c>
      <c r="AK242" s="6" t="s">
        <v>435</v>
      </c>
      <c r="AL242" s="0" t="n">
        <v>219</v>
      </c>
      <c r="AM242" s="0" t="n">
        <v>4380</v>
      </c>
      <c r="AN242" s="6" t="s">
        <v>179</v>
      </c>
      <c r="AO242" s="6" t="s">
        <v>1033</v>
      </c>
      <c r="AP242" s="6" t="s">
        <v>3682</v>
      </c>
      <c r="AQ242" s="5" t="s">
        <v>162</v>
      </c>
      <c r="AT242" s="0" t="str">
        <f aca="false">IF(AND(AX242="pass",AQ242&lt;&gt;"Y",C242&lt;&gt;"",OR(AW242&lt;&gt;"Y",AV242="Y")),"Y","N")</f>
        <v>N</v>
      </c>
      <c r="AU242" s="0" t="str">
        <f aca="false">_xlfn.TEXTJOIN("; ",TRUE(),IF(AX242&lt;&gt;"pass","gated out",""),IF(AQ242="Y","on hold: "&amp;AR242,""),IF(C242="","no contact named on an opened page",""),IF(AND(AW242="Y",AV242&lt;&gt;"Y"),"Tuesday estimate band "&amp;L242&amp;": founder's call",""))</f>
        <v>no contact named on an opened page; Tuesday estimate band over-500: founder's call</v>
      </c>
      <c r="AW242" s="6" t="s">
        <v>168</v>
      </c>
      <c r="AX242" s="6" t="s">
        <v>181</v>
      </c>
      <c r="AY242" s="6" t="s">
        <v>182</v>
      </c>
      <c r="AZ242" s="6" t="s">
        <v>1</v>
      </c>
      <c r="BA242" s="6" t="s">
        <v>3688</v>
      </c>
      <c r="BB242" s="6" t="s">
        <v>3689</v>
      </c>
      <c r="BC242" s="6" t="s">
        <v>3690</v>
      </c>
      <c r="BD242" s="6" t="s">
        <v>3691</v>
      </c>
      <c r="BF242" s="6" t="s">
        <v>1323</v>
      </c>
      <c r="BG242" s="6" t="s">
        <v>188</v>
      </c>
      <c r="BH242" s="6" t="s">
        <v>189</v>
      </c>
      <c r="BI242" s="6" t="s">
        <v>3692</v>
      </c>
      <c r="BK242" s="6" t="s">
        <v>3288</v>
      </c>
      <c r="BL242" s="6" t="s">
        <v>3693</v>
      </c>
      <c r="BM242" s="6" t="s">
        <v>162</v>
      </c>
      <c r="BN242" s="6" t="s">
        <v>163</v>
      </c>
      <c r="BO242" s="6" t="s">
        <v>163</v>
      </c>
      <c r="BQ242" s="0" t="n">
        <v>40.738448</v>
      </c>
      <c r="BR242" s="0" t="n">
        <v>-73.987379</v>
      </c>
      <c r="BS242" s="6" t="s">
        <v>168</v>
      </c>
      <c r="BT242" s="0" t="n">
        <v>0</v>
      </c>
      <c r="BV242" s="6" t="s">
        <v>163</v>
      </c>
      <c r="BW242" s="6" t="s">
        <v>3685</v>
      </c>
      <c r="BX242" s="6" t="s">
        <v>3694</v>
      </c>
      <c r="BY242" s="6" t="s">
        <v>248</v>
      </c>
      <c r="CC242" s="6" t="s">
        <v>179</v>
      </c>
      <c r="CE242" s="6" t="s">
        <v>162</v>
      </c>
      <c r="CH242" s="6" t="s">
        <v>163</v>
      </c>
      <c r="CJ242" s="6" t="s">
        <v>163</v>
      </c>
      <c r="CK242" s="6" t="s">
        <v>162</v>
      </c>
      <c r="CL242" s="6" t="s">
        <v>3695</v>
      </c>
      <c r="CM242" s="6" t="s">
        <v>3696</v>
      </c>
      <c r="CN242" s="6" t="s">
        <v>174</v>
      </c>
      <c r="CO242" s="0" t="n">
        <v>979</v>
      </c>
      <c r="CP242" s="6" t="s">
        <v>251</v>
      </c>
      <c r="CQ242" s="6" t="s">
        <v>3697</v>
      </c>
      <c r="CR242" s="6" t="s">
        <v>206</v>
      </c>
      <c r="CS242" s="0" t="n">
        <v>0.04</v>
      </c>
      <c r="CT242" s="0" t="n">
        <v>1.1</v>
      </c>
      <c r="CU242" s="0" t="n">
        <v>1.1</v>
      </c>
      <c r="CV242" s="0" t="n">
        <v>0</v>
      </c>
      <c r="CW242" s="0" t="n">
        <v>-5</v>
      </c>
      <c r="CX242" s="0" t="n">
        <v>5</v>
      </c>
      <c r="CY242" s="6" t="n">
        <f aca="false">IF(AH242="exact",10,IF(AH242="adjacent",5,0))</f>
        <v>0</v>
      </c>
      <c r="CZ242" s="6" t="n">
        <f aca="false">IF(R242="Y",15,0)</f>
        <v>0</v>
      </c>
      <c r="DF242" s="6" t="s">
        <v>158</v>
      </c>
      <c r="DG242" s="6" t="s">
        <v>1336</v>
      </c>
      <c r="DH242" s="6" t="s">
        <v>3291</v>
      </c>
      <c r="DI242" s="6" t="s">
        <v>162</v>
      </c>
      <c r="DJ242" s="6" t="s">
        <v>2134</v>
      </c>
      <c r="DK242" s="6" t="s">
        <v>3698</v>
      </c>
      <c r="DS242" s="6" t="s">
        <v>158</v>
      </c>
      <c r="DX242" s="6" t="s">
        <v>162</v>
      </c>
      <c r="ER242" s="0" t="str">
        <f aca="false">IF(ISNUMBER(MATCH(U242,{"queued","contacted","replied","call_booked","call_done","yes_in_principle","materials_sent"},0)),"Y","N")</f>
        <v>N</v>
      </c>
      <c r="ES242" s="0" t="str">
        <f aca="false">IF(COUNTIFS($AP$2:$AP$1000,AP242,$ER$2:$ER$1000,"Y")+COUNTIFS($AP$2:$AP$1000,AP242,$T$2:$T$1000,"Y")&gt;0,"Y","N")</f>
        <v>N</v>
      </c>
      <c r="ET242" s="0" t="str">
        <f aca="false">IF(AND(U242="new",T242="N",AT242="Y",AS242="",ES242="N"),"Y","N")</f>
        <v>N</v>
      </c>
      <c r="EU242" s="0" t="str">
        <f aca="false">IF(ET242&lt;&gt;"Y","N",IF(COUNTIFS($AP$2:$AP$1000,AP242,$ET$2:$ET$1000,"Y",$J$2:$J$1000,"&gt;"&amp;J242)+COUNTIFS($AP$2:$AP$1000,AP242,$ET$2:$ET$1000,"Y",$J$2:$J$1000,J242,$EW$2:$EW$1000,"&lt;"&amp;EW242)=0,"Y","N"))</f>
        <v>N</v>
      </c>
      <c r="EV242" s="0" t="str">
        <f aca="false">IF(Y242="","N",IF(Y242&lt;=10,"Y","N"))</f>
        <v>N</v>
      </c>
      <c r="EW242" s="6" t="n">
        <f aca="false">ROW()-1</f>
        <v>241</v>
      </c>
    </row>
    <row r="243" customFormat="false" ht="15" hidden="false" customHeight="false" outlineLevel="0" collapsed="false">
      <c r="A243" s="0" t="s">
        <v>3699</v>
      </c>
      <c r="B243" s="0" t="s">
        <v>3700</v>
      </c>
      <c r="H243" s="5" t="s">
        <v>158</v>
      </c>
      <c r="I243" s="5" t="s">
        <v>159</v>
      </c>
      <c r="J243" s="6" t="n">
        <f aca="false">IF(AX243="pass",ROUND(CU243+CV243+CW243+CX243+CY243+CZ243,1),0)</f>
        <v>0</v>
      </c>
      <c r="K243" s="6" t="s">
        <v>3701</v>
      </c>
      <c r="L243" s="6" t="s">
        <v>395</v>
      </c>
      <c r="R243" s="5" t="s">
        <v>162</v>
      </c>
      <c r="S243" s="6" t="s">
        <v>163</v>
      </c>
      <c r="T243" s="5" t="s">
        <v>162</v>
      </c>
      <c r="U243" s="5" t="s">
        <v>228</v>
      </c>
      <c r="V243" s="6" t="s">
        <v>3702</v>
      </c>
      <c r="W243" s="6" t="s">
        <v>166</v>
      </c>
      <c r="X243" s="6" t="s">
        <v>167</v>
      </c>
      <c r="Y243" s="0" t="str">
        <f aca="false">IF(EU243&lt;&gt;"Y","",COUNTIFS($EU$2:$EU$1000,"Y",$J$2:$J$1000,"&gt;"&amp;J243)+COUNTIFS($EU$2:$EU$1000,"Y",$J$2:$J$1000,J243,$EW$2:$EW$1000,"&lt;"&amp;EW243)+1)</f>
        <v/>
      </c>
      <c r="AA243" s="6" t="s">
        <v>162</v>
      </c>
      <c r="AD243" s="6" t="s">
        <v>158</v>
      </c>
      <c r="AH243" s="5" t="s">
        <v>158</v>
      </c>
      <c r="AI243" s="6" t="s">
        <v>3703</v>
      </c>
      <c r="AJ243" s="6" t="s">
        <v>889</v>
      </c>
      <c r="AK243" s="6" t="s">
        <v>178</v>
      </c>
      <c r="AL243" s="0" t="n">
        <v>40</v>
      </c>
      <c r="AM243" s="0" t="n">
        <v>80</v>
      </c>
      <c r="AN243" s="6" t="s">
        <v>179</v>
      </c>
      <c r="AO243" s="6" t="s">
        <v>163</v>
      </c>
      <c r="AP243" s="6" t="s">
        <v>3699</v>
      </c>
      <c r="AQ243" s="5" t="s">
        <v>162</v>
      </c>
      <c r="AT243" s="0" t="str">
        <f aca="false">IF(AND(AX243="pass",AQ243&lt;&gt;"Y",C243&lt;&gt;"",OR(AW243&lt;&gt;"Y",AV243="Y")),"Y","N")</f>
        <v>N</v>
      </c>
      <c r="AU243" s="0" t="str">
        <f aca="false">_xlfn.TEXTJOIN("; ",TRUE(),IF(AX243&lt;&gt;"pass","gated out",""),IF(AQ243="Y","on hold: "&amp;AR243,""),IF(C243="","no contact named on an opened page",""),IF(AND(AW243="Y",AV243&lt;&gt;"Y"),"Tuesday estimate band "&amp;L243&amp;": founder's call",""))</f>
        <v>gated out; no contact named on an opened page</v>
      </c>
      <c r="AW243" s="6" t="s">
        <v>162</v>
      </c>
      <c r="AX243" s="6" t="s">
        <v>3704</v>
      </c>
      <c r="AY243" s="6" t="s">
        <v>3705</v>
      </c>
      <c r="AZ243" s="6" t="s">
        <v>1</v>
      </c>
      <c r="BA243" s="6" t="s">
        <v>3706</v>
      </c>
      <c r="BB243" s="6" t="s">
        <v>3707</v>
      </c>
      <c r="BC243" s="6" t="s">
        <v>3708</v>
      </c>
      <c r="BD243" s="6" t="s">
        <v>3709</v>
      </c>
      <c r="BF243" s="6" t="s">
        <v>161</v>
      </c>
      <c r="BG243" s="6" t="s">
        <v>188</v>
      </c>
      <c r="BH243" s="6" t="s">
        <v>189</v>
      </c>
      <c r="BI243" s="6" t="s">
        <v>3710</v>
      </c>
      <c r="BK243" s="6" t="s">
        <v>191</v>
      </c>
      <c r="BL243" s="6" t="s">
        <v>192</v>
      </c>
      <c r="BM243" s="6" t="s">
        <v>168</v>
      </c>
      <c r="BN243" s="6" t="s">
        <v>163</v>
      </c>
      <c r="BO243" s="6" t="s">
        <v>163</v>
      </c>
      <c r="BP243" s="6" t="s">
        <v>347</v>
      </c>
      <c r="BQ243" s="0" t="n">
        <v>40.740766</v>
      </c>
      <c r="BR243" s="0" t="n">
        <v>-73.983213</v>
      </c>
      <c r="BS243" s="6" t="s">
        <v>162</v>
      </c>
      <c r="BT243" s="0" t="n">
        <v>1.7</v>
      </c>
      <c r="BV243" s="6" t="s">
        <v>163</v>
      </c>
      <c r="BW243" s="6" t="s">
        <v>3702</v>
      </c>
      <c r="BX243" s="6" t="s">
        <v>174</v>
      </c>
      <c r="BY243" s="6" t="s">
        <v>196</v>
      </c>
      <c r="BZ243" s="6" t="s">
        <v>3711</v>
      </c>
      <c r="CA243" s="6" t="s">
        <v>766</v>
      </c>
      <c r="CC243" s="6" t="s">
        <v>200</v>
      </c>
      <c r="CE243" s="6" t="s">
        <v>162</v>
      </c>
      <c r="CH243" s="6" t="s">
        <v>163</v>
      </c>
      <c r="CJ243" s="6" t="s">
        <v>163</v>
      </c>
      <c r="CK243" s="6" t="s">
        <v>162</v>
      </c>
      <c r="CL243" s="6" t="s">
        <v>163</v>
      </c>
      <c r="CO243" s="0" t="n">
        <v>57</v>
      </c>
      <c r="CQ243" s="6" t="s">
        <v>3712</v>
      </c>
      <c r="CR243" s="6" t="s">
        <v>206</v>
      </c>
      <c r="CS243" s="0" t="n">
        <v>1</v>
      </c>
      <c r="CT243" s="0" t="n">
        <v>61</v>
      </c>
      <c r="CU243" s="0" t="n">
        <v>25</v>
      </c>
      <c r="CV243" s="0" t="n">
        <v>15</v>
      </c>
      <c r="CW243" s="0" t="n">
        <v>6</v>
      </c>
      <c r="CX243" s="0" t="n">
        <v>15</v>
      </c>
      <c r="CY243" s="6" t="n">
        <f aca="false">IF(AH243="exact",10,IF(AH243="adjacent",5,0))</f>
        <v>0</v>
      </c>
      <c r="CZ243" s="6" t="n">
        <f aca="false">IF(R243="Y",15,0)</f>
        <v>0</v>
      </c>
      <c r="DF243" s="6" t="s">
        <v>158</v>
      </c>
      <c r="DG243" s="6" t="s">
        <v>3713</v>
      </c>
      <c r="DH243" s="6" t="s">
        <v>3714</v>
      </c>
      <c r="DI243" s="6" t="s">
        <v>162</v>
      </c>
      <c r="DJ243" s="6" t="s">
        <v>3715</v>
      </c>
      <c r="DK243" s="6" t="s">
        <v>3716</v>
      </c>
      <c r="DS243" s="6" t="s">
        <v>158</v>
      </c>
      <c r="DX243" s="6" t="s">
        <v>162</v>
      </c>
      <c r="ER243" s="0" t="str">
        <f aca="false">IF(ISNUMBER(MATCH(U243,{"queued","contacted","replied","call_booked","call_done","yes_in_principle","materials_sent"},0)),"Y","N")</f>
        <v>N</v>
      </c>
      <c r="ES243" s="0" t="str">
        <f aca="false">IF(COUNTIFS($AP$2:$AP$1000,AP243,$ER$2:$ER$1000,"Y")+COUNTIFS($AP$2:$AP$1000,AP243,$T$2:$T$1000,"Y")&gt;0,"Y","N")</f>
        <v>N</v>
      </c>
      <c r="ET243" s="0" t="str">
        <f aca="false">IF(AND(U243="new",T243="N",AT243="Y",AS243="",ES243="N"),"Y","N")</f>
        <v>N</v>
      </c>
      <c r="EU243" s="0" t="str">
        <f aca="false">IF(ET243&lt;&gt;"Y","N",IF(COUNTIFS($AP$2:$AP$1000,AP243,$ET$2:$ET$1000,"Y",$J$2:$J$1000,"&gt;"&amp;J243)+COUNTIFS($AP$2:$AP$1000,AP243,$ET$2:$ET$1000,"Y",$J$2:$J$1000,J243,$EW$2:$EW$1000,"&lt;"&amp;EW243)=0,"Y","N"))</f>
        <v>N</v>
      </c>
      <c r="EV243" s="0" t="str">
        <f aca="false">IF(Y243="","N",IF(Y243&lt;=10,"Y","N"))</f>
        <v>N</v>
      </c>
      <c r="EW243" s="6" t="n">
        <f aca="false">ROW()-1</f>
        <v>242</v>
      </c>
    </row>
    <row r="244" customFormat="false" ht="15" hidden="false" customHeight="false" outlineLevel="0" collapsed="false">
      <c r="A244" s="0" t="s">
        <v>3717</v>
      </c>
      <c r="B244" s="0" t="s">
        <v>3718</v>
      </c>
      <c r="H244" s="5" t="s">
        <v>158</v>
      </c>
      <c r="I244" s="5" t="s">
        <v>159</v>
      </c>
      <c r="J244" s="6" t="n">
        <f aca="false">IF(AX244="pass",ROUND(CU244+CV244+CW244+CX244+CY244+CZ244,1),0)</f>
        <v>0</v>
      </c>
      <c r="K244" s="6" t="s">
        <v>3719</v>
      </c>
      <c r="L244" s="6" t="s">
        <v>161</v>
      </c>
      <c r="R244" s="5" t="s">
        <v>162</v>
      </c>
      <c r="S244" s="6" t="s">
        <v>163</v>
      </c>
      <c r="T244" s="5" t="s">
        <v>162</v>
      </c>
      <c r="U244" s="5" t="s">
        <v>228</v>
      </c>
      <c r="V244" s="6" t="s">
        <v>3720</v>
      </c>
      <c r="W244" s="6" t="s">
        <v>166</v>
      </c>
      <c r="X244" s="6" t="s">
        <v>167</v>
      </c>
      <c r="Y244" s="0" t="str">
        <f aca="false">IF(EU244&lt;&gt;"Y","",COUNTIFS($EU$2:$EU$1000,"Y",$J$2:$J$1000,"&gt;"&amp;J244)+COUNTIFS($EU$2:$EU$1000,"Y",$J$2:$J$1000,J244,$EW$2:$EW$1000,"&lt;"&amp;EW244)+1)</f>
        <v/>
      </c>
      <c r="AA244" s="6" t="s">
        <v>162</v>
      </c>
      <c r="AD244" s="6" t="s">
        <v>158</v>
      </c>
      <c r="AH244" s="5" t="s">
        <v>158</v>
      </c>
      <c r="AI244" s="6" t="s">
        <v>3721</v>
      </c>
      <c r="AJ244" s="6" t="s">
        <v>3722</v>
      </c>
      <c r="AK244" s="6" t="s">
        <v>435</v>
      </c>
      <c r="AL244" s="0" t="n">
        <v>68</v>
      </c>
      <c r="AM244" s="0" t="n">
        <v>136</v>
      </c>
      <c r="AN244" s="6" t="s">
        <v>179</v>
      </c>
      <c r="AO244" s="6" t="s">
        <v>1033</v>
      </c>
      <c r="AP244" s="6" t="s">
        <v>3717</v>
      </c>
      <c r="AQ244" s="5" t="s">
        <v>162</v>
      </c>
      <c r="AT244" s="0" t="str">
        <f aca="false">IF(AND(AX244="pass",AQ244&lt;&gt;"Y",C244&lt;&gt;"",OR(AW244&lt;&gt;"Y",AV244="Y")),"Y","N")</f>
        <v>N</v>
      </c>
      <c r="AU244" s="0" t="str">
        <f aca="false">_xlfn.TEXTJOIN("; ",TRUE(),IF(AX244&lt;&gt;"pass","gated out",""),IF(AQ244="Y","on hold: "&amp;AR244,""),IF(C244="","no contact named on an opened page",""),IF(AND(AW244="Y",AV244&lt;&gt;"Y"),"Tuesday estimate band "&amp;L244&amp;": founder's call",""))</f>
        <v>gated out; no contact named on an opened page</v>
      </c>
      <c r="AW244" s="6" t="s">
        <v>162</v>
      </c>
      <c r="AX244" s="6" t="s">
        <v>3704</v>
      </c>
      <c r="AY244" s="6" t="s">
        <v>3723</v>
      </c>
      <c r="AZ244" s="6" t="s">
        <v>1</v>
      </c>
      <c r="BA244" s="6" t="s">
        <v>3724</v>
      </c>
      <c r="BB244" s="6" t="s">
        <v>3725</v>
      </c>
      <c r="BC244" s="6" t="s">
        <v>3726</v>
      </c>
      <c r="BD244" s="6" t="s">
        <v>654</v>
      </c>
      <c r="BF244" s="6" t="s">
        <v>187</v>
      </c>
      <c r="BG244" s="6" t="s">
        <v>188</v>
      </c>
      <c r="BH244" s="6" t="s">
        <v>189</v>
      </c>
      <c r="BI244" s="6" t="s">
        <v>3720</v>
      </c>
      <c r="BK244" s="6" t="s">
        <v>191</v>
      </c>
      <c r="BL244" s="6" t="s">
        <v>192</v>
      </c>
      <c r="BM244" s="6" t="s">
        <v>168</v>
      </c>
      <c r="BN244" s="6" t="s">
        <v>163</v>
      </c>
      <c r="BO244" s="6" t="s">
        <v>163</v>
      </c>
      <c r="BP244" s="6" t="s">
        <v>712</v>
      </c>
      <c r="BQ244" s="0" t="n">
        <v>40.745352</v>
      </c>
      <c r="BR244" s="0" t="n">
        <v>-73.988555</v>
      </c>
      <c r="BS244" s="6" t="s">
        <v>168</v>
      </c>
      <c r="BT244" s="0" t="n">
        <v>0</v>
      </c>
      <c r="BV244" s="6" t="s">
        <v>163</v>
      </c>
      <c r="BW244" s="6" t="s">
        <v>3720</v>
      </c>
      <c r="BX244" s="6" t="s">
        <v>166</v>
      </c>
      <c r="BY244" s="6" t="s">
        <v>445</v>
      </c>
      <c r="CC244" s="6" t="s">
        <v>179</v>
      </c>
      <c r="CE244" s="6" t="s">
        <v>162</v>
      </c>
      <c r="CH244" s="6" t="s">
        <v>163</v>
      </c>
      <c r="CJ244" s="6" t="s">
        <v>163</v>
      </c>
      <c r="CK244" s="6" t="s">
        <v>162</v>
      </c>
      <c r="CL244" s="6" t="s">
        <v>3727</v>
      </c>
      <c r="CM244" s="6" t="s">
        <v>3720</v>
      </c>
      <c r="CN244" s="6" t="s">
        <v>166</v>
      </c>
      <c r="CO244" s="0" t="n">
        <v>96</v>
      </c>
      <c r="CQ244" s="6" t="s">
        <v>3728</v>
      </c>
      <c r="CR244" s="6" t="s">
        <v>206</v>
      </c>
      <c r="CS244" s="0" t="n">
        <v>1</v>
      </c>
      <c r="CT244" s="0" t="n">
        <v>40</v>
      </c>
      <c r="CU244" s="0" t="n">
        <v>25</v>
      </c>
      <c r="CV244" s="0" t="n">
        <v>15</v>
      </c>
      <c r="CW244" s="0" t="n">
        <v>-5</v>
      </c>
      <c r="CX244" s="0" t="n">
        <v>5</v>
      </c>
      <c r="CY244" s="6" t="n">
        <f aca="false">IF(AH244="exact",10,IF(AH244="adjacent",5,0))</f>
        <v>0</v>
      </c>
      <c r="CZ244" s="6" t="n">
        <f aca="false">IF(R244="Y",15,0)</f>
        <v>0</v>
      </c>
      <c r="DF244" s="6" t="s">
        <v>158</v>
      </c>
      <c r="DG244" s="6" t="s">
        <v>3729</v>
      </c>
      <c r="DK244" s="6" t="s">
        <v>3730</v>
      </c>
      <c r="DS244" s="6" t="s">
        <v>158</v>
      </c>
      <c r="DX244" s="6" t="s">
        <v>162</v>
      </c>
      <c r="ER244" s="0" t="str">
        <f aca="false">IF(ISNUMBER(MATCH(U244,{"queued","contacted","replied","call_booked","call_done","yes_in_principle","materials_sent"},0)),"Y","N")</f>
        <v>N</v>
      </c>
      <c r="ES244" s="0" t="str">
        <f aca="false">IF(COUNTIFS($AP$2:$AP$1000,AP244,$ER$2:$ER$1000,"Y")+COUNTIFS($AP$2:$AP$1000,AP244,$T$2:$T$1000,"Y")&gt;0,"Y","N")</f>
        <v>N</v>
      </c>
      <c r="ET244" s="0" t="str">
        <f aca="false">IF(AND(U244="new",T244="N",AT244="Y",AS244="",ES244="N"),"Y","N")</f>
        <v>N</v>
      </c>
      <c r="EU244" s="0" t="str">
        <f aca="false">IF(ET244&lt;&gt;"Y","N",IF(COUNTIFS($AP$2:$AP$1000,AP244,$ET$2:$ET$1000,"Y",$J$2:$J$1000,"&gt;"&amp;J244)+COUNTIFS($AP$2:$AP$1000,AP244,$ET$2:$ET$1000,"Y",$J$2:$J$1000,J244,$EW$2:$EW$1000,"&lt;"&amp;EW244)=0,"Y","N"))</f>
        <v>N</v>
      </c>
      <c r="EV244" s="0" t="str">
        <f aca="false">IF(Y244="","N",IF(Y244&lt;=10,"Y","N"))</f>
        <v>N</v>
      </c>
      <c r="EW244" s="6" t="n">
        <f aca="false">ROW()-1</f>
        <v>243</v>
      </c>
    </row>
    <row r="245" customFormat="false" ht="15" hidden="false" customHeight="false" outlineLevel="0" collapsed="false">
      <c r="A245" s="0" t="s">
        <v>3731</v>
      </c>
      <c r="B245" s="0" t="s">
        <v>3732</v>
      </c>
      <c r="H245" s="5" t="s">
        <v>158</v>
      </c>
      <c r="I245" s="5" t="s">
        <v>159</v>
      </c>
      <c r="J245" s="6" t="n">
        <f aca="false">IF(AX245="pass",ROUND(CU245+CV245+CW245+CX245+CY245+CZ245,1),0)</f>
        <v>0</v>
      </c>
      <c r="K245" s="6" t="s">
        <v>3733</v>
      </c>
      <c r="L245" s="6" t="s">
        <v>161</v>
      </c>
      <c r="R245" s="5" t="s">
        <v>162</v>
      </c>
      <c r="S245" s="6" t="s">
        <v>163</v>
      </c>
      <c r="T245" s="5" t="s">
        <v>162</v>
      </c>
      <c r="U245" s="5" t="s">
        <v>228</v>
      </c>
      <c r="V245" s="6" t="s">
        <v>3734</v>
      </c>
      <c r="W245" s="6" t="s">
        <v>166</v>
      </c>
      <c r="X245" s="6" t="s">
        <v>167</v>
      </c>
      <c r="Y245" s="0" t="str">
        <f aca="false">IF(EU245&lt;&gt;"Y","",COUNTIFS($EU$2:$EU$1000,"Y",$J$2:$J$1000,"&gt;"&amp;J245)+COUNTIFS($EU$2:$EU$1000,"Y",$J$2:$J$1000,J245,$EW$2:$EW$1000,"&lt;"&amp;EW245)+1)</f>
        <v/>
      </c>
      <c r="AA245" s="6" t="s">
        <v>162</v>
      </c>
      <c r="AD245" s="6" t="s">
        <v>158</v>
      </c>
      <c r="AH245" s="5" t="s">
        <v>158</v>
      </c>
      <c r="AI245" s="6" t="s">
        <v>3735</v>
      </c>
      <c r="AJ245" s="6" t="s">
        <v>163</v>
      </c>
      <c r="AK245" s="6" t="s">
        <v>435</v>
      </c>
      <c r="AL245" s="0" t="n">
        <v>67</v>
      </c>
      <c r="AM245" s="0" t="n">
        <v>133</v>
      </c>
      <c r="AN245" s="6" t="s">
        <v>179</v>
      </c>
      <c r="AO245" s="6" t="s">
        <v>274</v>
      </c>
      <c r="AP245" s="6" t="s">
        <v>3731</v>
      </c>
      <c r="AQ245" s="5" t="s">
        <v>162</v>
      </c>
      <c r="AT245" s="0" t="str">
        <f aca="false">IF(AND(AX245="pass",AQ245&lt;&gt;"Y",C245&lt;&gt;"",OR(AW245&lt;&gt;"Y",AV245="Y")),"Y","N")</f>
        <v>N</v>
      </c>
      <c r="AU245" s="0" t="str">
        <f aca="false">_xlfn.TEXTJOIN("; ",TRUE(),IF(AX245&lt;&gt;"pass","gated out",""),IF(AQ245="Y","on hold: "&amp;AR245,""),IF(C245="","no contact named on an opened page",""),IF(AND(AW245="Y",AV245&lt;&gt;"Y"),"Tuesday estimate band "&amp;L245&amp;": founder's call",""))</f>
        <v>gated out; no contact named on an opened page</v>
      </c>
      <c r="AW245" s="6" t="s">
        <v>162</v>
      </c>
      <c r="AX245" s="6" t="s">
        <v>3704</v>
      </c>
      <c r="AY245" s="6" t="s">
        <v>3736</v>
      </c>
      <c r="AZ245" s="6" t="s">
        <v>1</v>
      </c>
      <c r="BA245" s="6" t="s">
        <v>3737</v>
      </c>
      <c r="BB245" s="6" t="s">
        <v>3738</v>
      </c>
      <c r="BC245" s="6" t="s">
        <v>3739</v>
      </c>
      <c r="BD245" s="6" t="s">
        <v>3740</v>
      </c>
      <c r="BF245" s="6" t="s">
        <v>187</v>
      </c>
      <c r="BG245" s="6" t="s">
        <v>188</v>
      </c>
      <c r="BH245" s="6" t="s">
        <v>189</v>
      </c>
      <c r="BI245" s="6" t="s">
        <v>3734</v>
      </c>
      <c r="BK245" s="6" t="s">
        <v>191</v>
      </c>
      <c r="BL245" s="6" t="s">
        <v>192</v>
      </c>
      <c r="BM245" s="6" t="s">
        <v>168</v>
      </c>
      <c r="BN245" s="6" t="s">
        <v>163</v>
      </c>
      <c r="BO245" s="6" t="s">
        <v>163</v>
      </c>
      <c r="BP245" s="6" t="s">
        <v>712</v>
      </c>
      <c r="BQ245" s="0" t="n">
        <v>40.745488</v>
      </c>
      <c r="BR245" s="0" t="n">
        <v>-73.991668</v>
      </c>
      <c r="BS245" s="6" t="s">
        <v>162</v>
      </c>
      <c r="BT245" s="0" t="n">
        <v>0.1</v>
      </c>
      <c r="BV245" s="6" t="s">
        <v>163</v>
      </c>
      <c r="BW245" s="6" t="s">
        <v>3734</v>
      </c>
      <c r="BX245" s="6" t="s">
        <v>166</v>
      </c>
      <c r="BY245" s="6" t="s">
        <v>445</v>
      </c>
      <c r="CC245" s="6" t="s">
        <v>179</v>
      </c>
      <c r="CE245" s="6" t="s">
        <v>162</v>
      </c>
      <c r="CH245" s="6" t="s">
        <v>163</v>
      </c>
      <c r="CJ245" s="6" t="s">
        <v>163</v>
      </c>
      <c r="CK245" s="6" t="s">
        <v>162</v>
      </c>
      <c r="CL245" s="6" t="s">
        <v>3741</v>
      </c>
      <c r="CM245" s="6" t="s">
        <v>3734</v>
      </c>
      <c r="CN245" s="6" t="s">
        <v>166</v>
      </c>
      <c r="CO245" s="0" t="n">
        <v>94</v>
      </c>
      <c r="CQ245" s="6" t="s">
        <v>3742</v>
      </c>
      <c r="CR245" s="6" t="s">
        <v>206</v>
      </c>
      <c r="CS245" s="0" t="n">
        <v>1</v>
      </c>
      <c r="CT245" s="0" t="n">
        <v>55</v>
      </c>
      <c r="CU245" s="0" t="n">
        <v>25</v>
      </c>
      <c r="CV245" s="0" t="n">
        <v>15</v>
      </c>
      <c r="CW245" s="0" t="n">
        <v>10</v>
      </c>
      <c r="CX245" s="0" t="n">
        <v>5</v>
      </c>
      <c r="CY245" s="6" t="n">
        <f aca="false">IF(AH245="exact",10,IF(AH245="adjacent",5,0))</f>
        <v>0</v>
      </c>
      <c r="CZ245" s="6" t="n">
        <f aca="false">IF(R245="Y",15,0)</f>
        <v>0</v>
      </c>
      <c r="DF245" s="6" t="s">
        <v>158</v>
      </c>
      <c r="DG245" s="6" t="s">
        <v>3713</v>
      </c>
      <c r="DH245" s="6" t="s">
        <v>3714</v>
      </c>
      <c r="DI245" s="6" t="s">
        <v>162</v>
      </c>
      <c r="DK245" s="6" t="s">
        <v>3743</v>
      </c>
      <c r="DS245" s="6" t="s">
        <v>158</v>
      </c>
      <c r="DX245" s="6" t="s">
        <v>162</v>
      </c>
      <c r="ER245" s="0" t="str">
        <f aca="false">IF(ISNUMBER(MATCH(U245,{"queued","contacted","replied","call_booked","call_done","yes_in_principle","materials_sent"},0)),"Y","N")</f>
        <v>N</v>
      </c>
      <c r="ES245" s="0" t="str">
        <f aca="false">IF(COUNTIFS($AP$2:$AP$1000,AP245,$ER$2:$ER$1000,"Y")+COUNTIFS($AP$2:$AP$1000,AP245,$T$2:$T$1000,"Y")&gt;0,"Y","N")</f>
        <v>N</v>
      </c>
      <c r="ET245" s="0" t="str">
        <f aca="false">IF(AND(U245="new",T245="N",AT245="Y",AS245="",ES245="N"),"Y","N")</f>
        <v>N</v>
      </c>
      <c r="EU245" s="0" t="str">
        <f aca="false">IF(ET245&lt;&gt;"Y","N",IF(COUNTIFS($AP$2:$AP$1000,AP245,$ET$2:$ET$1000,"Y",$J$2:$J$1000,"&gt;"&amp;J245)+COUNTIFS($AP$2:$AP$1000,AP245,$ET$2:$ET$1000,"Y",$J$2:$J$1000,J245,$EW$2:$EW$1000,"&lt;"&amp;EW245)=0,"Y","N"))</f>
        <v>N</v>
      </c>
      <c r="EV245" s="0" t="str">
        <f aca="false">IF(Y245="","N",IF(Y245&lt;=10,"Y","N"))</f>
        <v>N</v>
      </c>
      <c r="EW245" s="6" t="n">
        <f aca="false">ROW()-1</f>
        <v>244</v>
      </c>
    </row>
    <row r="246" customFormat="false" ht="15" hidden="false" customHeight="false" outlineLevel="0" collapsed="false">
      <c r="A246" s="0" t="s">
        <v>3744</v>
      </c>
      <c r="B246" s="0" t="s">
        <v>3745</v>
      </c>
      <c r="H246" s="5" t="s">
        <v>158</v>
      </c>
      <c r="I246" s="5" t="s">
        <v>159</v>
      </c>
      <c r="J246" s="6" t="n">
        <f aca="false">IF(AX246="pass",ROUND(CU246+CV246+CW246+CX246+CY246+CZ246,1),0)</f>
        <v>0</v>
      </c>
      <c r="K246" s="6" t="s">
        <v>3733</v>
      </c>
      <c r="L246" s="6" t="s">
        <v>395</v>
      </c>
      <c r="R246" s="5" t="s">
        <v>162</v>
      </c>
      <c r="S246" s="6" t="s">
        <v>163</v>
      </c>
      <c r="T246" s="5" t="s">
        <v>162</v>
      </c>
      <c r="U246" s="5" t="s">
        <v>228</v>
      </c>
      <c r="V246" s="6" t="s">
        <v>3746</v>
      </c>
      <c r="W246" s="6" t="s">
        <v>166</v>
      </c>
      <c r="X246" s="6" t="s">
        <v>167</v>
      </c>
      <c r="Y246" s="0" t="str">
        <f aca="false">IF(EU246&lt;&gt;"Y","",COUNTIFS($EU$2:$EU$1000,"Y",$J$2:$J$1000,"&gt;"&amp;J246)+COUNTIFS($EU$2:$EU$1000,"Y",$J$2:$J$1000,J246,$EW$2:$EW$1000,"&lt;"&amp;EW246)+1)</f>
        <v/>
      </c>
      <c r="AA246" s="6" t="s">
        <v>162</v>
      </c>
      <c r="AD246" s="6" t="s">
        <v>158</v>
      </c>
      <c r="AH246" s="5" t="s">
        <v>158</v>
      </c>
      <c r="AI246" s="6" t="s">
        <v>3747</v>
      </c>
      <c r="AJ246" s="6" t="s">
        <v>3748</v>
      </c>
      <c r="AK246" s="6" t="s">
        <v>435</v>
      </c>
      <c r="AL246" s="0" t="n">
        <v>17</v>
      </c>
      <c r="AM246" s="0" t="n">
        <v>335</v>
      </c>
      <c r="AN246" s="6" t="s">
        <v>179</v>
      </c>
      <c r="AO246" s="6" t="s">
        <v>163</v>
      </c>
      <c r="AP246" s="6" t="s">
        <v>3744</v>
      </c>
      <c r="AQ246" s="5" t="s">
        <v>162</v>
      </c>
      <c r="AT246" s="0" t="str">
        <f aca="false">IF(AND(AX246="pass",AQ246&lt;&gt;"Y",C246&lt;&gt;"",OR(AW246&lt;&gt;"Y",AV246="Y")),"Y","N")</f>
        <v>N</v>
      </c>
      <c r="AU246" s="0" t="str">
        <f aca="false">_xlfn.TEXTJOIN("; ",TRUE(),IF(AX246&lt;&gt;"pass","gated out",""),IF(AQ246="Y","on hold: "&amp;AR246,""),IF(C246="","no contact named on an opened page",""),IF(AND(AW246="Y",AV246&lt;&gt;"Y"),"Tuesday estimate band "&amp;L246&amp;": founder's call",""))</f>
        <v>gated out; no contact named on an opened page</v>
      </c>
      <c r="AW246" s="6" t="s">
        <v>162</v>
      </c>
      <c r="AX246" s="6" t="s">
        <v>3704</v>
      </c>
      <c r="AY246" s="6" t="s">
        <v>3736</v>
      </c>
      <c r="AZ246" s="6" t="s">
        <v>1</v>
      </c>
      <c r="BA246" s="6" t="s">
        <v>3749</v>
      </c>
      <c r="BB246" s="6" t="s">
        <v>163</v>
      </c>
      <c r="BC246" s="6" t="s">
        <v>3750</v>
      </c>
      <c r="BD246" s="6" t="s">
        <v>1322</v>
      </c>
      <c r="BF246" s="6" t="s">
        <v>240</v>
      </c>
      <c r="BG246" s="6" t="s">
        <v>188</v>
      </c>
      <c r="BH246" s="6" t="s">
        <v>189</v>
      </c>
      <c r="BI246" s="6" t="s">
        <v>3751</v>
      </c>
      <c r="BK246" s="6" t="s">
        <v>191</v>
      </c>
      <c r="BL246" s="6" t="s">
        <v>2550</v>
      </c>
      <c r="BM246" s="6" t="s">
        <v>162</v>
      </c>
      <c r="BN246" s="6" t="s">
        <v>163</v>
      </c>
      <c r="BO246" s="6" t="s">
        <v>163</v>
      </c>
      <c r="BP246" s="6" t="s">
        <v>712</v>
      </c>
      <c r="BQ246" s="0" t="n">
        <v>40.747365</v>
      </c>
      <c r="BR246" s="0" t="n">
        <v>-73.988522</v>
      </c>
      <c r="BS246" s="6" t="s">
        <v>162</v>
      </c>
      <c r="BT246" s="0" t="n">
        <v>0.1</v>
      </c>
      <c r="BV246" s="6" t="s">
        <v>163</v>
      </c>
      <c r="BW246" s="6" t="s">
        <v>3746</v>
      </c>
      <c r="BX246" s="6" t="s">
        <v>3752</v>
      </c>
      <c r="BY246" s="6" t="s">
        <v>248</v>
      </c>
      <c r="CC246" s="6" t="s">
        <v>179</v>
      </c>
      <c r="CE246" s="6" t="s">
        <v>162</v>
      </c>
      <c r="CH246" s="6" t="s">
        <v>163</v>
      </c>
      <c r="CJ246" s="6" t="s">
        <v>163</v>
      </c>
      <c r="CK246" s="6" t="s">
        <v>162</v>
      </c>
      <c r="CL246" s="6" t="s">
        <v>163</v>
      </c>
      <c r="CO246" s="0" t="n">
        <v>75</v>
      </c>
      <c r="CP246" s="6" t="s">
        <v>768</v>
      </c>
      <c r="CQ246" s="6" t="s">
        <v>3753</v>
      </c>
      <c r="CR246" s="6" t="s">
        <v>206</v>
      </c>
      <c r="CS246" s="0" t="n">
        <v>0.61</v>
      </c>
      <c r="CT246" s="0" t="n">
        <v>41.4</v>
      </c>
      <c r="CU246" s="0" t="n">
        <v>15.4</v>
      </c>
      <c r="CV246" s="0" t="n">
        <v>15</v>
      </c>
      <c r="CW246" s="0" t="n">
        <v>6</v>
      </c>
      <c r="CX246" s="0" t="n">
        <v>5</v>
      </c>
      <c r="CY246" s="6" t="n">
        <f aca="false">IF(AH246="exact",10,IF(AH246="adjacent",5,0))</f>
        <v>0</v>
      </c>
      <c r="CZ246" s="6" t="n">
        <f aca="false">IF(R246="Y",15,0)</f>
        <v>0</v>
      </c>
      <c r="DF246" s="6" t="s">
        <v>158</v>
      </c>
      <c r="DG246" s="6" t="s">
        <v>3713</v>
      </c>
      <c r="DH246" s="6" t="s">
        <v>3714</v>
      </c>
      <c r="DI246" s="6" t="s">
        <v>162</v>
      </c>
      <c r="DJ246" s="6" t="s">
        <v>2958</v>
      </c>
      <c r="DK246" s="6" t="s">
        <v>3754</v>
      </c>
      <c r="DS246" s="6" t="s">
        <v>158</v>
      </c>
      <c r="DX246" s="6" t="s">
        <v>162</v>
      </c>
      <c r="ER246" s="0" t="str">
        <f aca="false">IF(ISNUMBER(MATCH(U246,{"queued","contacted","replied","call_booked","call_done","yes_in_principle","materials_sent"},0)),"Y","N")</f>
        <v>N</v>
      </c>
      <c r="ES246" s="0" t="str">
        <f aca="false">IF(COUNTIFS($AP$2:$AP$1000,AP246,$ER$2:$ER$1000,"Y")+COUNTIFS($AP$2:$AP$1000,AP246,$T$2:$T$1000,"Y")&gt;0,"Y","N")</f>
        <v>N</v>
      </c>
      <c r="ET246" s="0" t="str">
        <f aca="false">IF(AND(U246="new",T246="N",AT246="Y",AS246="",ES246="N"),"Y","N")</f>
        <v>N</v>
      </c>
      <c r="EU246" s="0" t="str">
        <f aca="false">IF(ET246&lt;&gt;"Y","N",IF(COUNTIFS($AP$2:$AP$1000,AP246,$ET$2:$ET$1000,"Y",$J$2:$J$1000,"&gt;"&amp;J246)+COUNTIFS($AP$2:$AP$1000,AP246,$ET$2:$ET$1000,"Y",$J$2:$J$1000,J246,$EW$2:$EW$1000,"&lt;"&amp;EW246)=0,"Y","N"))</f>
        <v>N</v>
      </c>
      <c r="EV246" s="0" t="str">
        <f aca="false">IF(Y246="","N",IF(Y246&lt;=10,"Y","N"))</f>
        <v>N</v>
      </c>
      <c r="EW246" s="6" t="n">
        <f aca="false">ROW()-1</f>
        <v>245</v>
      </c>
    </row>
    <row r="247" customFormat="false" ht="15" hidden="false" customHeight="false" outlineLevel="0" collapsed="false">
      <c r="A247" s="0" t="s">
        <v>3755</v>
      </c>
      <c r="B247" s="0" t="s">
        <v>3756</v>
      </c>
      <c r="H247" s="5" t="s">
        <v>158</v>
      </c>
      <c r="I247" s="5" t="s">
        <v>159</v>
      </c>
      <c r="J247" s="6" t="n">
        <f aca="false">IF(AX247="pass",ROUND(CU247+CV247+CW247+CX247+CY247+CZ247,1),0)</f>
        <v>0</v>
      </c>
      <c r="K247" s="6" t="s">
        <v>3733</v>
      </c>
      <c r="L247" s="6" t="s">
        <v>561</v>
      </c>
      <c r="O247" s="6" t="s">
        <v>3757</v>
      </c>
      <c r="P247" s="6" t="s">
        <v>3758</v>
      </c>
      <c r="Q247" s="6" t="s">
        <v>3759</v>
      </c>
      <c r="R247" s="5" t="s">
        <v>162</v>
      </c>
      <c r="S247" s="6" t="s">
        <v>163</v>
      </c>
      <c r="T247" s="5" t="s">
        <v>162</v>
      </c>
      <c r="U247" s="5" t="s">
        <v>228</v>
      </c>
      <c r="V247" s="6" t="s">
        <v>3758</v>
      </c>
      <c r="W247" s="6" t="s">
        <v>166</v>
      </c>
      <c r="X247" s="6" t="s">
        <v>167</v>
      </c>
      <c r="Y247" s="0" t="str">
        <f aca="false">IF(EU247&lt;&gt;"Y","",COUNTIFS($EU$2:$EU$1000,"Y",$J$2:$J$1000,"&gt;"&amp;J247)+COUNTIFS($EU$2:$EU$1000,"Y",$J$2:$J$1000,J247,$EW$2:$EW$1000,"&lt;"&amp;EW247)+1)</f>
        <v/>
      </c>
      <c r="AA247" s="6" t="s">
        <v>162</v>
      </c>
      <c r="AD247" s="6" t="s">
        <v>158</v>
      </c>
      <c r="AH247" s="5" t="s">
        <v>158</v>
      </c>
      <c r="AI247" s="6" t="s">
        <v>3747</v>
      </c>
      <c r="AJ247" s="6" t="s">
        <v>434</v>
      </c>
      <c r="AK247" s="6" t="s">
        <v>178</v>
      </c>
      <c r="AL247" s="0" t="n">
        <v>7</v>
      </c>
      <c r="AM247" s="0" t="n">
        <v>148</v>
      </c>
      <c r="AN247" s="6" t="s">
        <v>179</v>
      </c>
      <c r="AO247" s="6" t="s">
        <v>163</v>
      </c>
      <c r="AP247" s="6" t="s">
        <v>3755</v>
      </c>
      <c r="AQ247" s="5" t="s">
        <v>162</v>
      </c>
      <c r="AT247" s="0" t="str">
        <f aca="false">IF(AND(AX247="pass",AQ247&lt;&gt;"Y",C247&lt;&gt;"",OR(AW247&lt;&gt;"Y",AV247="Y")),"Y","N")</f>
        <v>N</v>
      </c>
      <c r="AU247" s="0" t="str">
        <f aca="false">_xlfn.TEXTJOIN("; ",TRUE(),IF(AX247&lt;&gt;"pass","gated out",""),IF(AQ247="Y","on hold: "&amp;AR247,""),IF(C247="","no contact named on an opened page",""),IF(AND(AW247="Y",AV247&lt;&gt;"Y"),"Tuesday estimate band "&amp;L247&amp;": founder's call",""))</f>
        <v>gated out; no contact named on an opened page; Tuesday estimate band under-40: founder's call</v>
      </c>
      <c r="AW247" s="6" t="s">
        <v>168</v>
      </c>
      <c r="AX247" s="6" t="s">
        <v>3704</v>
      </c>
      <c r="AY247" s="6" t="s">
        <v>3736</v>
      </c>
      <c r="AZ247" s="6" t="s">
        <v>1</v>
      </c>
      <c r="BA247" s="6" t="s">
        <v>3760</v>
      </c>
      <c r="BB247" s="6" t="s">
        <v>3761</v>
      </c>
      <c r="BC247" s="6" t="s">
        <v>3762</v>
      </c>
      <c r="BD247" s="6" t="s">
        <v>3763</v>
      </c>
      <c r="BF247" s="6" t="s">
        <v>187</v>
      </c>
      <c r="BG247" s="6" t="s">
        <v>188</v>
      </c>
      <c r="BH247" s="6" t="s">
        <v>189</v>
      </c>
      <c r="BI247" s="6" t="s">
        <v>3764</v>
      </c>
      <c r="BK247" s="6" t="s">
        <v>191</v>
      </c>
      <c r="BL247" s="6" t="s">
        <v>163</v>
      </c>
      <c r="BM247" s="6" t="s">
        <v>163</v>
      </c>
      <c r="BN247" s="6" t="s">
        <v>163</v>
      </c>
      <c r="BO247" s="6" t="s">
        <v>163</v>
      </c>
      <c r="BP247" s="6" t="s">
        <v>712</v>
      </c>
      <c r="BQ247" s="0" t="n">
        <v>40.747365</v>
      </c>
      <c r="BR247" s="0" t="n">
        <v>-73.988522</v>
      </c>
      <c r="BS247" s="6" t="s">
        <v>162</v>
      </c>
      <c r="BT247" s="0" t="n">
        <v>0.1</v>
      </c>
      <c r="BV247" s="6" t="s">
        <v>163</v>
      </c>
      <c r="BW247" s="6" t="s">
        <v>3758</v>
      </c>
      <c r="BX247" s="6" t="s">
        <v>3759</v>
      </c>
      <c r="BY247" s="6" t="s">
        <v>248</v>
      </c>
      <c r="BZ247" s="6" t="s">
        <v>3765</v>
      </c>
      <c r="CA247" s="6" t="s">
        <v>166</v>
      </c>
      <c r="CC247" s="6" t="s">
        <v>200</v>
      </c>
      <c r="CE247" s="6" t="s">
        <v>162</v>
      </c>
      <c r="CH247" s="6" t="s">
        <v>163</v>
      </c>
      <c r="CJ247" s="6" t="s">
        <v>163</v>
      </c>
      <c r="CK247" s="6" t="s">
        <v>162</v>
      </c>
      <c r="CL247" s="6" t="s">
        <v>163</v>
      </c>
      <c r="CO247" s="0" t="n">
        <v>32</v>
      </c>
      <c r="CP247" s="6" t="s">
        <v>578</v>
      </c>
      <c r="CQ247" s="6" t="s">
        <v>3766</v>
      </c>
      <c r="CR247" s="6" t="s">
        <v>206</v>
      </c>
      <c r="CS247" s="0" t="n">
        <v>0.43</v>
      </c>
      <c r="CT247" s="0" t="n">
        <v>46.7</v>
      </c>
      <c r="CU247" s="0" t="n">
        <v>10.7</v>
      </c>
      <c r="CV247" s="0" t="n">
        <v>15</v>
      </c>
      <c r="CW247" s="0" t="n">
        <v>6</v>
      </c>
      <c r="CX247" s="0" t="n">
        <v>15</v>
      </c>
      <c r="CY247" s="6" t="n">
        <f aca="false">IF(AH247="exact",10,IF(AH247="adjacent",5,0))</f>
        <v>0</v>
      </c>
      <c r="CZ247" s="6" t="n">
        <f aca="false">IF(R247="Y",15,0)</f>
        <v>0</v>
      </c>
      <c r="DF247" s="6" t="s">
        <v>158</v>
      </c>
      <c r="DG247" s="6" t="s">
        <v>3713</v>
      </c>
      <c r="DH247" s="6" t="s">
        <v>3714</v>
      </c>
      <c r="DI247" s="6" t="s">
        <v>162</v>
      </c>
      <c r="DJ247" s="6" t="s">
        <v>3767</v>
      </c>
      <c r="DK247" s="6" t="s">
        <v>3768</v>
      </c>
      <c r="DS247" s="6" t="s">
        <v>158</v>
      </c>
      <c r="DX247" s="6" t="s">
        <v>162</v>
      </c>
      <c r="ER247" s="0" t="str">
        <f aca="false">IF(ISNUMBER(MATCH(U247,{"queued","contacted","replied","call_booked","call_done","yes_in_principle","materials_sent"},0)),"Y","N")</f>
        <v>N</v>
      </c>
      <c r="ES247" s="0" t="str">
        <f aca="false">IF(COUNTIFS($AP$2:$AP$1000,AP247,$ER$2:$ER$1000,"Y")+COUNTIFS($AP$2:$AP$1000,AP247,$T$2:$T$1000,"Y")&gt;0,"Y","N")</f>
        <v>N</v>
      </c>
      <c r="ET247" s="0" t="str">
        <f aca="false">IF(AND(U247="new",T247="N",AT247="Y",AS247="",ES247="N"),"Y","N")</f>
        <v>N</v>
      </c>
      <c r="EU247" s="0" t="str">
        <f aca="false">IF(ET247&lt;&gt;"Y","N",IF(COUNTIFS($AP$2:$AP$1000,AP247,$ET$2:$ET$1000,"Y",$J$2:$J$1000,"&gt;"&amp;J247)+COUNTIFS($AP$2:$AP$1000,AP247,$ET$2:$ET$1000,"Y",$J$2:$J$1000,J247,$EW$2:$EW$1000,"&lt;"&amp;EW247)=0,"Y","N"))</f>
        <v>N</v>
      </c>
      <c r="EV247" s="0" t="str">
        <f aca="false">IF(Y247="","N",IF(Y247&lt;=10,"Y","N"))</f>
        <v>N</v>
      </c>
      <c r="EW247" s="6" t="n">
        <f aca="false">ROW()-1</f>
        <v>246</v>
      </c>
    </row>
    <row r="248" customFormat="false" ht="15" hidden="false" customHeight="false" outlineLevel="0" collapsed="false">
      <c r="A248" s="0" t="s">
        <v>3769</v>
      </c>
      <c r="B248" s="0" t="s">
        <v>3770</v>
      </c>
      <c r="H248" s="5" t="s">
        <v>158</v>
      </c>
      <c r="I248" s="5" t="s">
        <v>159</v>
      </c>
      <c r="J248" s="6" t="n">
        <f aca="false">IF(AX248="pass",ROUND(CU248+CV248+CW248+CX248+CY248+CZ248,1),0)</f>
        <v>0</v>
      </c>
      <c r="K248" s="6" t="s">
        <v>3771</v>
      </c>
      <c r="L248" s="6" t="s">
        <v>561</v>
      </c>
      <c r="R248" s="5" t="s">
        <v>162</v>
      </c>
      <c r="S248" s="6" t="s">
        <v>163</v>
      </c>
      <c r="T248" s="5" t="s">
        <v>162</v>
      </c>
      <c r="U248" s="5" t="s">
        <v>228</v>
      </c>
      <c r="V248" s="6" t="s">
        <v>3772</v>
      </c>
      <c r="W248" s="6" t="s">
        <v>166</v>
      </c>
      <c r="X248" s="6" t="s">
        <v>167</v>
      </c>
      <c r="Y248" s="0" t="str">
        <f aca="false">IF(EU248&lt;&gt;"Y","",COUNTIFS($EU$2:$EU$1000,"Y",$J$2:$J$1000,"&gt;"&amp;J248)+COUNTIFS($EU$2:$EU$1000,"Y",$J$2:$J$1000,J248,$EW$2:$EW$1000,"&lt;"&amp;EW248)+1)</f>
        <v/>
      </c>
      <c r="AA248" s="6" t="s">
        <v>162</v>
      </c>
      <c r="AD248" s="6" t="s">
        <v>158</v>
      </c>
      <c r="AH248" s="5" t="s">
        <v>158</v>
      </c>
      <c r="AI248" s="6" t="s">
        <v>3773</v>
      </c>
      <c r="AJ248" s="6" t="s">
        <v>163</v>
      </c>
      <c r="AK248" s="6" t="s">
        <v>178</v>
      </c>
      <c r="AL248" s="0" t="n">
        <v>6</v>
      </c>
      <c r="AM248" s="0" t="n">
        <v>117</v>
      </c>
      <c r="AN248" s="6" t="s">
        <v>179</v>
      </c>
      <c r="AO248" s="6" t="s">
        <v>163</v>
      </c>
      <c r="AP248" s="6" t="s">
        <v>3769</v>
      </c>
      <c r="AQ248" s="5" t="s">
        <v>162</v>
      </c>
      <c r="AT248" s="0" t="str">
        <f aca="false">IF(AND(AX248="pass",AQ248&lt;&gt;"Y",C248&lt;&gt;"",OR(AW248&lt;&gt;"Y",AV248="Y")),"Y","N")</f>
        <v>N</v>
      </c>
      <c r="AU248" s="0" t="str">
        <f aca="false">_xlfn.TEXTJOIN("; ",TRUE(),IF(AX248&lt;&gt;"pass","gated out",""),IF(AQ248="Y","on hold: "&amp;AR248,""),IF(C248="","no contact named on an opened page",""),IF(AND(AW248="Y",AV248&lt;&gt;"Y"),"Tuesday estimate band "&amp;L248&amp;": founder's call",""))</f>
        <v>gated out; no contact named on an opened page; Tuesday estimate band under-40: founder's call</v>
      </c>
      <c r="AW248" s="6" t="s">
        <v>168</v>
      </c>
      <c r="AX248" s="6" t="s">
        <v>3704</v>
      </c>
      <c r="AY248" s="6" t="s">
        <v>3774</v>
      </c>
      <c r="AZ248" s="6" t="s">
        <v>1</v>
      </c>
      <c r="BA248" s="6" t="s">
        <v>3775</v>
      </c>
      <c r="BB248" s="6" t="s">
        <v>3776</v>
      </c>
      <c r="BC248" s="6" t="s">
        <v>3777</v>
      </c>
      <c r="BD248" s="6" t="s">
        <v>1583</v>
      </c>
      <c r="BF248" s="6" t="s">
        <v>187</v>
      </c>
      <c r="BG248" s="6" t="s">
        <v>188</v>
      </c>
      <c r="BH248" s="6" t="s">
        <v>189</v>
      </c>
      <c r="BI248" s="6" t="s">
        <v>2238</v>
      </c>
      <c r="BK248" s="6" t="s">
        <v>191</v>
      </c>
      <c r="BL248" s="6" t="s">
        <v>163</v>
      </c>
      <c r="BM248" s="6" t="s">
        <v>163</v>
      </c>
      <c r="BN248" s="6" t="s">
        <v>163</v>
      </c>
      <c r="BO248" s="6" t="s">
        <v>163</v>
      </c>
      <c r="BP248" s="6" t="s">
        <v>347</v>
      </c>
      <c r="BQ248" s="0" t="n">
        <v>40.741737</v>
      </c>
      <c r="BR248" s="0" t="n">
        <v>-73.984856</v>
      </c>
      <c r="BS248" s="6" t="s">
        <v>168</v>
      </c>
      <c r="BT248" s="0" t="n">
        <v>0</v>
      </c>
      <c r="BU248" s="6" t="s">
        <v>2235</v>
      </c>
      <c r="BV248" s="6" t="s">
        <v>2236</v>
      </c>
      <c r="BW248" s="6" t="s">
        <v>3772</v>
      </c>
      <c r="BX248" s="6" t="s">
        <v>174</v>
      </c>
      <c r="BY248" s="6" t="s">
        <v>196</v>
      </c>
      <c r="BZ248" s="6" t="s">
        <v>2238</v>
      </c>
      <c r="CA248" s="6" t="s">
        <v>174</v>
      </c>
      <c r="CC248" s="6" t="s">
        <v>200</v>
      </c>
      <c r="CE248" s="6" t="s">
        <v>168</v>
      </c>
      <c r="CF248" s="6" t="s">
        <v>2230</v>
      </c>
      <c r="CH248" s="6" t="s">
        <v>163</v>
      </c>
      <c r="CJ248" s="6" t="s">
        <v>163</v>
      </c>
      <c r="CK248" s="6" t="s">
        <v>162</v>
      </c>
      <c r="CL248" s="6" t="s">
        <v>163</v>
      </c>
      <c r="CO248" s="0" t="n">
        <v>26</v>
      </c>
      <c r="CP248" s="6" t="s">
        <v>1727</v>
      </c>
      <c r="CQ248" s="6" t="s">
        <v>3778</v>
      </c>
      <c r="CR248" s="6" t="s">
        <v>206</v>
      </c>
      <c r="CS248" s="0" t="n">
        <v>0.36</v>
      </c>
      <c r="CT248" s="0" t="n">
        <v>45</v>
      </c>
      <c r="CU248" s="0" t="n">
        <v>9</v>
      </c>
      <c r="CV248" s="0" t="n">
        <v>15</v>
      </c>
      <c r="CW248" s="0" t="n">
        <v>6</v>
      </c>
      <c r="CX248" s="0" t="n">
        <v>15</v>
      </c>
      <c r="CY248" s="6" t="n">
        <f aca="false">IF(AH248="exact",10,IF(AH248="adjacent",5,0))</f>
        <v>0</v>
      </c>
      <c r="CZ248" s="6" t="n">
        <f aca="false">IF(R248="Y",15,0)</f>
        <v>0</v>
      </c>
      <c r="DF248" s="6" t="s">
        <v>158</v>
      </c>
      <c r="DG248" s="6" t="s">
        <v>3779</v>
      </c>
      <c r="DK248" s="6" t="s">
        <v>3780</v>
      </c>
      <c r="DS248" s="6" t="s">
        <v>158</v>
      </c>
      <c r="DX248" s="6" t="s">
        <v>162</v>
      </c>
      <c r="ER248" s="0" t="str">
        <f aca="false">IF(ISNUMBER(MATCH(U248,{"queued","contacted","replied","call_booked","call_done","yes_in_principle","materials_sent"},0)),"Y","N")</f>
        <v>N</v>
      </c>
      <c r="ES248" s="0" t="str">
        <f aca="false">IF(COUNTIFS($AP$2:$AP$1000,AP248,$ER$2:$ER$1000,"Y")+COUNTIFS($AP$2:$AP$1000,AP248,$T$2:$T$1000,"Y")&gt;0,"Y","N")</f>
        <v>N</v>
      </c>
      <c r="ET248" s="0" t="str">
        <f aca="false">IF(AND(U248="new",T248="N",AT248="Y",AS248="",ES248="N"),"Y","N")</f>
        <v>N</v>
      </c>
      <c r="EU248" s="0" t="str">
        <f aca="false">IF(ET248&lt;&gt;"Y","N",IF(COUNTIFS($AP$2:$AP$1000,AP248,$ET$2:$ET$1000,"Y",$J$2:$J$1000,"&gt;"&amp;J248)+COUNTIFS($AP$2:$AP$1000,AP248,$ET$2:$ET$1000,"Y",$J$2:$J$1000,J248,$EW$2:$EW$1000,"&lt;"&amp;EW248)=0,"Y","N"))</f>
        <v>N</v>
      </c>
      <c r="EV248" s="0" t="str">
        <f aca="false">IF(Y248="","N",IF(Y248&lt;=10,"Y","N"))</f>
        <v>N</v>
      </c>
      <c r="EW248" s="6" t="n">
        <f aca="false">ROW()-1</f>
        <v>247</v>
      </c>
    </row>
    <row r="249" customFormat="false" ht="15" hidden="false" customHeight="false" outlineLevel="0" collapsed="false">
      <c r="A249" s="0" t="s">
        <v>3781</v>
      </c>
      <c r="B249" s="0" t="s">
        <v>3782</v>
      </c>
      <c r="H249" s="5" t="s">
        <v>158</v>
      </c>
      <c r="I249" s="5" t="s">
        <v>159</v>
      </c>
      <c r="J249" s="6" t="n">
        <f aca="false">IF(AX249="pass",ROUND(CU249+CV249+CW249+CX249+CY249+CZ249,1),0)</f>
        <v>0</v>
      </c>
      <c r="K249" s="6" t="s">
        <v>3783</v>
      </c>
      <c r="L249" s="6" t="s">
        <v>561</v>
      </c>
      <c r="R249" s="5" t="s">
        <v>162</v>
      </c>
      <c r="S249" s="6" t="s">
        <v>163</v>
      </c>
      <c r="T249" s="5" t="s">
        <v>162</v>
      </c>
      <c r="U249" s="5" t="s">
        <v>228</v>
      </c>
      <c r="V249" s="6" t="s">
        <v>3784</v>
      </c>
      <c r="W249" s="6" t="s">
        <v>166</v>
      </c>
      <c r="X249" s="6" t="s">
        <v>167</v>
      </c>
      <c r="Y249" s="0" t="str">
        <f aca="false">IF(EU249&lt;&gt;"Y","",COUNTIFS($EU$2:$EU$1000,"Y",$J$2:$J$1000,"&gt;"&amp;J249)+COUNTIFS($EU$2:$EU$1000,"Y",$J$2:$J$1000,J249,$EW$2:$EW$1000,"&lt;"&amp;EW249)+1)</f>
        <v/>
      </c>
      <c r="AA249" s="6" t="s">
        <v>162</v>
      </c>
      <c r="AD249" s="6" t="s">
        <v>158</v>
      </c>
      <c r="AH249" s="5" t="s">
        <v>158</v>
      </c>
      <c r="AI249" s="6" t="s">
        <v>3785</v>
      </c>
      <c r="AJ249" s="6" t="s">
        <v>3786</v>
      </c>
      <c r="AK249" s="6" t="s">
        <v>435</v>
      </c>
      <c r="AL249" s="0" t="n">
        <v>5</v>
      </c>
      <c r="AM249" s="0" t="n">
        <v>90</v>
      </c>
      <c r="AN249" s="6" t="s">
        <v>179</v>
      </c>
      <c r="AO249" s="6" t="s">
        <v>1033</v>
      </c>
      <c r="AP249" s="6" t="s">
        <v>3781</v>
      </c>
      <c r="AQ249" s="5" t="s">
        <v>162</v>
      </c>
      <c r="AT249" s="0" t="str">
        <f aca="false">IF(AND(AX249="pass",AQ249&lt;&gt;"Y",C249&lt;&gt;"",OR(AW249&lt;&gt;"Y",AV249="Y")),"Y","N")</f>
        <v>N</v>
      </c>
      <c r="AU249" s="0" t="str">
        <f aca="false">_xlfn.TEXTJOIN("; ",TRUE(),IF(AX249&lt;&gt;"pass","gated out",""),IF(AQ249="Y","on hold: "&amp;AR249,""),IF(C249="","no contact named on an opened page",""),IF(AND(AW249="Y",AV249&lt;&gt;"Y"),"Tuesday estimate band "&amp;L249&amp;": founder's call",""))</f>
        <v>gated out; no contact named on an opened page; Tuesday estimate band under-40: founder's call</v>
      </c>
      <c r="AW249" s="6" t="s">
        <v>168</v>
      </c>
      <c r="AX249" s="6" t="s">
        <v>3704</v>
      </c>
      <c r="AY249" s="6" t="s">
        <v>3787</v>
      </c>
      <c r="AZ249" s="6" t="s">
        <v>1</v>
      </c>
      <c r="BA249" s="6" t="s">
        <v>3788</v>
      </c>
      <c r="BB249" s="6" t="s">
        <v>3789</v>
      </c>
      <c r="BC249" s="6" t="s">
        <v>3790</v>
      </c>
      <c r="BD249" s="6" t="s">
        <v>1146</v>
      </c>
      <c r="BF249" s="6" t="s">
        <v>161</v>
      </c>
      <c r="BG249" s="6" t="s">
        <v>188</v>
      </c>
      <c r="BH249" s="6" t="s">
        <v>189</v>
      </c>
      <c r="BI249" s="6" t="s">
        <v>3784</v>
      </c>
      <c r="BK249" s="6" t="s">
        <v>191</v>
      </c>
      <c r="BL249" s="6" t="s">
        <v>656</v>
      </c>
      <c r="BM249" s="6" t="s">
        <v>162</v>
      </c>
      <c r="BN249" s="6" t="s">
        <v>163</v>
      </c>
      <c r="BO249" s="6" t="s">
        <v>163</v>
      </c>
      <c r="BP249" s="6" t="s">
        <v>244</v>
      </c>
      <c r="BQ249" s="0" t="n">
        <v>40.744057</v>
      </c>
      <c r="BR249" s="0" t="n">
        <v>-73.985252</v>
      </c>
      <c r="BS249" s="6" t="s">
        <v>168</v>
      </c>
      <c r="BT249" s="0" t="n">
        <v>0</v>
      </c>
      <c r="BU249" s="6" t="s">
        <v>3791</v>
      </c>
      <c r="BV249" s="6" t="s">
        <v>3792</v>
      </c>
      <c r="BW249" s="6" t="s">
        <v>3784</v>
      </c>
      <c r="BX249" s="6" t="s">
        <v>166</v>
      </c>
      <c r="BY249" s="6" t="s">
        <v>445</v>
      </c>
      <c r="BZ249" s="6" t="s">
        <v>3793</v>
      </c>
      <c r="CA249" s="6" t="s">
        <v>166</v>
      </c>
      <c r="CC249" s="6" t="s">
        <v>179</v>
      </c>
      <c r="CE249" s="6" t="s">
        <v>168</v>
      </c>
      <c r="CF249" s="6" t="s">
        <v>3794</v>
      </c>
      <c r="CH249" s="6" t="s">
        <v>163</v>
      </c>
      <c r="CJ249" s="6" t="s">
        <v>163</v>
      </c>
      <c r="CK249" s="6" t="s">
        <v>162</v>
      </c>
      <c r="CL249" s="6" t="s">
        <v>3795</v>
      </c>
      <c r="CM249" s="6" t="s">
        <v>3784</v>
      </c>
      <c r="CN249" s="6" t="s">
        <v>166</v>
      </c>
      <c r="CO249" s="0" t="n">
        <v>21</v>
      </c>
      <c r="CP249" s="6" t="s">
        <v>1727</v>
      </c>
      <c r="CQ249" s="6" t="s">
        <v>3796</v>
      </c>
      <c r="CR249" s="6" t="s">
        <v>206</v>
      </c>
      <c r="CS249" s="0" t="n">
        <v>0.28</v>
      </c>
      <c r="CT249" s="0" t="n">
        <v>22</v>
      </c>
      <c r="CU249" s="0" t="n">
        <v>7</v>
      </c>
      <c r="CV249" s="0" t="n">
        <v>15</v>
      </c>
      <c r="CW249" s="0" t="n">
        <v>-5</v>
      </c>
      <c r="CX249" s="0" t="n">
        <v>5</v>
      </c>
      <c r="CY249" s="6" t="n">
        <f aca="false">IF(AH249="exact",10,IF(AH249="adjacent",5,0))</f>
        <v>0</v>
      </c>
      <c r="CZ249" s="6" t="n">
        <f aca="false">IF(R249="Y",15,0)</f>
        <v>0</v>
      </c>
      <c r="DF249" s="6" t="s">
        <v>158</v>
      </c>
      <c r="DG249" s="6" t="s">
        <v>3779</v>
      </c>
      <c r="DK249" s="6" t="s">
        <v>3797</v>
      </c>
      <c r="DS249" s="6" t="s">
        <v>158</v>
      </c>
      <c r="DX249" s="6" t="s">
        <v>162</v>
      </c>
      <c r="ER249" s="0" t="str">
        <f aca="false">IF(ISNUMBER(MATCH(U249,{"queued","contacted","replied","call_booked","call_done","yes_in_principle","materials_sent"},0)),"Y","N")</f>
        <v>N</v>
      </c>
      <c r="ES249" s="0" t="str">
        <f aca="false">IF(COUNTIFS($AP$2:$AP$1000,AP249,$ER$2:$ER$1000,"Y")+COUNTIFS($AP$2:$AP$1000,AP249,$T$2:$T$1000,"Y")&gt;0,"Y","N")</f>
        <v>N</v>
      </c>
      <c r="ET249" s="0" t="str">
        <f aca="false">IF(AND(U249="new",T249="N",AT249="Y",AS249="",ES249="N"),"Y","N")</f>
        <v>N</v>
      </c>
      <c r="EU249" s="0" t="str">
        <f aca="false">IF(ET249&lt;&gt;"Y","N",IF(COUNTIFS($AP$2:$AP$1000,AP249,$ET$2:$ET$1000,"Y",$J$2:$J$1000,"&gt;"&amp;J249)+COUNTIFS($AP$2:$AP$1000,AP249,$ET$2:$ET$1000,"Y",$J$2:$J$1000,J249,$EW$2:$EW$1000,"&lt;"&amp;EW249)=0,"Y","N"))</f>
        <v>N</v>
      </c>
      <c r="EV249" s="0" t="str">
        <f aca="false">IF(Y249="","N",IF(Y249&lt;=10,"Y","N"))</f>
        <v>N</v>
      </c>
      <c r="EW249" s="6" t="n">
        <f aca="false">ROW()-1</f>
        <v>248</v>
      </c>
    </row>
    <row r="250" customFormat="false" ht="15" hidden="false" customHeight="false" outlineLevel="0" collapsed="false">
      <c r="A250" s="0" t="s">
        <v>3798</v>
      </c>
      <c r="B250" s="0" t="s">
        <v>3799</v>
      </c>
      <c r="H250" s="5" t="s">
        <v>158</v>
      </c>
      <c r="I250" s="5" t="s">
        <v>159</v>
      </c>
      <c r="J250" s="6" t="n">
        <f aca="false">IF(AX250="pass",ROUND(CU250+CV250+CW250+CX250+CY250+CZ250,1),0)</f>
        <v>0</v>
      </c>
      <c r="K250" s="6" t="s">
        <v>3771</v>
      </c>
      <c r="L250" s="6" t="s">
        <v>561</v>
      </c>
      <c r="R250" s="5" t="s">
        <v>162</v>
      </c>
      <c r="S250" s="6" t="s">
        <v>163</v>
      </c>
      <c r="T250" s="5" t="s">
        <v>162</v>
      </c>
      <c r="U250" s="5" t="s">
        <v>228</v>
      </c>
      <c r="V250" s="6" t="s">
        <v>2226</v>
      </c>
      <c r="W250" s="6" t="s">
        <v>166</v>
      </c>
      <c r="X250" s="6" t="s">
        <v>167</v>
      </c>
      <c r="Y250" s="0" t="str">
        <f aca="false">IF(EU250&lt;&gt;"Y","",COUNTIFS($EU$2:$EU$1000,"Y",$J$2:$J$1000,"&gt;"&amp;J250)+COUNTIFS($EU$2:$EU$1000,"Y",$J$2:$J$1000,J250,$EW$2:$EW$1000,"&lt;"&amp;EW250)+1)</f>
        <v/>
      </c>
      <c r="AA250" s="6" t="s">
        <v>162</v>
      </c>
      <c r="AD250" s="6" t="s">
        <v>158</v>
      </c>
      <c r="AH250" s="5" t="s">
        <v>158</v>
      </c>
      <c r="AI250" s="6" t="s">
        <v>3773</v>
      </c>
      <c r="AJ250" s="6" t="s">
        <v>163</v>
      </c>
      <c r="AK250" s="6" t="s">
        <v>178</v>
      </c>
      <c r="AL250" s="0" t="n">
        <v>4</v>
      </c>
      <c r="AM250" s="0" t="n">
        <v>77</v>
      </c>
      <c r="AN250" s="6" t="s">
        <v>179</v>
      </c>
      <c r="AO250" s="6" t="s">
        <v>163</v>
      </c>
      <c r="AP250" s="6" t="s">
        <v>3798</v>
      </c>
      <c r="AQ250" s="5" t="s">
        <v>162</v>
      </c>
      <c r="AT250" s="0" t="str">
        <f aca="false">IF(AND(AX250="pass",AQ250&lt;&gt;"Y",C250&lt;&gt;"",OR(AW250&lt;&gt;"Y",AV250="Y")),"Y","N")</f>
        <v>N</v>
      </c>
      <c r="AU250" s="0" t="str">
        <f aca="false">_xlfn.TEXTJOIN("; ",TRUE(),IF(AX250&lt;&gt;"pass","gated out",""),IF(AQ250="Y","on hold: "&amp;AR250,""),IF(C250="","no contact named on an opened page",""),IF(AND(AW250="Y",AV250&lt;&gt;"Y"),"Tuesday estimate band "&amp;L250&amp;": founder's call",""))</f>
        <v>gated out; no contact named on an opened page; Tuesday estimate band under-40: founder's call</v>
      </c>
      <c r="AW250" s="6" t="s">
        <v>168</v>
      </c>
      <c r="AX250" s="6" t="s">
        <v>3704</v>
      </c>
      <c r="AY250" s="6" t="s">
        <v>3774</v>
      </c>
      <c r="AZ250" s="6" t="s">
        <v>1</v>
      </c>
      <c r="BA250" s="6" t="s">
        <v>3800</v>
      </c>
      <c r="BB250" s="6" t="s">
        <v>3801</v>
      </c>
      <c r="BC250" s="6" t="s">
        <v>3802</v>
      </c>
      <c r="BD250" s="6" t="s">
        <v>3803</v>
      </c>
      <c r="BF250" s="6" t="s">
        <v>161</v>
      </c>
      <c r="BG250" s="6" t="s">
        <v>188</v>
      </c>
      <c r="BH250" s="6" t="s">
        <v>189</v>
      </c>
      <c r="BI250" s="6" t="s">
        <v>3804</v>
      </c>
      <c r="BK250" s="6" t="s">
        <v>191</v>
      </c>
      <c r="BL250" s="6" t="s">
        <v>163</v>
      </c>
      <c r="BM250" s="6" t="s">
        <v>163</v>
      </c>
      <c r="BN250" s="6" t="s">
        <v>163</v>
      </c>
      <c r="BO250" s="6" t="s">
        <v>163</v>
      </c>
      <c r="BP250" s="6" t="s">
        <v>347</v>
      </c>
      <c r="BQ250" s="0" t="n">
        <v>40.741737</v>
      </c>
      <c r="BR250" s="0" t="n">
        <v>-73.984856</v>
      </c>
      <c r="BS250" s="6" t="s">
        <v>168</v>
      </c>
      <c r="BT250" s="0" t="n">
        <v>0</v>
      </c>
      <c r="BU250" s="6" t="s">
        <v>2235</v>
      </c>
      <c r="BV250" s="6" t="s">
        <v>2236</v>
      </c>
      <c r="BW250" s="6" t="s">
        <v>2226</v>
      </c>
      <c r="BX250" s="6" t="s">
        <v>174</v>
      </c>
      <c r="BY250" s="6" t="s">
        <v>3805</v>
      </c>
      <c r="CC250" s="6" t="s">
        <v>739</v>
      </c>
      <c r="CE250" s="6" t="s">
        <v>168</v>
      </c>
      <c r="CF250" s="6" t="s">
        <v>2230</v>
      </c>
      <c r="CH250" s="6" t="s">
        <v>163</v>
      </c>
      <c r="CJ250" s="6" t="s">
        <v>163</v>
      </c>
      <c r="CK250" s="6" t="s">
        <v>162</v>
      </c>
      <c r="CL250" s="6" t="s">
        <v>163</v>
      </c>
      <c r="CO250" s="0" t="n">
        <v>18</v>
      </c>
      <c r="CP250" s="6" t="s">
        <v>1727</v>
      </c>
      <c r="CQ250" s="6" t="s">
        <v>3806</v>
      </c>
      <c r="CR250" s="6" t="s">
        <v>206</v>
      </c>
      <c r="CS250" s="0" t="n">
        <v>0.22</v>
      </c>
      <c r="CT250" s="0" t="n">
        <v>39.5</v>
      </c>
      <c r="CU250" s="0" t="n">
        <v>5.5</v>
      </c>
      <c r="CV250" s="0" t="n">
        <v>15</v>
      </c>
      <c r="CW250" s="0" t="n">
        <v>6</v>
      </c>
      <c r="CX250" s="0" t="n">
        <v>13</v>
      </c>
      <c r="CY250" s="6" t="n">
        <f aca="false">IF(AH250="exact",10,IF(AH250="adjacent",5,0))</f>
        <v>0</v>
      </c>
      <c r="CZ250" s="6" t="n">
        <f aca="false">IF(R250="Y",15,0)</f>
        <v>0</v>
      </c>
      <c r="DF250" s="6" t="s">
        <v>158</v>
      </c>
      <c r="DG250" s="6" t="s">
        <v>3779</v>
      </c>
      <c r="DK250" s="6" t="s">
        <v>3807</v>
      </c>
      <c r="DS250" s="6" t="s">
        <v>158</v>
      </c>
      <c r="DX250" s="6" t="s">
        <v>162</v>
      </c>
      <c r="ER250" s="0" t="str">
        <f aca="false">IF(ISNUMBER(MATCH(U250,{"queued","contacted","replied","call_booked","call_done","yes_in_principle","materials_sent"},0)),"Y","N")</f>
        <v>N</v>
      </c>
      <c r="ES250" s="0" t="str">
        <f aca="false">IF(COUNTIFS($AP$2:$AP$1000,AP250,$ER$2:$ER$1000,"Y")+COUNTIFS($AP$2:$AP$1000,AP250,$T$2:$T$1000,"Y")&gt;0,"Y","N")</f>
        <v>N</v>
      </c>
      <c r="ET250" s="0" t="str">
        <f aca="false">IF(AND(U250="new",T250="N",AT250="Y",AS250="",ES250="N"),"Y","N")</f>
        <v>N</v>
      </c>
      <c r="EU250" s="0" t="str">
        <f aca="false">IF(ET250&lt;&gt;"Y","N",IF(COUNTIFS($AP$2:$AP$1000,AP250,$ET$2:$ET$1000,"Y",$J$2:$J$1000,"&gt;"&amp;J250)+COUNTIFS($AP$2:$AP$1000,AP250,$ET$2:$ET$1000,"Y",$J$2:$J$1000,J250,$EW$2:$EW$1000,"&lt;"&amp;EW250)=0,"Y","N"))</f>
        <v>N</v>
      </c>
      <c r="EV250" s="0" t="str">
        <f aca="false">IF(Y250="","N",IF(Y250&lt;=10,"Y","N"))</f>
        <v>N</v>
      </c>
      <c r="EW250" s="6" t="n">
        <f aca="false">ROW()-1</f>
        <v>249</v>
      </c>
    </row>
    <row r="251" customFormat="false" ht="15" hidden="false" customHeight="false" outlineLevel="0" collapsed="false">
      <c r="A251" s="0" t="s">
        <v>3808</v>
      </c>
      <c r="B251" s="0" t="s">
        <v>3809</v>
      </c>
      <c r="H251" s="5" t="s">
        <v>158</v>
      </c>
      <c r="I251" s="5" t="s">
        <v>159</v>
      </c>
      <c r="J251" s="6" t="n">
        <f aca="false">IF(AX251="pass",ROUND(CU251+CV251+CW251+CX251+CY251+CZ251,1),0)</f>
        <v>0</v>
      </c>
      <c r="K251" s="6" t="s">
        <v>3810</v>
      </c>
      <c r="L251" s="6" t="s">
        <v>1323</v>
      </c>
      <c r="R251" s="5" t="s">
        <v>162</v>
      </c>
      <c r="S251" s="6" t="s">
        <v>163</v>
      </c>
      <c r="T251" s="5" t="s">
        <v>162</v>
      </c>
      <c r="U251" s="5" t="s">
        <v>228</v>
      </c>
      <c r="V251" s="6" t="s">
        <v>484</v>
      </c>
      <c r="W251" s="6" t="s">
        <v>166</v>
      </c>
      <c r="X251" s="6" t="s">
        <v>167</v>
      </c>
      <c r="Y251" s="0" t="str">
        <f aca="false">IF(EU251&lt;&gt;"Y","",COUNTIFS($EU$2:$EU$1000,"Y",$J$2:$J$1000,"&gt;"&amp;J251)+COUNTIFS($EU$2:$EU$1000,"Y",$J$2:$J$1000,J251,$EW$2:$EW$1000,"&lt;"&amp;EW251)+1)</f>
        <v/>
      </c>
      <c r="AA251" s="6" t="s">
        <v>162</v>
      </c>
      <c r="AD251" s="6" t="s">
        <v>158</v>
      </c>
      <c r="AH251" s="5" t="s">
        <v>158</v>
      </c>
      <c r="AI251" s="6" t="s">
        <v>471</v>
      </c>
      <c r="AJ251" s="6" t="s">
        <v>163</v>
      </c>
      <c r="AK251" s="6" t="s">
        <v>178</v>
      </c>
      <c r="AL251" s="0" t="n">
        <v>1053</v>
      </c>
      <c r="AM251" s="0" t="n">
        <v>2105</v>
      </c>
      <c r="AN251" s="6" t="s">
        <v>179</v>
      </c>
      <c r="AO251" s="6" t="s">
        <v>163</v>
      </c>
      <c r="AP251" s="6" t="s">
        <v>3808</v>
      </c>
      <c r="AQ251" s="5" t="s">
        <v>162</v>
      </c>
      <c r="AT251" s="0" t="str">
        <f aca="false">IF(AND(AX251="pass",AQ251&lt;&gt;"Y",C251&lt;&gt;"",OR(AW251&lt;&gt;"Y",AV251="Y")),"Y","N")</f>
        <v>N</v>
      </c>
      <c r="AU251" s="0" t="str">
        <f aca="false">_xlfn.TEXTJOIN("; ",TRUE(),IF(AX251&lt;&gt;"pass","gated out",""),IF(AQ251="Y","on hold: "&amp;AR251,""),IF(C251="","no contact named on an opened page",""),IF(AND(AW251="Y",AV251&lt;&gt;"Y"),"Tuesday estimate band "&amp;L251&amp;": founder's call",""))</f>
        <v>gated out; no contact named on an opened page; Tuesday estimate band over-500: founder's call</v>
      </c>
      <c r="AW251" s="6" t="s">
        <v>168</v>
      </c>
      <c r="AX251" s="6" t="s">
        <v>3704</v>
      </c>
      <c r="AY251" s="6" t="s">
        <v>3811</v>
      </c>
      <c r="AZ251" s="6" t="s">
        <v>1</v>
      </c>
      <c r="BA251" s="6" t="s">
        <v>3812</v>
      </c>
      <c r="BB251" s="6" t="s">
        <v>3813</v>
      </c>
      <c r="BC251" s="6" t="s">
        <v>3814</v>
      </c>
      <c r="BD251" s="6" t="s">
        <v>3815</v>
      </c>
      <c r="BF251" s="6" t="s">
        <v>1323</v>
      </c>
      <c r="BG251" s="6" t="s">
        <v>188</v>
      </c>
      <c r="BH251" s="6" t="s">
        <v>189</v>
      </c>
      <c r="BI251" s="6" t="s">
        <v>3816</v>
      </c>
      <c r="BK251" s="6" t="s">
        <v>1440</v>
      </c>
      <c r="BL251" s="6" t="s">
        <v>192</v>
      </c>
      <c r="BM251" s="6" t="s">
        <v>168</v>
      </c>
      <c r="BN251" s="6" t="s">
        <v>163</v>
      </c>
      <c r="BO251" s="6" t="s">
        <v>163</v>
      </c>
      <c r="BP251" s="6" t="s">
        <v>347</v>
      </c>
      <c r="BQ251" s="0" t="n">
        <v>40.739819</v>
      </c>
      <c r="BR251" s="0" t="n">
        <v>-73.986885</v>
      </c>
      <c r="BS251" s="6" t="s">
        <v>168</v>
      </c>
      <c r="BT251" s="0" t="n">
        <v>0</v>
      </c>
      <c r="BU251" s="6" t="s">
        <v>480</v>
      </c>
      <c r="BV251" s="6" t="s">
        <v>481</v>
      </c>
      <c r="BW251" s="6" t="s">
        <v>484</v>
      </c>
      <c r="BX251" s="6" t="s">
        <v>166</v>
      </c>
      <c r="BY251" s="6" t="s">
        <v>3805</v>
      </c>
      <c r="BZ251" s="6" t="s">
        <v>3816</v>
      </c>
      <c r="CA251" s="6" t="s">
        <v>166</v>
      </c>
      <c r="CC251" s="6" t="s">
        <v>200</v>
      </c>
      <c r="CE251" s="6" t="s">
        <v>162</v>
      </c>
      <c r="CH251" s="6" t="s">
        <v>201</v>
      </c>
      <c r="CI251" s="6" t="s">
        <v>484</v>
      </c>
      <c r="CJ251" s="6" t="s">
        <v>163</v>
      </c>
      <c r="CK251" s="6" t="s">
        <v>162</v>
      </c>
      <c r="CL251" s="6" t="s">
        <v>163</v>
      </c>
      <c r="CO251" s="0" t="n">
        <v>1489</v>
      </c>
      <c r="CP251" s="6" t="s">
        <v>3817</v>
      </c>
      <c r="CQ251" s="6" t="s">
        <v>3818</v>
      </c>
      <c r="CR251" s="6" t="s">
        <v>206</v>
      </c>
      <c r="CS251" s="0" t="n">
        <v>0</v>
      </c>
      <c r="CT251" s="0" t="n">
        <v>23</v>
      </c>
      <c r="CU251" s="0" t="n">
        <v>0</v>
      </c>
      <c r="CV251" s="0" t="n">
        <v>2</v>
      </c>
      <c r="CW251" s="0" t="n">
        <v>6</v>
      </c>
      <c r="CX251" s="0" t="n">
        <v>15</v>
      </c>
      <c r="CY251" s="6" t="n">
        <f aca="false">IF(AH251="exact",10,IF(AH251="adjacent",5,0))</f>
        <v>0</v>
      </c>
      <c r="CZ251" s="6" t="n">
        <f aca="false">IF(R251="Y",15,0)</f>
        <v>0</v>
      </c>
      <c r="DF251" s="6" t="s">
        <v>158</v>
      </c>
      <c r="DG251" s="6" t="s">
        <v>1336</v>
      </c>
      <c r="DH251" s="6" t="s">
        <v>1447</v>
      </c>
      <c r="DI251" s="6" t="s">
        <v>162</v>
      </c>
      <c r="DK251" s="6" t="s">
        <v>3819</v>
      </c>
      <c r="DS251" s="6" t="s">
        <v>158</v>
      </c>
      <c r="DX251" s="6" t="s">
        <v>162</v>
      </c>
      <c r="ER251" s="0" t="str">
        <f aca="false">IF(ISNUMBER(MATCH(U251,{"queued","contacted","replied","call_booked","call_done","yes_in_principle","materials_sent"},0)),"Y","N")</f>
        <v>N</v>
      </c>
      <c r="ES251" s="0" t="str">
        <f aca="false">IF(COUNTIFS($AP$2:$AP$1000,AP251,$ER$2:$ER$1000,"Y")+COUNTIFS($AP$2:$AP$1000,AP251,$T$2:$T$1000,"Y")&gt;0,"Y","N")</f>
        <v>N</v>
      </c>
      <c r="ET251" s="0" t="str">
        <f aca="false">IF(AND(U251="new",T251="N",AT251="Y",AS251="",ES251="N"),"Y","N")</f>
        <v>N</v>
      </c>
      <c r="EU251" s="0" t="str">
        <f aca="false">IF(ET251&lt;&gt;"Y","N",IF(COUNTIFS($AP$2:$AP$1000,AP251,$ET$2:$ET$1000,"Y",$J$2:$J$1000,"&gt;"&amp;J251)+COUNTIFS($AP$2:$AP$1000,AP251,$ET$2:$ET$1000,"Y",$J$2:$J$1000,J251,$EW$2:$EW$1000,"&lt;"&amp;EW251)=0,"Y","N"))</f>
        <v>N</v>
      </c>
      <c r="EV251" s="0" t="str">
        <f aca="false">IF(Y251="","N",IF(Y251&lt;=10,"Y","N"))</f>
        <v>N</v>
      </c>
      <c r="EW251" s="6" t="n">
        <f aca="false">ROW()-1</f>
        <v>250</v>
      </c>
    </row>
    <row r="252" customFormat="false" ht="15" hidden="false" customHeight="false" outlineLevel="0" collapsed="false">
      <c r="A252" s="0" t="s">
        <v>3820</v>
      </c>
      <c r="B252" s="0" t="s">
        <v>3821</v>
      </c>
      <c r="H252" s="5" t="s">
        <v>158</v>
      </c>
      <c r="I252" s="5" t="s">
        <v>159</v>
      </c>
      <c r="J252" s="6" t="n">
        <f aca="false">IF(AX252="pass",ROUND(CU252+CV252+CW252+CX252+CY252+CZ252,1),0)</f>
        <v>0</v>
      </c>
      <c r="K252" s="6" t="s">
        <v>3822</v>
      </c>
      <c r="L252" s="6" t="s">
        <v>1323</v>
      </c>
      <c r="R252" s="5" t="s">
        <v>162</v>
      </c>
      <c r="S252" s="6" t="s">
        <v>163</v>
      </c>
      <c r="T252" s="5" t="s">
        <v>162</v>
      </c>
      <c r="U252" s="5" t="s">
        <v>228</v>
      </c>
      <c r="V252" s="6" t="s">
        <v>1991</v>
      </c>
      <c r="W252" s="6" t="s">
        <v>166</v>
      </c>
      <c r="X252" s="6" t="s">
        <v>167</v>
      </c>
      <c r="Y252" s="0" t="str">
        <f aca="false">IF(EU252&lt;&gt;"Y","",COUNTIFS($EU$2:$EU$1000,"Y",$J$2:$J$1000,"&gt;"&amp;J252)+COUNTIFS($EU$2:$EU$1000,"Y",$J$2:$J$1000,J252,$EW$2:$EW$1000,"&lt;"&amp;EW252)+1)</f>
        <v/>
      </c>
      <c r="AA252" s="6" t="s">
        <v>162</v>
      </c>
      <c r="AD252" s="6" t="s">
        <v>158</v>
      </c>
      <c r="AH252" s="5" t="s">
        <v>158</v>
      </c>
      <c r="AI252" s="6" t="s">
        <v>1992</v>
      </c>
      <c r="AJ252" s="6" t="s">
        <v>3823</v>
      </c>
      <c r="AK252" s="6" t="s">
        <v>178</v>
      </c>
      <c r="AL252" s="0" t="n">
        <v>6079</v>
      </c>
      <c r="AM252" s="0" t="n">
        <v>121578</v>
      </c>
      <c r="AN252" s="6" t="s">
        <v>179</v>
      </c>
      <c r="AO252" s="6" t="s">
        <v>163</v>
      </c>
      <c r="AP252" s="6" t="s">
        <v>3820</v>
      </c>
      <c r="AQ252" s="5" t="s">
        <v>162</v>
      </c>
      <c r="AT252" s="0" t="str">
        <f aca="false">IF(AND(AX252="pass",AQ252&lt;&gt;"Y",C252&lt;&gt;"",OR(AW252&lt;&gt;"Y",AV252="Y")),"Y","N")</f>
        <v>N</v>
      </c>
      <c r="AU252" s="0" t="str">
        <f aca="false">_xlfn.TEXTJOIN("; ",TRUE(),IF(AX252&lt;&gt;"pass","gated out",""),IF(AQ252="Y","on hold: "&amp;AR252,""),IF(C252="","no contact named on an opened page",""),IF(AND(AW252="Y",AV252&lt;&gt;"Y"),"Tuesday estimate band "&amp;L252&amp;": founder's call",""))</f>
        <v>gated out; no contact named on an opened page; Tuesday estimate band over-500: founder's call</v>
      </c>
      <c r="AW252" s="6" t="s">
        <v>168</v>
      </c>
      <c r="AX252" s="6" t="s">
        <v>3704</v>
      </c>
      <c r="AY252" s="6" t="s">
        <v>3824</v>
      </c>
      <c r="AZ252" s="6" t="s">
        <v>1</v>
      </c>
      <c r="BA252" s="6" t="s">
        <v>3825</v>
      </c>
      <c r="BB252" s="6" t="s">
        <v>3826</v>
      </c>
      <c r="BC252" s="6" t="s">
        <v>3827</v>
      </c>
      <c r="BD252" s="6" t="s">
        <v>3828</v>
      </c>
      <c r="BF252" s="6" t="s">
        <v>1323</v>
      </c>
      <c r="BG252" s="6" t="s">
        <v>188</v>
      </c>
      <c r="BH252" s="6" t="s">
        <v>189</v>
      </c>
      <c r="BI252" s="6" t="s">
        <v>3829</v>
      </c>
      <c r="BK252" s="6" t="s">
        <v>3288</v>
      </c>
      <c r="BL252" s="6" t="s">
        <v>163</v>
      </c>
      <c r="BM252" s="6" t="s">
        <v>163</v>
      </c>
      <c r="BN252" s="6" t="s">
        <v>163</v>
      </c>
      <c r="BO252" s="6" t="s">
        <v>163</v>
      </c>
      <c r="BP252" s="6" t="s">
        <v>347</v>
      </c>
      <c r="BQ252" s="0" t="n">
        <v>40.741141</v>
      </c>
      <c r="BR252" s="0" t="n">
        <v>-73.987489</v>
      </c>
      <c r="BS252" s="6" t="s">
        <v>168</v>
      </c>
      <c r="BT252" s="0" t="n">
        <v>0</v>
      </c>
      <c r="BV252" s="6" t="s">
        <v>163</v>
      </c>
      <c r="BW252" s="6" t="s">
        <v>1991</v>
      </c>
      <c r="BX252" s="6" t="s">
        <v>523</v>
      </c>
      <c r="BY252" s="6" t="s">
        <v>248</v>
      </c>
      <c r="BZ252" s="6" t="s">
        <v>3202</v>
      </c>
      <c r="CA252" s="6" t="s">
        <v>3208</v>
      </c>
      <c r="CC252" s="6" t="s">
        <v>200</v>
      </c>
      <c r="CE252" s="6" t="s">
        <v>162</v>
      </c>
      <c r="CH252" s="6" t="s">
        <v>163</v>
      </c>
      <c r="CJ252" s="6" t="s">
        <v>163</v>
      </c>
      <c r="CK252" s="6" t="s">
        <v>162</v>
      </c>
      <c r="CL252" s="6" t="s">
        <v>163</v>
      </c>
      <c r="CO252" s="0" t="n">
        <v>27186</v>
      </c>
      <c r="CP252" s="6" t="s">
        <v>3817</v>
      </c>
      <c r="CQ252" s="6" t="s">
        <v>3830</v>
      </c>
      <c r="CR252" s="6" t="s">
        <v>206</v>
      </c>
      <c r="CS252" s="0" t="n">
        <v>0</v>
      </c>
      <c r="CT252" s="0" t="n">
        <v>21</v>
      </c>
      <c r="CU252" s="0" t="n">
        <v>0</v>
      </c>
      <c r="CV252" s="0" t="n">
        <v>0</v>
      </c>
      <c r="CW252" s="0" t="n">
        <v>6</v>
      </c>
      <c r="CX252" s="0" t="n">
        <v>15</v>
      </c>
      <c r="CY252" s="6" t="n">
        <f aca="false">IF(AH252="exact",10,IF(AH252="adjacent",5,0))</f>
        <v>0</v>
      </c>
      <c r="CZ252" s="6" t="n">
        <f aca="false">IF(R252="Y",15,0)</f>
        <v>0</v>
      </c>
      <c r="DF252" s="6" t="s">
        <v>158</v>
      </c>
      <c r="DG252" s="6" t="s">
        <v>1336</v>
      </c>
      <c r="DH252" s="6" t="s">
        <v>3291</v>
      </c>
      <c r="DI252" s="6" t="s">
        <v>162</v>
      </c>
      <c r="DJ252" s="6" t="s">
        <v>3831</v>
      </c>
      <c r="DK252" s="6" t="s">
        <v>3832</v>
      </c>
      <c r="DS252" s="6" t="s">
        <v>158</v>
      </c>
      <c r="DX252" s="6" t="s">
        <v>162</v>
      </c>
      <c r="ER252" s="0" t="str">
        <f aca="false">IF(ISNUMBER(MATCH(U252,{"queued","contacted","replied","call_booked","call_done","yes_in_principle","materials_sent"},0)),"Y","N")</f>
        <v>N</v>
      </c>
      <c r="ES252" s="0" t="str">
        <f aca="false">IF(COUNTIFS($AP$2:$AP$1000,AP252,$ER$2:$ER$1000,"Y")+COUNTIFS($AP$2:$AP$1000,AP252,$T$2:$T$1000,"Y")&gt;0,"Y","N")</f>
        <v>N</v>
      </c>
      <c r="ET252" s="0" t="str">
        <f aca="false">IF(AND(U252="new",T252="N",AT252="Y",AS252="",ES252="N"),"Y","N")</f>
        <v>N</v>
      </c>
      <c r="EU252" s="0" t="str">
        <f aca="false">IF(ET252&lt;&gt;"Y","N",IF(COUNTIFS($AP$2:$AP$1000,AP252,$ET$2:$ET$1000,"Y",$J$2:$J$1000,"&gt;"&amp;J252)+COUNTIFS($AP$2:$AP$1000,AP252,$ET$2:$ET$1000,"Y",$J$2:$J$1000,J252,$EW$2:$EW$1000,"&lt;"&amp;EW252)=0,"Y","N"))</f>
        <v>N</v>
      </c>
      <c r="EV252" s="0" t="str">
        <f aca="false">IF(Y252="","N",IF(Y252&lt;=10,"Y","N"))</f>
        <v>N</v>
      </c>
      <c r="EW252" s="6" t="n">
        <f aca="false">ROW()-1</f>
        <v>251</v>
      </c>
    </row>
    <row r="253" customFormat="false" ht="15" hidden="false" customHeight="false" outlineLevel="0" collapsed="false">
      <c r="A253" s="0" t="s">
        <v>3833</v>
      </c>
      <c r="B253" s="0" t="s">
        <v>3834</v>
      </c>
      <c r="H253" s="5" t="s">
        <v>158</v>
      </c>
      <c r="I253" s="5" t="s">
        <v>159</v>
      </c>
      <c r="J253" s="6" t="n">
        <f aca="false">IF(AX253="pass",ROUND(CU253+CV253+CW253+CX253+CY253+CZ253,1),0)</f>
        <v>0</v>
      </c>
      <c r="K253" s="6" t="s">
        <v>3771</v>
      </c>
      <c r="L253" s="6" t="s">
        <v>561</v>
      </c>
      <c r="R253" s="5" t="s">
        <v>162</v>
      </c>
      <c r="S253" s="6" t="s">
        <v>163</v>
      </c>
      <c r="T253" s="5" t="s">
        <v>162</v>
      </c>
      <c r="U253" s="5" t="s">
        <v>228</v>
      </c>
      <c r="V253" s="6" t="s">
        <v>2226</v>
      </c>
      <c r="W253" s="6" t="s">
        <v>166</v>
      </c>
      <c r="X253" s="6" t="s">
        <v>167</v>
      </c>
      <c r="Y253" s="0" t="str">
        <f aca="false">IF(EU253&lt;&gt;"Y","",COUNTIFS($EU$2:$EU$1000,"Y",$J$2:$J$1000,"&gt;"&amp;J253)+COUNTIFS($EU$2:$EU$1000,"Y",$J$2:$J$1000,J253,$EW$2:$EW$1000,"&lt;"&amp;EW253)+1)</f>
        <v/>
      </c>
      <c r="AA253" s="6" t="s">
        <v>162</v>
      </c>
      <c r="AD253" s="6" t="s">
        <v>158</v>
      </c>
      <c r="AH253" s="5" t="s">
        <v>158</v>
      </c>
      <c r="AI253" s="6" t="s">
        <v>3773</v>
      </c>
      <c r="AJ253" s="6" t="s">
        <v>889</v>
      </c>
      <c r="AK253" s="6" t="s">
        <v>178</v>
      </c>
      <c r="AL253" s="0" t="n">
        <v>17</v>
      </c>
      <c r="AM253" s="0" t="n">
        <v>35</v>
      </c>
      <c r="AN253" s="6" t="s">
        <v>179</v>
      </c>
      <c r="AO253" s="6" t="s">
        <v>163</v>
      </c>
      <c r="AP253" s="6" t="s">
        <v>3833</v>
      </c>
      <c r="AQ253" s="5" t="s">
        <v>162</v>
      </c>
      <c r="AT253" s="0" t="str">
        <f aca="false">IF(AND(AX253="pass",AQ253&lt;&gt;"Y",C253&lt;&gt;"",OR(AW253&lt;&gt;"Y",AV253="Y")),"Y","N")</f>
        <v>N</v>
      </c>
      <c r="AU253" s="0" t="str">
        <f aca="false">_xlfn.TEXTJOIN("; ",TRUE(),IF(AX253&lt;&gt;"pass","gated out",""),IF(AQ253="Y","on hold: "&amp;AR253,""),IF(C253="","no contact named on an opened page",""),IF(AND(AW253="Y",AV253&lt;&gt;"Y"),"Tuesday estimate band "&amp;L253&amp;": founder's call",""))</f>
        <v>gated out; no contact named on an opened page; Tuesday estimate band under-40: founder's call</v>
      </c>
      <c r="AW253" s="6" t="s">
        <v>168</v>
      </c>
      <c r="AX253" s="6" t="s">
        <v>3704</v>
      </c>
      <c r="AY253" s="6" t="s">
        <v>3774</v>
      </c>
      <c r="AZ253" s="6" t="s">
        <v>1</v>
      </c>
      <c r="BA253" s="6" t="s">
        <v>3835</v>
      </c>
      <c r="BB253" s="6" t="s">
        <v>3836</v>
      </c>
      <c r="BC253" s="6" t="s">
        <v>3837</v>
      </c>
      <c r="BD253" s="6" t="s">
        <v>3838</v>
      </c>
      <c r="BF253" s="6" t="s">
        <v>395</v>
      </c>
      <c r="BG253" s="6" t="s">
        <v>188</v>
      </c>
      <c r="BH253" s="6" t="s">
        <v>189</v>
      </c>
      <c r="BI253" s="6" t="s">
        <v>3839</v>
      </c>
      <c r="BK253" s="6" t="s">
        <v>191</v>
      </c>
      <c r="BL253" s="6" t="s">
        <v>192</v>
      </c>
      <c r="BM253" s="6" t="s">
        <v>168</v>
      </c>
      <c r="BN253" s="6" t="s">
        <v>163</v>
      </c>
      <c r="BO253" s="6" t="s">
        <v>163</v>
      </c>
      <c r="BP253" s="6" t="s">
        <v>347</v>
      </c>
      <c r="BQ253" s="0" t="n">
        <v>40.741737</v>
      </c>
      <c r="BR253" s="0" t="n">
        <v>-73.984856</v>
      </c>
      <c r="BS253" s="6" t="s">
        <v>168</v>
      </c>
      <c r="BT253" s="0" t="n">
        <v>0</v>
      </c>
      <c r="BU253" s="6" t="s">
        <v>2235</v>
      </c>
      <c r="BV253" s="6" t="s">
        <v>2236</v>
      </c>
      <c r="BW253" s="6" t="s">
        <v>2226</v>
      </c>
      <c r="BX253" s="6" t="s">
        <v>174</v>
      </c>
      <c r="BY253" s="6" t="s">
        <v>3805</v>
      </c>
      <c r="BZ253" s="6" t="s">
        <v>3839</v>
      </c>
      <c r="CA253" s="6" t="s">
        <v>174</v>
      </c>
      <c r="CC253" s="6" t="s">
        <v>200</v>
      </c>
      <c r="CE253" s="6" t="s">
        <v>168</v>
      </c>
      <c r="CF253" s="6" t="s">
        <v>2230</v>
      </c>
      <c r="CH253" s="6" t="s">
        <v>163</v>
      </c>
      <c r="CJ253" s="6" t="s">
        <v>163</v>
      </c>
      <c r="CK253" s="6" t="s">
        <v>162</v>
      </c>
      <c r="CL253" s="6" t="s">
        <v>163</v>
      </c>
      <c r="CO253" s="0" t="n">
        <v>24</v>
      </c>
      <c r="CP253" s="6" t="s">
        <v>1727</v>
      </c>
      <c r="CQ253" s="6" t="s">
        <v>3840</v>
      </c>
      <c r="CR253" s="6" t="s">
        <v>206</v>
      </c>
      <c r="CS253" s="0" t="n">
        <v>0</v>
      </c>
      <c r="CT253" s="0" t="n">
        <v>36</v>
      </c>
      <c r="CU253" s="0" t="n">
        <v>0</v>
      </c>
      <c r="CV253" s="0" t="n">
        <v>15</v>
      </c>
      <c r="CW253" s="0" t="n">
        <v>6</v>
      </c>
      <c r="CX253" s="0" t="n">
        <v>15</v>
      </c>
      <c r="CY253" s="6" t="n">
        <f aca="false">IF(AH253="exact",10,IF(AH253="adjacent",5,0))</f>
        <v>0</v>
      </c>
      <c r="CZ253" s="6" t="n">
        <f aca="false">IF(R253="Y",15,0)</f>
        <v>0</v>
      </c>
      <c r="DF253" s="6" t="s">
        <v>158</v>
      </c>
      <c r="DG253" s="6" t="s">
        <v>3779</v>
      </c>
      <c r="DK253" s="6" t="s">
        <v>3841</v>
      </c>
      <c r="DS253" s="6" t="s">
        <v>158</v>
      </c>
      <c r="DX253" s="6" t="s">
        <v>162</v>
      </c>
      <c r="ER253" s="0" t="str">
        <f aca="false">IF(ISNUMBER(MATCH(U253,{"queued","contacted","replied","call_booked","call_done","yes_in_principle","materials_sent"},0)),"Y","N")</f>
        <v>N</v>
      </c>
      <c r="ES253" s="0" t="str">
        <f aca="false">IF(COUNTIFS($AP$2:$AP$1000,AP253,$ER$2:$ER$1000,"Y")+COUNTIFS($AP$2:$AP$1000,AP253,$T$2:$T$1000,"Y")&gt;0,"Y","N")</f>
        <v>N</v>
      </c>
      <c r="ET253" s="0" t="str">
        <f aca="false">IF(AND(U253="new",T253="N",AT253="Y",AS253="",ES253="N"),"Y","N")</f>
        <v>N</v>
      </c>
      <c r="EU253" s="0" t="str">
        <f aca="false">IF(ET253&lt;&gt;"Y","N",IF(COUNTIFS($AP$2:$AP$1000,AP253,$ET$2:$ET$1000,"Y",$J$2:$J$1000,"&gt;"&amp;J253)+COUNTIFS($AP$2:$AP$1000,AP253,$ET$2:$ET$1000,"Y",$J$2:$J$1000,J253,$EW$2:$EW$1000,"&lt;"&amp;EW253)=0,"Y","N"))</f>
        <v>N</v>
      </c>
      <c r="EV253" s="0" t="str">
        <f aca="false">IF(Y253="","N",IF(Y253&lt;=10,"Y","N"))</f>
        <v>N</v>
      </c>
      <c r="EW253" s="6" t="n">
        <f aca="false">ROW()-1</f>
        <v>252</v>
      </c>
    </row>
    <row r="254" customFormat="false" ht="15" hidden="false" customHeight="false" outlineLevel="0" collapsed="false">
      <c r="A254" s="0" t="s">
        <v>3842</v>
      </c>
      <c r="B254" s="0" t="s">
        <v>3843</v>
      </c>
      <c r="H254" s="5" t="s">
        <v>158</v>
      </c>
      <c r="I254" s="5" t="s">
        <v>159</v>
      </c>
      <c r="J254" s="6" t="n">
        <f aca="false">IF(AX254="pass",ROUND(CU254+CV254+CW254+CX254+CY254+CZ254,1),0)</f>
        <v>0</v>
      </c>
      <c r="K254" s="6" t="s">
        <v>3844</v>
      </c>
      <c r="L254" s="6" t="s">
        <v>1323</v>
      </c>
      <c r="R254" s="5" t="s">
        <v>162</v>
      </c>
      <c r="S254" s="6" t="s">
        <v>163</v>
      </c>
      <c r="T254" s="5" t="s">
        <v>162</v>
      </c>
      <c r="U254" s="5" t="s">
        <v>228</v>
      </c>
      <c r="V254" s="6" t="s">
        <v>2009</v>
      </c>
      <c r="W254" s="6" t="s">
        <v>166</v>
      </c>
      <c r="X254" s="6" t="s">
        <v>167</v>
      </c>
      <c r="Y254" s="0" t="str">
        <f aca="false">IF(EU254&lt;&gt;"Y","",COUNTIFS($EU$2:$EU$1000,"Y",$J$2:$J$1000,"&gt;"&amp;J254)+COUNTIFS($EU$2:$EU$1000,"Y",$J$2:$J$1000,J254,$EW$2:$EW$1000,"&lt;"&amp;EW254)+1)</f>
        <v/>
      </c>
      <c r="AA254" s="6" t="s">
        <v>162</v>
      </c>
      <c r="AD254" s="6" t="s">
        <v>158</v>
      </c>
      <c r="AH254" s="5" t="s">
        <v>158</v>
      </c>
      <c r="AI254" s="6" t="s">
        <v>1474</v>
      </c>
      <c r="AJ254" s="6" t="s">
        <v>566</v>
      </c>
      <c r="AK254" s="6" t="s">
        <v>435</v>
      </c>
      <c r="AL254" s="0" t="n">
        <v>9614</v>
      </c>
      <c r="AM254" s="0" t="n">
        <v>192280</v>
      </c>
      <c r="AN254" s="6" t="s">
        <v>179</v>
      </c>
      <c r="AO254" s="6" t="s">
        <v>163</v>
      </c>
      <c r="AP254" s="6" t="s">
        <v>3842</v>
      </c>
      <c r="AQ254" s="5" t="s">
        <v>162</v>
      </c>
      <c r="AT254" s="0" t="str">
        <f aca="false">IF(AND(AX254="pass",AQ254&lt;&gt;"Y",C254&lt;&gt;"",OR(AW254&lt;&gt;"Y",AV254="Y")),"Y","N")</f>
        <v>N</v>
      </c>
      <c r="AU254" s="0" t="str">
        <f aca="false">_xlfn.TEXTJOIN("; ",TRUE(),IF(AX254&lt;&gt;"pass","gated out",""),IF(AQ254="Y","on hold: "&amp;AR254,""),IF(C254="","no contact named on an opened page",""),IF(AND(AW254="Y",AV254&lt;&gt;"Y"),"Tuesday estimate band "&amp;L254&amp;": founder's call",""))</f>
        <v>gated out; no contact named on an opened page; Tuesday estimate band over-500: founder's call</v>
      </c>
      <c r="AW254" s="6" t="s">
        <v>168</v>
      </c>
      <c r="AX254" s="6" t="s">
        <v>3704</v>
      </c>
      <c r="AY254" s="6" t="s">
        <v>3845</v>
      </c>
      <c r="AZ254" s="6" t="s">
        <v>1</v>
      </c>
      <c r="BA254" s="6" t="s">
        <v>3846</v>
      </c>
      <c r="BB254" s="6" t="s">
        <v>3847</v>
      </c>
      <c r="BC254" s="6" t="s">
        <v>3848</v>
      </c>
      <c r="BD254" s="6" t="s">
        <v>3849</v>
      </c>
      <c r="BF254" s="6" t="s">
        <v>1323</v>
      </c>
      <c r="BG254" s="6" t="s">
        <v>188</v>
      </c>
      <c r="BH254" s="6" t="s">
        <v>189</v>
      </c>
      <c r="BI254" s="6" t="s">
        <v>3850</v>
      </c>
      <c r="BK254" s="6" t="s">
        <v>3288</v>
      </c>
      <c r="BL254" s="6" t="s">
        <v>163</v>
      </c>
      <c r="BM254" s="6" t="s">
        <v>163</v>
      </c>
      <c r="BN254" s="6" t="s">
        <v>163</v>
      </c>
      <c r="BO254" s="6" t="s">
        <v>163</v>
      </c>
      <c r="BP254" s="6" t="s">
        <v>347</v>
      </c>
      <c r="BQ254" s="0" t="n">
        <v>40.741968</v>
      </c>
      <c r="BR254" s="0" t="n">
        <v>-73.985327</v>
      </c>
      <c r="BS254" s="6" t="s">
        <v>168</v>
      </c>
      <c r="BT254" s="0" t="n">
        <v>0</v>
      </c>
      <c r="BU254" s="6" t="s">
        <v>1481</v>
      </c>
      <c r="BV254" s="6" t="s">
        <v>1482</v>
      </c>
      <c r="BW254" s="6" t="s">
        <v>2009</v>
      </c>
      <c r="BX254" s="6" t="s">
        <v>2017</v>
      </c>
      <c r="BY254" s="6" t="s">
        <v>248</v>
      </c>
      <c r="BZ254" s="6" t="s">
        <v>2032</v>
      </c>
      <c r="CA254" s="6" t="s">
        <v>2033</v>
      </c>
      <c r="CC254" s="6" t="s">
        <v>200</v>
      </c>
      <c r="CE254" s="6" t="s">
        <v>162</v>
      </c>
      <c r="CH254" s="6" t="s">
        <v>163</v>
      </c>
      <c r="CJ254" s="6" t="s">
        <v>163</v>
      </c>
      <c r="CK254" s="6" t="s">
        <v>162</v>
      </c>
      <c r="CL254" s="6" t="s">
        <v>163</v>
      </c>
      <c r="CO254" s="0" t="n">
        <v>42995</v>
      </c>
      <c r="CP254" s="6" t="s">
        <v>3817</v>
      </c>
      <c r="CQ254" s="6" t="s">
        <v>3851</v>
      </c>
      <c r="CR254" s="6" t="s">
        <v>206</v>
      </c>
      <c r="CS254" s="0" t="n">
        <v>0</v>
      </c>
      <c r="CT254" s="0" t="n">
        <v>16</v>
      </c>
      <c r="CU254" s="0" t="n">
        <v>0</v>
      </c>
      <c r="CV254" s="0" t="n">
        <v>0</v>
      </c>
      <c r="CW254" s="0" t="n">
        <v>6</v>
      </c>
      <c r="CX254" s="0" t="n">
        <v>10</v>
      </c>
      <c r="CY254" s="6" t="n">
        <f aca="false">IF(AH254="exact",10,IF(AH254="adjacent",5,0))</f>
        <v>0</v>
      </c>
      <c r="CZ254" s="6" t="n">
        <f aca="false">IF(R254="Y",15,0)</f>
        <v>0</v>
      </c>
      <c r="DF254" s="6" t="s">
        <v>158</v>
      </c>
      <c r="DG254" s="6" t="s">
        <v>1336</v>
      </c>
      <c r="DH254" s="6" t="s">
        <v>3291</v>
      </c>
      <c r="DI254" s="6" t="s">
        <v>168</v>
      </c>
      <c r="DJ254" s="6" t="s">
        <v>2021</v>
      </c>
      <c r="DK254" s="6" t="s">
        <v>3852</v>
      </c>
      <c r="DS254" s="6" t="s">
        <v>158</v>
      </c>
      <c r="DX254" s="6" t="s">
        <v>162</v>
      </c>
      <c r="ER254" s="0" t="str">
        <f aca="false">IF(ISNUMBER(MATCH(U254,{"queued","contacted","replied","call_booked","call_done","yes_in_principle","materials_sent"},0)),"Y","N")</f>
        <v>N</v>
      </c>
      <c r="ES254" s="0" t="str">
        <f aca="false">IF(COUNTIFS($AP$2:$AP$1000,AP254,$ER$2:$ER$1000,"Y")+COUNTIFS($AP$2:$AP$1000,AP254,$T$2:$T$1000,"Y")&gt;0,"Y","N")</f>
        <v>N</v>
      </c>
      <c r="ET254" s="0" t="str">
        <f aca="false">IF(AND(U254="new",T254="N",AT254="Y",AS254="",ES254="N"),"Y","N")</f>
        <v>N</v>
      </c>
      <c r="EU254" s="0" t="str">
        <f aca="false">IF(ET254&lt;&gt;"Y","N",IF(COUNTIFS($AP$2:$AP$1000,AP254,$ET$2:$ET$1000,"Y",$J$2:$J$1000,"&gt;"&amp;J254)+COUNTIFS($AP$2:$AP$1000,AP254,$ET$2:$ET$1000,"Y",$J$2:$J$1000,J254,$EW$2:$EW$1000,"&lt;"&amp;EW254)=0,"Y","N"))</f>
        <v>N</v>
      </c>
      <c r="EV254" s="0" t="str">
        <f aca="false">IF(Y254="","N",IF(Y254&lt;=10,"Y","N"))</f>
        <v>N</v>
      </c>
      <c r="EW254" s="6" t="n">
        <f aca="false">ROW()-1</f>
        <v>253</v>
      </c>
    </row>
    <row r="255" customFormat="false" ht="15" hidden="false" customHeight="false" outlineLevel="0" collapsed="false">
      <c r="A255" s="0" t="s">
        <v>3853</v>
      </c>
      <c r="B255" s="0" t="s">
        <v>3854</v>
      </c>
      <c r="H255" s="5" t="s">
        <v>158</v>
      </c>
      <c r="I255" s="5" t="s">
        <v>159</v>
      </c>
      <c r="J255" s="6" t="n">
        <f aca="false">IF(AX255="pass",ROUND(CU255+CV255+CW255+CX255+CY255+CZ255,1),0)</f>
        <v>0</v>
      </c>
      <c r="K255" s="6" t="s">
        <v>3855</v>
      </c>
      <c r="L255" s="6" t="s">
        <v>1323</v>
      </c>
      <c r="R255" s="5" t="s">
        <v>162</v>
      </c>
      <c r="S255" s="6" t="s">
        <v>163</v>
      </c>
      <c r="T255" s="5" t="s">
        <v>162</v>
      </c>
      <c r="U255" s="5" t="s">
        <v>228</v>
      </c>
      <c r="V255" s="6" t="s">
        <v>3856</v>
      </c>
      <c r="W255" s="6" t="s">
        <v>166</v>
      </c>
      <c r="X255" s="6" t="s">
        <v>167</v>
      </c>
      <c r="Y255" s="0" t="str">
        <f aca="false">IF(EU255&lt;&gt;"Y","",COUNTIFS($EU$2:$EU$1000,"Y",$J$2:$J$1000,"&gt;"&amp;J255)+COUNTIFS($EU$2:$EU$1000,"Y",$J$2:$J$1000,J255,$EW$2:$EW$1000,"&lt;"&amp;EW255)+1)</f>
        <v/>
      </c>
      <c r="AA255" s="6" t="s">
        <v>162</v>
      </c>
      <c r="AD255" s="6" t="s">
        <v>158</v>
      </c>
      <c r="AH255" s="5" t="s">
        <v>158</v>
      </c>
      <c r="AI255" s="6" t="s">
        <v>3857</v>
      </c>
      <c r="AJ255" s="6" t="s">
        <v>163</v>
      </c>
      <c r="AK255" s="6" t="s">
        <v>178</v>
      </c>
      <c r="AL255" s="0" t="n">
        <v>304</v>
      </c>
      <c r="AM255" s="0" t="n">
        <v>6078</v>
      </c>
      <c r="AN255" s="6" t="s">
        <v>179</v>
      </c>
      <c r="AO255" s="6" t="s">
        <v>163</v>
      </c>
      <c r="AP255" s="6" t="s">
        <v>3853</v>
      </c>
      <c r="AQ255" s="5" t="s">
        <v>162</v>
      </c>
      <c r="AT255" s="0" t="str">
        <f aca="false">IF(AND(AX255="pass",AQ255&lt;&gt;"Y",C255&lt;&gt;"",OR(AW255&lt;&gt;"Y",AV255="Y")),"Y","N")</f>
        <v>N</v>
      </c>
      <c r="AU255" s="0" t="str">
        <f aca="false">_xlfn.TEXTJOIN("; ",TRUE(),IF(AX255&lt;&gt;"pass","gated out",""),IF(AQ255="Y","on hold: "&amp;AR255,""),IF(C255="","no contact named on an opened page",""),IF(AND(AW255="Y",AV255&lt;&gt;"Y"),"Tuesday estimate band "&amp;L255&amp;": founder's call",""))</f>
        <v>gated out; no contact named on an opened page; Tuesday estimate band over-500: founder's call</v>
      </c>
      <c r="AW255" s="6" t="s">
        <v>168</v>
      </c>
      <c r="AX255" s="6" t="s">
        <v>3704</v>
      </c>
      <c r="AY255" s="6" t="s">
        <v>3858</v>
      </c>
      <c r="AZ255" s="6" t="s">
        <v>1</v>
      </c>
      <c r="BA255" s="6" t="s">
        <v>3859</v>
      </c>
      <c r="BB255" s="6" t="s">
        <v>3860</v>
      </c>
      <c r="BC255" s="6" t="s">
        <v>2547</v>
      </c>
      <c r="BD255" s="6" t="s">
        <v>3861</v>
      </c>
      <c r="BF255" s="6" t="s">
        <v>1323</v>
      </c>
      <c r="BG255" s="6" t="s">
        <v>188</v>
      </c>
      <c r="BH255" s="6" t="s">
        <v>189</v>
      </c>
      <c r="BI255" s="6" t="s">
        <v>3862</v>
      </c>
      <c r="BK255" s="6" t="s">
        <v>3288</v>
      </c>
      <c r="BL255" s="6" t="s">
        <v>3863</v>
      </c>
      <c r="BM255" s="6" t="s">
        <v>162</v>
      </c>
      <c r="BN255" s="6" t="s">
        <v>163</v>
      </c>
      <c r="BO255" s="6" t="s">
        <v>163</v>
      </c>
      <c r="BQ255" s="0" t="n">
        <v>40.738167</v>
      </c>
      <c r="BR255" s="0" t="n">
        <v>-73.989851</v>
      </c>
      <c r="BS255" s="6" t="s">
        <v>168</v>
      </c>
      <c r="BT255" s="0" t="n">
        <v>0</v>
      </c>
      <c r="BV255" s="6" t="s">
        <v>163</v>
      </c>
      <c r="BW255" s="6" t="s">
        <v>3856</v>
      </c>
      <c r="BX255" s="6" t="s">
        <v>3864</v>
      </c>
      <c r="BY255" s="6" t="s">
        <v>248</v>
      </c>
      <c r="BZ255" s="6" t="s">
        <v>3865</v>
      </c>
      <c r="CA255" s="6" t="s">
        <v>3866</v>
      </c>
      <c r="CC255" s="6" t="s">
        <v>200</v>
      </c>
      <c r="CE255" s="6" t="s">
        <v>162</v>
      </c>
      <c r="CH255" s="6" t="s">
        <v>163</v>
      </c>
      <c r="CJ255" s="6" t="s">
        <v>163</v>
      </c>
      <c r="CK255" s="6" t="s">
        <v>162</v>
      </c>
      <c r="CL255" s="6" t="s">
        <v>163</v>
      </c>
      <c r="CO255" s="0" t="n">
        <v>1359</v>
      </c>
      <c r="CP255" s="6" t="s">
        <v>3817</v>
      </c>
      <c r="CQ255" s="6" t="s">
        <v>3867</v>
      </c>
      <c r="CR255" s="6" t="s">
        <v>206</v>
      </c>
      <c r="CS255" s="0" t="n">
        <v>0</v>
      </c>
      <c r="CT255" s="0" t="n">
        <v>21</v>
      </c>
      <c r="CU255" s="0" t="n">
        <v>0</v>
      </c>
      <c r="CV255" s="0" t="n">
        <v>0</v>
      </c>
      <c r="CW255" s="0" t="n">
        <v>6</v>
      </c>
      <c r="CX255" s="0" t="n">
        <v>15</v>
      </c>
      <c r="CY255" s="6" t="n">
        <f aca="false">IF(AH255="exact",10,IF(AH255="adjacent",5,0))</f>
        <v>0</v>
      </c>
      <c r="CZ255" s="6" t="n">
        <f aca="false">IF(R255="Y",15,0)</f>
        <v>0</v>
      </c>
      <c r="DF255" s="6" t="s">
        <v>158</v>
      </c>
      <c r="DG255" s="6" t="s">
        <v>1336</v>
      </c>
      <c r="DH255" s="6" t="s">
        <v>3291</v>
      </c>
      <c r="DI255" s="6" t="s">
        <v>162</v>
      </c>
      <c r="DK255" s="6" t="s">
        <v>3868</v>
      </c>
      <c r="DS255" s="6" t="s">
        <v>158</v>
      </c>
      <c r="DX255" s="6" t="s">
        <v>162</v>
      </c>
      <c r="ER255" s="0" t="str">
        <f aca="false">IF(ISNUMBER(MATCH(U255,{"queued","contacted","replied","call_booked","call_done","yes_in_principle","materials_sent"},0)),"Y","N")</f>
        <v>N</v>
      </c>
      <c r="ES255" s="0" t="str">
        <f aca="false">IF(COUNTIFS($AP$2:$AP$1000,AP255,$ER$2:$ER$1000,"Y")+COUNTIFS($AP$2:$AP$1000,AP255,$T$2:$T$1000,"Y")&gt;0,"Y","N")</f>
        <v>N</v>
      </c>
      <c r="ET255" s="0" t="str">
        <f aca="false">IF(AND(U255="new",T255="N",AT255="Y",AS255="",ES255="N"),"Y","N")</f>
        <v>N</v>
      </c>
      <c r="EU255" s="0" t="str">
        <f aca="false">IF(ET255&lt;&gt;"Y","N",IF(COUNTIFS($AP$2:$AP$1000,AP255,$ET$2:$ET$1000,"Y",$J$2:$J$1000,"&gt;"&amp;J255)+COUNTIFS($AP$2:$AP$1000,AP255,$ET$2:$ET$1000,"Y",$J$2:$J$1000,J255,$EW$2:$EW$1000,"&lt;"&amp;EW255)=0,"Y","N"))</f>
        <v>N</v>
      </c>
      <c r="EV255" s="0" t="str">
        <f aca="false">IF(Y255="","N",IF(Y255&lt;=10,"Y","N"))</f>
        <v>N</v>
      </c>
      <c r="EW255" s="6" t="n">
        <f aca="false">ROW()-1</f>
        <v>254</v>
      </c>
    </row>
    <row r="256" customFormat="false" ht="15" hidden="false" customHeight="false" outlineLevel="0" collapsed="false">
      <c r="A256" s="0" t="s">
        <v>3869</v>
      </c>
      <c r="B256" s="0" t="s">
        <v>3870</v>
      </c>
      <c r="H256" s="5" t="s">
        <v>158</v>
      </c>
      <c r="I256" s="5" t="s">
        <v>159</v>
      </c>
      <c r="J256" s="6" t="n">
        <f aca="false">IF(AX256="pass",ROUND(CU256+CV256+CW256+CX256+CY256+CZ256,1),0)</f>
        <v>0</v>
      </c>
      <c r="K256" s="6" t="s">
        <v>3871</v>
      </c>
      <c r="L256" s="6" t="s">
        <v>1323</v>
      </c>
      <c r="R256" s="5" t="s">
        <v>162</v>
      </c>
      <c r="S256" s="6" t="s">
        <v>163</v>
      </c>
      <c r="T256" s="5" t="s">
        <v>162</v>
      </c>
      <c r="U256" s="5" t="s">
        <v>228</v>
      </c>
      <c r="V256" s="6" t="s">
        <v>3282</v>
      </c>
      <c r="W256" s="6" t="s">
        <v>166</v>
      </c>
      <c r="X256" s="6" t="s">
        <v>167</v>
      </c>
      <c r="Y256" s="0" t="str">
        <f aca="false">IF(EU256&lt;&gt;"Y","",COUNTIFS($EU$2:$EU$1000,"Y",$J$2:$J$1000,"&gt;"&amp;J256)+COUNTIFS($EU$2:$EU$1000,"Y",$J$2:$J$1000,J256,$EW$2:$EW$1000,"&lt;"&amp;EW256)+1)</f>
        <v/>
      </c>
      <c r="AA256" s="6" t="s">
        <v>162</v>
      </c>
      <c r="AD256" s="6" t="s">
        <v>158</v>
      </c>
      <c r="AH256" s="5" t="s">
        <v>158</v>
      </c>
      <c r="AI256" s="6" t="s">
        <v>1694</v>
      </c>
      <c r="AJ256" s="6" t="s">
        <v>163</v>
      </c>
      <c r="AK256" s="6" t="s">
        <v>178</v>
      </c>
      <c r="AL256" s="0" t="n">
        <v>255</v>
      </c>
      <c r="AM256" s="0" t="n">
        <v>5106</v>
      </c>
      <c r="AN256" s="6" t="s">
        <v>179</v>
      </c>
      <c r="AO256" s="6" t="s">
        <v>163</v>
      </c>
      <c r="AP256" s="6" t="s">
        <v>3869</v>
      </c>
      <c r="AQ256" s="5" t="s">
        <v>162</v>
      </c>
      <c r="AT256" s="0" t="str">
        <f aca="false">IF(AND(AX256="pass",AQ256&lt;&gt;"Y",C256&lt;&gt;"",OR(AW256&lt;&gt;"Y",AV256="Y")),"Y","N")</f>
        <v>N</v>
      </c>
      <c r="AU256" s="0" t="str">
        <f aca="false">_xlfn.TEXTJOIN("; ",TRUE(),IF(AX256&lt;&gt;"pass","gated out",""),IF(AQ256="Y","on hold: "&amp;AR256,""),IF(C256="","no contact named on an opened page",""),IF(AND(AW256="Y",AV256&lt;&gt;"Y"),"Tuesday estimate band "&amp;L256&amp;": founder's call",""))</f>
        <v>gated out; no contact named on an opened page; Tuesday estimate band over-500: founder's call</v>
      </c>
      <c r="AW256" s="6" t="s">
        <v>168</v>
      </c>
      <c r="AX256" s="6" t="s">
        <v>3704</v>
      </c>
      <c r="AY256" s="6" t="s">
        <v>3872</v>
      </c>
      <c r="AZ256" s="6" t="s">
        <v>1</v>
      </c>
      <c r="BA256" s="6" t="s">
        <v>3873</v>
      </c>
      <c r="BB256" s="6" t="s">
        <v>3874</v>
      </c>
      <c r="BC256" s="6" t="s">
        <v>3875</v>
      </c>
      <c r="BD256" s="6" t="s">
        <v>3876</v>
      </c>
      <c r="BF256" s="6" t="s">
        <v>1323</v>
      </c>
      <c r="BG256" s="6" t="s">
        <v>188</v>
      </c>
      <c r="BH256" s="6" t="s">
        <v>189</v>
      </c>
      <c r="BI256" s="6" t="s">
        <v>3877</v>
      </c>
      <c r="BK256" s="6" t="s">
        <v>3288</v>
      </c>
      <c r="BL256" s="6" t="s">
        <v>163</v>
      </c>
      <c r="BM256" s="6" t="s">
        <v>163</v>
      </c>
      <c r="BN256" s="6" t="s">
        <v>163</v>
      </c>
      <c r="BO256" s="6" t="s">
        <v>163</v>
      </c>
      <c r="BP256" s="6" t="s">
        <v>347</v>
      </c>
      <c r="BQ256" s="0" t="n">
        <v>40.741761</v>
      </c>
      <c r="BR256" s="0" t="n">
        <v>-73.987033</v>
      </c>
      <c r="BS256" s="6" t="s">
        <v>168</v>
      </c>
      <c r="BT256" s="0" t="n">
        <v>0</v>
      </c>
      <c r="BU256" s="6" t="s">
        <v>1703</v>
      </c>
      <c r="BV256" s="6" t="s">
        <v>1704</v>
      </c>
      <c r="BW256" s="6" t="s">
        <v>3282</v>
      </c>
      <c r="BX256" s="6" t="s">
        <v>3289</v>
      </c>
      <c r="BY256" s="6" t="s">
        <v>3209</v>
      </c>
      <c r="BZ256" s="6" t="s">
        <v>3877</v>
      </c>
      <c r="CA256" s="6" t="s">
        <v>166</v>
      </c>
      <c r="CC256" s="6" t="s">
        <v>200</v>
      </c>
      <c r="CE256" s="6" t="s">
        <v>162</v>
      </c>
      <c r="CH256" s="6" t="s">
        <v>1707</v>
      </c>
      <c r="CI256" s="6" t="s">
        <v>1708</v>
      </c>
      <c r="CJ256" s="6" t="s">
        <v>163</v>
      </c>
      <c r="CK256" s="6" t="s">
        <v>162</v>
      </c>
      <c r="CL256" s="6" t="s">
        <v>163</v>
      </c>
      <c r="CO256" s="0" t="n">
        <v>1141</v>
      </c>
      <c r="CP256" s="6" t="s">
        <v>3817</v>
      </c>
      <c r="CQ256" s="6" t="s">
        <v>3878</v>
      </c>
      <c r="CR256" s="6" t="s">
        <v>206</v>
      </c>
      <c r="CS256" s="0" t="n">
        <v>0</v>
      </c>
      <c r="CT256" s="0" t="n">
        <v>21</v>
      </c>
      <c r="CU256" s="0" t="n">
        <v>0</v>
      </c>
      <c r="CV256" s="0" t="n">
        <v>0</v>
      </c>
      <c r="CW256" s="0" t="n">
        <v>6</v>
      </c>
      <c r="CX256" s="0" t="n">
        <v>15</v>
      </c>
      <c r="CY256" s="6" t="n">
        <f aca="false">IF(AH256="exact",10,IF(AH256="adjacent",5,0))</f>
        <v>0</v>
      </c>
      <c r="CZ256" s="6" t="n">
        <f aca="false">IF(R256="Y",15,0)</f>
        <v>0</v>
      </c>
      <c r="DF256" s="6" t="s">
        <v>158</v>
      </c>
      <c r="DG256" s="6" t="s">
        <v>1336</v>
      </c>
      <c r="DH256" s="6" t="s">
        <v>3291</v>
      </c>
      <c r="DI256" s="6" t="s">
        <v>162</v>
      </c>
      <c r="DK256" s="6" t="s">
        <v>3879</v>
      </c>
      <c r="DS256" s="6" t="s">
        <v>158</v>
      </c>
      <c r="DX256" s="6" t="s">
        <v>162</v>
      </c>
      <c r="ER256" s="0" t="str">
        <f aca="false">IF(ISNUMBER(MATCH(U256,{"queued","contacted","replied","call_booked","call_done","yes_in_principle","materials_sent"},0)),"Y","N")</f>
        <v>N</v>
      </c>
      <c r="ES256" s="0" t="str">
        <f aca="false">IF(COUNTIFS($AP$2:$AP$1000,AP256,$ER$2:$ER$1000,"Y")+COUNTIFS($AP$2:$AP$1000,AP256,$T$2:$T$1000,"Y")&gt;0,"Y","N")</f>
        <v>N</v>
      </c>
      <c r="ET256" s="0" t="str">
        <f aca="false">IF(AND(U256="new",T256="N",AT256="Y",AS256="",ES256="N"),"Y","N")</f>
        <v>N</v>
      </c>
      <c r="EU256" s="0" t="str">
        <f aca="false">IF(ET256&lt;&gt;"Y","N",IF(COUNTIFS($AP$2:$AP$1000,AP256,$ET$2:$ET$1000,"Y",$J$2:$J$1000,"&gt;"&amp;J256)+COUNTIFS($AP$2:$AP$1000,AP256,$ET$2:$ET$1000,"Y",$J$2:$J$1000,J256,$EW$2:$EW$1000,"&lt;"&amp;EW256)=0,"Y","N"))</f>
        <v>N</v>
      </c>
      <c r="EV256" s="0" t="str">
        <f aca="false">IF(Y256="","N",IF(Y256&lt;=10,"Y","N"))</f>
        <v>N</v>
      </c>
      <c r="EW256" s="6" t="n">
        <f aca="false">ROW()-1</f>
        <v>255</v>
      </c>
    </row>
    <row r="257" customFormat="false" ht="15" hidden="false" customHeight="false" outlineLevel="0" collapsed="false">
      <c r="A257" s="0" t="s">
        <v>3880</v>
      </c>
      <c r="B257" s="0" t="s">
        <v>3881</v>
      </c>
      <c r="H257" s="5" t="s">
        <v>158</v>
      </c>
      <c r="I257" s="5" t="s">
        <v>159</v>
      </c>
      <c r="J257" s="6" t="n">
        <f aca="false">IF(AX257="pass",ROUND(CU257+CV257+CW257+CX257+CY257+CZ257,1),0)</f>
        <v>0</v>
      </c>
      <c r="K257" s="6" t="s">
        <v>3882</v>
      </c>
      <c r="L257" s="6" t="s">
        <v>1323</v>
      </c>
      <c r="R257" s="5" t="s">
        <v>162</v>
      </c>
      <c r="S257" s="6" t="s">
        <v>163</v>
      </c>
      <c r="T257" s="5" t="s">
        <v>162</v>
      </c>
      <c r="U257" s="5" t="s">
        <v>228</v>
      </c>
      <c r="V257" s="6" t="s">
        <v>3548</v>
      </c>
      <c r="W257" s="6" t="s">
        <v>166</v>
      </c>
      <c r="X257" s="6" t="s">
        <v>167</v>
      </c>
      <c r="Y257" s="0" t="str">
        <f aca="false">IF(EU257&lt;&gt;"Y","",COUNTIFS($EU$2:$EU$1000,"Y",$J$2:$J$1000,"&gt;"&amp;J257)+COUNTIFS($EU$2:$EU$1000,"Y",$J$2:$J$1000,J257,$EW$2:$EW$1000,"&lt;"&amp;EW257)+1)</f>
        <v/>
      </c>
      <c r="AA257" s="6" t="s">
        <v>162</v>
      </c>
      <c r="AD257" s="6" t="s">
        <v>158</v>
      </c>
      <c r="AH257" s="5" t="s">
        <v>158</v>
      </c>
      <c r="AI257" s="6" t="s">
        <v>3027</v>
      </c>
      <c r="AJ257" s="6" t="s">
        <v>163</v>
      </c>
      <c r="AK257" s="6" t="s">
        <v>178</v>
      </c>
      <c r="AL257" s="0" t="n">
        <v>2140</v>
      </c>
      <c r="AM257" s="0" t="n">
        <v>4280</v>
      </c>
      <c r="AN257" s="6" t="s">
        <v>179</v>
      </c>
      <c r="AO257" s="6" t="s">
        <v>163</v>
      </c>
      <c r="AP257" s="6" t="s">
        <v>3880</v>
      </c>
      <c r="AQ257" s="5" t="s">
        <v>162</v>
      </c>
      <c r="AT257" s="0" t="str">
        <f aca="false">IF(AND(AX257="pass",AQ257&lt;&gt;"Y",C257&lt;&gt;"",OR(AW257&lt;&gt;"Y",AV257="Y")),"Y","N")</f>
        <v>N</v>
      </c>
      <c r="AU257" s="0" t="str">
        <f aca="false">_xlfn.TEXTJOIN("; ",TRUE(),IF(AX257&lt;&gt;"pass","gated out",""),IF(AQ257="Y","on hold: "&amp;AR257,""),IF(C257="","no contact named on an opened page",""),IF(AND(AW257="Y",AV257&lt;&gt;"Y"),"Tuesday estimate band "&amp;L257&amp;": founder's call",""))</f>
        <v>gated out; no contact named on an opened page; Tuesday estimate band over-500: founder's call</v>
      </c>
      <c r="AW257" s="6" t="s">
        <v>168</v>
      </c>
      <c r="AX257" s="6" t="s">
        <v>3704</v>
      </c>
      <c r="AY257" s="6" t="s">
        <v>3883</v>
      </c>
      <c r="AZ257" s="6" t="s">
        <v>1</v>
      </c>
      <c r="BA257" s="6" t="s">
        <v>3884</v>
      </c>
      <c r="BB257" s="6" t="s">
        <v>3885</v>
      </c>
      <c r="BC257" s="6" t="s">
        <v>3886</v>
      </c>
      <c r="BD257" s="6" t="s">
        <v>3887</v>
      </c>
      <c r="BF257" s="6" t="s">
        <v>1323</v>
      </c>
      <c r="BG257" s="6" t="s">
        <v>188</v>
      </c>
      <c r="BH257" s="6" t="s">
        <v>189</v>
      </c>
      <c r="BI257" s="6" t="s">
        <v>3888</v>
      </c>
      <c r="BK257" s="6" t="s">
        <v>3288</v>
      </c>
      <c r="BL257" s="6" t="s">
        <v>192</v>
      </c>
      <c r="BM257" s="6" t="s">
        <v>168</v>
      </c>
      <c r="BN257" s="6" t="s">
        <v>163</v>
      </c>
      <c r="BO257" s="6" t="s">
        <v>163</v>
      </c>
      <c r="BP257" s="6" t="s">
        <v>347</v>
      </c>
      <c r="BQ257" s="0" t="n">
        <v>40.741986</v>
      </c>
      <c r="BR257" s="0" t="n">
        <v>-73.989477</v>
      </c>
      <c r="BS257" s="6" t="s">
        <v>168</v>
      </c>
      <c r="BT257" s="0" t="n">
        <v>0</v>
      </c>
      <c r="BV257" s="6" t="s">
        <v>163</v>
      </c>
      <c r="BW257" s="6" t="s">
        <v>3548</v>
      </c>
      <c r="BX257" s="6" t="s">
        <v>3555</v>
      </c>
      <c r="BY257" s="6" t="s">
        <v>248</v>
      </c>
      <c r="BZ257" s="6" t="s">
        <v>3888</v>
      </c>
      <c r="CA257" s="6" t="s">
        <v>166</v>
      </c>
      <c r="CC257" s="6" t="s">
        <v>200</v>
      </c>
      <c r="CE257" s="6" t="s">
        <v>162</v>
      </c>
      <c r="CH257" s="6" t="s">
        <v>163</v>
      </c>
      <c r="CJ257" s="6" t="s">
        <v>163</v>
      </c>
      <c r="CK257" s="6" t="s">
        <v>162</v>
      </c>
      <c r="CL257" s="6" t="s">
        <v>163</v>
      </c>
      <c r="CO257" s="0" t="n">
        <v>3026</v>
      </c>
      <c r="CP257" s="6" t="s">
        <v>3817</v>
      </c>
      <c r="CQ257" s="6" t="s">
        <v>3889</v>
      </c>
      <c r="CR257" s="6" t="s">
        <v>206</v>
      </c>
      <c r="CS257" s="0" t="n">
        <v>0</v>
      </c>
      <c r="CT257" s="0" t="n">
        <v>21</v>
      </c>
      <c r="CU257" s="0" t="n">
        <v>0</v>
      </c>
      <c r="CV257" s="0" t="n">
        <v>0</v>
      </c>
      <c r="CW257" s="0" t="n">
        <v>6</v>
      </c>
      <c r="CX257" s="0" t="n">
        <v>15</v>
      </c>
      <c r="CY257" s="6" t="n">
        <f aca="false">IF(AH257="exact",10,IF(AH257="adjacent",5,0))</f>
        <v>0</v>
      </c>
      <c r="CZ257" s="6" t="n">
        <f aca="false">IF(R257="Y",15,0)</f>
        <v>0</v>
      </c>
      <c r="DF257" s="6" t="s">
        <v>158</v>
      </c>
      <c r="DG257" s="6" t="s">
        <v>1336</v>
      </c>
      <c r="DH257" s="6" t="s">
        <v>3291</v>
      </c>
      <c r="DI257" s="6" t="s">
        <v>162</v>
      </c>
      <c r="DK257" s="6" t="s">
        <v>3890</v>
      </c>
      <c r="DS257" s="6" t="s">
        <v>158</v>
      </c>
      <c r="DX257" s="6" t="s">
        <v>162</v>
      </c>
      <c r="ER257" s="0" t="str">
        <f aca="false">IF(ISNUMBER(MATCH(U257,{"queued","contacted","replied","call_booked","call_done","yes_in_principle","materials_sent"},0)),"Y","N")</f>
        <v>N</v>
      </c>
      <c r="ES257" s="0" t="str">
        <f aca="false">IF(COUNTIFS($AP$2:$AP$1000,AP257,$ER$2:$ER$1000,"Y")+COUNTIFS($AP$2:$AP$1000,AP257,$T$2:$T$1000,"Y")&gt;0,"Y","N")</f>
        <v>N</v>
      </c>
      <c r="ET257" s="0" t="str">
        <f aca="false">IF(AND(U257="new",T257="N",AT257="Y",AS257="",ES257="N"),"Y","N")</f>
        <v>N</v>
      </c>
      <c r="EU257" s="0" t="str">
        <f aca="false">IF(ET257&lt;&gt;"Y","N",IF(COUNTIFS($AP$2:$AP$1000,AP257,$ET$2:$ET$1000,"Y",$J$2:$J$1000,"&gt;"&amp;J257)+COUNTIFS($AP$2:$AP$1000,AP257,$ET$2:$ET$1000,"Y",$J$2:$J$1000,J257,$EW$2:$EW$1000,"&lt;"&amp;EW257)=0,"Y","N"))</f>
        <v>N</v>
      </c>
      <c r="EV257" s="0" t="str">
        <f aca="false">IF(Y257="","N",IF(Y257&lt;=10,"Y","N"))</f>
        <v>N</v>
      </c>
      <c r="EW257" s="6" t="n">
        <f aca="false">ROW()-1</f>
        <v>256</v>
      </c>
    </row>
    <row r="258" customFormat="false" ht="15" hidden="false" customHeight="false" outlineLevel="0" collapsed="false">
      <c r="A258" s="0" t="s">
        <v>3891</v>
      </c>
      <c r="B258" s="0" t="s">
        <v>3892</v>
      </c>
      <c r="H258" s="5" t="s">
        <v>158</v>
      </c>
      <c r="I258" s="5" t="s">
        <v>159</v>
      </c>
      <c r="J258" s="6" t="n">
        <f aca="false">IF(AX258="pass",ROUND(CU258+CV258+CW258+CX258+CY258+CZ258,1),0)</f>
        <v>0</v>
      </c>
      <c r="K258" s="6" t="s">
        <v>3893</v>
      </c>
      <c r="L258" s="6" t="s">
        <v>1323</v>
      </c>
      <c r="R258" s="5" t="s">
        <v>162</v>
      </c>
      <c r="S258" s="6" t="s">
        <v>163</v>
      </c>
      <c r="T258" s="5" t="s">
        <v>162</v>
      </c>
      <c r="U258" s="5" t="s">
        <v>228</v>
      </c>
      <c r="V258" s="6" t="s">
        <v>3282</v>
      </c>
      <c r="W258" s="6" t="s">
        <v>166</v>
      </c>
      <c r="X258" s="6" t="s">
        <v>167</v>
      </c>
      <c r="Y258" s="0" t="str">
        <f aca="false">IF(EU258&lt;&gt;"Y","",COUNTIFS($EU$2:$EU$1000,"Y",$J$2:$J$1000,"&gt;"&amp;J258)+COUNTIFS($EU$2:$EU$1000,"Y",$J$2:$J$1000,J258,$EW$2:$EW$1000,"&lt;"&amp;EW258)+1)</f>
        <v/>
      </c>
      <c r="AA258" s="6" t="s">
        <v>162</v>
      </c>
      <c r="AD258" s="6" t="s">
        <v>158</v>
      </c>
      <c r="AH258" s="5" t="s">
        <v>158</v>
      </c>
      <c r="AI258" s="6" t="s">
        <v>1694</v>
      </c>
      <c r="AJ258" s="6" t="s">
        <v>163</v>
      </c>
      <c r="AK258" s="6" t="s">
        <v>178</v>
      </c>
      <c r="AL258" s="0" t="n">
        <v>2420</v>
      </c>
      <c r="AM258" s="0" t="n">
        <v>48409</v>
      </c>
      <c r="AN258" s="6" t="s">
        <v>179</v>
      </c>
      <c r="AO258" s="6" t="s">
        <v>163</v>
      </c>
      <c r="AP258" s="6" t="s">
        <v>3891</v>
      </c>
      <c r="AQ258" s="5" t="s">
        <v>162</v>
      </c>
      <c r="AT258" s="0" t="str">
        <f aca="false">IF(AND(AX258="pass",AQ258&lt;&gt;"Y",C258&lt;&gt;"",OR(AW258&lt;&gt;"Y",AV258="Y")),"Y","N")</f>
        <v>N</v>
      </c>
      <c r="AU258" s="0" t="str">
        <f aca="false">_xlfn.TEXTJOIN("; ",TRUE(),IF(AX258&lt;&gt;"pass","gated out",""),IF(AQ258="Y","on hold: "&amp;AR258,""),IF(C258="","no contact named on an opened page",""),IF(AND(AW258="Y",AV258&lt;&gt;"Y"),"Tuesday estimate band "&amp;L258&amp;": founder's call",""))</f>
        <v>gated out; no contact named on an opened page; Tuesday estimate band over-500: founder's call</v>
      </c>
      <c r="AW258" s="6" t="s">
        <v>168</v>
      </c>
      <c r="AX258" s="6" t="s">
        <v>3704</v>
      </c>
      <c r="AY258" s="6" t="s">
        <v>3894</v>
      </c>
      <c r="AZ258" s="6" t="s">
        <v>1</v>
      </c>
      <c r="BA258" s="6" t="s">
        <v>3895</v>
      </c>
      <c r="BB258" s="6" t="s">
        <v>3896</v>
      </c>
      <c r="BC258" s="6" t="s">
        <v>3897</v>
      </c>
      <c r="BD258" s="6" t="s">
        <v>3898</v>
      </c>
      <c r="BF258" s="6" t="s">
        <v>1323</v>
      </c>
      <c r="BG258" s="6" t="s">
        <v>188</v>
      </c>
      <c r="BH258" s="6" t="s">
        <v>189</v>
      </c>
      <c r="BI258" s="6" t="s">
        <v>3899</v>
      </c>
      <c r="BK258" s="6" t="s">
        <v>3288</v>
      </c>
      <c r="BL258" s="6" t="s">
        <v>163</v>
      </c>
      <c r="BM258" s="6" t="s">
        <v>163</v>
      </c>
      <c r="BN258" s="6" t="s">
        <v>163</v>
      </c>
      <c r="BO258" s="6" t="s">
        <v>163</v>
      </c>
      <c r="BP258" s="6" t="s">
        <v>347</v>
      </c>
      <c r="BQ258" s="0" t="n">
        <v>40.741761</v>
      </c>
      <c r="BR258" s="0" t="n">
        <v>-73.987033</v>
      </c>
      <c r="BS258" s="6" t="s">
        <v>168</v>
      </c>
      <c r="BT258" s="0" t="n">
        <v>0</v>
      </c>
      <c r="BU258" s="6" t="s">
        <v>1703</v>
      </c>
      <c r="BV258" s="6" t="s">
        <v>1704</v>
      </c>
      <c r="BW258" s="6" t="s">
        <v>3282</v>
      </c>
      <c r="BX258" s="6" t="s">
        <v>3289</v>
      </c>
      <c r="BY258" s="6" t="s">
        <v>3209</v>
      </c>
      <c r="BZ258" s="6" t="s">
        <v>3228</v>
      </c>
      <c r="CA258" s="6" t="s">
        <v>3229</v>
      </c>
      <c r="CC258" s="6" t="s">
        <v>200</v>
      </c>
      <c r="CE258" s="6" t="s">
        <v>162</v>
      </c>
      <c r="CH258" s="6" t="s">
        <v>1707</v>
      </c>
      <c r="CI258" s="6" t="s">
        <v>1708</v>
      </c>
      <c r="CJ258" s="6" t="s">
        <v>163</v>
      </c>
      <c r="CK258" s="6" t="s">
        <v>162</v>
      </c>
      <c r="CL258" s="6" t="s">
        <v>163</v>
      </c>
      <c r="CO258" s="0" t="n">
        <v>10824</v>
      </c>
      <c r="CP258" s="6" t="s">
        <v>3817</v>
      </c>
      <c r="CQ258" s="6" t="s">
        <v>3900</v>
      </c>
      <c r="CR258" s="6" t="s">
        <v>206</v>
      </c>
      <c r="CS258" s="0" t="n">
        <v>0</v>
      </c>
      <c r="CT258" s="0" t="n">
        <v>21</v>
      </c>
      <c r="CU258" s="0" t="n">
        <v>0</v>
      </c>
      <c r="CV258" s="0" t="n">
        <v>0</v>
      </c>
      <c r="CW258" s="0" t="n">
        <v>6</v>
      </c>
      <c r="CX258" s="0" t="n">
        <v>15</v>
      </c>
      <c r="CY258" s="6" t="n">
        <f aca="false">IF(AH258="exact",10,IF(AH258="adjacent",5,0))</f>
        <v>0</v>
      </c>
      <c r="CZ258" s="6" t="n">
        <f aca="false">IF(R258="Y",15,0)</f>
        <v>0</v>
      </c>
      <c r="DF258" s="6" t="s">
        <v>158</v>
      </c>
      <c r="DG258" s="6" t="s">
        <v>1336</v>
      </c>
      <c r="DH258" s="6" t="s">
        <v>3291</v>
      </c>
      <c r="DI258" s="6" t="s">
        <v>162</v>
      </c>
      <c r="DK258" s="6" t="s">
        <v>3901</v>
      </c>
      <c r="DS258" s="6" t="s">
        <v>158</v>
      </c>
      <c r="DX258" s="6" t="s">
        <v>162</v>
      </c>
      <c r="ER258" s="0" t="str">
        <f aca="false">IF(ISNUMBER(MATCH(U258,{"queued","contacted","replied","call_booked","call_done","yes_in_principle","materials_sent"},0)),"Y","N")</f>
        <v>N</v>
      </c>
      <c r="ES258" s="0" t="str">
        <f aca="false">IF(COUNTIFS($AP$2:$AP$1000,AP258,$ER$2:$ER$1000,"Y")+COUNTIFS($AP$2:$AP$1000,AP258,$T$2:$T$1000,"Y")&gt;0,"Y","N")</f>
        <v>N</v>
      </c>
      <c r="ET258" s="0" t="str">
        <f aca="false">IF(AND(U258="new",T258="N",AT258="Y",AS258="",ES258="N"),"Y","N")</f>
        <v>N</v>
      </c>
      <c r="EU258" s="0" t="str">
        <f aca="false">IF(ET258&lt;&gt;"Y","N",IF(COUNTIFS($AP$2:$AP$1000,AP258,$ET$2:$ET$1000,"Y",$J$2:$J$1000,"&gt;"&amp;J258)+COUNTIFS($AP$2:$AP$1000,AP258,$ET$2:$ET$1000,"Y",$J$2:$J$1000,J258,$EW$2:$EW$1000,"&lt;"&amp;EW258)=0,"Y","N"))</f>
        <v>N</v>
      </c>
      <c r="EV258" s="0" t="str">
        <f aca="false">IF(Y258="","N",IF(Y258&lt;=10,"Y","N"))</f>
        <v>N</v>
      </c>
      <c r="EW258" s="6" t="n">
        <f aca="false">ROW()-1</f>
        <v>257</v>
      </c>
    </row>
    <row r="259" customFormat="false" ht="15" hidden="false" customHeight="false" outlineLevel="0" collapsed="false">
      <c r="A259" s="0" t="s">
        <v>3902</v>
      </c>
      <c r="B259" s="0" t="s">
        <v>3903</v>
      </c>
      <c r="H259" s="5" t="s">
        <v>158</v>
      </c>
      <c r="I259" s="5" t="s">
        <v>159</v>
      </c>
      <c r="J259" s="6" t="n">
        <f aca="false">IF(AX259="pass",ROUND(CU259+CV259+CW259+CX259+CY259+CZ259,1),0)</f>
        <v>0</v>
      </c>
      <c r="K259" s="6" t="s">
        <v>3904</v>
      </c>
      <c r="L259" s="6" t="s">
        <v>1323</v>
      </c>
      <c r="R259" s="5" t="s">
        <v>162</v>
      </c>
      <c r="S259" s="6" t="s">
        <v>163</v>
      </c>
      <c r="T259" s="5" t="s">
        <v>162</v>
      </c>
      <c r="U259" s="5" t="s">
        <v>228</v>
      </c>
      <c r="V259" s="6" t="s">
        <v>3905</v>
      </c>
      <c r="W259" s="6" t="s">
        <v>166</v>
      </c>
      <c r="X259" s="6" t="s">
        <v>167</v>
      </c>
      <c r="Y259" s="0" t="str">
        <f aca="false">IF(EU259&lt;&gt;"Y","",COUNTIFS($EU$2:$EU$1000,"Y",$J$2:$J$1000,"&gt;"&amp;J259)+COUNTIFS($EU$2:$EU$1000,"Y",$J$2:$J$1000,J259,$EW$2:$EW$1000,"&lt;"&amp;EW259)+1)</f>
        <v/>
      </c>
      <c r="AA259" s="6" t="s">
        <v>162</v>
      </c>
      <c r="AD259" s="6" t="s">
        <v>158</v>
      </c>
      <c r="AH259" s="5" t="s">
        <v>158</v>
      </c>
      <c r="AI259" s="6" t="s">
        <v>3906</v>
      </c>
      <c r="AJ259" s="6" t="s">
        <v>3907</v>
      </c>
      <c r="AK259" s="6" t="s">
        <v>178</v>
      </c>
      <c r="AL259" s="0" t="n">
        <v>9200</v>
      </c>
      <c r="AM259" s="0" t="n">
        <v>18400</v>
      </c>
      <c r="AN259" s="6" t="s">
        <v>179</v>
      </c>
      <c r="AO259" s="6" t="s">
        <v>163</v>
      </c>
      <c r="AP259" s="6" t="s">
        <v>3902</v>
      </c>
      <c r="AQ259" s="5" t="s">
        <v>162</v>
      </c>
      <c r="AT259" s="0" t="str">
        <f aca="false">IF(AND(AX259="pass",AQ259&lt;&gt;"Y",C259&lt;&gt;"",OR(AW259&lt;&gt;"Y",AV259="Y")),"Y","N")</f>
        <v>N</v>
      </c>
      <c r="AU259" s="0" t="str">
        <f aca="false">_xlfn.TEXTJOIN("; ",TRUE(),IF(AX259&lt;&gt;"pass","gated out",""),IF(AQ259="Y","on hold: "&amp;AR259,""),IF(C259="","no contact named on an opened page",""),IF(AND(AW259="Y",AV259&lt;&gt;"Y"),"Tuesday estimate band "&amp;L259&amp;": founder's call",""))</f>
        <v>gated out; no contact named on an opened page; Tuesday estimate band over-500: founder's call</v>
      </c>
      <c r="AW259" s="6" t="s">
        <v>168</v>
      </c>
      <c r="AX259" s="6" t="s">
        <v>3704</v>
      </c>
      <c r="AY259" s="6" t="s">
        <v>3908</v>
      </c>
      <c r="AZ259" s="6" t="s">
        <v>1</v>
      </c>
      <c r="BA259" s="6" t="s">
        <v>3909</v>
      </c>
      <c r="BB259" s="6" t="s">
        <v>3910</v>
      </c>
      <c r="BC259" s="6" t="s">
        <v>3911</v>
      </c>
      <c r="BD259" s="6" t="s">
        <v>3912</v>
      </c>
      <c r="BF259" s="6" t="s">
        <v>1323</v>
      </c>
      <c r="BG259" s="6" t="s">
        <v>188</v>
      </c>
      <c r="BH259" s="6" t="s">
        <v>189</v>
      </c>
      <c r="BI259" s="6" t="s">
        <v>3913</v>
      </c>
      <c r="BK259" s="6" t="s">
        <v>3288</v>
      </c>
      <c r="BL259" s="6" t="s">
        <v>192</v>
      </c>
      <c r="BM259" s="6" t="s">
        <v>168</v>
      </c>
      <c r="BN259" s="6" t="s">
        <v>163</v>
      </c>
      <c r="BO259" s="6" t="s">
        <v>163</v>
      </c>
      <c r="BP259" s="6" t="s">
        <v>193</v>
      </c>
      <c r="BQ259" s="0" t="n">
        <v>40.737622</v>
      </c>
      <c r="BR259" s="0" t="n">
        <v>-73.988544</v>
      </c>
      <c r="BS259" s="6" t="s">
        <v>168</v>
      </c>
      <c r="BT259" s="0" t="n">
        <v>0</v>
      </c>
      <c r="BV259" s="6" t="s">
        <v>163</v>
      </c>
      <c r="BW259" s="6" t="s">
        <v>3905</v>
      </c>
      <c r="BX259" s="6" t="s">
        <v>166</v>
      </c>
      <c r="BY259" s="6" t="s">
        <v>283</v>
      </c>
      <c r="BZ259" s="6" t="s">
        <v>3914</v>
      </c>
      <c r="CA259" s="6" t="s">
        <v>3915</v>
      </c>
      <c r="CB259" s="6" t="s">
        <v>199</v>
      </c>
      <c r="CC259" s="6" t="s">
        <v>200</v>
      </c>
      <c r="CE259" s="6" t="s">
        <v>162</v>
      </c>
      <c r="CH259" s="6" t="s">
        <v>201</v>
      </c>
      <c r="CJ259" s="6" t="s">
        <v>163</v>
      </c>
      <c r="CK259" s="6" t="s">
        <v>162</v>
      </c>
      <c r="CL259" s="6" t="s">
        <v>163</v>
      </c>
      <c r="CO259" s="0" t="n">
        <v>13011</v>
      </c>
      <c r="CP259" s="6" t="s">
        <v>3817</v>
      </c>
      <c r="CQ259" s="6" t="s">
        <v>3916</v>
      </c>
      <c r="CR259" s="6" t="s">
        <v>206</v>
      </c>
      <c r="CS259" s="0" t="n">
        <v>0</v>
      </c>
      <c r="CT259" s="0" t="n">
        <v>21</v>
      </c>
      <c r="CU259" s="0" t="n">
        <v>0</v>
      </c>
      <c r="CV259" s="0" t="n">
        <v>0</v>
      </c>
      <c r="CW259" s="0" t="n">
        <v>6</v>
      </c>
      <c r="CX259" s="0" t="n">
        <v>15</v>
      </c>
      <c r="CY259" s="6" t="n">
        <f aca="false">IF(AH259="exact",10,IF(AH259="adjacent",5,0))</f>
        <v>0</v>
      </c>
      <c r="CZ259" s="6" t="n">
        <f aca="false">IF(R259="Y",15,0)</f>
        <v>0</v>
      </c>
      <c r="DF259" s="6" t="s">
        <v>158</v>
      </c>
      <c r="DG259" s="6" t="s">
        <v>1336</v>
      </c>
      <c r="DH259" s="6" t="s">
        <v>3291</v>
      </c>
      <c r="DI259" s="6" t="s">
        <v>162</v>
      </c>
      <c r="DJ259" s="6" t="s">
        <v>3917</v>
      </c>
      <c r="DK259" s="6" t="s">
        <v>3918</v>
      </c>
      <c r="DS259" s="6" t="s">
        <v>158</v>
      </c>
      <c r="DX259" s="6" t="s">
        <v>162</v>
      </c>
      <c r="ER259" s="0" t="str">
        <f aca="false">IF(ISNUMBER(MATCH(U259,{"queued","contacted","replied","call_booked","call_done","yes_in_principle","materials_sent"},0)),"Y","N")</f>
        <v>N</v>
      </c>
      <c r="ES259" s="0" t="str">
        <f aca="false">IF(COUNTIFS($AP$2:$AP$1000,AP259,$ER$2:$ER$1000,"Y")+COUNTIFS($AP$2:$AP$1000,AP259,$T$2:$T$1000,"Y")&gt;0,"Y","N")</f>
        <v>N</v>
      </c>
      <c r="ET259" s="0" t="str">
        <f aca="false">IF(AND(U259="new",T259="N",AT259="Y",AS259="",ES259="N"),"Y","N")</f>
        <v>N</v>
      </c>
      <c r="EU259" s="0" t="str">
        <f aca="false">IF(ET259&lt;&gt;"Y","N",IF(COUNTIFS($AP$2:$AP$1000,AP259,$ET$2:$ET$1000,"Y",$J$2:$J$1000,"&gt;"&amp;J259)+COUNTIFS($AP$2:$AP$1000,AP259,$ET$2:$ET$1000,"Y",$J$2:$J$1000,J259,$EW$2:$EW$1000,"&lt;"&amp;EW259)=0,"Y","N"))</f>
        <v>N</v>
      </c>
      <c r="EV259" s="0" t="str">
        <f aca="false">IF(Y259="","N",IF(Y259&lt;=10,"Y","N"))</f>
        <v>N</v>
      </c>
      <c r="EW259" s="6" t="n">
        <f aca="false">ROW()-1</f>
        <v>258</v>
      </c>
    </row>
    <row r="260" customFormat="false" ht="15" hidden="false" customHeight="false" outlineLevel="0" collapsed="false">
      <c r="A260" s="0" t="s">
        <v>3919</v>
      </c>
      <c r="B260" s="0" t="s">
        <v>3920</v>
      </c>
      <c r="H260" s="5" t="s">
        <v>158</v>
      </c>
      <c r="I260" s="5" t="s">
        <v>159</v>
      </c>
      <c r="J260" s="6" t="n">
        <f aca="false">IF(AX260="pass",ROUND(CU260+CV260+CW260+CX260+CY260+CZ260,1),0)</f>
        <v>0</v>
      </c>
      <c r="K260" s="6" t="s">
        <v>3921</v>
      </c>
      <c r="L260" s="6" t="s">
        <v>1323</v>
      </c>
      <c r="R260" s="5" t="s">
        <v>162</v>
      </c>
      <c r="S260" s="6" t="s">
        <v>163</v>
      </c>
      <c r="T260" s="5" t="s">
        <v>162</v>
      </c>
      <c r="U260" s="5" t="s">
        <v>228</v>
      </c>
      <c r="V260" s="6" t="s">
        <v>1473</v>
      </c>
      <c r="W260" s="6" t="s">
        <v>166</v>
      </c>
      <c r="X260" s="6" t="s">
        <v>167</v>
      </c>
      <c r="Y260" s="0" t="str">
        <f aca="false">IF(EU260&lt;&gt;"Y","",COUNTIFS($EU$2:$EU$1000,"Y",$J$2:$J$1000,"&gt;"&amp;J260)+COUNTIFS($EU$2:$EU$1000,"Y",$J$2:$J$1000,J260,$EW$2:$EW$1000,"&lt;"&amp;EW260)+1)</f>
        <v/>
      </c>
      <c r="AA260" s="6" t="s">
        <v>162</v>
      </c>
      <c r="AD260" s="6" t="s">
        <v>158</v>
      </c>
      <c r="AH260" s="5" t="s">
        <v>158</v>
      </c>
      <c r="AI260" s="6" t="s">
        <v>1474</v>
      </c>
      <c r="AJ260" s="6" t="s">
        <v>163</v>
      </c>
      <c r="AK260" s="6" t="s">
        <v>178</v>
      </c>
      <c r="AL260" s="0" t="n">
        <v>609</v>
      </c>
      <c r="AM260" s="0" t="n">
        <v>1219</v>
      </c>
      <c r="AN260" s="6" t="s">
        <v>179</v>
      </c>
      <c r="AO260" s="6" t="s">
        <v>163</v>
      </c>
      <c r="AP260" s="6" t="s">
        <v>3919</v>
      </c>
      <c r="AQ260" s="5" t="s">
        <v>162</v>
      </c>
      <c r="AT260" s="0" t="str">
        <f aca="false">IF(AND(AX260="pass",AQ260&lt;&gt;"Y",C260&lt;&gt;"",OR(AW260&lt;&gt;"Y",AV260="Y")),"Y","N")</f>
        <v>N</v>
      </c>
      <c r="AU260" s="0" t="str">
        <f aca="false">_xlfn.TEXTJOIN("; ",TRUE(),IF(AX260&lt;&gt;"pass","gated out",""),IF(AQ260="Y","on hold: "&amp;AR260,""),IF(C260="","no contact named on an opened page",""),IF(AND(AW260="Y",AV260&lt;&gt;"Y"),"Tuesday estimate band "&amp;L260&amp;": founder's call",""))</f>
        <v>gated out; no contact named on an opened page; Tuesday estimate band over-500: founder's call</v>
      </c>
      <c r="AW260" s="6" t="s">
        <v>168</v>
      </c>
      <c r="AX260" s="6" t="s">
        <v>3704</v>
      </c>
      <c r="AY260" s="6" t="s">
        <v>3922</v>
      </c>
      <c r="AZ260" s="6" t="s">
        <v>1</v>
      </c>
      <c r="BA260" s="6" t="s">
        <v>3923</v>
      </c>
      <c r="BB260" s="6" t="s">
        <v>3924</v>
      </c>
      <c r="BC260" s="6" t="s">
        <v>3925</v>
      </c>
      <c r="BD260" s="6" t="s">
        <v>3926</v>
      </c>
      <c r="BF260" s="6" t="s">
        <v>1323</v>
      </c>
      <c r="BG260" s="6" t="s">
        <v>188</v>
      </c>
      <c r="BH260" s="6" t="s">
        <v>189</v>
      </c>
      <c r="BI260" s="6" t="s">
        <v>3927</v>
      </c>
      <c r="BK260" s="6" t="s">
        <v>1440</v>
      </c>
      <c r="BL260" s="6" t="s">
        <v>192</v>
      </c>
      <c r="BM260" s="6" t="s">
        <v>168</v>
      </c>
      <c r="BN260" s="6" t="s">
        <v>163</v>
      </c>
      <c r="BO260" s="6" t="s">
        <v>163</v>
      </c>
      <c r="BP260" s="6" t="s">
        <v>347</v>
      </c>
      <c r="BQ260" s="0" t="n">
        <v>40.741968</v>
      </c>
      <c r="BR260" s="0" t="n">
        <v>-73.985327</v>
      </c>
      <c r="BS260" s="6" t="s">
        <v>168</v>
      </c>
      <c r="BT260" s="0" t="n">
        <v>0</v>
      </c>
      <c r="BU260" s="6" t="s">
        <v>1481</v>
      </c>
      <c r="BV260" s="6" t="s">
        <v>1482</v>
      </c>
      <c r="BW260" s="6" t="s">
        <v>1473</v>
      </c>
      <c r="BX260" s="6" t="s">
        <v>1483</v>
      </c>
      <c r="BY260" s="6" t="s">
        <v>248</v>
      </c>
      <c r="BZ260" s="6" t="s">
        <v>3928</v>
      </c>
      <c r="CA260" s="6" t="s">
        <v>174</v>
      </c>
      <c r="CC260" s="6" t="s">
        <v>200</v>
      </c>
      <c r="CE260" s="6" t="s">
        <v>162</v>
      </c>
      <c r="CH260" s="6" t="s">
        <v>163</v>
      </c>
      <c r="CJ260" s="6" t="s">
        <v>163</v>
      </c>
      <c r="CK260" s="6" t="s">
        <v>162</v>
      </c>
      <c r="CL260" s="6" t="s">
        <v>163</v>
      </c>
      <c r="CO260" s="0" t="n">
        <v>862</v>
      </c>
      <c r="CP260" s="6" t="s">
        <v>3817</v>
      </c>
      <c r="CQ260" s="6" t="s">
        <v>3929</v>
      </c>
      <c r="CR260" s="6" t="s">
        <v>206</v>
      </c>
      <c r="CS260" s="0" t="n">
        <v>0</v>
      </c>
      <c r="CT260" s="0" t="n">
        <v>23</v>
      </c>
      <c r="CU260" s="0" t="n">
        <v>0</v>
      </c>
      <c r="CV260" s="0" t="n">
        <v>2</v>
      </c>
      <c r="CW260" s="0" t="n">
        <v>6</v>
      </c>
      <c r="CX260" s="0" t="n">
        <v>15</v>
      </c>
      <c r="CY260" s="6" t="n">
        <f aca="false">IF(AH260="exact",10,IF(AH260="adjacent",5,0))</f>
        <v>0</v>
      </c>
      <c r="CZ260" s="6" t="n">
        <f aca="false">IF(R260="Y",15,0)</f>
        <v>0</v>
      </c>
      <c r="DF260" s="6" t="s">
        <v>158</v>
      </c>
      <c r="DG260" s="6" t="s">
        <v>1336</v>
      </c>
      <c r="DH260" s="6" t="s">
        <v>1447</v>
      </c>
      <c r="DI260" s="6" t="s">
        <v>162</v>
      </c>
      <c r="DK260" s="6" t="s">
        <v>3930</v>
      </c>
      <c r="DS260" s="6" t="s">
        <v>158</v>
      </c>
      <c r="DX260" s="6" t="s">
        <v>162</v>
      </c>
      <c r="ER260" s="0" t="str">
        <f aca="false">IF(ISNUMBER(MATCH(U260,{"queued","contacted","replied","call_booked","call_done","yes_in_principle","materials_sent"},0)),"Y","N")</f>
        <v>N</v>
      </c>
      <c r="ES260" s="0" t="str">
        <f aca="false">IF(COUNTIFS($AP$2:$AP$1000,AP260,$ER$2:$ER$1000,"Y")+COUNTIFS($AP$2:$AP$1000,AP260,$T$2:$T$1000,"Y")&gt;0,"Y","N")</f>
        <v>N</v>
      </c>
      <c r="ET260" s="0" t="str">
        <f aca="false">IF(AND(U260="new",T260="N",AT260="Y",AS260="",ES260="N"),"Y","N")</f>
        <v>N</v>
      </c>
      <c r="EU260" s="0" t="str">
        <f aca="false">IF(ET260&lt;&gt;"Y","N",IF(COUNTIFS($AP$2:$AP$1000,AP260,$ET$2:$ET$1000,"Y",$J$2:$J$1000,"&gt;"&amp;J260)+COUNTIFS($AP$2:$AP$1000,AP260,$ET$2:$ET$1000,"Y",$J$2:$J$1000,J260,$EW$2:$EW$1000,"&lt;"&amp;EW260)=0,"Y","N"))</f>
        <v>N</v>
      </c>
      <c r="EV260" s="0" t="str">
        <f aca="false">IF(Y260="","N",IF(Y260&lt;=10,"Y","N"))</f>
        <v>N</v>
      </c>
      <c r="EW260" s="6" t="n">
        <f aca="false">ROW()-1</f>
        <v>259</v>
      </c>
    </row>
    <row r="261" customFormat="false" ht="15" hidden="false" customHeight="false" outlineLevel="0" collapsed="false">
      <c r="A261" s="0" t="s">
        <v>3931</v>
      </c>
      <c r="B261" s="0" t="s">
        <v>3932</v>
      </c>
      <c r="H261" s="5" t="s">
        <v>158</v>
      </c>
      <c r="I261" s="5" t="s">
        <v>159</v>
      </c>
      <c r="J261" s="6" t="n">
        <f aca="false">IF(AX261="pass",ROUND(CU261+CV261+CW261+CX261+CY261+CZ261,1),0)</f>
        <v>0</v>
      </c>
      <c r="K261" s="6" t="s">
        <v>3933</v>
      </c>
      <c r="L261" s="6" t="s">
        <v>1323</v>
      </c>
      <c r="R261" s="5" t="s">
        <v>162</v>
      </c>
      <c r="S261" s="6" t="s">
        <v>163</v>
      </c>
      <c r="T261" s="5" t="s">
        <v>162</v>
      </c>
      <c r="U261" s="5" t="s">
        <v>228</v>
      </c>
      <c r="V261" s="6" t="s">
        <v>1870</v>
      </c>
      <c r="W261" s="6" t="s">
        <v>166</v>
      </c>
      <c r="X261" s="6" t="s">
        <v>167</v>
      </c>
      <c r="Y261" s="0" t="str">
        <f aca="false">IF(EU261&lt;&gt;"Y","",COUNTIFS($EU$2:$EU$1000,"Y",$J$2:$J$1000,"&gt;"&amp;J261)+COUNTIFS($EU$2:$EU$1000,"Y",$J$2:$J$1000,J261,$EW$2:$EW$1000,"&lt;"&amp;EW261)+1)</f>
        <v/>
      </c>
      <c r="AA261" s="6" t="s">
        <v>162</v>
      </c>
      <c r="AD261" s="6" t="s">
        <v>158</v>
      </c>
      <c r="AH261" s="5" t="s">
        <v>158</v>
      </c>
      <c r="AI261" s="6" t="s">
        <v>1871</v>
      </c>
      <c r="AJ261" s="6" t="s">
        <v>624</v>
      </c>
      <c r="AK261" s="6" t="s">
        <v>178</v>
      </c>
      <c r="AL261" s="0" t="n">
        <v>336</v>
      </c>
      <c r="AM261" s="0" t="n">
        <v>6726</v>
      </c>
      <c r="AN261" s="6" t="s">
        <v>179</v>
      </c>
      <c r="AO261" s="6" t="s">
        <v>163</v>
      </c>
      <c r="AP261" s="6" t="s">
        <v>3931</v>
      </c>
      <c r="AQ261" s="5" t="s">
        <v>162</v>
      </c>
      <c r="AT261" s="0" t="str">
        <f aca="false">IF(AND(AX261="pass",AQ261&lt;&gt;"Y",C261&lt;&gt;"",OR(AW261&lt;&gt;"Y",AV261="Y")),"Y","N")</f>
        <v>N</v>
      </c>
      <c r="AU261" s="0" t="str">
        <f aca="false">_xlfn.TEXTJOIN("; ",TRUE(),IF(AX261&lt;&gt;"pass","gated out",""),IF(AQ261="Y","on hold: "&amp;AR261,""),IF(C261="","no contact named on an opened page",""),IF(AND(AW261="Y",AV261&lt;&gt;"Y"),"Tuesday estimate band "&amp;L261&amp;": founder's call",""))</f>
        <v>gated out; no contact named on an opened page; Tuesday estimate band over-500: founder's call</v>
      </c>
      <c r="AW261" s="6" t="s">
        <v>168</v>
      </c>
      <c r="AX261" s="6" t="s">
        <v>3704</v>
      </c>
      <c r="AY261" s="6" t="s">
        <v>3934</v>
      </c>
      <c r="AZ261" s="6" t="s">
        <v>1</v>
      </c>
      <c r="BA261" s="6" t="s">
        <v>3935</v>
      </c>
      <c r="BB261" s="6" t="s">
        <v>3936</v>
      </c>
      <c r="BC261" s="6" t="s">
        <v>3937</v>
      </c>
      <c r="BD261" s="6" t="s">
        <v>3938</v>
      </c>
      <c r="BF261" s="6" t="s">
        <v>1323</v>
      </c>
      <c r="BG261" s="6" t="s">
        <v>188</v>
      </c>
      <c r="BH261" s="6" t="s">
        <v>189</v>
      </c>
      <c r="BI261" s="6" t="s">
        <v>3939</v>
      </c>
      <c r="BK261" s="6" t="s">
        <v>3288</v>
      </c>
      <c r="BL261" s="6" t="s">
        <v>656</v>
      </c>
      <c r="BM261" s="6" t="s">
        <v>162</v>
      </c>
      <c r="BN261" s="6" t="s">
        <v>163</v>
      </c>
      <c r="BO261" s="6" t="s">
        <v>163</v>
      </c>
      <c r="BP261" s="6" t="s">
        <v>378</v>
      </c>
      <c r="BQ261" s="0" t="n">
        <v>40.738793</v>
      </c>
      <c r="BR261" s="0" t="n">
        <v>-73.991823</v>
      </c>
      <c r="BS261" s="6" t="s">
        <v>168</v>
      </c>
      <c r="BT261" s="0" t="n">
        <v>0</v>
      </c>
      <c r="BU261" s="6" t="s">
        <v>1879</v>
      </c>
      <c r="BV261" s="6" t="s">
        <v>1880</v>
      </c>
      <c r="BW261" s="6" t="s">
        <v>1870</v>
      </c>
      <c r="BX261" s="6" t="s">
        <v>1881</v>
      </c>
      <c r="BY261" s="6" t="s">
        <v>248</v>
      </c>
      <c r="BZ261" s="6" t="s">
        <v>3940</v>
      </c>
      <c r="CA261" s="6" t="s">
        <v>3941</v>
      </c>
      <c r="CC261" s="6" t="s">
        <v>739</v>
      </c>
      <c r="CE261" s="6" t="s">
        <v>162</v>
      </c>
      <c r="CH261" s="6" t="s">
        <v>163</v>
      </c>
      <c r="CJ261" s="6" t="s">
        <v>163</v>
      </c>
      <c r="CK261" s="6" t="s">
        <v>162</v>
      </c>
      <c r="CL261" s="6" t="s">
        <v>163</v>
      </c>
      <c r="CO261" s="0" t="n">
        <v>1503</v>
      </c>
      <c r="CP261" s="6" t="s">
        <v>3817</v>
      </c>
      <c r="CQ261" s="6" t="s">
        <v>3942</v>
      </c>
      <c r="CR261" s="6" t="s">
        <v>206</v>
      </c>
      <c r="CS261" s="0" t="n">
        <v>0</v>
      </c>
      <c r="CT261" s="0" t="n">
        <v>19</v>
      </c>
      <c r="CU261" s="0" t="n">
        <v>0</v>
      </c>
      <c r="CV261" s="0" t="n">
        <v>0</v>
      </c>
      <c r="CW261" s="0" t="n">
        <v>6</v>
      </c>
      <c r="CX261" s="0" t="n">
        <v>13</v>
      </c>
      <c r="CY261" s="6" t="n">
        <f aca="false">IF(AH261="exact",10,IF(AH261="adjacent",5,0))</f>
        <v>0</v>
      </c>
      <c r="CZ261" s="6" t="n">
        <f aca="false">IF(R261="Y",15,0)</f>
        <v>0</v>
      </c>
      <c r="DF261" s="6" t="s">
        <v>158</v>
      </c>
      <c r="DG261" s="6" t="s">
        <v>1336</v>
      </c>
      <c r="DH261" s="6" t="s">
        <v>3291</v>
      </c>
      <c r="DI261" s="6" t="s">
        <v>162</v>
      </c>
      <c r="DJ261" s="6" t="s">
        <v>3943</v>
      </c>
      <c r="DK261" s="6" t="s">
        <v>3944</v>
      </c>
      <c r="DS261" s="6" t="s">
        <v>158</v>
      </c>
      <c r="DX261" s="6" t="s">
        <v>162</v>
      </c>
      <c r="ER261" s="0" t="str">
        <f aca="false">IF(ISNUMBER(MATCH(U261,{"queued","contacted","replied","call_booked","call_done","yes_in_principle","materials_sent"},0)),"Y","N")</f>
        <v>N</v>
      </c>
      <c r="ES261" s="0" t="str">
        <f aca="false">IF(COUNTIFS($AP$2:$AP$1000,AP261,$ER$2:$ER$1000,"Y")+COUNTIFS($AP$2:$AP$1000,AP261,$T$2:$T$1000,"Y")&gt;0,"Y","N")</f>
        <v>N</v>
      </c>
      <c r="ET261" s="0" t="str">
        <f aca="false">IF(AND(U261="new",T261="N",AT261="Y",AS261="",ES261="N"),"Y","N")</f>
        <v>N</v>
      </c>
      <c r="EU261" s="0" t="str">
        <f aca="false">IF(ET261&lt;&gt;"Y","N",IF(COUNTIFS($AP$2:$AP$1000,AP261,$ET$2:$ET$1000,"Y",$J$2:$J$1000,"&gt;"&amp;J261)+COUNTIFS($AP$2:$AP$1000,AP261,$ET$2:$ET$1000,"Y",$J$2:$J$1000,J261,$EW$2:$EW$1000,"&lt;"&amp;EW261)=0,"Y","N"))</f>
        <v>N</v>
      </c>
      <c r="EV261" s="0" t="str">
        <f aca="false">IF(Y261="","N",IF(Y261&lt;=10,"Y","N"))</f>
        <v>N</v>
      </c>
      <c r="EW261" s="6" t="n">
        <f aca="false">ROW()-1</f>
        <v>260</v>
      </c>
    </row>
    <row r="262" customFormat="false" ht="15" hidden="false" customHeight="false" outlineLevel="0" collapsed="false">
      <c r="A262" s="0" t="s">
        <v>3945</v>
      </c>
      <c r="B262" s="0" t="s">
        <v>3946</v>
      </c>
      <c r="H262" s="5" t="s">
        <v>158</v>
      </c>
      <c r="I262" s="5" t="s">
        <v>159</v>
      </c>
      <c r="J262" s="6" t="n">
        <f aca="false">IF(AX262="pass",ROUND(CU262+CV262+CW262+CX262+CY262+CZ262,1),0)</f>
        <v>0</v>
      </c>
      <c r="K262" s="6" t="s">
        <v>3947</v>
      </c>
      <c r="L262" s="6" t="s">
        <v>1323</v>
      </c>
      <c r="R262" s="5" t="s">
        <v>162</v>
      </c>
      <c r="S262" s="6" t="s">
        <v>163</v>
      </c>
      <c r="T262" s="5" t="s">
        <v>162</v>
      </c>
      <c r="U262" s="5" t="s">
        <v>228</v>
      </c>
      <c r="V262" s="6" t="s">
        <v>1661</v>
      </c>
      <c r="W262" s="6" t="s">
        <v>166</v>
      </c>
      <c r="X262" s="6" t="s">
        <v>167</v>
      </c>
      <c r="Y262" s="0" t="str">
        <f aca="false">IF(EU262&lt;&gt;"Y","",COUNTIFS($EU$2:$EU$1000,"Y",$J$2:$J$1000,"&gt;"&amp;J262)+COUNTIFS($EU$2:$EU$1000,"Y",$J$2:$J$1000,J262,$EW$2:$EW$1000,"&lt;"&amp;EW262)+1)</f>
        <v/>
      </c>
      <c r="AA262" s="6" t="s">
        <v>162</v>
      </c>
      <c r="AD262" s="6" t="s">
        <v>158</v>
      </c>
      <c r="AH262" s="5" t="s">
        <v>158</v>
      </c>
      <c r="AI262" s="6" t="s">
        <v>1663</v>
      </c>
      <c r="AJ262" s="6" t="s">
        <v>163</v>
      </c>
      <c r="AK262" s="6" t="s">
        <v>435</v>
      </c>
      <c r="AL262" s="0" t="n">
        <v>36248</v>
      </c>
      <c r="AM262" s="0" t="n">
        <v>724960</v>
      </c>
      <c r="AN262" s="6" t="s">
        <v>179</v>
      </c>
      <c r="AO262" s="6" t="s">
        <v>163</v>
      </c>
      <c r="AP262" s="6" t="s">
        <v>3945</v>
      </c>
      <c r="AQ262" s="5" t="s">
        <v>162</v>
      </c>
      <c r="AT262" s="0" t="str">
        <f aca="false">IF(AND(AX262="pass",AQ262&lt;&gt;"Y",C262&lt;&gt;"",OR(AW262&lt;&gt;"Y",AV262="Y")),"Y","N")</f>
        <v>N</v>
      </c>
      <c r="AU262" s="0" t="str">
        <f aca="false">_xlfn.TEXTJOIN("; ",TRUE(),IF(AX262&lt;&gt;"pass","gated out",""),IF(AQ262="Y","on hold: "&amp;AR262,""),IF(C262="","no contact named on an opened page",""),IF(AND(AW262="Y",AV262&lt;&gt;"Y"),"Tuesday estimate band "&amp;L262&amp;": founder's call",""))</f>
        <v>gated out; no contact named on an opened page; Tuesday estimate band over-500: founder's call</v>
      </c>
      <c r="AW262" s="6" t="s">
        <v>168</v>
      </c>
      <c r="AX262" s="6" t="s">
        <v>3704</v>
      </c>
      <c r="AY262" s="6" t="s">
        <v>3948</v>
      </c>
      <c r="AZ262" s="6" t="s">
        <v>1</v>
      </c>
      <c r="BA262" s="6" t="s">
        <v>3949</v>
      </c>
      <c r="BB262" s="6" t="s">
        <v>3950</v>
      </c>
      <c r="BC262" s="6" t="s">
        <v>3951</v>
      </c>
      <c r="BD262" s="6" t="s">
        <v>3952</v>
      </c>
      <c r="BF262" s="6" t="s">
        <v>1323</v>
      </c>
      <c r="BG262" s="6" t="s">
        <v>188</v>
      </c>
      <c r="BH262" s="6" t="s">
        <v>189</v>
      </c>
      <c r="BI262" s="6" t="s">
        <v>3953</v>
      </c>
      <c r="BK262" s="6" t="s">
        <v>3288</v>
      </c>
      <c r="BL262" s="6" t="s">
        <v>163</v>
      </c>
      <c r="BM262" s="6" t="s">
        <v>163</v>
      </c>
      <c r="BN262" s="6" t="s">
        <v>163</v>
      </c>
      <c r="BO262" s="6" t="s">
        <v>163</v>
      </c>
      <c r="BP262" s="6" t="s">
        <v>347</v>
      </c>
      <c r="BQ262" s="0" t="n">
        <v>40.740567</v>
      </c>
      <c r="BR262" s="0" t="n">
        <v>-73.985832</v>
      </c>
      <c r="BS262" s="6" t="s">
        <v>168</v>
      </c>
      <c r="BT262" s="0" t="n">
        <v>0</v>
      </c>
      <c r="BV262" s="6" t="s">
        <v>163</v>
      </c>
      <c r="BW262" s="6" t="s">
        <v>1661</v>
      </c>
      <c r="BX262" s="6" t="s">
        <v>198</v>
      </c>
      <c r="BY262" s="6" t="s">
        <v>248</v>
      </c>
      <c r="CC262" s="6" t="s">
        <v>739</v>
      </c>
      <c r="CE262" s="6" t="s">
        <v>162</v>
      </c>
      <c r="CH262" s="6" t="s">
        <v>201</v>
      </c>
      <c r="CJ262" s="6" t="s">
        <v>163</v>
      </c>
      <c r="CK262" s="6" t="s">
        <v>162</v>
      </c>
      <c r="CL262" s="6" t="s">
        <v>163</v>
      </c>
      <c r="CO262" s="0" t="n">
        <v>162106</v>
      </c>
      <c r="CP262" s="6" t="s">
        <v>3817</v>
      </c>
      <c r="CQ262" s="6" t="s">
        <v>3954</v>
      </c>
      <c r="CR262" s="6" t="s">
        <v>206</v>
      </c>
      <c r="CS262" s="0" t="n">
        <v>0</v>
      </c>
      <c r="CT262" s="0" t="n">
        <v>14</v>
      </c>
      <c r="CU262" s="0" t="n">
        <v>0</v>
      </c>
      <c r="CV262" s="0" t="n">
        <v>0</v>
      </c>
      <c r="CW262" s="0" t="n">
        <v>6</v>
      </c>
      <c r="CX262" s="0" t="n">
        <v>8</v>
      </c>
      <c r="CY262" s="6" t="n">
        <f aca="false">IF(AH262="exact",10,IF(AH262="adjacent",5,0))</f>
        <v>0</v>
      </c>
      <c r="CZ262" s="6" t="n">
        <f aca="false">IF(R262="Y",15,0)</f>
        <v>0</v>
      </c>
      <c r="DF262" s="6" t="s">
        <v>158</v>
      </c>
      <c r="DG262" s="6" t="s">
        <v>1336</v>
      </c>
      <c r="DH262" s="6" t="s">
        <v>3291</v>
      </c>
      <c r="DI262" s="6" t="s">
        <v>162</v>
      </c>
      <c r="DK262" s="6" t="s">
        <v>3955</v>
      </c>
      <c r="DS262" s="6" t="s">
        <v>158</v>
      </c>
      <c r="DX262" s="6" t="s">
        <v>162</v>
      </c>
      <c r="ER262" s="0" t="str">
        <f aca="false">IF(ISNUMBER(MATCH(U262,{"queued","contacted","replied","call_booked","call_done","yes_in_principle","materials_sent"},0)),"Y","N")</f>
        <v>N</v>
      </c>
      <c r="ES262" s="0" t="str">
        <f aca="false">IF(COUNTIFS($AP$2:$AP$1000,AP262,$ER$2:$ER$1000,"Y")+COUNTIFS($AP$2:$AP$1000,AP262,$T$2:$T$1000,"Y")&gt;0,"Y","N")</f>
        <v>N</v>
      </c>
      <c r="ET262" s="0" t="str">
        <f aca="false">IF(AND(U262="new",T262="N",AT262="Y",AS262="",ES262="N"),"Y","N")</f>
        <v>N</v>
      </c>
      <c r="EU262" s="0" t="str">
        <f aca="false">IF(ET262&lt;&gt;"Y","N",IF(COUNTIFS($AP$2:$AP$1000,AP262,$ET$2:$ET$1000,"Y",$J$2:$J$1000,"&gt;"&amp;J262)+COUNTIFS($AP$2:$AP$1000,AP262,$ET$2:$ET$1000,"Y",$J$2:$J$1000,J262,$EW$2:$EW$1000,"&lt;"&amp;EW262)=0,"Y","N"))</f>
        <v>N</v>
      </c>
      <c r="EV262" s="0" t="str">
        <f aca="false">IF(Y262="","N",IF(Y262&lt;=10,"Y","N"))</f>
        <v>N</v>
      </c>
      <c r="EW262" s="6" t="n">
        <f aca="false">ROW()-1</f>
        <v>261</v>
      </c>
    </row>
    <row r="263" customFormat="false" ht="15" hidden="false" customHeight="false" outlineLevel="0" collapsed="false">
      <c r="A263" s="0" t="s">
        <v>3956</v>
      </c>
      <c r="B263" s="0" t="s">
        <v>3957</v>
      </c>
      <c r="H263" s="5" t="s">
        <v>158</v>
      </c>
      <c r="I263" s="5" t="s">
        <v>159</v>
      </c>
      <c r="J263" s="6" t="n">
        <f aca="false">IF(AX263="pass",ROUND(CU263+CV263+CW263+CX263+CY263+CZ263,1),0)</f>
        <v>0</v>
      </c>
      <c r="K263" s="6" t="s">
        <v>3958</v>
      </c>
      <c r="L263" s="6" t="s">
        <v>1323</v>
      </c>
      <c r="R263" s="5" t="s">
        <v>162</v>
      </c>
      <c r="S263" s="6" t="s">
        <v>163</v>
      </c>
      <c r="T263" s="5" t="s">
        <v>162</v>
      </c>
      <c r="U263" s="5" t="s">
        <v>228</v>
      </c>
      <c r="V263" s="6" t="s">
        <v>3959</v>
      </c>
      <c r="W263" s="6" t="s">
        <v>166</v>
      </c>
      <c r="X263" s="6" t="s">
        <v>167</v>
      </c>
      <c r="Y263" s="0" t="str">
        <f aca="false">IF(EU263&lt;&gt;"Y","",COUNTIFS($EU$2:$EU$1000,"Y",$J$2:$J$1000,"&gt;"&amp;J263)+COUNTIFS($EU$2:$EU$1000,"Y",$J$2:$J$1000,J263,$EW$2:$EW$1000,"&lt;"&amp;EW263)+1)</f>
        <v/>
      </c>
      <c r="AA263" s="6" t="s">
        <v>162</v>
      </c>
      <c r="AD263" s="6" t="s">
        <v>158</v>
      </c>
      <c r="AH263" s="5" t="s">
        <v>158</v>
      </c>
      <c r="AI263" s="6" t="s">
        <v>3960</v>
      </c>
      <c r="AJ263" s="6" t="s">
        <v>3961</v>
      </c>
      <c r="AK263" s="6" t="s">
        <v>178</v>
      </c>
      <c r="AL263" s="0" t="n">
        <v>391</v>
      </c>
      <c r="AM263" s="0" t="n">
        <v>7820</v>
      </c>
      <c r="AN263" s="6" t="s">
        <v>179</v>
      </c>
      <c r="AO263" s="6" t="s">
        <v>163</v>
      </c>
      <c r="AP263" s="6" t="s">
        <v>3956</v>
      </c>
      <c r="AQ263" s="5" t="s">
        <v>162</v>
      </c>
      <c r="AT263" s="0" t="str">
        <f aca="false">IF(AND(AX263="pass",AQ263&lt;&gt;"Y",C263&lt;&gt;"",OR(AW263&lt;&gt;"Y",AV263="Y")),"Y","N")</f>
        <v>N</v>
      </c>
      <c r="AU263" s="0" t="str">
        <f aca="false">_xlfn.TEXTJOIN("; ",TRUE(),IF(AX263&lt;&gt;"pass","gated out",""),IF(AQ263="Y","on hold: "&amp;AR263,""),IF(C263="","no contact named on an opened page",""),IF(AND(AW263="Y",AV263&lt;&gt;"Y"),"Tuesday estimate band "&amp;L263&amp;": founder's call",""))</f>
        <v>gated out; no contact named on an opened page; Tuesday estimate band over-500: founder's call</v>
      </c>
      <c r="AW263" s="6" t="s">
        <v>168</v>
      </c>
      <c r="AX263" s="6" t="s">
        <v>3704</v>
      </c>
      <c r="AY263" s="6" t="s">
        <v>3962</v>
      </c>
      <c r="AZ263" s="6" t="s">
        <v>1</v>
      </c>
      <c r="BA263" s="6" t="s">
        <v>3963</v>
      </c>
      <c r="BB263" s="6" t="s">
        <v>3964</v>
      </c>
      <c r="BC263" s="6" t="s">
        <v>3965</v>
      </c>
      <c r="BD263" s="6" t="s">
        <v>3966</v>
      </c>
      <c r="BF263" s="6" t="s">
        <v>1323</v>
      </c>
      <c r="BG263" s="6" t="s">
        <v>188</v>
      </c>
      <c r="BH263" s="6" t="s">
        <v>189</v>
      </c>
      <c r="BI263" s="6" t="s">
        <v>3967</v>
      </c>
      <c r="BK263" s="6" t="s">
        <v>3288</v>
      </c>
      <c r="BL263" s="6" t="s">
        <v>3968</v>
      </c>
      <c r="BM263" s="6" t="s">
        <v>162</v>
      </c>
      <c r="BN263" s="6" t="s">
        <v>163</v>
      </c>
      <c r="BO263" s="6" t="s">
        <v>163</v>
      </c>
      <c r="BP263" s="6" t="s">
        <v>244</v>
      </c>
      <c r="BQ263" s="0" t="n">
        <v>40.743639</v>
      </c>
      <c r="BR263" s="0" t="n">
        <v>-73.98576</v>
      </c>
      <c r="BS263" s="6" t="s">
        <v>168</v>
      </c>
      <c r="BT263" s="0" t="n">
        <v>0</v>
      </c>
      <c r="BV263" s="6" t="s">
        <v>163</v>
      </c>
      <c r="BW263" s="6" t="s">
        <v>3959</v>
      </c>
      <c r="BX263" s="6" t="s">
        <v>1725</v>
      </c>
      <c r="BY263" s="6" t="s">
        <v>248</v>
      </c>
      <c r="CC263" s="6" t="s">
        <v>739</v>
      </c>
      <c r="CE263" s="6" t="s">
        <v>162</v>
      </c>
      <c r="CH263" s="6" t="s">
        <v>201</v>
      </c>
      <c r="CJ263" s="6" t="s">
        <v>163</v>
      </c>
      <c r="CK263" s="6" t="s">
        <v>162</v>
      </c>
      <c r="CL263" s="6" t="s">
        <v>163</v>
      </c>
      <c r="CO263" s="0" t="n">
        <v>1749</v>
      </c>
      <c r="CP263" s="6" t="s">
        <v>3817</v>
      </c>
      <c r="CQ263" s="6" t="s">
        <v>3969</v>
      </c>
      <c r="CR263" s="6" t="s">
        <v>206</v>
      </c>
      <c r="CS263" s="0" t="n">
        <v>0</v>
      </c>
      <c r="CT263" s="0" t="n">
        <v>19</v>
      </c>
      <c r="CU263" s="0" t="n">
        <v>0</v>
      </c>
      <c r="CV263" s="0" t="n">
        <v>0</v>
      </c>
      <c r="CW263" s="0" t="n">
        <v>6</v>
      </c>
      <c r="CX263" s="0" t="n">
        <v>13</v>
      </c>
      <c r="CY263" s="6" t="n">
        <f aca="false">IF(AH263="exact",10,IF(AH263="adjacent",5,0))</f>
        <v>0</v>
      </c>
      <c r="CZ263" s="6" t="n">
        <f aca="false">IF(R263="Y",15,0)</f>
        <v>0</v>
      </c>
      <c r="DF263" s="6" t="s">
        <v>158</v>
      </c>
      <c r="DG263" s="6" t="s">
        <v>1336</v>
      </c>
      <c r="DH263" s="6" t="s">
        <v>3291</v>
      </c>
      <c r="DI263" s="6" t="s">
        <v>162</v>
      </c>
      <c r="DJ263" s="6" t="s">
        <v>3970</v>
      </c>
      <c r="DK263" s="6" t="s">
        <v>3971</v>
      </c>
      <c r="DS263" s="6" t="s">
        <v>158</v>
      </c>
      <c r="DX263" s="6" t="s">
        <v>162</v>
      </c>
      <c r="ER263" s="0" t="str">
        <f aca="false">IF(ISNUMBER(MATCH(U263,{"queued","contacted","replied","call_booked","call_done","yes_in_principle","materials_sent"},0)),"Y","N")</f>
        <v>N</v>
      </c>
      <c r="ES263" s="0" t="str">
        <f aca="false">IF(COUNTIFS($AP$2:$AP$1000,AP263,$ER$2:$ER$1000,"Y")+COUNTIFS($AP$2:$AP$1000,AP263,$T$2:$T$1000,"Y")&gt;0,"Y","N")</f>
        <v>N</v>
      </c>
      <c r="ET263" s="0" t="str">
        <f aca="false">IF(AND(U263="new",T263="N",AT263="Y",AS263="",ES263="N"),"Y","N")</f>
        <v>N</v>
      </c>
      <c r="EU263" s="0" t="str">
        <f aca="false">IF(ET263&lt;&gt;"Y","N",IF(COUNTIFS($AP$2:$AP$1000,AP263,$ET$2:$ET$1000,"Y",$J$2:$J$1000,"&gt;"&amp;J263)+COUNTIFS($AP$2:$AP$1000,AP263,$ET$2:$ET$1000,"Y",$J$2:$J$1000,J263,$EW$2:$EW$1000,"&lt;"&amp;EW263)=0,"Y","N"))</f>
        <v>N</v>
      </c>
      <c r="EV263" s="0" t="str">
        <f aca="false">IF(Y263="","N",IF(Y263&lt;=10,"Y","N"))</f>
        <v>N</v>
      </c>
      <c r="EW263" s="6" t="n">
        <f aca="false">ROW()-1</f>
        <v>262</v>
      </c>
    </row>
    <row r="264" customFormat="false" ht="15" hidden="false" customHeight="false" outlineLevel="0" collapsed="false">
      <c r="A264" s="0" t="s">
        <v>3972</v>
      </c>
      <c r="B264" s="0" t="s">
        <v>3973</v>
      </c>
      <c r="H264" s="5" t="s">
        <v>158</v>
      </c>
      <c r="I264" s="5" t="s">
        <v>159</v>
      </c>
      <c r="J264" s="6" t="n">
        <f aca="false">IF(AX264="pass",ROUND(CU264+CV264+CW264+CX264+CY264+CZ264,1),0)</f>
        <v>0</v>
      </c>
      <c r="K264" s="6" t="s">
        <v>3974</v>
      </c>
      <c r="L264" s="6" t="s">
        <v>1323</v>
      </c>
      <c r="R264" s="5" t="s">
        <v>162</v>
      </c>
      <c r="S264" s="6" t="s">
        <v>163</v>
      </c>
      <c r="T264" s="5" t="s">
        <v>162</v>
      </c>
      <c r="U264" s="5" t="s">
        <v>228</v>
      </c>
      <c r="V264" s="6" t="s">
        <v>3975</v>
      </c>
      <c r="W264" s="6" t="s">
        <v>166</v>
      </c>
      <c r="X264" s="6" t="s">
        <v>167</v>
      </c>
      <c r="Y264" s="0" t="str">
        <f aca="false">IF(EU264&lt;&gt;"Y","",COUNTIFS($EU$2:$EU$1000,"Y",$J$2:$J$1000,"&gt;"&amp;J264)+COUNTIFS($EU$2:$EU$1000,"Y",$J$2:$J$1000,J264,$EW$2:$EW$1000,"&lt;"&amp;EW264)+1)</f>
        <v/>
      </c>
      <c r="AA264" s="6" t="s">
        <v>162</v>
      </c>
      <c r="AD264" s="6" t="s">
        <v>158</v>
      </c>
      <c r="AH264" s="5" t="s">
        <v>158</v>
      </c>
      <c r="AI264" s="6" t="s">
        <v>1065</v>
      </c>
      <c r="AJ264" s="6" t="s">
        <v>3976</v>
      </c>
      <c r="AK264" s="6" t="s">
        <v>178</v>
      </c>
      <c r="AL264" s="0" t="n">
        <v>510</v>
      </c>
      <c r="AM264" s="0" t="n">
        <v>1020</v>
      </c>
      <c r="AN264" s="6" t="s">
        <v>179</v>
      </c>
      <c r="AO264" s="6" t="s">
        <v>163</v>
      </c>
      <c r="AP264" s="6" t="s">
        <v>3972</v>
      </c>
      <c r="AQ264" s="5" t="s">
        <v>162</v>
      </c>
      <c r="AT264" s="0" t="str">
        <f aca="false">IF(AND(AX264="pass",AQ264&lt;&gt;"Y",C264&lt;&gt;"",OR(AW264&lt;&gt;"Y",AV264="Y")),"Y","N")</f>
        <v>N</v>
      </c>
      <c r="AU264" s="0" t="str">
        <f aca="false">_xlfn.TEXTJOIN("; ",TRUE(),IF(AX264&lt;&gt;"pass","gated out",""),IF(AQ264="Y","on hold: "&amp;AR264,""),IF(C264="","no contact named on an opened page",""),IF(AND(AW264="Y",AV264&lt;&gt;"Y"),"Tuesday estimate band "&amp;L264&amp;": founder's call",""))</f>
        <v>gated out; no contact named on an opened page; Tuesday estimate band over-500: founder's call</v>
      </c>
      <c r="AW264" s="6" t="s">
        <v>168</v>
      </c>
      <c r="AX264" s="6" t="s">
        <v>3704</v>
      </c>
      <c r="AY264" s="6" t="s">
        <v>3977</v>
      </c>
      <c r="AZ264" s="6" t="s">
        <v>1</v>
      </c>
      <c r="BA264" s="6" t="s">
        <v>3978</v>
      </c>
      <c r="BB264" s="6" t="s">
        <v>3979</v>
      </c>
      <c r="BC264" s="6" t="s">
        <v>3980</v>
      </c>
      <c r="BD264" s="6" t="s">
        <v>3981</v>
      </c>
      <c r="BF264" s="6" t="s">
        <v>1323</v>
      </c>
      <c r="BG264" s="6" t="s">
        <v>188</v>
      </c>
      <c r="BH264" s="6" t="s">
        <v>189</v>
      </c>
      <c r="BI264" s="6" t="s">
        <v>3982</v>
      </c>
      <c r="BK264" s="6" t="s">
        <v>1440</v>
      </c>
      <c r="BL264" s="6" t="s">
        <v>192</v>
      </c>
      <c r="BM264" s="6" t="s">
        <v>168</v>
      </c>
      <c r="BN264" s="6" t="s">
        <v>163</v>
      </c>
      <c r="BO264" s="6" t="s">
        <v>163</v>
      </c>
      <c r="BP264" s="6" t="s">
        <v>347</v>
      </c>
      <c r="BQ264" s="0" t="n">
        <v>40.742199</v>
      </c>
      <c r="BR264" s="0" t="n">
        <v>-73.99172</v>
      </c>
      <c r="BS264" s="6" t="s">
        <v>168</v>
      </c>
      <c r="BT264" s="0" t="n">
        <v>0</v>
      </c>
      <c r="BU264" s="6" t="s">
        <v>1073</v>
      </c>
      <c r="BV264" s="6" t="s">
        <v>1074</v>
      </c>
      <c r="BW264" s="6" t="s">
        <v>3975</v>
      </c>
      <c r="BX264" s="6" t="s">
        <v>3983</v>
      </c>
      <c r="BY264" s="6" t="s">
        <v>248</v>
      </c>
      <c r="BZ264" s="6" t="s">
        <v>1963</v>
      </c>
      <c r="CA264" s="6" t="s">
        <v>1969</v>
      </c>
      <c r="CC264" s="6" t="s">
        <v>739</v>
      </c>
      <c r="CE264" s="6" t="s">
        <v>162</v>
      </c>
      <c r="CH264" s="6" t="s">
        <v>201</v>
      </c>
      <c r="CI264" s="6" t="s">
        <v>1075</v>
      </c>
      <c r="CJ264" s="6" t="s">
        <v>163</v>
      </c>
      <c r="CK264" s="6" t="s">
        <v>162</v>
      </c>
      <c r="CL264" s="6" t="s">
        <v>163</v>
      </c>
      <c r="CO264" s="0" t="n">
        <v>721</v>
      </c>
      <c r="CP264" s="6" t="s">
        <v>3817</v>
      </c>
      <c r="CQ264" s="6" t="s">
        <v>3984</v>
      </c>
      <c r="CR264" s="6" t="s">
        <v>206</v>
      </c>
      <c r="CS264" s="0" t="n">
        <v>0</v>
      </c>
      <c r="CT264" s="0" t="n">
        <v>21</v>
      </c>
      <c r="CU264" s="0" t="n">
        <v>0</v>
      </c>
      <c r="CV264" s="0" t="n">
        <v>2</v>
      </c>
      <c r="CW264" s="0" t="n">
        <v>6</v>
      </c>
      <c r="CX264" s="0" t="n">
        <v>13</v>
      </c>
      <c r="CY264" s="6" t="n">
        <f aca="false">IF(AH264="exact",10,IF(AH264="adjacent",5,0))</f>
        <v>0</v>
      </c>
      <c r="CZ264" s="6" t="n">
        <f aca="false">IF(R264="Y",15,0)</f>
        <v>0</v>
      </c>
      <c r="DF264" s="6" t="s">
        <v>158</v>
      </c>
      <c r="DG264" s="6" t="s">
        <v>1336</v>
      </c>
      <c r="DH264" s="6" t="s">
        <v>1447</v>
      </c>
      <c r="DI264" s="6" t="s">
        <v>162</v>
      </c>
      <c r="DJ264" s="6" t="s">
        <v>3985</v>
      </c>
      <c r="DK264" s="6" t="s">
        <v>3986</v>
      </c>
      <c r="DS264" s="6" t="s">
        <v>158</v>
      </c>
      <c r="DX264" s="6" t="s">
        <v>162</v>
      </c>
      <c r="ER264" s="0" t="str">
        <f aca="false">IF(ISNUMBER(MATCH(U264,{"queued","contacted","replied","call_booked","call_done","yes_in_principle","materials_sent"},0)),"Y","N")</f>
        <v>N</v>
      </c>
      <c r="ES264" s="0" t="str">
        <f aca="false">IF(COUNTIFS($AP$2:$AP$1000,AP264,$ER$2:$ER$1000,"Y")+COUNTIFS($AP$2:$AP$1000,AP264,$T$2:$T$1000,"Y")&gt;0,"Y","N")</f>
        <v>N</v>
      </c>
      <c r="ET264" s="0" t="str">
        <f aca="false">IF(AND(U264="new",T264="N",AT264="Y",AS264="",ES264="N"),"Y","N")</f>
        <v>N</v>
      </c>
      <c r="EU264" s="0" t="str">
        <f aca="false">IF(ET264&lt;&gt;"Y","N",IF(COUNTIFS($AP$2:$AP$1000,AP264,$ET$2:$ET$1000,"Y",$J$2:$J$1000,"&gt;"&amp;J264)+COUNTIFS($AP$2:$AP$1000,AP264,$ET$2:$ET$1000,"Y",$J$2:$J$1000,J264,$EW$2:$EW$1000,"&lt;"&amp;EW264)=0,"Y","N"))</f>
        <v>N</v>
      </c>
      <c r="EV264" s="0" t="str">
        <f aca="false">IF(Y264="","N",IF(Y264&lt;=10,"Y","N"))</f>
        <v>N</v>
      </c>
      <c r="EW264" s="6" t="n">
        <f aca="false">ROW()-1</f>
        <v>263</v>
      </c>
    </row>
    <row r="265" customFormat="false" ht="15" hidden="false" customHeight="false" outlineLevel="0" collapsed="false">
      <c r="A265" s="0" t="s">
        <v>3987</v>
      </c>
      <c r="B265" s="0" t="s">
        <v>3988</v>
      </c>
      <c r="H265" s="5" t="s">
        <v>158</v>
      </c>
      <c r="I265" s="5" t="s">
        <v>159</v>
      </c>
      <c r="J265" s="6" t="n">
        <f aca="false">IF(AX265="pass",ROUND(CU265+CV265+CW265+CX265+CY265+CZ265,1),0)</f>
        <v>0</v>
      </c>
      <c r="K265" s="6" t="s">
        <v>3989</v>
      </c>
      <c r="L265" s="6" t="s">
        <v>1323</v>
      </c>
      <c r="R265" s="5" t="s">
        <v>162</v>
      </c>
      <c r="S265" s="6" t="s">
        <v>163</v>
      </c>
      <c r="T265" s="5" t="s">
        <v>162</v>
      </c>
      <c r="U265" s="5" t="s">
        <v>228</v>
      </c>
      <c r="V265" s="6" t="s">
        <v>2527</v>
      </c>
      <c r="W265" s="6" t="s">
        <v>166</v>
      </c>
      <c r="X265" s="6" t="s">
        <v>167</v>
      </c>
      <c r="Y265" s="0" t="str">
        <f aca="false">IF(EU265&lt;&gt;"Y","",COUNTIFS($EU$2:$EU$1000,"Y",$J$2:$J$1000,"&gt;"&amp;J265)+COUNTIFS($EU$2:$EU$1000,"Y",$J$2:$J$1000,J265,$EW$2:$EW$1000,"&lt;"&amp;EW265)+1)</f>
        <v/>
      </c>
      <c r="AA265" s="6" t="s">
        <v>162</v>
      </c>
      <c r="AD265" s="6" t="s">
        <v>158</v>
      </c>
      <c r="AH265" s="5" t="s">
        <v>158</v>
      </c>
      <c r="AI265" s="6" t="s">
        <v>2529</v>
      </c>
      <c r="AJ265" s="6" t="s">
        <v>163</v>
      </c>
      <c r="AK265" s="6" t="s">
        <v>178</v>
      </c>
      <c r="AL265" s="0" t="n">
        <v>1265</v>
      </c>
      <c r="AM265" s="0" t="n">
        <v>25300</v>
      </c>
      <c r="AN265" s="6" t="s">
        <v>179</v>
      </c>
      <c r="AO265" s="6" t="s">
        <v>163</v>
      </c>
      <c r="AP265" s="6" t="s">
        <v>3987</v>
      </c>
      <c r="AQ265" s="5" t="s">
        <v>162</v>
      </c>
      <c r="AT265" s="0" t="str">
        <f aca="false">IF(AND(AX265="pass",AQ265&lt;&gt;"Y",C265&lt;&gt;"",OR(AW265&lt;&gt;"Y",AV265="Y")),"Y","N")</f>
        <v>N</v>
      </c>
      <c r="AU265" s="0" t="str">
        <f aca="false">_xlfn.TEXTJOIN("; ",TRUE(),IF(AX265&lt;&gt;"pass","gated out",""),IF(AQ265="Y","on hold: "&amp;AR265,""),IF(C265="","no contact named on an opened page",""),IF(AND(AW265="Y",AV265&lt;&gt;"Y"),"Tuesday estimate band "&amp;L265&amp;": founder's call",""))</f>
        <v>gated out; no contact named on an opened page; Tuesday estimate band over-500: founder's call</v>
      </c>
      <c r="AW265" s="6" t="s">
        <v>168</v>
      </c>
      <c r="AX265" s="6" t="s">
        <v>3704</v>
      </c>
      <c r="AY265" s="6" t="s">
        <v>3990</v>
      </c>
      <c r="AZ265" s="6" t="s">
        <v>1</v>
      </c>
      <c r="BA265" s="6" t="s">
        <v>3991</v>
      </c>
      <c r="BB265" s="6" t="s">
        <v>3992</v>
      </c>
      <c r="BC265" s="6" t="s">
        <v>3993</v>
      </c>
      <c r="BD265" s="6" t="s">
        <v>3994</v>
      </c>
      <c r="BF265" s="6" t="s">
        <v>1323</v>
      </c>
      <c r="BG265" s="6" t="s">
        <v>188</v>
      </c>
      <c r="BH265" s="6" t="s">
        <v>189</v>
      </c>
      <c r="BI265" s="6" t="s">
        <v>3995</v>
      </c>
      <c r="BK265" s="6" t="s">
        <v>3288</v>
      </c>
      <c r="BL265" s="6" t="s">
        <v>3996</v>
      </c>
      <c r="BM265" s="6" t="s">
        <v>162</v>
      </c>
      <c r="BN265" s="6" t="s">
        <v>163</v>
      </c>
      <c r="BO265" s="6" t="s">
        <v>163</v>
      </c>
      <c r="BP265" s="6" t="s">
        <v>378</v>
      </c>
      <c r="BQ265" s="0" t="n">
        <v>40.737788</v>
      </c>
      <c r="BR265" s="0" t="n">
        <v>-73.992555</v>
      </c>
      <c r="BS265" s="6" t="s">
        <v>168</v>
      </c>
      <c r="BT265" s="0" t="n">
        <v>0</v>
      </c>
      <c r="BU265" s="6" t="s">
        <v>2536</v>
      </c>
      <c r="BV265" s="6" t="s">
        <v>2529</v>
      </c>
      <c r="BW265" s="6" t="s">
        <v>2527</v>
      </c>
      <c r="BX265" s="6" t="s">
        <v>2537</v>
      </c>
      <c r="BY265" s="6" t="s">
        <v>248</v>
      </c>
      <c r="CC265" s="6" t="s">
        <v>739</v>
      </c>
      <c r="CE265" s="6" t="s">
        <v>162</v>
      </c>
      <c r="CH265" s="6" t="s">
        <v>163</v>
      </c>
      <c r="CJ265" s="6" t="s">
        <v>163</v>
      </c>
      <c r="CK265" s="6" t="s">
        <v>162</v>
      </c>
      <c r="CL265" s="6" t="s">
        <v>163</v>
      </c>
      <c r="CO265" s="0" t="n">
        <v>5657</v>
      </c>
      <c r="CP265" s="6" t="s">
        <v>3817</v>
      </c>
      <c r="CQ265" s="6" t="s">
        <v>3997</v>
      </c>
      <c r="CR265" s="6" t="s">
        <v>206</v>
      </c>
      <c r="CS265" s="0" t="n">
        <v>0</v>
      </c>
      <c r="CT265" s="0" t="n">
        <v>19</v>
      </c>
      <c r="CU265" s="0" t="n">
        <v>0</v>
      </c>
      <c r="CV265" s="0" t="n">
        <v>0</v>
      </c>
      <c r="CW265" s="0" t="n">
        <v>6</v>
      </c>
      <c r="CX265" s="0" t="n">
        <v>13</v>
      </c>
      <c r="CY265" s="6" t="n">
        <f aca="false">IF(AH265="exact",10,IF(AH265="adjacent",5,0))</f>
        <v>0</v>
      </c>
      <c r="CZ265" s="6" t="n">
        <f aca="false">IF(R265="Y",15,0)</f>
        <v>0</v>
      </c>
      <c r="DF265" s="6" t="s">
        <v>158</v>
      </c>
      <c r="DG265" s="6" t="s">
        <v>1336</v>
      </c>
      <c r="DH265" s="6" t="s">
        <v>3291</v>
      </c>
      <c r="DI265" s="6" t="s">
        <v>162</v>
      </c>
      <c r="DJ265" s="6" t="s">
        <v>3998</v>
      </c>
      <c r="DK265" s="6" t="s">
        <v>3999</v>
      </c>
      <c r="DS265" s="6" t="s">
        <v>158</v>
      </c>
      <c r="DX265" s="6" t="s">
        <v>162</v>
      </c>
      <c r="ER265" s="0" t="str">
        <f aca="false">IF(ISNUMBER(MATCH(U265,{"queued","contacted","replied","call_booked","call_done","yes_in_principle","materials_sent"},0)),"Y","N")</f>
        <v>N</v>
      </c>
      <c r="ES265" s="0" t="str">
        <f aca="false">IF(COUNTIFS($AP$2:$AP$1000,AP265,$ER$2:$ER$1000,"Y")+COUNTIFS($AP$2:$AP$1000,AP265,$T$2:$T$1000,"Y")&gt;0,"Y","N")</f>
        <v>N</v>
      </c>
      <c r="ET265" s="0" t="str">
        <f aca="false">IF(AND(U265="new",T265="N",AT265="Y",AS265="",ES265="N"),"Y","N")</f>
        <v>N</v>
      </c>
      <c r="EU265" s="0" t="str">
        <f aca="false">IF(ET265&lt;&gt;"Y","N",IF(COUNTIFS($AP$2:$AP$1000,AP265,$ET$2:$ET$1000,"Y",$J$2:$J$1000,"&gt;"&amp;J265)+COUNTIFS($AP$2:$AP$1000,AP265,$ET$2:$ET$1000,"Y",$J$2:$J$1000,J265,$EW$2:$EW$1000,"&lt;"&amp;EW265)=0,"Y","N"))</f>
        <v>N</v>
      </c>
      <c r="EV265" s="0" t="str">
        <f aca="false">IF(Y265="","N",IF(Y265&lt;=10,"Y","N"))</f>
        <v>N</v>
      </c>
      <c r="EW265" s="6" t="n">
        <f aca="false">ROW()-1</f>
        <v>264</v>
      </c>
    </row>
    <row r="266" customFormat="false" ht="15" hidden="false" customHeight="false" outlineLevel="0" collapsed="false">
      <c r="A266" s="0" t="s">
        <v>4000</v>
      </c>
      <c r="B266" s="0" t="s">
        <v>4001</v>
      </c>
      <c r="H266" s="5" t="s">
        <v>158</v>
      </c>
      <c r="I266" s="5" t="s">
        <v>159</v>
      </c>
      <c r="J266" s="6" t="n">
        <f aca="false">IF(AX266="pass",ROUND(CU266+CV266+CW266+CX266+CY266+CZ266,1),0)</f>
        <v>0</v>
      </c>
      <c r="K266" s="6" t="s">
        <v>4002</v>
      </c>
      <c r="L266" s="6" t="s">
        <v>1323</v>
      </c>
      <c r="R266" s="5" t="s">
        <v>162</v>
      </c>
      <c r="S266" s="6" t="s">
        <v>163</v>
      </c>
      <c r="T266" s="5" t="s">
        <v>162</v>
      </c>
      <c r="U266" s="5" t="s">
        <v>228</v>
      </c>
      <c r="V266" s="6" t="s">
        <v>197</v>
      </c>
      <c r="W266" s="6" t="s">
        <v>166</v>
      </c>
      <c r="X266" s="6" t="s">
        <v>167</v>
      </c>
      <c r="Y266" s="0" t="str">
        <f aca="false">IF(EU266&lt;&gt;"Y","",COUNTIFS($EU$2:$EU$1000,"Y",$J$2:$J$1000,"&gt;"&amp;J266)+COUNTIFS($EU$2:$EU$1000,"Y",$J$2:$J$1000,J266,$EW$2:$EW$1000,"&lt;"&amp;EW266)+1)</f>
        <v/>
      </c>
      <c r="AA266" s="6" t="s">
        <v>162</v>
      </c>
      <c r="AD266" s="6" t="s">
        <v>158</v>
      </c>
      <c r="AH266" s="5" t="s">
        <v>158</v>
      </c>
      <c r="AI266" s="6" t="s">
        <v>176</v>
      </c>
      <c r="AJ266" s="6" t="s">
        <v>163</v>
      </c>
      <c r="AK266" s="6" t="s">
        <v>178</v>
      </c>
      <c r="AL266" s="0" t="n">
        <v>855</v>
      </c>
      <c r="AM266" s="0" t="n">
        <v>1710</v>
      </c>
      <c r="AN266" s="6" t="s">
        <v>179</v>
      </c>
      <c r="AO266" s="6" t="s">
        <v>163</v>
      </c>
      <c r="AP266" s="6" t="s">
        <v>4000</v>
      </c>
      <c r="AQ266" s="5" t="s">
        <v>162</v>
      </c>
      <c r="AT266" s="0" t="str">
        <f aca="false">IF(AND(AX266="pass",AQ266&lt;&gt;"Y",C266&lt;&gt;"",OR(AW266&lt;&gt;"Y",AV266="Y")),"Y","N")</f>
        <v>N</v>
      </c>
      <c r="AU266" s="0" t="str">
        <f aca="false">_xlfn.TEXTJOIN("; ",TRUE(),IF(AX266&lt;&gt;"pass","gated out",""),IF(AQ266="Y","on hold: "&amp;AR266,""),IF(C266="","no contact named on an opened page",""),IF(AND(AW266="Y",AV266&lt;&gt;"Y"),"Tuesday estimate band "&amp;L266&amp;": founder's call",""))</f>
        <v>gated out; no contact named on an opened page; Tuesday estimate band over-500: founder's call</v>
      </c>
      <c r="AW266" s="6" t="s">
        <v>168</v>
      </c>
      <c r="AX266" s="6" t="s">
        <v>3704</v>
      </c>
      <c r="AY266" s="6" t="s">
        <v>4003</v>
      </c>
      <c r="AZ266" s="6" t="s">
        <v>1</v>
      </c>
      <c r="BA266" s="6" t="s">
        <v>4004</v>
      </c>
      <c r="BB266" s="6" t="s">
        <v>4005</v>
      </c>
      <c r="BC266" s="6" t="s">
        <v>4006</v>
      </c>
      <c r="BD266" s="6" t="s">
        <v>3270</v>
      </c>
      <c r="BF266" s="6" t="s">
        <v>1323</v>
      </c>
      <c r="BG266" s="6" t="s">
        <v>188</v>
      </c>
      <c r="BH266" s="6" t="s">
        <v>189</v>
      </c>
      <c r="BI266" s="6" t="s">
        <v>4007</v>
      </c>
      <c r="BK266" s="6" t="s">
        <v>1440</v>
      </c>
      <c r="BL266" s="6" t="s">
        <v>192</v>
      </c>
      <c r="BM266" s="6" t="s">
        <v>168</v>
      </c>
      <c r="BN266" s="6" t="s">
        <v>163</v>
      </c>
      <c r="BO266" s="6" t="s">
        <v>163</v>
      </c>
      <c r="BP266" s="6" t="s">
        <v>193</v>
      </c>
      <c r="BQ266" s="0" t="n">
        <v>40.73686</v>
      </c>
      <c r="BR266" s="0" t="n">
        <v>-73.988546</v>
      </c>
      <c r="BS266" s="6" t="s">
        <v>168</v>
      </c>
      <c r="BT266" s="0" t="n">
        <v>0</v>
      </c>
      <c r="BU266" s="6" t="s">
        <v>194</v>
      </c>
      <c r="BV266" s="6" t="s">
        <v>195</v>
      </c>
      <c r="BW266" s="6" t="s">
        <v>197</v>
      </c>
      <c r="BX266" s="6" t="s">
        <v>198</v>
      </c>
      <c r="BY266" s="6" t="s">
        <v>283</v>
      </c>
      <c r="CB266" s="6" t="s">
        <v>199</v>
      </c>
      <c r="CC266" s="6" t="s">
        <v>739</v>
      </c>
      <c r="CE266" s="6" t="s">
        <v>162</v>
      </c>
      <c r="CH266" s="6" t="s">
        <v>201</v>
      </c>
      <c r="CI266" s="6" t="s">
        <v>202</v>
      </c>
      <c r="CJ266" s="6" t="s">
        <v>163</v>
      </c>
      <c r="CK266" s="6" t="s">
        <v>162</v>
      </c>
      <c r="CL266" s="6" t="s">
        <v>163</v>
      </c>
      <c r="CO266" s="0" t="n">
        <v>1209</v>
      </c>
      <c r="CP266" s="6" t="s">
        <v>3817</v>
      </c>
      <c r="CQ266" s="6" t="s">
        <v>4008</v>
      </c>
      <c r="CR266" s="6" t="s">
        <v>206</v>
      </c>
      <c r="CS266" s="0" t="n">
        <v>0</v>
      </c>
      <c r="CT266" s="0" t="n">
        <v>21</v>
      </c>
      <c r="CU266" s="0" t="n">
        <v>0</v>
      </c>
      <c r="CV266" s="0" t="n">
        <v>2</v>
      </c>
      <c r="CW266" s="0" t="n">
        <v>6</v>
      </c>
      <c r="CX266" s="0" t="n">
        <v>13</v>
      </c>
      <c r="CY266" s="6" t="n">
        <f aca="false">IF(AH266="exact",10,IF(AH266="adjacent",5,0))</f>
        <v>0</v>
      </c>
      <c r="CZ266" s="6" t="n">
        <f aca="false">IF(R266="Y",15,0)</f>
        <v>0</v>
      </c>
      <c r="DF266" s="6" t="s">
        <v>158</v>
      </c>
      <c r="DG266" s="6" t="s">
        <v>1336</v>
      </c>
      <c r="DH266" s="6" t="s">
        <v>1447</v>
      </c>
      <c r="DI266" s="6" t="s">
        <v>162</v>
      </c>
      <c r="DJ266" s="6" t="s">
        <v>3021</v>
      </c>
      <c r="DK266" s="6" t="s">
        <v>4009</v>
      </c>
      <c r="DS266" s="6" t="s">
        <v>158</v>
      </c>
      <c r="DX266" s="6" t="s">
        <v>162</v>
      </c>
      <c r="ER266" s="0" t="str">
        <f aca="false">IF(ISNUMBER(MATCH(U266,{"queued","contacted","replied","call_booked","call_done","yes_in_principle","materials_sent"},0)),"Y","N")</f>
        <v>N</v>
      </c>
      <c r="ES266" s="0" t="str">
        <f aca="false">IF(COUNTIFS($AP$2:$AP$1000,AP266,$ER$2:$ER$1000,"Y")+COUNTIFS($AP$2:$AP$1000,AP266,$T$2:$T$1000,"Y")&gt;0,"Y","N")</f>
        <v>N</v>
      </c>
      <c r="ET266" s="0" t="str">
        <f aca="false">IF(AND(U266="new",T266="N",AT266="Y",AS266="",ES266="N"),"Y","N")</f>
        <v>N</v>
      </c>
      <c r="EU266" s="0" t="str">
        <f aca="false">IF(ET266&lt;&gt;"Y","N",IF(COUNTIFS($AP$2:$AP$1000,AP266,$ET$2:$ET$1000,"Y",$J$2:$J$1000,"&gt;"&amp;J266)+COUNTIFS($AP$2:$AP$1000,AP266,$ET$2:$ET$1000,"Y",$J$2:$J$1000,J266,$EW$2:$EW$1000,"&lt;"&amp;EW266)=0,"Y","N"))</f>
        <v>N</v>
      </c>
      <c r="EV266" s="0" t="str">
        <f aca="false">IF(Y266="","N",IF(Y266&lt;=10,"Y","N"))</f>
        <v>N</v>
      </c>
      <c r="EW266" s="6" t="n">
        <f aca="false">ROW()-1</f>
        <v>265</v>
      </c>
    </row>
    <row r="267" customFormat="false" ht="15" hidden="false" customHeight="false" outlineLevel="0" collapsed="false">
      <c r="A267" s="0" t="s">
        <v>4010</v>
      </c>
      <c r="B267" s="0" t="s">
        <v>4011</v>
      </c>
      <c r="H267" s="5" t="s">
        <v>158</v>
      </c>
      <c r="I267" s="5" t="s">
        <v>159</v>
      </c>
      <c r="J267" s="6" t="n">
        <f aca="false">IF(AX267="pass",ROUND(CU267+CV267+CW267+CX267+CY267+CZ267,1),0)</f>
        <v>0</v>
      </c>
      <c r="K267" s="6" t="s">
        <v>4012</v>
      </c>
      <c r="L267" s="6" t="s">
        <v>1323</v>
      </c>
      <c r="R267" s="5" t="s">
        <v>162</v>
      </c>
      <c r="S267" s="6" t="s">
        <v>163</v>
      </c>
      <c r="T267" s="5" t="s">
        <v>162</v>
      </c>
      <c r="U267" s="5" t="s">
        <v>228</v>
      </c>
      <c r="V267" s="6" t="s">
        <v>4013</v>
      </c>
      <c r="W267" s="6" t="s">
        <v>166</v>
      </c>
      <c r="X267" s="6" t="s">
        <v>167</v>
      </c>
      <c r="Y267" s="0" t="str">
        <f aca="false">IF(EU267&lt;&gt;"Y","",COUNTIFS($EU$2:$EU$1000,"Y",$J$2:$J$1000,"&gt;"&amp;J267)+COUNTIFS($EU$2:$EU$1000,"Y",$J$2:$J$1000,J267,$EW$2:$EW$1000,"&lt;"&amp;EW267)+1)</f>
        <v/>
      </c>
      <c r="AA267" s="6" t="s">
        <v>162</v>
      </c>
      <c r="AD267" s="6" t="s">
        <v>158</v>
      </c>
      <c r="AH267" s="5" t="s">
        <v>158</v>
      </c>
      <c r="AI267" s="6" t="s">
        <v>4014</v>
      </c>
      <c r="AJ267" s="6" t="s">
        <v>163</v>
      </c>
      <c r="AK267" s="6" t="s">
        <v>178</v>
      </c>
      <c r="AL267" s="0" t="n">
        <v>347</v>
      </c>
      <c r="AM267" s="0" t="n">
        <v>6945</v>
      </c>
      <c r="AN267" s="6" t="s">
        <v>179</v>
      </c>
      <c r="AO267" s="6" t="s">
        <v>163</v>
      </c>
      <c r="AP267" s="6" t="s">
        <v>4010</v>
      </c>
      <c r="AQ267" s="5" t="s">
        <v>162</v>
      </c>
      <c r="AT267" s="0" t="str">
        <f aca="false">IF(AND(AX267="pass",AQ267&lt;&gt;"Y",C267&lt;&gt;"",OR(AW267&lt;&gt;"Y",AV267="Y")),"Y","N")</f>
        <v>N</v>
      </c>
      <c r="AU267" s="0" t="str">
        <f aca="false">_xlfn.TEXTJOIN("; ",TRUE(),IF(AX267&lt;&gt;"pass","gated out",""),IF(AQ267="Y","on hold: "&amp;AR267,""),IF(C267="","no contact named on an opened page",""),IF(AND(AW267="Y",AV267&lt;&gt;"Y"),"Tuesday estimate band "&amp;L267&amp;": founder's call",""))</f>
        <v>gated out; no contact named on an opened page; Tuesday estimate band over-500: founder's call</v>
      </c>
      <c r="AW267" s="6" t="s">
        <v>168</v>
      </c>
      <c r="AX267" s="6" t="s">
        <v>3704</v>
      </c>
      <c r="AY267" s="6" t="s">
        <v>4015</v>
      </c>
      <c r="AZ267" s="6" t="s">
        <v>1</v>
      </c>
      <c r="BA267" s="6" t="s">
        <v>4016</v>
      </c>
      <c r="BB267" s="6" t="s">
        <v>4017</v>
      </c>
      <c r="BC267" s="6" t="s">
        <v>4018</v>
      </c>
      <c r="BD267" s="6" t="s">
        <v>4019</v>
      </c>
      <c r="BF267" s="6" t="s">
        <v>1323</v>
      </c>
      <c r="BG267" s="6" t="s">
        <v>188</v>
      </c>
      <c r="BH267" s="6" t="s">
        <v>189</v>
      </c>
      <c r="BI267" s="6" t="s">
        <v>4020</v>
      </c>
      <c r="BK267" s="6" t="s">
        <v>3288</v>
      </c>
      <c r="BL267" s="6" t="s">
        <v>163</v>
      </c>
      <c r="BM267" s="6" t="s">
        <v>163</v>
      </c>
      <c r="BN267" s="6" t="s">
        <v>163</v>
      </c>
      <c r="BO267" s="6" t="s">
        <v>163</v>
      </c>
      <c r="BP267" s="6" t="s">
        <v>193</v>
      </c>
      <c r="BQ267" s="0" t="n">
        <v>40.734278</v>
      </c>
      <c r="BR267" s="0" t="n">
        <v>-73.988375</v>
      </c>
      <c r="BS267" s="6" t="s">
        <v>168</v>
      </c>
      <c r="BT267" s="0" t="n">
        <v>0</v>
      </c>
      <c r="BV267" s="6" t="s">
        <v>163</v>
      </c>
      <c r="BW267" s="6" t="s">
        <v>4013</v>
      </c>
      <c r="BX267" s="6" t="s">
        <v>166</v>
      </c>
      <c r="BY267" s="6" t="s">
        <v>4021</v>
      </c>
      <c r="CC267" s="6" t="s">
        <v>739</v>
      </c>
      <c r="CE267" s="6" t="s">
        <v>162</v>
      </c>
      <c r="CH267" s="6" t="s">
        <v>163</v>
      </c>
      <c r="CJ267" s="6" t="s">
        <v>163</v>
      </c>
      <c r="CK267" s="6" t="s">
        <v>162</v>
      </c>
      <c r="CL267" s="6" t="s">
        <v>163</v>
      </c>
      <c r="CO267" s="0" t="n">
        <v>1552</v>
      </c>
      <c r="CP267" s="6" t="s">
        <v>3817</v>
      </c>
      <c r="CQ267" s="6" t="s">
        <v>4022</v>
      </c>
      <c r="CR267" s="6" t="s">
        <v>206</v>
      </c>
      <c r="CS267" s="0" t="n">
        <v>0</v>
      </c>
      <c r="CT267" s="0" t="n">
        <v>19</v>
      </c>
      <c r="CU267" s="0" t="n">
        <v>0</v>
      </c>
      <c r="CV267" s="0" t="n">
        <v>0</v>
      </c>
      <c r="CW267" s="0" t="n">
        <v>6</v>
      </c>
      <c r="CX267" s="0" t="n">
        <v>13</v>
      </c>
      <c r="CY267" s="6" t="n">
        <f aca="false">IF(AH267="exact",10,IF(AH267="adjacent",5,0))</f>
        <v>0</v>
      </c>
      <c r="CZ267" s="6" t="n">
        <f aca="false">IF(R267="Y",15,0)</f>
        <v>0</v>
      </c>
      <c r="DF267" s="6" t="s">
        <v>158</v>
      </c>
      <c r="DG267" s="6" t="s">
        <v>1336</v>
      </c>
      <c r="DH267" s="6" t="s">
        <v>3291</v>
      </c>
      <c r="DI267" s="6" t="s">
        <v>162</v>
      </c>
      <c r="DK267" s="6" t="s">
        <v>4023</v>
      </c>
      <c r="DS267" s="6" t="s">
        <v>158</v>
      </c>
      <c r="DX267" s="6" t="s">
        <v>162</v>
      </c>
      <c r="ER267" s="0" t="str">
        <f aca="false">IF(ISNUMBER(MATCH(U267,{"queued","contacted","replied","call_booked","call_done","yes_in_principle","materials_sent"},0)),"Y","N")</f>
        <v>N</v>
      </c>
      <c r="ES267" s="0" t="str">
        <f aca="false">IF(COUNTIFS($AP$2:$AP$1000,AP267,$ER$2:$ER$1000,"Y")+COUNTIFS($AP$2:$AP$1000,AP267,$T$2:$T$1000,"Y")&gt;0,"Y","N")</f>
        <v>N</v>
      </c>
      <c r="ET267" s="0" t="str">
        <f aca="false">IF(AND(U267="new",T267="N",AT267="Y",AS267="",ES267="N"),"Y","N")</f>
        <v>N</v>
      </c>
      <c r="EU267" s="0" t="str">
        <f aca="false">IF(ET267&lt;&gt;"Y","N",IF(COUNTIFS($AP$2:$AP$1000,AP267,$ET$2:$ET$1000,"Y",$J$2:$J$1000,"&gt;"&amp;J267)+COUNTIFS($AP$2:$AP$1000,AP267,$ET$2:$ET$1000,"Y",$J$2:$J$1000,J267,$EW$2:$EW$1000,"&lt;"&amp;EW267)=0,"Y","N"))</f>
        <v>N</v>
      </c>
      <c r="EV267" s="0" t="str">
        <f aca="false">IF(Y267="","N",IF(Y267&lt;=10,"Y","N"))</f>
        <v>N</v>
      </c>
      <c r="EW267" s="6" t="n">
        <f aca="false">ROW()-1</f>
        <v>266</v>
      </c>
    </row>
    <row r="268" customFormat="false" ht="15" hidden="false" customHeight="false" outlineLevel="0" collapsed="false">
      <c r="A268" s="0" t="s">
        <v>4024</v>
      </c>
      <c r="B268" s="0" t="s">
        <v>4025</v>
      </c>
      <c r="H268" s="5" t="s">
        <v>158</v>
      </c>
      <c r="I268" s="5" t="s">
        <v>159</v>
      </c>
      <c r="J268" s="6" t="n">
        <f aca="false">IF(AX268="pass",ROUND(CU268+CV268+CW268+CX268+CY268+CZ268,1),0)</f>
        <v>0</v>
      </c>
      <c r="K268" s="6" t="s">
        <v>4026</v>
      </c>
      <c r="L268" s="6" t="s">
        <v>1323</v>
      </c>
      <c r="R268" s="5" t="s">
        <v>162</v>
      </c>
      <c r="S268" s="6" t="s">
        <v>163</v>
      </c>
      <c r="T268" s="5" t="s">
        <v>162</v>
      </c>
      <c r="U268" s="5" t="s">
        <v>228</v>
      </c>
      <c r="V268" s="6" t="s">
        <v>3548</v>
      </c>
      <c r="W268" s="6" t="s">
        <v>166</v>
      </c>
      <c r="X268" s="6" t="s">
        <v>167</v>
      </c>
      <c r="Y268" s="0" t="str">
        <f aca="false">IF(EU268&lt;&gt;"Y","",COUNTIFS($EU$2:$EU$1000,"Y",$J$2:$J$1000,"&gt;"&amp;J268)+COUNTIFS($EU$2:$EU$1000,"Y",$J$2:$J$1000,J268,$EW$2:$EW$1000,"&lt;"&amp;EW268)+1)</f>
        <v/>
      </c>
      <c r="AA268" s="6" t="s">
        <v>162</v>
      </c>
      <c r="AD268" s="6" t="s">
        <v>158</v>
      </c>
      <c r="AH268" s="5" t="s">
        <v>158</v>
      </c>
      <c r="AI268" s="6" t="s">
        <v>3027</v>
      </c>
      <c r="AJ268" s="6" t="s">
        <v>163</v>
      </c>
      <c r="AK268" s="6" t="s">
        <v>178</v>
      </c>
      <c r="AL268" s="0" t="n">
        <v>722</v>
      </c>
      <c r="AM268" s="0" t="n">
        <v>14444</v>
      </c>
      <c r="AN268" s="6" t="s">
        <v>179</v>
      </c>
      <c r="AO268" s="6" t="s">
        <v>163</v>
      </c>
      <c r="AP268" s="6" t="s">
        <v>4024</v>
      </c>
      <c r="AQ268" s="5" t="s">
        <v>162</v>
      </c>
      <c r="AT268" s="0" t="str">
        <f aca="false">IF(AND(AX268="pass",AQ268&lt;&gt;"Y",C268&lt;&gt;"",OR(AW268&lt;&gt;"Y",AV268="Y")),"Y","N")</f>
        <v>N</v>
      </c>
      <c r="AU268" s="0" t="str">
        <f aca="false">_xlfn.TEXTJOIN("; ",TRUE(),IF(AX268&lt;&gt;"pass","gated out",""),IF(AQ268="Y","on hold: "&amp;AR268,""),IF(C268="","no contact named on an opened page",""),IF(AND(AW268="Y",AV268&lt;&gt;"Y"),"Tuesday estimate band "&amp;L268&amp;": founder's call",""))</f>
        <v>gated out; no contact named on an opened page; Tuesday estimate band over-500: founder's call</v>
      </c>
      <c r="AW268" s="6" t="s">
        <v>168</v>
      </c>
      <c r="AX268" s="6" t="s">
        <v>3704</v>
      </c>
      <c r="AY268" s="6" t="s">
        <v>4027</v>
      </c>
      <c r="AZ268" s="6" t="s">
        <v>1</v>
      </c>
      <c r="BA268" s="6" t="s">
        <v>4028</v>
      </c>
      <c r="BB268" s="6" t="s">
        <v>4029</v>
      </c>
      <c r="BC268" s="6" t="s">
        <v>4030</v>
      </c>
      <c r="BD268" s="6" t="s">
        <v>4031</v>
      </c>
      <c r="BF268" s="6" t="s">
        <v>1323</v>
      </c>
      <c r="BG268" s="6" t="s">
        <v>188</v>
      </c>
      <c r="BH268" s="6" t="s">
        <v>189</v>
      </c>
      <c r="BI268" s="6" t="s">
        <v>4032</v>
      </c>
      <c r="BK268" s="6" t="s">
        <v>3288</v>
      </c>
      <c r="BL268" s="6" t="s">
        <v>163</v>
      </c>
      <c r="BM268" s="6" t="s">
        <v>163</v>
      </c>
      <c r="BN268" s="6" t="s">
        <v>163</v>
      </c>
      <c r="BO268" s="6" t="s">
        <v>163</v>
      </c>
      <c r="BP268" s="6" t="s">
        <v>347</v>
      </c>
      <c r="BQ268" s="0" t="n">
        <v>40.741986</v>
      </c>
      <c r="BR268" s="0" t="n">
        <v>-73.989477</v>
      </c>
      <c r="BS268" s="6" t="s">
        <v>168</v>
      </c>
      <c r="BT268" s="0" t="n">
        <v>0</v>
      </c>
      <c r="BV268" s="6" t="s">
        <v>163</v>
      </c>
      <c r="BW268" s="6" t="s">
        <v>3548</v>
      </c>
      <c r="BX268" s="6" t="s">
        <v>3555</v>
      </c>
      <c r="BY268" s="6" t="s">
        <v>248</v>
      </c>
      <c r="CC268" s="6" t="s">
        <v>739</v>
      </c>
      <c r="CE268" s="6" t="s">
        <v>162</v>
      </c>
      <c r="CH268" s="6" t="s">
        <v>163</v>
      </c>
      <c r="CJ268" s="6" t="s">
        <v>163</v>
      </c>
      <c r="CK268" s="6" t="s">
        <v>162</v>
      </c>
      <c r="CL268" s="6" t="s">
        <v>163</v>
      </c>
      <c r="CO268" s="0" t="n">
        <v>3229</v>
      </c>
      <c r="CP268" s="6" t="s">
        <v>3817</v>
      </c>
      <c r="CQ268" s="6" t="s">
        <v>4033</v>
      </c>
      <c r="CR268" s="6" t="s">
        <v>206</v>
      </c>
      <c r="CS268" s="0" t="n">
        <v>0</v>
      </c>
      <c r="CT268" s="0" t="n">
        <v>19</v>
      </c>
      <c r="CU268" s="0" t="n">
        <v>0</v>
      </c>
      <c r="CV268" s="0" t="n">
        <v>0</v>
      </c>
      <c r="CW268" s="0" t="n">
        <v>6</v>
      </c>
      <c r="CX268" s="0" t="n">
        <v>13</v>
      </c>
      <c r="CY268" s="6" t="n">
        <f aca="false">IF(AH268="exact",10,IF(AH268="adjacent",5,0))</f>
        <v>0</v>
      </c>
      <c r="CZ268" s="6" t="n">
        <f aca="false">IF(R268="Y",15,0)</f>
        <v>0</v>
      </c>
      <c r="DF268" s="6" t="s">
        <v>158</v>
      </c>
      <c r="DG268" s="6" t="s">
        <v>1336</v>
      </c>
      <c r="DH268" s="6" t="s">
        <v>3291</v>
      </c>
      <c r="DI268" s="6" t="s">
        <v>162</v>
      </c>
      <c r="DJ268" s="6" t="s">
        <v>4034</v>
      </c>
      <c r="DK268" s="6" t="s">
        <v>4035</v>
      </c>
      <c r="DS268" s="6" t="s">
        <v>158</v>
      </c>
      <c r="DX268" s="6" t="s">
        <v>162</v>
      </c>
      <c r="ER268" s="0" t="str">
        <f aca="false">IF(ISNUMBER(MATCH(U268,{"queued","contacted","replied","call_booked","call_done","yes_in_principle","materials_sent"},0)),"Y","N")</f>
        <v>N</v>
      </c>
      <c r="ES268" s="0" t="str">
        <f aca="false">IF(COUNTIFS($AP$2:$AP$1000,AP268,$ER$2:$ER$1000,"Y")+COUNTIFS($AP$2:$AP$1000,AP268,$T$2:$T$1000,"Y")&gt;0,"Y","N")</f>
        <v>N</v>
      </c>
      <c r="ET268" s="0" t="str">
        <f aca="false">IF(AND(U268="new",T268="N",AT268="Y",AS268="",ES268="N"),"Y","N")</f>
        <v>N</v>
      </c>
      <c r="EU268" s="0" t="str">
        <f aca="false">IF(ET268&lt;&gt;"Y","N",IF(COUNTIFS($AP$2:$AP$1000,AP268,$ET$2:$ET$1000,"Y",$J$2:$J$1000,"&gt;"&amp;J268)+COUNTIFS($AP$2:$AP$1000,AP268,$ET$2:$ET$1000,"Y",$J$2:$J$1000,J268,$EW$2:$EW$1000,"&lt;"&amp;EW268)=0,"Y","N"))</f>
        <v>N</v>
      </c>
      <c r="EV268" s="0" t="str">
        <f aca="false">IF(Y268="","N",IF(Y268&lt;=10,"Y","N"))</f>
        <v>N</v>
      </c>
      <c r="EW268" s="6" t="n">
        <f aca="false">ROW()-1</f>
        <v>267</v>
      </c>
    </row>
    <row r="269" customFormat="false" ht="15" hidden="false" customHeight="false" outlineLevel="0" collapsed="false">
      <c r="A269" s="0" t="s">
        <v>4036</v>
      </c>
      <c r="B269" s="0" t="s">
        <v>4037</v>
      </c>
      <c r="H269" s="5" t="s">
        <v>158</v>
      </c>
      <c r="I269" s="5" t="s">
        <v>159</v>
      </c>
      <c r="J269" s="6" t="n">
        <f aca="false">IF(AX269="pass",ROUND(CU269+CV269+CW269+CX269+CY269+CZ269,1),0)</f>
        <v>0</v>
      </c>
      <c r="K269" s="6" t="s">
        <v>4038</v>
      </c>
      <c r="L269" s="6" t="s">
        <v>1323</v>
      </c>
      <c r="R269" s="5" t="s">
        <v>162</v>
      </c>
      <c r="S269" s="6" t="s">
        <v>163</v>
      </c>
      <c r="T269" s="5" t="s">
        <v>162</v>
      </c>
      <c r="U269" s="5" t="s">
        <v>228</v>
      </c>
      <c r="V269" s="6" t="s">
        <v>3202</v>
      </c>
      <c r="W269" s="6" t="s">
        <v>166</v>
      </c>
      <c r="X269" s="6" t="s">
        <v>167</v>
      </c>
      <c r="Y269" s="0" t="str">
        <f aca="false">IF(EU269&lt;&gt;"Y","",COUNTIFS($EU$2:$EU$1000,"Y",$J$2:$J$1000,"&gt;"&amp;J269)+COUNTIFS($EU$2:$EU$1000,"Y",$J$2:$J$1000,J269,$EW$2:$EW$1000,"&lt;"&amp;EW269)+1)</f>
        <v/>
      </c>
      <c r="AA269" s="6" t="s">
        <v>162</v>
      </c>
      <c r="AD269" s="6" t="s">
        <v>158</v>
      </c>
      <c r="AH269" s="5" t="s">
        <v>158</v>
      </c>
      <c r="AI269" s="6" t="s">
        <v>1992</v>
      </c>
      <c r="AJ269" s="6" t="s">
        <v>163</v>
      </c>
      <c r="AK269" s="6" t="s">
        <v>178</v>
      </c>
      <c r="AL269" s="0" t="n">
        <v>629</v>
      </c>
      <c r="AM269" s="0" t="n">
        <v>12579</v>
      </c>
      <c r="AN269" s="6" t="s">
        <v>179</v>
      </c>
      <c r="AO269" s="6" t="s">
        <v>163</v>
      </c>
      <c r="AP269" s="6" t="s">
        <v>4036</v>
      </c>
      <c r="AQ269" s="5" t="s">
        <v>162</v>
      </c>
      <c r="AT269" s="0" t="str">
        <f aca="false">IF(AND(AX269="pass",AQ269&lt;&gt;"Y",C269&lt;&gt;"",OR(AW269&lt;&gt;"Y",AV269="Y")),"Y","N")</f>
        <v>N</v>
      </c>
      <c r="AU269" s="0" t="str">
        <f aca="false">_xlfn.TEXTJOIN("; ",TRUE(),IF(AX269&lt;&gt;"pass","gated out",""),IF(AQ269="Y","on hold: "&amp;AR269,""),IF(C269="","no contact named on an opened page",""),IF(AND(AW269="Y",AV269&lt;&gt;"Y"),"Tuesday estimate band "&amp;L269&amp;": founder's call",""))</f>
        <v>gated out; no contact named on an opened page; Tuesday estimate band over-500: founder's call</v>
      </c>
      <c r="AW269" s="6" t="s">
        <v>168</v>
      </c>
      <c r="AX269" s="6" t="s">
        <v>3704</v>
      </c>
      <c r="AY269" s="6" t="s">
        <v>4039</v>
      </c>
      <c r="AZ269" s="6" t="s">
        <v>1</v>
      </c>
      <c r="BA269" s="6" t="s">
        <v>4040</v>
      </c>
      <c r="BB269" s="6" t="s">
        <v>4041</v>
      </c>
      <c r="BC269" s="6" t="s">
        <v>4042</v>
      </c>
      <c r="BD269" s="6" t="s">
        <v>4043</v>
      </c>
      <c r="BF269" s="6" t="s">
        <v>1323</v>
      </c>
      <c r="BG269" s="6" t="s">
        <v>188</v>
      </c>
      <c r="BH269" s="6" t="s">
        <v>189</v>
      </c>
      <c r="BI269" s="6" t="s">
        <v>4044</v>
      </c>
      <c r="BK269" s="6" t="s">
        <v>3288</v>
      </c>
      <c r="BL269" s="6" t="s">
        <v>163</v>
      </c>
      <c r="BM269" s="6" t="s">
        <v>163</v>
      </c>
      <c r="BN269" s="6" t="s">
        <v>163</v>
      </c>
      <c r="BO269" s="6" t="s">
        <v>163</v>
      </c>
      <c r="BP269" s="6" t="s">
        <v>347</v>
      </c>
      <c r="BQ269" s="0" t="n">
        <v>40.741141</v>
      </c>
      <c r="BR269" s="0" t="n">
        <v>-73.987489</v>
      </c>
      <c r="BS269" s="6" t="s">
        <v>168</v>
      </c>
      <c r="BT269" s="0" t="n">
        <v>0</v>
      </c>
      <c r="BV269" s="6" t="s">
        <v>163</v>
      </c>
      <c r="BW269" s="6" t="s">
        <v>3202</v>
      </c>
      <c r="BX269" s="6" t="s">
        <v>3208</v>
      </c>
      <c r="BY269" s="6" t="s">
        <v>3209</v>
      </c>
      <c r="CC269" s="6" t="s">
        <v>739</v>
      </c>
      <c r="CE269" s="6" t="s">
        <v>162</v>
      </c>
      <c r="CH269" s="6" t="s">
        <v>163</v>
      </c>
      <c r="CJ269" s="6" t="s">
        <v>163</v>
      </c>
      <c r="CK269" s="6" t="s">
        <v>162</v>
      </c>
      <c r="CL269" s="6" t="s">
        <v>163</v>
      </c>
      <c r="CO269" s="0" t="n">
        <v>2813</v>
      </c>
      <c r="CP269" s="6" t="s">
        <v>3817</v>
      </c>
      <c r="CQ269" s="6" t="s">
        <v>4045</v>
      </c>
      <c r="CR269" s="6" t="s">
        <v>206</v>
      </c>
      <c r="CS269" s="0" t="n">
        <v>0</v>
      </c>
      <c r="CT269" s="0" t="n">
        <v>19</v>
      </c>
      <c r="CU269" s="0" t="n">
        <v>0</v>
      </c>
      <c r="CV269" s="0" t="n">
        <v>0</v>
      </c>
      <c r="CW269" s="0" t="n">
        <v>6</v>
      </c>
      <c r="CX269" s="0" t="n">
        <v>13</v>
      </c>
      <c r="CY269" s="6" t="n">
        <f aca="false">IF(AH269="exact",10,IF(AH269="adjacent",5,0))</f>
        <v>0</v>
      </c>
      <c r="CZ269" s="6" t="n">
        <f aca="false">IF(R269="Y",15,0)</f>
        <v>0</v>
      </c>
      <c r="DF269" s="6" t="s">
        <v>158</v>
      </c>
      <c r="DG269" s="6" t="s">
        <v>1336</v>
      </c>
      <c r="DH269" s="6" t="s">
        <v>3291</v>
      </c>
      <c r="DI269" s="6" t="s">
        <v>162</v>
      </c>
      <c r="DK269" s="6" t="s">
        <v>4046</v>
      </c>
      <c r="DS269" s="6" t="s">
        <v>158</v>
      </c>
      <c r="DX269" s="6" t="s">
        <v>162</v>
      </c>
      <c r="ER269" s="0" t="str">
        <f aca="false">IF(ISNUMBER(MATCH(U269,{"queued","contacted","replied","call_booked","call_done","yes_in_principle","materials_sent"},0)),"Y","N")</f>
        <v>N</v>
      </c>
      <c r="ES269" s="0" t="str">
        <f aca="false">IF(COUNTIFS($AP$2:$AP$1000,AP269,$ER$2:$ER$1000,"Y")+COUNTIFS($AP$2:$AP$1000,AP269,$T$2:$T$1000,"Y")&gt;0,"Y","N")</f>
        <v>N</v>
      </c>
      <c r="ET269" s="0" t="str">
        <f aca="false">IF(AND(U269="new",T269="N",AT269="Y",AS269="",ES269="N"),"Y","N")</f>
        <v>N</v>
      </c>
      <c r="EU269" s="0" t="str">
        <f aca="false">IF(ET269&lt;&gt;"Y","N",IF(COUNTIFS($AP$2:$AP$1000,AP269,$ET$2:$ET$1000,"Y",$J$2:$J$1000,"&gt;"&amp;J269)+COUNTIFS($AP$2:$AP$1000,AP269,$ET$2:$ET$1000,"Y",$J$2:$J$1000,J269,$EW$2:$EW$1000,"&lt;"&amp;EW269)=0,"Y","N"))</f>
        <v>N</v>
      </c>
      <c r="EV269" s="0" t="str">
        <f aca="false">IF(Y269="","N",IF(Y269&lt;=10,"Y","N"))</f>
        <v>N</v>
      </c>
      <c r="EW269" s="6" t="n">
        <f aca="false">ROW()-1</f>
        <v>268</v>
      </c>
    </row>
    <row r="270" customFormat="false" ht="15" hidden="false" customHeight="false" outlineLevel="0" collapsed="false">
      <c r="A270" s="0" t="s">
        <v>4047</v>
      </c>
      <c r="B270" s="0" t="s">
        <v>4048</v>
      </c>
      <c r="H270" s="5" t="s">
        <v>158</v>
      </c>
      <c r="I270" s="5" t="s">
        <v>159</v>
      </c>
      <c r="J270" s="6" t="n">
        <f aca="false">IF(AX270="pass",ROUND(CU270+CV270+CW270+CX270+CY270+CZ270,1),0)</f>
        <v>0</v>
      </c>
      <c r="K270" s="6" t="s">
        <v>4049</v>
      </c>
      <c r="L270" s="6" t="s">
        <v>1323</v>
      </c>
      <c r="R270" s="5" t="s">
        <v>162</v>
      </c>
      <c r="S270" s="6" t="s">
        <v>163</v>
      </c>
      <c r="T270" s="5" t="s">
        <v>162</v>
      </c>
      <c r="U270" s="5" t="s">
        <v>228</v>
      </c>
      <c r="V270" s="6" t="s">
        <v>3548</v>
      </c>
      <c r="W270" s="6" t="s">
        <v>166</v>
      </c>
      <c r="X270" s="6" t="s">
        <v>167</v>
      </c>
      <c r="Y270" s="0" t="str">
        <f aca="false">IF(EU270&lt;&gt;"Y","",COUNTIFS($EU$2:$EU$1000,"Y",$J$2:$J$1000,"&gt;"&amp;J270)+COUNTIFS($EU$2:$EU$1000,"Y",$J$2:$J$1000,J270,$EW$2:$EW$1000,"&lt;"&amp;EW270)+1)</f>
        <v/>
      </c>
      <c r="AA270" s="6" t="s">
        <v>162</v>
      </c>
      <c r="AD270" s="6" t="s">
        <v>158</v>
      </c>
      <c r="AH270" s="5" t="s">
        <v>158</v>
      </c>
      <c r="AI270" s="6" t="s">
        <v>3027</v>
      </c>
      <c r="AJ270" s="6" t="s">
        <v>163</v>
      </c>
      <c r="AK270" s="6" t="s">
        <v>178</v>
      </c>
      <c r="AL270" s="0" t="n">
        <v>894</v>
      </c>
      <c r="AM270" s="0" t="n">
        <v>1788</v>
      </c>
      <c r="AN270" s="6" t="s">
        <v>179</v>
      </c>
      <c r="AO270" s="6" t="s">
        <v>163</v>
      </c>
      <c r="AP270" s="6" t="s">
        <v>4047</v>
      </c>
      <c r="AQ270" s="5" t="s">
        <v>162</v>
      </c>
      <c r="AT270" s="0" t="str">
        <f aca="false">IF(AND(AX270="pass",AQ270&lt;&gt;"Y",C270&lt;&gt;"",OR(AW270&lt;&gt;"Y",AV270="Y")),"Y","N")</f>
        <v>N</v>
      </c>
      <c r="AU270" s="0" t="str">
        <f aca="false">_xlfn.TEXTJOIN("; ",TRUE(),IF(AX270&lt;&gt;"pass","gated out",""),IF(AQ270="Y","on hold: "&amp;AR270,""),IF(C270="","no contact named on an opened page",""),IF(AND(AW270="Y",AV270&lt;&gt;"Y"),"Tuesday estimate band "&amp;L270&amp;": founder's call",""))</f>
        <v>gated out; no contact named on an opened page; Tuesday estimate band over-500: founder's call</v>
      </c>
      <c r="AW270" s="6" t="s">
        <v>168</v>
      </c>
      <c r="AX270" s="6" t="s">
        <v>3704</v>
      </c>
      <c r="AY270" s="6" t="s">
        <v>4050</v>
      </c>
      <c r="AZ270" s="6" t="s">
        <v>1</v>
      </c>
      <c r="BA270" s="6" t="s">
        <v>4051</v>
      </c>
      <c r="BB270" s="6" t="s">
        <v>4052</v>
      </c>
      <c r="BC270" s="6" t="s">
        <v>4053</v>
      </c>
      <c r="BD270" s="6" t="s">
        <v>4054</v>
      </c>
      <c r="BF270" s="6" t="s">
        <v>1323</v>
      </c>
      <c r="BG270" s="6" t="s">
        <v>188</v>
      </c>
      <c r="BH270" s="6" t="s">
        <v>189</v>
      </c>
      <c r="BI270" s="6" t="s">
        <v>4055</v>
      </c>
      <c r="BK270" s="6" t="s">
        <v>1440</v>
      </c>
      <c r="BL270" s="6" t="s">
        <v>192</v>
      </c>
      <c r="BM270" s="6" t="s">
        <v>168</v>
      </c>
      <c r="BN270" s="6" t="s">
        <v>163</v>
      </c>
      <c r="BO270" s="6" t="s">
        <v>163</v>
      </c>
      <c r="BP270" s="6" t="s">
        <v>347</v>
      </c>
      <c r="BQ270" s="0" t="n">
        <v>40.741986</v>
      </c>
      <c r="BR270" s="0" t="n">
        <v>-73.989477</v>
      </c>
      <c r="BS270" s="6" t="s">
        <v>168</v>
      </c>
      <c r="BT270" s="0" t="n">
        <v>0</v>
      </c>
      <c r="BV270" s="6" t="s">
        <v>163</v>
      </c>
      <c r="BW270" s="6" t="s">
        <v>3548</v>
      </c>
      <c r="BX270" s="6" t="s">
        <v>3555</v>
      </c>
      <c r="BY270" s="6" t="s">
        <v>248</v>
      </c>
      <c r="CC270" s="6" t="s">
        <v>739</v>
      </c>
      <c r="CE270" s="6" t="s">
        <v>162</v>
      </c>
      <c r="CH270" s="6" t="s">
        <v>163</v>
      </c>
      <c r="CJ270" s="6" t="s">
        <v>163</v>
      </c>
      <c r="CK270" s="6" t="s">
        <v>162</v>
      </c>
      <c r="CL270" s="6" t="s">
        <v>163</v>
      </c>
      <c r="CO270" s="0" t="n">
        <v>1264</v>
      </c>
      <c r="CP270" s="6" t="s">
        <v>3817</v>
      </c>
      <c r="CQ270" s="6" t="s">
        <v>4056</v>
      </c>
      <c r="CR270" s="6" t="s">
        <v>206</v>
      </c>
      <c r="CS270" s="0" t="n">
        <v>0</v>
      </c>
      <c r="CT270" s="0" t="n">
        <v>21</v>
      </c>
      <c r="CU270" s="0" t="n">
        <v>0</v>
      </c>
      <c r="CV270" s="0" t="n">
        <v>2</v>
      </c>
      <c r="CW270" s="0" t="n">
        <v>6</v>
      </c>
      <c r="CX270" s="0" t="n">
        <v>13</v>
      </c>
      <c r="CY270" s="6" t="n">
        <f aca="false">IF(AH270="exact",10,IF(AH270="adjacent",5,0))</f>
        <v>0</v>
      </c>
      <c r="CZ270" s="6" t="n">
        <f aca="false">IF(R270="Y",15,0)</f>
        <v>0</v>
      </c>
      <c r="DF270" s="6" t="s">
        <v>158</v>
      </c>
      <c r="DG270" s="6" t="s">
        <v>1336</v>
      </c>
      <c r="DH270" s="6" t="s">
        <v>1447</v>
      </c>
      <c r="DI270" s="6" t="s">
        <v>162</v>
      </c>
      <c r="DK270" s="6" t="s">
        <v>4057</v>
      </c>
      <c r="DS270" s="6" t="s">
        <v>158</v>
      </c>
      <c r="DX270" s="6" t="s">
        <v>162</v>
      </c>
      <c r="ER270" s="0" t="str">
        <f aca="false">IF(ISNUMBER(MATCH(U270,{"queued","contacted","replied","call_booked","call_done","yes_in_principle","materials_sent"},0)),"Y","N")</f>
        <v>N</v>
      </c>
      <c r="ES270" s="0" t="str">
        <f aca="false">IF(COUNTIFS($AP$2:$AP$1000,AP270,$ER$2:$ER$1000,"Y")+COUNTIFS($AP$2:$AP$1000,AP270,$T$2:$T$1000,"Y")&gt;0,"Y","N")</f>
        <v>N</v>
      </c>
      <c r="ET270" s="0" t="str">
        <f aca="false">IF(AND(U270="new",T270="N",AT270="Y",AS270="",ES270="N"),"Y","N")</f>
        <v>N</v>
      </c>
      <c r="EU270" s="0" t="str">
        <f aca="false">IF(ET270&lt;&gt;"Y","N",IF(COUNTIFS($AP$2:$AP$1000,AP270,$ET$2:$ET$1000,"Y",$J$2:$J$1000,"&gt;"&amp;J270)+COUNTIFS($AP$2:$AP$1000,AP270,$ET$2:$ET$1000,"Y",$J$2:$J$1000,J270,$EW$2:$EW$1000,"&lt;"&amp;EW270)=0,"Y","N"))</f>
        <v>N</v>
      </c>
      <c r="EV270" s="0" t="str">
        <f aca="false">IF(Y270="","N",IF(Y270&lt;=10,"Y","N"))</f>
        <v>N</v>
      </c>
      <c r="EW270" s="6" t="n">
        <f aca="false">ROW()-1</f>
        <v>269</v>
      </c>
    </row>
    <row r="271" customFormat="false" ht="15" hidden="false" customHeight="false" outlineLevel="0" collapsed="false">
      <c r="A271" s="0" t="s">
        <v>4058</v>
      </c>
      <c r="B271" s="0" t="s">
        <v>4059</v>
      </c>
      <c r="H271" s="5" t="s">
        <v>158</v>
      </c>
      <c r="I271" s="5" t="s">
        <v>159</v>
      </c>
      <c r="J271" s="6" t="n">
        <f aca="false">IF(AX271="pass",ROUND(CU271+CV271+CW271+CX271+CY271+CZ271,1),0)</f>
        <v>0</v>
      </c>
      <c r="K271" s="6" t="s">
        <v>4060</v>
      </c>
      <c r="L271" s="6" t="s">
        <v>561</v>
      </c>
      <c r="O271" s="6" t="s">
        <v>4061</v>
      </c>
      <c r="P271" s="6" t="s">
        <v>1362</v>
      </c>
      <c r="Q271" s="6" t="s">
        <v>418</v>
      </c>
      <c r="R271" s="5" t="s">
        <v>162</v>
      </c>
      <c r="S271" s="6" t="s">
        <v>163</v>
      </c>
      <c r="T271" s="5" t="s">
        <v>162</v>
      </c>
      <c r="U271" s="5" t="s">
        <v>228</v>
      </c>
      <c r="V271" s="6" t="s">
        <v>1362</v>
      </c>
      <c r="W271" s="6" t="s">
        <v>166</v>
      </c>
      <c r="X271" s="6" t="s">
        <v>167</v>
      </c>
      <c r="Y271" s="0" t="str">
        <f aca="false">IF(EU271&lt;&gt;"Y","",COUNTIFS($EU$2:$EU$1000,"Y",$J$2:$J$1000,"&gt;"&amp;J271)+COUNTIFS($EU$2:$EU$1000,"Y",$J$2:$J$1000,J271,$EW$2:$EW$1000,"&lt;"&amp;EW271)+1)</f>
        <v/>
      </c>
      <c r="AA271" s="6" t="s">
        <v>162</v>
      </c>
      <c r="AD271" s="6" t="s">
        <v>158</v>
      </c>
      <c r="AH271" s="5" t="s">
        <v>158</v>
      </c>
      <c r="AI271" s="6" t="s">
        <v>233</v>
      </c>
      <c r="AJ271" s="6" t="s">
        <v>472</v>
      </c>
      <c r="AK271" s="6" t="s">
        <v>890</v>
      </c>
      <c r="AL271" s="0" t="n">
        <v>14</v>
      </c>
      <c r="AM271" s="0" t="n">
        <v>28</v>
      </c>
      <c r="AN271" s="6" t="s">
        <v>179</v>
      </c>
      <c r="AO271" s="6" t="s">
        <v>163</v>
      </c>
      <c r="AP271" s="6" t="s">
        <v>4058</v>
      </c>
      <c r="AQ271" s="5" t="s">
        <v>168</v>
      </c>
      <c r="AR271" s="6" t="s">
        <v>891</v>
      </c>
      <c r="AT271" s="0" t="str">
        <f aca="false">IF(AND(AX271="pass",AQ271&lt;&gt;"Y",C271&lt;&gt;"",OR(AW271&lt;&gt;"Y",AV271="Y")),"Y","N")</f>
        <v>N</v>
      </c>
      <c r="AU271" s="0" t="str">
        <f aca="false">_xlfn.TEXTJOIN("; ",TRUE(),IF(AX271&lt;&gt;"pass","gated out",""),IF(AQ271="Y","on hold: "&amp;AR271,""),IF(C271="","no contact named on an opened page",""),IF(AND(AW271="Y",AV271&lt;&gt;"Y"),"Tuesday estimate band "&amp;L271&amp;": founder's call",""))</f>
        <v>gated out; on hold: lease signed, move not confirmed: check the lobby directory before outreach (B); no contact named on an opened page; Tuesday estimate band under-40: founder's call</v>
      </c>
      <c r="AW271" s="6" t="s">
        <v>168</v>
      </c>
      <c r="AX271" s="6" t="s">
        <v>3704</v>
      </c>
      <c r="AY271" s="6" t="s">
        <v>4062</v>
      </c>
      <c r="AZ271" s="6" t="s">
        <v>1</v>
      </c>
      <c r="BA271" s="6" t="s">
        <v>4063</v>
      </c>
      <c r="BB271" s="6" t="s">
        <v>4064</v>
      </c>
      <c r="BC271" s="6" t="s">
        <v>4065</v>
      </c>
      <c r="BD271" s="6" t="s">
        <v>4066</v>
      </c>
      <c r="BF271" s="6" t="s">
        <v>395</v>
      </c>
      <c r="BG271" s="6" t="s">
        <v>188</v>
      </c>
      <c r="BH271" s="6" t="s">
        <v>189</v>
      </c>
      <c r="BI271" s="6" t="s">
        <v>4067</v>
      </c>
      <c r="BK271" s="6" t="s">
        <v>191</v>
      </c>
      <c r="BL271" s="6" t="s">
        <v>192</v>
      </c>
      <c r="BM271" s="6" t="s">
        <v>168</v>
      </c>
      <c r="BN271" s="6" t="s">
        <v>163</v>
      </c>
      <c r="BO271" s="6" t="s">
        <v>163</v>
      </c>
      <c r="BP271" s="6" t="s">
        <v>244</v>
      </c>
      <c r="BQ271" s="0" t="n">
        <v>40.742833</v>
      </c>
      <c r="BR271" s="0" t="n">
        <v>-73.984174</v>
      </c>
      <c r="BS271" s="6" t="s">
        <v>168</v>
      </c>
      <c r="BT271" s="0" t="n">
        <v>0</v>
      </c>
      <c r="BU271" s="6" t="s">
        <v>245</v>
      </c>
      <c r="BV271" s="6" t="s">
        <v>246</v>
      </c>
      <c r="BW271" s="6" t="s">
        <v>1362</v>
      </c>
      <c r="BX271" s="6" t="s">
        <v>418</v>
      </c>
      <c r="BY271" s="6" t="s">
        <v>248</v>
      </c>
      <c r="BZ271" s="6" t="s">
        <v>229</v>
      </c>
      <c r="CA271" s="6" t="s">
        <v>247</v>
      </c>
      <c r="CC271" s="6" t="s">
        <v>739</v>
      </c>
      <c r="CD271" s="6" t="s">
        <v>163</v>
      </c>
      <c r="CE271" s="6" t="s">
        <v>162</v>
      </c>
      <c r="CH271" s="6" t="s">
        <v>163</v>
      </c>
      <c r="CJ271" s="6" t="s">
        <v>163</v>
      </c>
      <c r="CK271" s="6" t="s">
        <v>162</v>
      </c>
      <c r="CL271" s="6" t="s">
        <v>163</v>
      </c>
      <c r="CO271" s="0" t="n">
        <v>20</v>
      </c>
      <c r="CP271" s="6" t="s">
        <v>4068</v>
      </c>
      <c r="CQ271" s="6" t="s">
        <v>4069</v>
      </c>
      <c r="CR271" s="6" t="s">
        <v>206</v>
      </c>
      <c r="CS271" s="0" t="n">
        <v>0</v>
      </c>
      <c r="CT271" s="0" t="n">
        <v>26</v>
      </c>
      <c r="CU271" s="0" t="n">
        <v>0</v>
      </c>
      <c r="CV271" s="0" t="n">
        <v>15</v>
      </c>
      <c r="CW271" s="0" t="n">
        <v>6</v>
      </c>
      <c r="CX271" s="0" t="n">
        <v>5</v>
      </c>
      <c r="CY271" s="6" t="n">
        <f aca="false">IF(AH271="exact",10,IF(AH271="adjacent",5,0))</f>
        <v>0</v>
      </c>
      <c r="CZ271" s="6" t="n">
        <f aca="false">IF(R271="Y",15,0)</f>
        <v>0</v>
      </c>
      <c r="DF271" s="6" t="s">
        <v>158</v>
      </c>
      <c r="DG271" s="6" t="s">
        <v>211</v>
      </c>
      <c r="DJ271" s="6" t="s">
        <v>4070</v>
      </c>
      <c r="DK271" s="6" t="s">
        <v>4071</v>
      </c>
      <c r="DS271" s="6" t="s">
        <v>158</v>
      </c>
      <c r="DX271" s="6" t="s">
        <v>162</v>
      </c>
      <c r="ER271" s="0" t="str">
        <f aca="false">IF(ISNUMBER(MATCH(U271,{"queued","contacted","replied","call_booked","call_done","yes_in_principle","materials_sent"},0)),"Y","N")</f>
        <v>N</v>
      </c>
      <c r="ES271" s="0" t="str">
        <f aca="false">IF(COUNTIFS($AP$2:$AP$1000,AP271,$ER$2:$ER$1000,"Y")+COUNTIFS($AP$2:$AP$1000,AP271,$T$2:$T$1000,"Y")&gt;0,"Y","N")</f>
        <v>N</v>
      </c>
      <c r="ET271" s="0" t="str">
        <f aca="false">IF(AND(U271="new",T271="N",AT271="Y",AS271="",ES271="N"),"Y","N")</f>
        <v>N</v>
      </c>
      <c r="EU271" s="0" t="str">
        <f aca="false">IF(ET271&lt;&gt;"Y","N",IF(COUNTIFS($AP$2:$AP$1000,AP271,$ET$2:$ET$1000,"Y",$J$2:$J$1000,"&gt;"&amp;J271)+COUNTIFS($AP$2:$AP$1000,AP271,$ET$2:$ET$1000,"Y",$J$2:$J$1000,J271,$EW$2:$EW$1000,"&lt;"&amp;EW271)=0,"Y","N"))</f>
        <v>N</v>
      </c>
      <c r="EV271" s="0" t="str">
        <f aca="false">IF(Y271="","N",IF(Y271&lt;=10,"Y","N"))</f>
        <v>N</v>
      </c>
      <c r="EW271" s="6" t="n">
        <f aca="false">ROW()-1</f>
        <v>270</v>
      </c>
    </row>
    <row r="272" customFormat="false" ht="15" hidden="false" customHeight="false" outlineLevel="0" collapsed="false">
      <c r="A272" s="0" t="s">
        <v>4072</v>
      </c>
      <c r="B272" s="0" t="s">
        <v>4073</v>
      </c>
      <c r="H272" s="5" t="s">
        <v>158</v>
      </c>
      <c r="I272" s="5" t="s">
        <v>159</v>
      </c>
      <c r="J272" s="6" t="n">
        <f aca="false">IF(AX272="pass",ROUND(CU272+CV272+CW272+CX272+CY272+CZ272,1),0)</f>
        <v>0</v>
      </c>
      <c r="K272" s="6" t="s">
        <v>4074</v>
      </c>
      <c r="L272" s="6" t="s">
        <v>1323</v>
      </c>
      <c r="R272" s="5" t="s">
        <v>162</v>
      </c>
      <c r="S272" s="6" t="s">
        <v>163</v>
      </c>
      <c r="T272" s="5" t="s">
        <v>162</v>
      </c>
      <c r="U272" s="5" t="s">
        <v>228</v>
      </c>
      <c r="V272" s="6" t="s">
        <v>1684</v>
      </c>
      <c r="W272" s="6" t="s">
        <v>166</v>
      </c>
      <c r="X272" s="6" t="s">
        <v>167</v>
      </c>
      <c r="Y272" s="0" t="str">
        <f aca="false">IF(EU272&lt;&gt;"Y","",COUNTIFS($EU$2:$EU$1000,"Y",$J$2:$J$1000,"&gt;"&amp;J272)+COUNTIFS($EU$2:$EU$1000,"Y",$J$2:$J$1000,J272,$EW$2:$EW$1000,"&lt;"&amp;EW272)+1)</f>
        <v/>
      </c>
      <c r="AA272" s="6" t="s">
        <v>162</v>
      </c>
      <c r="AD272" s="6" t="s">
        <v>158</v>
      </c>
      <c r="AH272" s="5" t="s">
        <v>158</v>
      </c>
      <c r="AI272" s="6" t="s">
        <v>861</v>
      </c>
      <c r="AJ272" s="6" t="s">
        <v>1258</v>
      </c>
      <c r="AK272" s="6" t="s">
        <v>890</v>
      </c>
      <c r="AL272" s="0" t="n">
        <v>408</v>
      </c>
      <c r="AM272" s="0" t="n">
        <v>815</v>
      </c>
      <c r="AN272" s="6" t="s">
        <v>179</v>
      </c>
      <c r="AO272" s="6" t="s">
        <v>163</v>
      </c>
      <c r="AP272" s="6" t="s">
        <v>4072</v>
      </c>
      <c r="AQ272" s="5" t="s">
        <v>168</v>
      </c>
      <c r="AR272" s="6" t="s">
        <v>891</v>
      </c>
      <c r="AT272" s="0" t="str">
        <f aca="false">IF(AND(AX272="pass",AQ272&lt;&gt;"Y",C272&lt;&gt;"",OR(AW272&lt;&gt;"Y",AV272="Y")),"Y","N")</f>
        <v>N</v>
      </c>
      <c r="AU272" s="0" t="str">
        <f aca="false">_xlfn.TEXTJOIN("; ",TRUE(),IF(AX272&lt;&gt;"pass","gated out",""),IF(AQ272="Y","on hold: "&amp;AR272,""),IF(C272="","no contact named on an opened page",""),IF(AND(AW272="Y",AV272&lt;&gt;"Y"),"Tuesday estimate band "&amp;L272&amp;": founder's call",""))</f>
        <v>gated out; on hold: lease signed, move not confirmed: check the lobby directory before outreach (B); no contact named on an opened page; Tuesday estimate band over-500: founder's call</v>
      </c>
      <c r="AW272" s="6" t="s">
        <v>168</v>
      </c>
      <c r="AX272" s="6" t="s">
        <v>3704</v>
      </c>
      <c r="AY272" s="6" t="s">
        <v>4075</v>
      </c>
      <c r="AZ272" s="6" t="s">
        <v>1</v>
      </c>
      <c r="BA272" s="6" t="s">
        <v>4076</v>
      </c>
      <c r="BB272" s="6" t="s">
        <v>4077</v>
      </c>
      <c r="BC272" s="6" t="s">
        <v>4078</v>
      </c>
      <c r="BD272" s="6" t="s">
        <v>4079</v>
      </c>
      <c r="BF272" s="6" t="s">
        <v>1323</v>
      </c>
      <c r="BG272" s="6" t="s">
        <v>188</v>
      </c>
      <c r="BH272" s="6" t="s">
        <v>189</v>
      </c>
      <c r="BI272" s="6" t="s">
        <v>4080</v>
      </c>
      <c r="BK272" s="6" t="s">
        <v>1440</v>
      </c>
      <c r="BL272" s="6" t="s">
        <v>192</v>
      </c>
      <c r="BM272" s="6" t="s">
        <v>168</v>
      </c>
      <c r="BN272" s="6" t="s">
        <v>163</v>
      </c>
      <c r="BO272" s="6" t="s">
        <v>163</v>
      </c>
      <c r="BP272" s="6" t="s">
        <v>347</v>
      </c>
      <c r="BQ272" s="0" t="n">
        <v>40.742654</v>
      </c>
      <c r="BR272" s="0" t="n">
        <v>-73.991559</v>
      </c>
      <c r="BS272" s="6" t="s">
        <v>168</v>
      </c>
      <c r="BT272" s="0" t="n">
        <v>0</v>
      </c>
      <c r="BU272" s="6" t="s">
        <v>870</v>
      </c>
      <c r="BV272" s="6" t="s">
        <v>871</v>
      </c>
      <c r="BW272" s="6" t="s">
        <v>1684</v>
      </c>
      <c r="BX272" s="6" t="s">
        <v>1685</v>
      </c>
      <c r="BY272" s="6" t="s">
        <v>248</v>
      </c>
      <c r="BZ272" s="6" t="s">
        <v>4081</v>
      </c>
      <c r="CA272" s="6" t="s">
        <v>2849</v>
      </c>
      <c r="CC272" s="6" t="s">
        <v>739</v>
      </c>
      <c r="CD272" s="6" t="s">
        <v>163</v>
      </c>
      <c r="CE272" s="6" t="s">
        <v>162</v>
      </c>
      <c r="CH272" s="6" t="s">
        <v>201</v>
      </c>
      <c r="CI272" s="6" t="s">
        <v>872</v>
      </c>
      <c r="CJ272" s="6" t="s">
        <v>163</v>
      </c>
      <c r="CK272" s="6" t="s">
        <v>162</v>
      </c>
      <c r="CL272" s="6" t="s">
        <v>163</v>
      </c>
      <c r="CO272" s="0" t="n">
        <v>577</v>
      </c>
      <c r="CP272" s="6" t="s">
        <v>3817</v>
      </c>
      <c r="CQ272" s="6" t="s">
        <v>4082</v>
      </c>
      <c r="CR272" s="6" t="s">
        <v>206</v>
      </c>
      <c r="CS272" s="0" t="n">
        <v>0</v>
      </c>
      <c r="CT272" s="0" t="n">
        <v>13</v>
      </c>
      <c r="CU272" s="0" t="n">
        <v>0</v>
      </c>
      <c r="CV272" s="0" t="n">
        <v>2</v>
      </c>
      <c r="CW272" s="0" t="n">
        <v>6</v>
      </c>
      <c r="CX272" s="0" t="n">
        <v>5</v>
      </c>
      <c r="CY272" s="6" t="n">
        <f aca="false">IF(AH272="exact",10,IF(AH272="adjacent",5,0))</f>
        <v>0</v>
      </c>
      <c r="CZ272" s="6" t="n">
        <f aca="false">IF(R272="Y",15,0)</f>
        <v>0</v>
      </c>
      <c r="DF272" s="6" t="s">
        <v>158</v>
      </c>
      <c r="DG272" s="6" t="s">
        <v>1336</v>
      </c>
      <c r="DH272" s="6" t="s">
        <v>1447</v>
      </c>
      <c r="DI272" s="6" t="s">
        <v>162</v>
      </c>
      <c r="DJ272" s="6" t="s">
        <v>4083</v>
      </c>
      <c r="DK272" s="6" t="s">
        <v>4084</v>
      </c>
      <c r="DS272" s="6" t="s">
        <v>158</v>
      </c>
      <c r="DX272" s="6" t="s">
        <v>162</v>
      </c>
      <c r="ER272" s="0" t="str">
        <f aca="false">IF(ISNUMBER(MATCH(U272,{"queued","contacted","replied","call_booked","call_done","yes_in_principle","materials_sent"},0)),"Y","N")</f>
        <v>N</v>
      </c>
      <c r="ES272" s="0" t="str">
        <f aca="false">IF(COUNTIFS($AP$2:$AP$1000,AP272,$ER$2:$ER$1000,"Y")+COUNTIFS($AP$2:$AP$1000,AP272,$T$2:$T$1000,"Y")&gt;0,"Y","N")</f>
        <v>N</v>
      </c>
      <c r="ET272" s="0" t="str">
        <f aca="false">IF(AND(U272="new",T272="N",AT272="Y",AS272="",ES272="N"),"Y","N")</f>
        <v>N</v>
      </c>
      <c r="EU272" s="0" t="str">
        <f aca="false">IF(ET272&lt;&gt;"Y","N",IF(COUNTIFS($AP$2:$AP$1000,AP272,$ET$2:$ET$1000,"Y",$J$2:$J$1000,"&gt;"&amp;J272)+COUNTIFS($AP$2:$AP$1000,AP272,$ET$2:$ET$1000,"Y",$J$2:$J$1000,J272,$EW$2:$EW$1000,"&lt;"&amp;EW272)=0,"Y","N"))</f>
        <v>N</v>
      </c>
      <c r="EV272" s="0" t="str">
        <f aca="false">IF(Y272="","N",IF(Y272&lt;=10,"Y","N"))</f>
        <v>N</v>
      </c>
      <c r="EW272" s="6" t="n">
        <f aca="false">ROW()-1</f>
        <v>271</v>
      </c>
    </row>
    <row r="273" customFormat="false" ht="15" hidden="false" customHeight="false" outlineLevel="0" collapsed="false">
      <c r="A273" s="0" t="s">
        <v>4085</v>
      </c>
      <c r="B273" s="0" t="s">
        <v>4086</v>
      </c>
      <c r="H273" s="5" t="s">
        <v>158</v>
      </c>
      <c r="I273" s="5" t="s">
        <v>159</v>
      </c>
      <c r="J273" s="6" t="n">
        <f aca="false">IF(AX273="pass",ROUND(CU273+CV273+CW273+CX273+CY273+CZ273,1),0)</f>
        <v>0</v>
      </c>
      <c r="K273" s="6" t="s">
        <v>4087</v>
      </c>
      <c r="L273" s="6" t="s">
        <v>1323</v>
      </c>
      <c r="R273" s="5" t="s">
        <v>162</v>
      </c>
      <c r="S273" s="6" t="s">
        <v>163</v>
      </c>
      <c r="T273" s="5" t="s">
        <v>162</v>
      </c>
      <c r="U273" s="5" t="s">
        <v>228</v>
      </c>
      <c r="V273" s="6" t="s">
        <v>1291</v>
      </c>
      <c r="W273" s="6" t="s">
        <v>166</v>
      </c>
      <c r="X273" s="6" t="s">
        <v>167</v>
      </c>
      <c r="Y273" s="0" t="str">
        <f aca="false">IF(EU273&lt;&gt;"Y","",COUNTIFS($EU$2:$EU$1000,"Y",$J$2:$J$1000,"&gt;"&amp;J273)+COUNTIFS($EU$2:$EU$1000,"Y",$J$2:$J$1000,J273,$EW$2:$EW$1000,"&lt;"&amp;EW273)+1)</f>
        <v/>
      </c>
      <c r="AA273" s="6" t="s">
        <v>162</v>
      </c>
      <c r="AD273" s="6" t="s">
        <v>158</v>
      </c>
      <c r="AH273" s="5" t="s">
        <v>158</v>
      </c>
      <c r="AI273" s="6" t="s">
        <v>1293</v>
      </c>
      <c r="AJ273" s="6" t="s">
        <v>163</v>
      </c>
      <c r="AK273" s="6" t="s">
        <v>178</v>
      </c>
      <c r="AL273" s="0" t="n">
        <v>4232</v>
      </c>
      <c r="AM273" s="0" t="n">
        <v>8465</v>
      </c>
      <c r="AN273" s="6" t="s">
        <v>179</v>
      </c>
      <c r="AO273" s="6" t="s">
        <v>163</v>
      </c>
      <c r="AP273" s="6" t="s">
        <v>4085</v>
      </c>
      <c r="AQ273" s="5" t="s">
        <v>162</v>
      </c>
      <c r="AT273" s="0" t="str">
        <f aca="false">IF(AND(AX273="pass",AQ273&lt;&gt;"Y",C273&lt;&gt;"",OR(AW273&lt;&gt;"Y",AV273="Y")),"Y","N")</f>
        <v>N</v>
      </c>
      <c r="AU273" s="0" t="str">
        <f aca="false">_xlfn.TEXTJOIN("; ",TRUE(),IF(AX273&lt;&gt;"pass","gated out",""),IF(AQ273="Y","on hold: "&amp;AR273,""),IF(C273="","no contact named on an opened page",""),IF(AND(AW273="Y",AV273&lt;&gt;"Y"),"Tuesday estimate band "&amp;L273&amp;": founder's call",""))</f>
        <v>gated out; no contact named on an opened page; Tuesday estimate band over-500: founder's call</v>
      </c>
      <c r="AW273" s="6" t="s">
        <v>168</v>
      </c>
      <c r="AX273" s="6" t="s">
        <v>3704</v>
      </c>
      <c r="AY273" s="6" t="s">
        <v>4088</v>
      </c>
      <c r="AZ273" s="6" t="s">
        <v>1</v>
      </c>
      <c r="BA273" s="6" t="s">
        <v>4089</v>
      </c>
      <c r="BB273" s="6" t="s">
        <v>4090</v>
      </c>
      <c r="BC273" s="6" t="s">
        <v>4091</v>
      </c>
      <c r="BD273" s="6" t="s">
        <v>4092</v>
      </c>
      <c r="BF273" s="6" t="s">
        <v>1323</v>
      </c>
      <c r="BG273" s="6" t="s">
        <v>188</v>
      </c>
      <c r="BH273" s="6" t="s">
        <v>189</v>
      </c>
      <c r="BI273" s="6" t="s">
        <v>4093</v>
      </c>
      <c r="BK273" s="6" t="s">
        <v>3288</v>
      </c>
      <c r="BL273" s="6" t="s">
        <v>192</v>
      </c>
      <c r="BM273" s="6" t="s">
        <v>168</v>
      </c>
      <c r="BN273" s="6" t="s">
        <v>163</v>
      </c>
      <c r="BO273" s="6" t="s">
        <v>163</v>
      </c>
      <c r="BP273" s="6" t="s">
        <v>378</v>
      </c>
      <c r="BQ273" s="0" t="n">
        <v>40.7409</v>
      </c>
      <c r="BR273" s="0" t="n">
        <v>-73.994512</v>
      </c>
      <c r="BS273" s="6" t="s">
        <v>168</v>
      </c>
      <c r="BT273" s="0" t="n">
        <v>0</v>
      </c>
      <c r="BU273" s="6" t="s">
        <v>1302</v>
      </c>
      <c r="BV273" s="6" t="s">
        <v>1303</v>
      </c>
      <c r="BW273" s="6" t="s">
        <v>1291</v>
      </c>
      <c r="BX273" s="6" t="s">
        <v>1292</v>
      </c>
      <c r="BY273" s="6" t="s">
        <v>248</v>
      </c>
      <c r="BZ273" s="6" t="s">
        <v>4094</v>
      </c>
      <c r="CA273" s="6" t="s">
        <v>4095</v>
      </c>
      <c r="CC273" s="6" t="s">
        <v>739</v>
      </c>
      <c r="CE273" s="6" t="s">
        <v>162</v>
      </c>
      <c r="CH273" s="6" t="s">
        <v>163</v>
      </c>
      <c r="CJ273" s="6" t="s">
        <v>163</v>
      </c>
      <c r="CK273" s="6" t="s">
        <v>162</v>
      </c>
      <c r="CL273" s="6" t="s">
        <v>163</v>
      </c>
      <c r="CO273" s="0" t="n">
        <v>5985</v>
      </c>
      <c r="CP273" s="6" t="s">
        <v>3817</v>
      </c>
      <c r="CQ273" s="6" t="s">
        <v>4096</v>
      </c>
      <c r="CR273" s="6" t="s">
        <v>206</v>
      </c>
      <c r="CS273" s="0" t="n">
        <v>0</v>
      </c>
      <c r="CT273" s="0" t="n">
        <v>19</v>
      </c>
      <c r="CU273" s="0" t="n">
        <v>0</v>
      </c>
      <c r="CV273" s="0" t="n">
        <v>0</v>
      </c>
      <c r="CW273" s="0" t="n">
        <v>6</v>
      </c>
      <c r="CX273" s="0" t="n">
        <v>13</v>
      </c>
      <c r="CY273" s="6" t="n">
        <f aca="false">IF(AH273="exact",10,IF(AH273="adjacent",5,0))</f>
        <v>0</v>
      </c>
      <c r="CZ273" s="6" t="n">
        <f aca="false">IF(R273="Y",15,0)</f>
        <v>0</v>
      </c>
      <c r="DF273" s="6" t="s">
        <v>158</v>
      </c>
      <c r="DG273" s="6" t="s">
        <v>1336</v>
      </c>
      <c r="DH273" s="6" t="s">
        <v>3291</v>
      </c>
      <c r="DI273" s="6" t="s">
        <v>162</v>
      </c>
      <c r="DJ273" s="6" t="s">
        <v>4097</v>
      </c>
      <c r="DK273" s="6" t="s">
        <v>4098</v>
      </c>
      <c r="DS273" s="6" t="s">
        <v>158</v>
      </c>
      <c r="DX273" s="6" t="s">
        <v>162</v>
      </c>
      <c r="ER273" s="0" t="str">
        <f aca="false">IF(ISNUMBER(MATCH(U273,{"queued","contacted","replied","call_booked","call_done","yes_in_principle","materials_sent"},0)),"Y","N")</f>
        <v>N</v>
      </c>
      <c r="ES273" s="0" t="str">
        <f aca="false">IF(COUNTIFS($AP$2:$AP$1000,AP273,$ER$2:$ER$1000,"Y")+COUNTIFS($AP$2:$AP$1000,AP273,$T$2:$T$1000,"Y")&gt;0,"Y","N")</f>
        <v>N</v>
      </c>
      <c r="ET273" s="0" t="str">
        <f aca="false">IF(AND(U273="new",T273="N",AT273="Y",AS273="",ES273="N"),"Y","N")</f>
        <v>N</v>
      </c>
      <c r="EU273" s="0" t="str">
        <f aca="false">IF(ET273&lt;&gt;"Y","N",IF(COUNTIFS($AP$2:$AP$1000,AP273,$ET$2:$ET$1000,"Y",$J$2:$J$1000,"&gt;"&amp;J273)+COUNTIFS($AP$2:$AP$1000,AP273,$ET$2:$ET$1000,"Y",$J$2:$J$1000,J273,$EW$2:$EW$1000,"&lt;"&amp;EW273)=0,"Y","N"))</f>
        <v>N</v>
      </c>
      <c r="EV273" s="0" t="str">
        <f aca="false">IF(Y273="","N",IF(Y273&lt;=10,"Y","N"))</f>
        <v>N</v>
      </c>
      <c r="EW273" s="6" t="n">
        <f aca="false">ROW()-1</f>
        <v>272</v>
      </c>
    </row>
    <row r="274" customFormat="false" ht="15" hidden="false" customHeight="false" outlineLevel="0" collapsed="false">
      <c r="A274" s="0" t="s">
        <v>4099</v>
      </c>
      <c r="B274" s="0" t="s">
        <v>4100</v>
      </c>
      <c r="H274" s="5" t="s">
        <v>158</v>
      </c>
      <c r="I274" s="5" t="s">
        <v>159</v>
      </c>
      <c r="J274" s="6" t="n">
        <f aca="false">IF(AX274="pass",ROUND(CU274+CV274+CW274+CX274+CY274+CZ274,1),0)</f>
        <v>0</v>
      </c>
      <c r="K274" s="6" t="s">
        <v>4101</v>
      </c>
      <c r="L274" s="6" t="s">
        <v>561</v>
      </c>
      <c r="R274" s="5" t="s">
        <v>162</v>
      </c>
      <c r="S274" s="6" t="s">
        <v>163</v>
      </c>
      <c r="T274" s="5" t="s">
        <v>162</v>
      </c>
      <c r="U274" s="5" t="s">
        <v>228</v>
      </c>
      <c r="V274" s="6" t="s">
        <v>1410</v>
      </c>
      <c r="W274" s="6" t="s">
        <v>166</v>
      </c>
      <c r="X274" s="6" t="s">
        <v>167</v>
      </c>
      <c r="Y274" s="0" t="str">
        <f aca="false">IF(EU274&lt;&gt;"Y","",COUNTIFS($EU$2:$EU$1000,"Y",$J$2:$J$1000,"&gt;"&amp;J274)+COUNTIFS($EU$2:$EU$1000,"Y",$J$2:$J$1000,J274,$EW$2:$EW$1000,"&lt;"&amp;EW274)+1)</f>
        <v/>
      </c>
      <c r="AA274" s="6" t="s">
        <v>162</v>
      </c>
      <c r="AD274" s="6" t="s">
        <v>158</v>
      </c>
      <c r="AH274" s="5" t="s">
        <v>158</v>
      </c>
      <c r="AI274" s="6" t="s">
        <v>1411</v>
      </c>
      <c r="AJ274" s="6" t="s">
        <v>163</v>
      </c>
      <c r="AK274" s="6" t="s">
        <v>178</v>
      </c>
      <c r="AL274" s="0" t="n">
        <v>1</v>
      </c>
      <c r="AM274" s="0" t="n">
        <v>27</v>
      </c>
      <c r="AN274" s="6" t="s">
        <v>179</v>
      </c>
      <c r="AO274" s="6" t="s">
        <v>163</v>
      </c>
      <c r="AP274" s="6" t="s">
        <v>4099</v>
      </c>
      <c r="AQ274" s="5" t="s">
        <v>162</v>
      </c>
      <c r="AT274" s="0" t="str">
        <f aca="false">IF(AND(AX274="pass",AQ274&lt;&gt;"Y",C274&lt;&gt;"",OR(AW274&lt;&gt;"Y",AV274="Y")),"Y","N")</f>
        <v>N</v>
      </c>
      <c r="AU274" s="0" t="str">
        <f aca="false">_xlfn.TEXTJOIN("; ",TRUE(),IF(AX274&lt;&gt;"pass","gated out",""),IF(AQ274="Y","on hold: "&amp;AR274,""),IF(C274="","no contact named on an opened page",""),IF(AND(AW274="Y",AV274&lt;&gt;"Y"),"Tuesday estimate band "&amp;L274&amp;": founder's call",""))</f>
        <v>gated out; no contact named on an opened page; Tuesday estimate band under-40: founder's call</v>
      </c>
      <c r="AW274" s="6" t="s">
        <v>168</v>
      </c>
      <c r="AX274" s="6" t="s">
        <v>3704</v>
      </c>
      <c r="AY274" s="6" t="s">
        <v>4102</v>
      </c>
      <c r="AZ274" s="6" t="s">
        <v>1</v>
      </c>
      <c r="BA274" s="6" t="s">
        <v>4103</v>
      </c>
      <c r="BB274" s="6" t="s">
        <v>4104</v>
      </c>
      <c r="BC274" s="6" t="s">
        <v>4105</v>
      </c>
      <c r="BD274" s="6" t="s">
        <v>962</v>
      </c>
      <c r="BF274" s="6" t="s">
        <v>395</v>
      </c>
      <c r="BG274" s="6" t="s">
        <v>188</v>
      </c>
      <c r="BH274" s="6" t="s">
        <v>189</v>
      </c>
      <c r="BI274" s="6" t="s">
        <v>4106</v>
      </c>
      <c r="BK274" s="6" t="s">
        <v>191</v>
      </c>
      <c r="BL274" s="6" t="s">
        <v>4107</v>
      </c>
      <c r="BM274" s="6" t="s">
        <v>162</v>
      </c>
      <c r="BN274" s="6" t="s">
        <v>163</v>
      </c>
      <c r="BO274" s="6" t="s">
        <v>163</v>
      </c>
      <c r="BP274" s="6" t="s">
        <v>347</v>
      </c>
      <c r="BQ274" s="0" t="n">
        <v>40.741548</v>
      </c>
      <c r="BR274" s="0" t="n">
        <v>-73.993007</v>
      </c>
      <c r="BS274" s="6" t="s">
        <v>168</v>
      </c>
      <c r="BT274" s="0" t="n">
        <v>0</v>
      </c>
      <c r="BU274" s="6" t="s">
        <v>1420</v>
      </c>
      <c r="BV274" s="6" t="s">
        <v>1421</v>
      </c>
      <c r="BW274" s="6" t="s">
        <v>1410</v>
      </c>
      <c r="BX274" s="6" t="s">
        <v>1422</v>
      </c>
      <c r="BY274" s="6" t="s">
        <v>248</v>
      </c>
      <c r="CC274" s="6" t="s">
        <v>739</v>
      </c>
      <c r="CE274" s="6" t="s">
        <v>162</v>
      </c>
      <c r="CH274" s="6" t="s">
        <v>163</v>
      </c>
      <c r="CJ274" s="6" t="s">
        <v>163</v>
      </c>
      <c r="CK274" s="6" t="s">
        <v>162</v>
      </c>
      <c r="CL274" s="6" t="s">
        <v>163</v>
      </c>
      <c r="CO274" s="0" t="n">
        <v>5</v>
      </c>
      <c r="CP274" s="6" t="s">
        <v>4068</v>
      </c>
      <c r="CQ274" s="6" t="s">
        <v>4108</v>
      </c>
      <c r="CR274" s="6" t="s">
        <v>206</v>
      </c>
      <c r="CS274" s="0" t="n">
        <v>0</v>
      </c>
      <c r="CT274" s="0" t="n">
        <v>34</v>
      </c>
      <c r="CU274" s="0" t="n">
        <v>0</v>
      </c>
      <c r="CV274" s="0" t="n">
        <v>15</v>
      </c>
      <c r="CW274" s="0" t="n">
        <v>6</v>
      </c>
      <c r="CX274" s="0" t="n">
        <v>13</v>
      </c>
      <c r="CY274" s="6" t="n">
        <f aca="false">IF(AH274="exact",10,IF(AH274="adjacent",5,0))</f>
        <v>0</v>
      </c>
      <c r="CZ274" s="6" t="n">
        <f aca="false">IF(R274="Y",15,0)</f>
        <v>0</v>
      </c>
      <c r="DF274" s="6" t="s">
        <v>158</v>
      </c>
      <c r="DG274" s="6" t="s">
        <v>211</v>
      </c>
      <c r="DJ274" s="6" t="s">
        <v>2378</v>
      </c>
      <c r="DK274" s="6" t="s">
        <v>4109</v>
      </c>
      <c r="DS274" s="6" t="s">
        <v>158</v>
      </c>
      <c r="DX274" s="6" t="s">
        <v>162</v>
      </c>
      <c r="ER274" s="0" t="str">
        <f aca="false">IF(ISNUMBER(MATCH(U274,{"queued","contacted","replied","call_booked","call_done","yes_in_principle","materials_sent"},0)),"Y","N")</f>
        <v>N</v>
      </c>
      <c r="ES274" s="0" t="str">
        <f aca="false">IF(COUNTIFS($AP$2:$AP$1000,AP274,$ER$2:$ER$1000,"Y")+COUNTIFS($AP$2:$AP$1000,AP274,$T$2:$T$1000,"Y")&gt;0,"Y","N")</f>
        <v>N</v>
      </c>
      <c r="ET274" s="0" t="str">
        <f aca="false">IF(AND(U274="new",T274="N",AT274="Y",AS274="",ES274="N"),"Y","N")</f>
        <v>N</v>
      </c>
      <c r="EU274" s="0" t="str">
        <f aca="false">IF(ET274&lt;&gt;"Y","N",IF(COUNTIFS($AP$2:$AP$1000,AP274,$ET$2:$ET$1000,"Y",$J$2:$J$1000,"&gt;"&amp;J274)+COUNTIFS($AP$2:$AP$1000,AP274,$ET$2:$ET$1000,"Y",$J$2:$J$1000,J274,$EW$2:$EW$1000,"&lt;"&amp;EW274)=0,"Y","N"))</f>
        <v>N</v>
      </c>
      <c r="EV274" s="0" t="str">
        <f aca="false">IF(Y274="","N",IF(Y274&lt;=10,"Y","N"))</f>
        <v>N</v>
      </c>
      <c r="EW274" s="6" t="n">
        <f aca="false">ROW()-1</f>
        <v>273</v>
      </c>
    </row>
    <row r="275" customFormat="false" ht="15" hidden="false" customHeight="false" outlineLevel="0" collapsed="false">
      <c r="A275" s="0" t="s">
        <v>4110</v>
      </c>
      <c r="B275" s="0" t="s">
        <v>4111</v>
      </c>
      <c r="H275" s="5" t="s">
        <v>158</v>
      </c>
      <c r="I275" s="5" t="s">
        <v>159</v>
      </c>
      <c r="J275" s="6" t="n">
        <f aca="false">IF(AX275="pass",ROUND(CU275+CV275+CW275+CX275+CY275+CZ275,1),0)</f>
        <v>0</v>
      </c>
      <c r="K275" s="6" t="s">
        <v>4112</v>
      </c>
      <c r="L275" s="6" t="s">
        <v>240</v>
      </c>
      <c r="O275" s="6" t="s">
        <v>4113</v>
      </c>
      <c r="P275" s="6" t="s">
        <v>3228</v>
      </c>
      <c r="Q275" s="6" t="s">
        <v>3229</v>
      </c>
      <c r="R275" s="5" t="s">
        <v>162</v>
      </c>
      <c r="S275" s="6" t="s">
        <v>163</v>
      </c>
      <c r="T275" s="5" t="s">
        <v>162</v>
      </c>
      <c r="U275" s="5" t="s">
        <v>228</v>
      </c>
      <c r="V275" s="6" t="s">
        <v>3228</v>
      </c>
      <c r="W275" s="6" t="s">
        <v>166</v>
      </c>
      <c r="X275" s="6" t="s">
        <v>167</v>
      </c>
      <c r="Y275" s="0" t="str">
        <f aca="false">IF(EU275&lt;&gt;"Y","",COUNTIFS($EU$2:$EU$1000,"Y",$J$2:$J$1000,"&gt;"&amp;J275)+COUNTIFS($EU$2:$EU$1000,"Y",$J$2:$J$1000,J275,$EW$2:$EW$1000,"&lt;"&amp;EW275)+1)</f>
        <v/>
      </c>
      <c r="AA275" s="6" t="s">
        <v>162</v>
      </c>
      <c r="AD275" s="6" t="s">
        <v>158</v>
      </c>
      <c r="AH275" s="5" t="s">
        <v>158</v>
      </c>
      <c r="AI275" s="6" t="s">
        <v>1694</v>
      </c>
      <c r="AJ275" s="6" t="s">
        <v>1752</v>
      </c>
      <c r="AK275" s="6" t="s">
        <v>890</v>
      </c>
      <c r="AL275" s="0" t="n">
        <v>314</v>
      </c>
      <c r="AM275" s="0" t="n">
        <v>627</v>
      </c>
      <c r="AN275" s="6" t="s">
        <v>179</v>
      </c>
      <c r="AO275" s="6" t="s">
        <v>163</v>
      </c>
      <c r="AP275" s="6" t="s">
        <v>4110</v>
      </c>
      <c r="AQ275" s="5" t="s">
        <v>168</v>
      </c>
      <c r="AR275" s="6" t="s">
        <v>891</v>
      </c>
      <c r="AT275" s="0" t="str">
        <f aca="false">IF(AND(AX275="pass",AQ275&lt;&gt;"Y",C275&lt;&gt;"",OR(AW275&lt;&gt;"Y",AV275="Y")),"Y","N")</f>
        <v>N</v>
      </c>
      <c r="AU275" s="0" t="str">
        <f aca="false">_xlfn.TEXTJOIN("; ",TRUE(),IF(AX275&lt;&gt;"pass","gated out",""),IF(AQ275="Y","on hold: "&amp;AR275,""),IF(C275="","no contact named on an opened page",""),IF(AND(AW275="Y",AV275&lt;&gt;"Y"),"Tuesday estimate band "&amp;L275&amp;": founder's call",""))</f>
        <v>gated out; on hold: lease signed, move not confirmed: check the lobby directory before outreach (B); no contact named on an opened page; Tuesday estimate band 251-500: founder's call</v>
      </c>
      <c r="AW275" s="6" t="s">
        <v>168</v>
      </c>
      <c r="AX275" s="6" t="s">
        <v>3704</v>
      </c>
      <c r="AY275" s="6" t="s">
        <v>4114</v>
      </c>
      <c r="AZ275" s="6" t="s">
        <v>1</v>
      </c>
      <c r="BA275" s="6" t="s">
        <v>4115</v>
      </c>
      <c r="BB275" s="6" t="s">
        <v>4116</v>
      </c>
      <c r="BC275" s="6" t="s">
        <v>1996</v>
      </c>
      <c r="BD275" s="6" t="s">
        <v>4117</v>
      </c>
      <c r="BF275" s="6" t="s">
        <v>1323</v>
      </c>
      <c r="BG275" s="6" t="s">
        <v>188</v>
      </c>
      <c r="BH275" s="6" t="s">
        <v>189</v>
      </c>
      <c r="BI275" s="6" t="s">
        <v>4118</v>
      </c>
      <c r="BK275" s="6" t="s">
        <v>1440</v>
      </c>
      <c r="BL275" s="6" t="s">
        <v>192</v>
      </c>
      <c r="BM275" s="6" t="s">
        <v>168</v>
      </c>
      <c r="BN275" s="6" t="s">
        <v>163</v>
      </c>
      <c r="BO275" s="6" t="s">
        <v>163</v>
      </c>
      <c r="BP275" s="6" t="s">
        <v>347</v>
      </c>
      <c r="BQ275" s="0" t="n">
        <v>40.741761</v>
      </c>
      <c r="BR275" s="0" t="n">
        <v>-73.987033</v>
      </c>
      <c r="BS275" s="6" t="s">
        <v>168</v>
      </c>
      <c r="BT275" s="0" t="n">
        <v>0</v>
      </c>
      <c r="BU275" s="6" t="s">
        <v>1703</v>
      </c>
      <c r="BV275" s="6" t="s">
        <v>1704</v>
      </c>
      <c r="BW275" s="6" t="s">
        <v>3228</v>
      </c>
      <c r="BX275" s="6" t="s">
        <v>3229</v>
      </c>
      <c r="BY275" s="6" t="s">
        <v>248</v>
      </c>
      <c r="BZ275" s="6" t="s">
        <v>4119</v>
      </c>
      <c r="CA275" s="6" t="s">
        <v>4120</v>
      </c>
      <c r="CC275" s="6" t="s">
        <v>739</v>
      </c>
      <c r="CD275" s="6" t="s">
        <v>163</v>
      </c>
      <c r="CE275" s="6" t="s">
        <v>162</v>
      </c>
      <c r="CH275" s="6" t="s">
        <v>1707</v>
      </c>
      <c r="CI275" s="6" t="s">
        <v>1708</v>
      </c>
      <c r="CJ275" s="6" t="s">
        <v>163</v>
      </c>
      <c r="CK275" s="6" t="s">
        <v>162</v>
      </c>
      <c r="CL275" s="6" t="s">
        <v>163</v>
      </c>
      <c r="CO275" s="0" t="n">
        <v>444</v>
      </c>
      <c r="CP275" s="6" t="s">
        <v>3817</v>
      </c>
      <c r="CQ275" s="6" t="s">
        <v>4121</v>
      </c>
      <c r="CR275" s="6" t="s">
        <v>206</v>
      </c>
      <c r="CS275" s="0" t="n">
        <v>0</v>
      </c>
      <c r="CT275" s="0" t="n">
        <v>13</v>
      </c>
      <c r="CU275" s="0" t="n">
        <v>0</v>
      </c>
      <c r="CV275" s="0" t="n">
        <v>2</v>
      </c>
      <c r="CW275" s="0" t="n">
        <v>6</v>
      </c>
      <c r="CX275" s="0" t="n">
        <v>5</v>
      </c>
      <c r="CY275" s="6" t="n">
        <f aca="false">IF(AH275="exact",10,IF(AH275="adjacent",5,0))</f>
        <v>0</v>
      </c>
      <c r="CZ275" s="6" t="n">
        <f aca="false">IF(R275="Y",15,0)</f>
        <v>0</v>
      </c>
      <c r="DF275" s="6" t="s">
        <v>158</v>
      </c>
      <c r="DG275" s="6" t="s">
        <v>1336</v>
      </c>
      <c r="DH275" s="6" t="s">
        <v>1447</v>
      </c>
      <c r="DI275" s="6" t="s">
        <v>162</v>
      </c>
      <c r="DJ275" s="6" t="s">
        <v>4122</v>
      </c>
      <c r="DK275" s="6" t="s">
        <v>4123</v>
      </c>
      <c r="DS275" s="6" t="s">
        <v>158</v>
      </c>
      <c r="DX275" s="6" t="s">
        <v>162</v>
      </c>
      <c r="ER275" s="0" t="str">
        <f aca="false">IF(ISNUMBER(MATCH(U275,{"queued","contacted","replied","call_booked","call_done","yes_in_principle","materials_sent"},0)),"Y","N")</f>
        <v>N</v>
      </c>
      <c r="ES275" s="0" t="str">
        <f aca="false">IF(COUNTIFS($AP$2:$AP$1000,AP275,$ER$2:$ER$1000,"Y")+COUNTIFS($AP$2:$AP$1000,AP275,$T$2:$T$1000,"Y")&gt;0,"Y","N")</f>
        <v>N</v>
      </c>
      <c r="ET275" s="0" t="str">
        <f aca="false">IF(AND(U275="new",T275="N",AT275="Y",AS275="",ES275="N"),"Y","N")</f>
        <v>N</v>
      </c>
      <c r="EU275" s="0" t="str">
        <f aca="false">IF(ET275&lt;&gt;"Y","N",IF(COUNTIFS($AP$2:$AP$1000,AP275,$ET$2:$ET$1000,"Y",$J$2:$J$1000,"&gt;"&amp;J275)+COUNTIFS($AP$2:$AP$1000,AP275,$ET$2:$ET$1000,"Y",$J$2:$J$1000,J275,$EW$2:$EW$1000,"&lt;"&amp;EW275)=0,"Y","N"))</f>
        <v>N</v>
      </c>
      <c r="EV275" s="0" t="str">
        <f aca="false">IF(Y275="","N",IF(Y275&lt;=10,"Y","N"))</f>
        <v>N</v>
      </c>
      <c r="EW275" s="6" t="n">
        <f aca="false">ROW()-1</f>
        <v>274</v>
      </c>
    </row>
    <row r="276" customFormat="false" ht="15" hidden="false" customHeight="false" outlineLevel="0" collapsed="false">
      <c r="A276" s="0" t="s">
        <v>4124</v>
      </c>
      <c r="B276" s="0" t="s">
        <v>4125</v>
      </c>
      <c r="H276" s="5" t="s">
        <v>158</v>
      </c>
      <c r="I276" s="5" t="s">
        <v>159</v>
      </c>
      <c r="J276" s="6" t="n">
        <f aca="false">IF(AX276="pass",ROUND(CU276+CV276+CW276+CX276+CY276+CZ276,1),0)</f>
        <v>0</v>
      </c>
      <c r="K276" s="6" t="s">
        <v>4126</v>
      </c>
      <c r="L276" s="6" t="s">
        <v>1323</v>
      </c>
      <c r="R276" s="5" t="s">
        <v>162</v>
      </c>
      <c r="S276" s="6" t="s">
        <v>163</v>
      </c>
      <c r="T276" s="5" t="s">
        <v>162</v>
      </c>
      <c r="U276" s="5" t="s">
        <v>228</v>
      </c>
      <c r="V276" s="6" t="s">
        <v>4127</v>
      </c>
      <c r="W276" s="6" t="s">
        <v>166</v>
      </c>
      <c r="X276" s="6" t="s">
        <v>167</v>
      </c>
      <c r="Y276" s="0" t="str">
        <f aca="false">IF(EU276&lt;&gt;"Y","",COUNTIFS($EU$2:$EU$1000,"Y",$J$2:$J$1000,"&gt;"&amp;J276)+COUNTIFS($EU$2:$EU$1000,"Y",$J$2:$J$1000,J276,$EW$2:$EW$1000,"&lt;"&amp;EW276)+1)</f>
        <v/>
      </c>
      <c r="AA276" s="6" t="s">
        <v>162</v>
      </c>
      <c r="AD276" s="6" t="s">
        <v>158</v>
      </c>
      <c r="AH276" s="5" t="s">
        <v>158</v>
      </c>
      <c r="AI276" s="6" t="s">
        <v>4128</v>
      </c>
      <c r="AJ276" s="6" t="s">
        <v>163</v>
      </c>
      <c r="AK276" s="6" t="s">
        <v>178</v>
      </c>
      <c r="AL276" s="0" t="n">
        <v>892</v>
      </c>
      <c r="AM276" s="0" t="n">
        <v>17848</v>
      </c>
      <c r="AN276" s="6" t="s">
        <v>179</v>
      </c>
      <c r="AO276" s="6" t="s">
        <v>163</v>
      </c>
      <c r="AP276" s="6" t="s">
        <v>4124</v>
      </c>
      <c r="AQ276" s="5" t="s">
        <v>162</v>
      </c>
      <c r="AT276" s="0" t="str">
        <f aca="false">IF(AND(AX276="pass",AQ276&lt;&gt;"Y",C276&lt;&gt;"",OR(AW276&lt;&gt;"Y",AV276="Y")),"Y","N")</f>
        <v>N</v>
      </c>
      <c r="AU276" s="0" t="str">
        <f aca="false">_xlfn.TEXTJOIN("; ",TRUE(),IF(AX276&lt;&gt;"pass","gated out",""),IF(AQ276="Y","on hold: "&amp;AR276,""),IF(C276="","no contact named on an opened page",""),IF(AND(AW276="Y",AV276&lt;&gt;"Y"),"Tuesday estimate band "&amp;L276&amp;": founder's call",""))</f>
        <v>gated out; no contact named on an opened page; Tuesday estimate band over-500: founder's call</v>
      </c>
      <c r="AW276" s="6" t="s">
        <v>168</v>
      </c>
      <c r="AX276" s="6" t="s">
        <v>3704</v>
      </c>
      <c r="AY276" s="6" t="s">
        <v>4129</v>
      </c>
      <c r="AZ276" s="6" t="s">
        <v>1</v>
      </c>
      <c r="BA276" s="6" t="s">
        <v>4130</v>
      </c>
      <c r="BB276" s="6" t="s">
        <v>4131</v>
      </c>
      <c r="BC276" s="6" t="s">
        <v>4132</v>
      </c>
      <c r="BD276" s="6" t="s">
        <v>4133</v>
      </c>
      <c r="BF276" s="6" t="s">
        <v>1323</v>
      </c>
      <c r="BG276" s="6" t="s">
        <v>188</v>
      </c>
      <c r="BH276" s="6" t="s">
        <v>189</v>
      </c>
      <c r="BI276" s="6" t="s">
        <v>4134</v>
      </c>
      <c r="BK276" s="6" t="s">
        <v>3288</v>
      </c>
      <c r="BL276" s="6" t="s">
        <v>4135</v>
      </c>
      <c r="BM276" s="6" t="s">
        <v>162</v>
      </c>
      <c r="BN276" s="6" t="s">
        <v>163</v>
      </c>
      <c r="BO276" s="6" t="s">
        <v>163</v>
      </c>
      <c r="BQ276" s="0" t="n">
        <v>40.739548</v>
      </c>
      <c r="BR276" s="0" t="n">
        <v>-73.991273</v>
      </c>
      <c r="BS276" s="6" t="s">
        <v>168</v>
      </c>
      <c r="BT276" s="0" t="n">
        <v>0</v>
      </c>
      <c r="BV276" s="6" t="s">
        <v>163</v>
      </c>
      <c r="BW276" s="6" t="s">
        <v>4127</v>
      </c>
      <c r="BX276" s="6" t="s">
        <v>3057</v>
      </c>
      <c r="BY276" s="6" t="s">
        <v>248</v>
      </c>
      <c r="BZ276" s="6" t="s">
        <v>4136</v>
      </c>
      <c r="CA276" s="6" t="s">
        <v>4137</v>
      </c>
      <c r="CC276" s="6" t="s">
        <v>739</v>
      </c>
      <c r="CE276" s="6" t="s">
        <v>162</v>
      </c>
      <c r="CH276" s="6" t="s">
        <v>163</v>
      </c>
      <c r="CJ276" s="6" t="s">
        <v>163</v>
      </c>
      <c r="CK276" s="6" t="s">
        <v>162</v>
      </c>
      <c r="CL276" s="6" t="s">
        <v>163</v>
      </c>
      <c r="CO276" s="0" t="n">
        <v>3990</v>
      </c>
      <c r="CP276" s="6" t="s">
        <v>3817</v>
      </c>
      <c r="CQ276" s="6" t="s">
        <v>4138</v>
      </c>
      <c r="CR276" s="6" t="s">
        <v>206</v>
      </c>
      <c r="CS276" s="0" t="n">
        <v>0</v>
      </c>
      <c r="CT276" s="0" t="n">
        <v>19</v>
      </c>
      <c r="CU276" s="0" t="n">
        <v>0</v>
      </c>
      <c r="CV276" s="0" t="n">
        <v>0</v>
      </c>
      <c r="CW276" s="0" t="n">
        <v>6</v>
      </c>
      <c r="CX276" s="0" t="n">
        <v>13</v>
      </c>
      <c r="CY276" s="6" t="n">
        <f aca="false">IF(AH276="exact",10,IF(AH276="adjacent",5,0))</f>
        <v>0</v>
      </c>
      <c r="CZ276" s="6" t="n">
        <f aca="false">IF(R276="Y",15,0)</f>
        <v>0</v>
      </c>
      <c r="DF276" s="6" t="s">
        <v>158</v>
      </c>
      <c r="DG276" s="6" t="s">
        <v>1336</v>
      </c>
      <c r="DH276" s="6" t="s">
        <v>3291</v>
      </c>
      <c r="DI276" s="6" t="s">
        <v>162</v>
      </c>
      <c r="DJ276" s="6" t="s">
        <v>4139</v>
      </c>
      <c r="DK276" s="6" t="s">
        <v>4140</v>
      </c>
      <c r="DS276" s="6" t="s">
        <v>158</v>
      </c>
      <c r="DX276" s="6" t="s">
        <v>162</v>
      </c>
      <c r="ER276" s="0" t="str">
        <f aca="false">IF(ISNUMBER(MATCH(U276,{"queued","contacted","replied","call_booked","call_done","yes_in_principle","materials_sent"},0)),"Y","N")</f>
        <v>N</v>
      </c>
      <c r="ES276" s="0" t="str">
        <f aca="false">IF(COUNTIFS($AP$2:$AP$1000,AP276,$ER$2:$ER$1000,"Y")+COUNTIFS($AP$2:$AP$1000,AP276,$T$2:$T$1000,"Y")&gt;0,"Y","N")</f>
        <v>N</v>
      </c>
      <c r="ET276" s="0" t="str">
        <f aca="false">IF(AND(U276="new",T276="N",AT276="Y",AS276="",ES276="N"),"Y","N")</f>
        <v>N</v>
      </c>
      <c r="EU276" s="0" t="str">
        <f aca="false">IF(ET276&lt;&gt;"Y","N",IF(COUNTIFS($AP$2:$AP$1000,AP276,$ET$2:$ET$1000,"Y",$J$2:$J$1000,"&gt;"&amp;J276)+COUNTIFS($AP$2:$AP$1000,AP276,$ET$2:$ET$1000,"Y",$J$2:$J$1000,J276,$EW$2:$EW$1000,"&lt;"&amp;EW276)=0,"Y","N"))</f>
        <v>N</v>
      </c>
      <c r="EV276" s="0" t="str">
        <f aca="false">IF(Y276="","N",IF(Y276&lt;=10,"Y","N"))</f>
        <v>N</v>
      </c>
      <c r="EW276" s="6" t="n">
        <f aca="false">ROW()-1</f>
        <v>275</v>
      </c>
    </row>
    <row r="277" customFormat="false" ht="15" hidden="false" customHeight="false" outlineLevel="0" collapsed="false">
      <c r="A277" s="0" t="s">
        <v>4141</v>
      </c>
      <c r="B277" s="0" t="s">
        <v>4142</v>
      </c>
      <c r="H277" s="5" t="s">
        <v>158</v>
      </c>
      <c r="I277" s="5" t="s">
        <v>159</v>
      </c>
      <c r="J277" s="6" t="n">
        <f aca="false">IF(AX277="pass",ROUND(CU277+CV277+CW277+CX277+CY277+CZ277,1),0)</f>
        <v>0</v>
      </c>
      <c r="K277" s="6" t="s">
        <v>4143</v>
      </c>
      <c r="L277" s="6" t="s">
        <v>1323</v>
      </c>
      <c r="R277" s="5" t="s">
        <v>162</v>
      </c>
      <c r="S277" s="6" t="s">
        <v>163</v>
      </c>
      <c r="T277" s="5" t="s">
        <v>162</v>
      </c>
      <c r="U277" s="5" t="s">
        <v>228</v>
      </c>
      <c r="V277" s="6" t="s">
        <v>1775</v>
      </c>
      <c r="W277" s="6" t="s">
        <v>166</v>
      </c>
      <c r="X277" s="6" t="s">
        <v>167</v>
      </c>
      <c r="Y277" s="0" t="str">
        <f aca="false">IF(EU277&lt;&gt;"Y","",COUNTIFS($EU$2:$EU$1000,"Y",$J$2:$J$1000,"&gt;"&amp;J277)+COUNTIFS($EU$2:$EU$1000,"Y",$J$2:$J$1000,J277,$EW$2:$EW$1000,"&lt;"&amp;EW277)+1)</f>
        <v/>
      </c>
      <c r="AA277" s="6" t="s">
        <v>162</v>
      </c>
      <c r="AD277" s="6" t="s">
        <v>158</v>
      </c>
      <c r="AH277" s="5" t="s">
        <v>158</v>
      </c>
      <c r="AI277" s="6" t="s">
        <v>1768</v>
      </c>
      <c r="AJ277" s="6" t="s">
        <v>4144</v>
      </c>
      <c r="AK277" s="6" t="s">
        <v>178</v>
      </c>
      <c r="AL277" s="0" t="n">
        <v>5129</v>
      </c>
      <c r="AM277" s="0" t="n">
        <v>102580</v>
      </c>
      <c r="AN277" s="6" t="s">
        <v>179</v>
      </c>
      <c r="AO277" s="6" t="s">
        <v>163</v>
      </c>
      <c r="AP277" s="6" t="s">
        <v>4141</v>
      </c>
      <c r="AQ277" s="5" t="s">
        <v>162</v>
      </c>
      <c r="AT277" s="0" t="str">
        <f aca="false">IF(AND(AX277="pass",AQ277&lt;&gt;"Y",C277&lt;&gt;"",OR(AW277&lt;&gt;"Y",AV277="Y")),"Y","N")</f>
        <v>N</v>
      </c>
      <c r="AU277" s="0" t="str">
        <f aca="false">_xlfn.TEXTJOIN("; ",TRUE(),IF(AX277&lt;&gt;"pass","gated out",""),IF(AQ277="Y","on hold: "&amp;AR277,""),IF(C277="","no contact named on an opened page",""),IF(AND(AW277="Y",AV277&lt;&gt;"Y"),"Tuesday estimate band "&amp;L277&amp;": founder's call",""))</f>
        <v>gated out; no contact named on an opened page; Tuesday estimate band over-500: founder's call</v>
      </c>
      <c r="AW277" s="6" t="s">
        <v>168</v>
      </c>
      <c r="AX277" s="6" t="s">
        <v>3704</v>
      </c>
      <c r="AY277" s="6" t="s">
        <v>4145</v>
      </c>
      <c r="AZ277" s="6" t="s">
        <v>1</v>
      </c>
      <c r="BA277" s="6" t="s">
        <v>4146</v>
      </c>
      <c r="BB277" s="6" t="s">
        <v>4147</v>
      </c>
      <c r="BC277" s="6" t="s">
        <v>4148</v>
      </c>
      <c r="BD277" s="6" t="s">
        <v>4149</v>
      </c>
      <c r="BF277" s="6" t="s">
        <v>1323</v>
      </c>
      <c r="BG277" s="6" t="s">
        <v>188</v>
      </c>
      <c r="BH277" s="6" t="s">
        <v>189</v>
      </c>
      <c r="BI277" s="6" t="s">
        <v>4150</v>
      </c>
      <c r="BK277" s="6" t="s">
        <v>3288</v>
      </c>
      <c r="BL277" s="6" t="s">
        <v>4151</v>
      </c>
      <c r="BM277" s="6" t="s">
        <v>162</v>
      </c>
      <c r="BN277" s="6" t="s">
        <v>163</v>
      </c>
      <c r="BO277" s="6" t="s">
        <v>163</v>
      </c>
      <c r="BP277" s="6" t="s">
        <v>378</v>
      </c>
      <c r="BQ277" s="0" t="n">
        <v>40.738461</v>
      </c>
      <c r="BR277" s="0" t="n">
        <v>-73.992523</v>
      </c>
      <c r="BS277" s="6" t="s">
        <v>168</v>
      </c>
      <c r="BT277" s="0" t="n">
        <v>0</v>
      </c>
      <c r="BV277" s="6" t="s">
        <v>163</v>
      </c>
      <c r="BW277" s="6" t="s">
        <v>1775</v>
      </c>
      <c r="BX277" s="6" t="s">
        <v>1776</v>
      </c>
      <c r="BY277" s="6" t="s">
        <v>248</v>
      </c>
      <c r="BZ277" s="6" t="s">
        <v>1767</v>
      </c>
      <c r="CA277" s="6" t="s">
        <v>1774</v>
      </c>
      <c r="CC277" s="6" t="s">
        <v>739</v>
      </c>
      <c r="CE277" s="6" t="s">
        <v>162</v>
      </c>
      <c r="CH277" s="6" t="s">
        <v>163</v>
      </c>
      <c r="CJ277" s="6" t="s">
        <v>163</v>
      </c>
      <c r="CK277" s="6" t="s">
        <v>162</v>
      </c>
      <c r="CL277" s="6" t="s">
        <v>163</v>
      </c>
      <c r="CO277" s="0" t="n">
        <v>22938</v>
      </c>
      <c r="CP277" s="6" t="s">
        <v>3817</v>
      </c>
      <c r="CQ277" s="6" t="s">
        <v>4152</v>
      </c>
      <c r="CR277" s="6" t="s">
        <v>206</v>
      </c>
      <c r="CS277" s="0" t="n">
        <v>0</v>
      </c>
      <c r="CT277" s="0" t="n">
        <v>19</v>
      </c>
      <c r="CU277" s="0" t="n">
        <v>0</v>
      </c>
      <c r="CV277" s="0" t="n">
        <v>0</v>
      </c>
      <c r="CW277" s="0" t="n">
        <v>6</v>
      </c>
      <c r="CX277" s="0" t="n">
        <v>13</v>
      </c>
      <c r="CY277" s="6" t="n">
        <f aca="false">IF(AH277="exact",10,IF(AH277="adjacent",5,0))</f>
        <v>0</v>
      </c>
      <c r="CZ277" s="6" t="n">
        <f aca="false">IF(R277="Y",15,0)</f>
        <v>0</v>
      </c>
      <c r="DF277" s="6" t="s">
        <v>158</v>
      </c>
      <c r="DG277" s="6" t="s">
        <v>1336</v>
      </c>
      <c r="DH277" s="6" t="s">
        <v>3291</v>
      </c>
      <c r="DI277" s="6" t="s">
        <v>162</v>
      </c>
      <c r="DJ277" s="6" t="s">
        <v>4153</v>
      </c>
      <c r="DK277" s="6" t="s">
        <v>4154</v>
      </c>
      <c r="DS277" s="6" t="s">
        <v>158</v>
      </c>
      <c r="DX277" s="6" t="s">
        <v>162</v>
      </c>
      <c r="ER277" s="0" t="str">
        <f aca="false">IF(ISNUMBER(MATCH(U277,{"queued","contacted","replied","call_booked","call_done","yes_in_principle","materials_sent"},0)),"Y","N")</f>
        <v>N</v>
      </c>
      <c r="ES277" s="0" t="str">
        <f aca="false">IF(COUNTIFS($AP$2:$AP$1000,AP277,$ER$2:$ER$1000,"Y")+COUNTIFS($AP$2:$AP$1000,AP277,$T$2:$T$1000,"Y")&gt;0,"Y","N")</f>
        <v>N</v>
      </c>
      <c r="ET277" s="0" t="str">
        <f aca="false">IF(AND(U277="new",T277="N",AT277="Y",AS277="",ES277="N"),"Y","N")</f>
        <v>N</v>
      </c>
      <c r="EU277" s="0" t="str">
        <f aca="false">IF(ET277&lt;&gt;"Y","N",IF(COUNTIFS($AP$2:$AP$1000,AP277,$ET$2:$ET$1000,"Y",$J$2:$J$1000,"&gt;"&amp;J277)+COUNTIFS($AP$2:$AP$1000,AP277,$ET$2:$ET$1000,"Y",$J$2:$J$1000,J277,$EW$2:$EW$1000,"&lt;"&amp;EW277)=0,"Y","N"))</f>
        <v>N</v>
      </c>
      <c r="EV277" s="0" t="str">
        <f aca="false">IF(Y277="","N",IF(Y277&lt;=10,"Y","N"))</f>
        <v>N</v>
      </c>
      <c r="EW277" s="6" t="n">
        <f aca="false">ROW()-1</f>
        <v>276</v>
      </c>
    </row>
    <row r="278" customFormat="false" ht="15" hidden="false" customHeight="false" outlineLevel="0" collapsed="false">
      <c r="A278" s="0" t="s">
        <v>4155</v>
      </c>
      <c r="B278" s="0" t="s">
        <v>4156</v>
      </c>
      <c r="H278" s="5" t="s">
        <v>158</v>
      </c>
      <c r="I278" s="5" t="s">
        <v>159</v>
      </c>
      <c r="J278" s="6" t="n">
        <f aca="false">IF(AX278="pass",ROUND(CU278+CV278+CW278+CX278+CY278+CZ278,1),0)</f>
        <v>0</v>
      </c>
      <c r="K278" s="6" t="s">
        <v>4157</v>
      </c>
      <c r="L278" s="6" t="s">
        <v>1323</v>
      </c>
      <c r="O278" s="6" t="s">
        <v>4158</v>
      </c>
      <c r="P278" s="6" t="s">
        <v>4159</v>
      </c>
      <c r="Q278" s="6" t="s">
        <v>4160</v>
      </c>
      <c r="R278" s="5" t="s">
        <v>162</v>
      </c>
      <c r="S278" s="6" t="s">
        <v>163</v>
      </c>
      <c r="T278" s="5" t="s">
        <v>162</v>
      </c>
      <c r="U278" s="5" t="s">
        <v>228</v>
      </c>
      <c r="V278" s="6" t="s">
        <v>4159</v>
      </c>
      <c r="W278" s="6" t="s">
        <v>166</v>
      </c>
      <c r="X278" s="6" t="s">
        <v>167</v>
      </c>
      <c r="Y278" s="0" t="str">
        <f aca="false">IF(EU278&lt;&gt;"Y","",COUNTIFS($EU$2:$EU$1000,"Y",$J$2:$J$1000,"&gt;"&amp;J278)+COUNTIFS($EU$2:$EU$1000,"Y",$J$2:$J$1000,J278,$EW$2:$EW$1000,"&lt;"&amp;EW278)+1)</f>
        <v/>
      </c>
      <c r="AA278" s="6" t="s">
        <v>162</v>
      </c>
      <c r="AD278" s="6" t="s">
        <v>158</v>
      </c>
      <c r="AH278" s="5" t="s">
        <v>158</v>
      </c>
      <c r="AI278" s="6" t="s">
        <v>2408</v>
      </c>
      <c r="AJ278" s="6" t="s">
        <v>4161</v>
      </c>
      <c r="AK278" s="6" t="s">
        <v>178</v>
      </c>
      <c r="AL278" s="0" t="n">
        <v>862</v>
      </c>
      <c r="AM278" s="0" t="n">
        <v>17250</v>
      </c>
      <c r="AN278" s="6" t="s">
        <v>179</v>
      </c>
      <c r="AO278" s="6" t="s">
        <v>163</v>
      </c>
      <c r="AP278" s="6" t="s">
        <v>4155</v>
      </c>
      <c r="AQ278" s="5" t="s">
        <v>162</v>
      </c>
      <c r="AT278" s="0" t="str">
        <f aca="false">IF(AND(AX278="pass",AQ278&lt;&gt;"Y",C278&lt;&gt;"",OR(AW278&lt;&gt;"Y",AV278="Y")),"Y","N")</f>
        <v>N</v>
      </c>
      <c r="AU278" s="0" t="str">
        <f aca="false">_xlfn.TEXTJOIN("; ",TRUE(),IF(AX278&lt;&gt;"pass","gated out",""),IF(AQ278="Y","on hold: "&amp;AR278,""),IF(C278="","no contact named on an opened page",""),IF(AND(AW278="Y",AV278&lt;&gt;"Y"),"Tuesday estimate band "&amp;L278&amp;": founder's call",""))</f>
        <v>gated out; no contact named on an opened page; Tuesday estimate band over-500: founder's call</v>
      </c>
      <c r="AW278" s="6" t="s">
        <v>168</v>
      </c>
      <c r="AX278" s="6" t="s">
        <v>3704</v>
      </c>
      <c r="AY278" s="6" t="s">
        <v>4162</v>
      </c>
      <c r="AZ278" s="6" t="s">
        <v>1</v>
      </c>
      <c r="BA278" s="6" t="s">
        <v>4163</v>
      </c>
      <c r="BB278" s="6" t="s">
        <v>4164</v>
      </c>
      <c r="BC278" s="6" t="s">
        <v>4165</v>
      </c>
      <c r="BD278" s="6" t="s">
        <v>4166</v>
      </c>
      <c r="BF278" s="6" t="s">
        <v>1323</v>
      </c>
      <c r="BG278" s="6" t="s">
        <v>188</v>
      </c>
      <c r="BH278" s="6" t="s">
        <v>189</v>
      </c>
      <c r="BI278" s="6" t="s">
        <v>4167</v>
      </c>
      <c r="BK278" s="6" t="s">
        <v>3288</v>
      </c>
      <c r="BL278" s="6" t="s">
        <v>163</v>
      </c>
      <c r="BM278" s="6" t="s">
        <v>163</v>
      </c>
      <c r="BN278" s="6" t="s">
        <v>163</v>
      </c>
      <c r="BO278" s="6" t="s">
        <v>163</v>
      </c>
      <c r="BP278" s="6" t="s">
        <v>347</v>
      </c>
      <c r="BQ278" s="0" t="n">
        <v>40.742477</v>
      </c>
      <c r="BR278" s="0" t="n">
        <v>-73.986608</v>
      </c>
      <c r="BS278" s="6" t="s">
        <v>168</v>
      </c>
      <c r="BT278" s="0" t="n">
        <v>0</v>
      </c>
      <c r="BU278" s="6" t="s">
        <v>2413</v>
      </c>
      <c r="BV278" s="6" t="s">
        <v>2414</v>
      </c>
      <c r="BW278" s="6" t="s">
        <v>4159</v>
      </c>
      <c r="BX278" s="6" t="s">
        <v>4160</v>
      </c>
      <c r="BY278" s="6" t="s">
        <v>248</v>
      </c>
      <c r="CC278" s="6" t="s">
        <v>739</v>
      </c>
      <c r="CE278" s="6" t="s">
        <v>162</v>
      </c>
      <c r="CH278" s="6" t="s">
        <v>201</v>
      </c>
      <c r="CI278" s="6" t="s">
        <v>2416</v>
      </c>
      <c r="CJ278" s="6" t="s">
        <v>163</v>
      </c>
      <c r="CK278" s="6" t="s">
        <v>162</v>
      </c>
      <c r="CL278" s="6" t="s">
        <v>163</v>
      </c>
      <c r="CO278" s="0" t="n">
        <v>3856</v>
      </c>
      <c r="CP278" s="6" t="s">
        <v>3817</v>
      </c>
      <c r="CQ278" s="6" t="s">
        <v>4168</v>
      </c>
      <c r="CR278" s="6" t="s">
        <v>206</v>
      </c>
      <c r="CS278" s="0" t="n">
        <v>0</v>
      </c>
      <c r="CT278" s="0" t="n">
        <v>19</v>
      </c>
      <c r="CU278" s="0" t="n">
        <v>0</v>
      </c>
      <c r="CV278" s="0" t="n">
        <v>0</v>
      </c>
      <c r="CW278" s="0" t="n">
        <v>6</v>
      </c>
      <c r="CX278" s="0" t="n">
        <v>13</v>
      </c>
      <c r="CY278" s="6" t="n">
        <f aca="false">IF(AH278="exact",10,IF(AH278="adjacent",5,0))</f>
        <v>0</v>
      </c>
      <c r="CZ278" s="6" t="n">
        <f aca="false">IF(R278="Y",15,0)</f>
        <v>0</v>
      </c>
      <c r="DF278" s="6" t="s">
        <v>158</v>
      </c>
      <c r="DG278" s="6" t="s">
        <v>1336</v>
      </c>
      <c r="DH278" s="6" t="s">
        <v>3291</v>
      </c>
      <c r="DI278" s="6" t="s">
        <v>162</v>
      </c>
      <c r="DJ278" s="6" t="s">
        <v>4169</v>
      </c>
      <c r="DK278" s="6" t="s">
        <v>4170</v>
      </c>
      <c r="DS278" s="6" t="s">
        <v>158</v>
      </c>
      <c r="DX278" s="6" t="s">
        <v>162</v>
      </c>
      <c r="ER278" s="0" t="str">
        <f aca="false">IF(ISNUMBER(MATCH(U278,{"queued","contacted","replied","call_booked","call_done","yes_in_principle","materials_sent"},0)),"Y","N")</f>
        <v>N</v>
      </c>
      <c r="ES278" s="0" t="str">
        <f aca="false">IF(COUNTIFS($AP$2:$AP$1000,AP278,$ER$2:$ER$1000,"Y")+COUNTIFS($AP$2:$AP$1000,AP278,$T$2:$T$1000,"Y")&gt;0,"Y","N")</f>
        <v>N</v>
      </c>
      <c r="ET278" s="0" t="str">
        <f aca="false">IF(AND(U278="new",T278="N",AT278="Y",AS278="",ES278="N"),"Y","N")</f>
        <v>N</v>
      </c>
      <c r="EU278" s="0" t="str">
        <f aca="false">IF(ET278&lt;&gt;"Y","N",IF(COUNTIFS($AP$2:$AP$1000,AP278,$ET$2:$ET$1000,"Y",$J$2:$J$1000,"&gt;"&amp;J278)+COUNTIFS($AP$2:$AP$1000,AP278,$ET$2:$ET$1000,"Y",$J$2:$J$1000,J278,$EW$2:$EW$1000,"&lt;"&amp;EW278)=0,"Y","N"))</f>
        <v>N</v>
      </c>
      <c r="EV278" s="0" t="str">
        <f aca="false">IF(Y278="","N",IF(Y278&lt;=10,"Y","N"))</f>
        <v>N</v>
      </c>
      <c r="EW278" s="6" t="n">
        <f aca="false">ROW()-1</f>
        <v>277</v>
      </c>
    </row>
    <row r="279" customFormat="false" ht="15" hidden="false" customHeight="false" outlineLevel="0" collapsed="false">
      <c r="A279" s="0" t="s">
        <v>4171</v>
      </c>
      <c r="B279" s="0" t="s">
        <v>4172</v>
      </c>
      <c r="H279" s="5" t="s">
        <v>158</v>
      </c>
      <c r="I279" s="5" t="s">
        <v>159</v>
      </c>
      <c r="J279" s="6" t="n">
        <f aca="false">IF(AX279="pass",ROUND(CU279+CV279+CW279+CX279+CY279+CZ279,1),0)</f>
        <v>0</v>
      </c>
      <c r="K279" s="6" t="s">
        <v>4173</v>
      </c>
      <c r="L279" s="6" t="s">
        <v>561</v>
      </c>
      <c r="O279" s="6" t="s">
        <v>505</v>
      </c>
      <c r="P279" s="6" t="s">
        <v>506</v>
      </c>
      <c r="Q279" s="6" t="s">
        <v>507</v>
      </c>
      <c r="R279" s="5" t="s">
        <v>162</v>
      </c>
      <c r="S279" s="6" t="s">
        <v>163</v>
      </c>
      <c r="T279" s="5" t="s">
        <v>162</v>
      </c>
      <c r="U279" s="5" t="s">
        <v>228</v>
      </c>
      <c r="V279" s="6" t="s">
        <v>506</v>
      </c>
      <c r="W279" s="6" t="s">
        <v>166</v>
      </c>
      <c r="X279" s="6" t="s">
        <v>167</v>
      </c>
      <c r="Y279" s="0" t="str">
        <f aca="false">IF(EU279&lt;&gt;"Y","",COUNTIFS($EU$2:$EU$1000,"Y",$J$2:$J$1000,"&gt;"&amp;J279)+COUNTIFS($EU$2:$EU$1000,"Y",$J$2:$J$1000,J279,$EW$2:$EW$1000,"&lt;"&amp;EW279)+1)</f>
        <v/>
      </c>
      <c r="AA279" s="6" t="s">
        <v>162</v>
      </c>
      <c r="AD279" s="6" t="s">
        <v>158</v>
      </c>
      <c r="AH279" s="5" t="s">
        <v>158</v>
      </c>
      <c r="AI279" s="6" t="s">
        <v>510</v>
      </c>
      <c r="AJ279" s="6" t="s">
        <v>511</v>
      </c>
      <c r="AK279" s="6" t="s">
        <v>890</v>
      </c>
      <c r="AL279" s="0" t="n">
        <v>20</v>
      </c>
      <c r="AM279" s="0" t="n">
        <v>20</v>
      </c>
      <c r="AN279" s="6" t="s">
        <v>739</v>
      </c>
      <c r="AO279" s="6" t="s">
        <v>163</v>
      </c>
      <c r="AP279" s="6" t="s">
        <v>4171</v>
      </c>
      <c r="AQ279" s="5" t="s">
        <v>168</v>
      </c>
      <c r="AR279" s="6" t="s">
        <v>891</v>
      </c>
      <c r="AT279" s="0" t="str">
        <f aca="false">IF(AND(AX279="pass",AQ279&lt;&gt;"Y",C279&lt;&gt;"",OR(AW279&lt;&gt;"Y",AV279="Y")),"Y","N")</f>
        <v>N</v>
      </c>
      <c r="AU279" s="0" t="str">
        <f aca="false">_xlfn.TEXTJOIN("; ",TRUE(),IF(AX279&lt;&gt;"pass","gated out",""),IF(AQ279="Y","on hold: "&amp;AR279,""),IF(C279="","no contact named on an opened page",""),IF(AND(AW279="Y",AV279&lt;&gt;"Y"),"Tuesday estimate band "&amp;L279&amp;": founder's call",""))</f>
        <v>gated out; on hold: lease signed, move not confirmed: check the lobby directory before outreach (B); no contact named on an opened page; Tuesday estimate band under-40: founder's call</v>
      </c>
      <c r="AW279" s="6" t="s">
        <v>168</v>
      </c>
      <c r="AX279" s="6" t="s">
        <v>3704</v>
      </c>
      <c r="AY279" s="6" t="s">
        <v>4174</v>
      </c>
      <c r="AZ279" s="6" t="s">
        <v>1</v>
      </c>
      <c r="BA279" s="6" t="s">
        <v>4175</v>
      </c>
      <c r="BB279" s="6" t="s">
        <v>4176</v>
      </c>
      <c r="BC279" s="6" t="s">
        <v>4177</v>
      </c>
      <c r="BD279" s="6" t="s">
        <v>4178</v>
      </c>
      <c r="BE279" s="6" t="s">
        <v>1650</v>
      </c>
      <c r="BF279" s="6" t="s">
        <v>561</v>
      </c>
      <c r="BG279" s="6" t="s">
        <v>1196</v>
      </c>
      <c r="BH279" s="6" t="s">
        <v>4179</v>
      </c>
      <c r="BI279" s="6" t="s">
        <v>506</v>
      </c>
      <c r="BJ279" s="6" t="s">
        <v>4180</v>
      </c>
      <c r="BK279" s="6" t="s">
        <v>191</v>
      </c>
      <c r="BL279" s="6" t="s">
        <v>192</v>
      </c>
      <c r="BM279" s="6" t="s">
        <v>168</v>
      </c>
      <c r="BN279" s="6" t="s">
        <v>163</v>
      </c>
      <c r="BO279" s="6" t="s">
        <v>163</v>
      </c>
      <c r="BP279" s="6" t="s">
        <v>347</v>
      </c>
      <c r="BQ279" s="0" t="n">
        <v>40.742771</v>
      </c>
      <c r="BR279" s="0" t="n">
        <v>-73.991782</v>
      </c>
      <c r="BS279" s="6" t="s">
        <v>168</v>
      </c>
      <c r="BT279" s="0" t="n">
        <v>0</v>
      </c>
      <c r="BU279" s="6" t="s">
        <v>516</v>
      </c>
      <c r="BV279" s="6" t="s">
        <v>517</v>
      </c>
      <c r="BW279" s="6" t="s">
        <v>506</v>
      </c>
      <c r="BX279" s="6" t="s">
        <v>507</v>
      </c>
      <c r="BY279" s="6" t="s">
        <v>248</v>
      </c>
      <c r="BZ279" s="6" t="s">
        <v>4181</v>
      </c>
      <c r="CA279" s="6" t="s">
        <v>3275</v>
      </c>
      <c r="CC279" s="6" t="s">
        <v>739</v>
      </c>
      <c r="CD279" s="6" t="s">
        <v>4182</v>
      </c>
      <c r="CE279" s="6" t="s">
        <v>162</v>
      </c>
      <c r="CH279" s="6" t="s">
        <v>163</v>
      </c>
      <c r="CJ279" s="6" t="s">
        <v>163</v>
      </c>
      <c r="CK279" s="6" t="s">
        <v>162</v>
      </c>
      <c r="CL279" s="6" t="s">
        <v>163</v>
      </c>
      <c r="CO279" s="0" t="n">
        <v>20</v>
      </c>
      <c r="CP279" s="6" t="s">
        <v>4068</v>
      </c>
      <c r="CQ279" s="6" t="s">
        <v>4183</v>
      </c>
      <c r="CR279" s="6" t="s">
        <v>206</v>
      </c>
      <c r="CS279" s="0" t="n">
        <v>0</v>
      </c>
      <c r="CT279" s="0" t="n">
        <v>31</v>
      </c>
      <c r="CU279" s="0" t="n">
        <v>5</v>
      </c>
      <c r="CV279" s="0" t="n">
        <v>15</v>
      </c>
      <c r="CW279" s="0" t="n">
        <v>6</v>
      </c>
      <c r="CX279" s="0" t="n">
        <v>5</v>
      </c>
      <c r="CY279" s="6" t="n">
        <f aca="false">IF(AH279="exact",10,IF(AH279="adjacent",5,0))</f>
        <v>0</v>
      </c>
      <c r="CZ279" s="6" t="n">
        <f aca="false">IF(R279="Y",15,0)</f>
        <v>0</v>
      </c>
      <c r="DF279" s="6" t="s">
        <v>158</v>
      </c>
      <c r="DG279" s="6" t="s">
        <v>211</v>
      </c>
      <c r="DJ279" s="6" t="s">
        <v>520</v>
      </c>
      <c r="DK279" s="6" t="s">
        <v>4184</v>
      </c>
      <c r="DS279" s="6" t="s">
        <v>158</v>
      </c>
      <c r="DX279" s="6" t="s">
        <v>162</v>
      </c>
      <c r="ER279" s="0" t="str">
        <f aca="false">IF(ISNUMBER(MATCH(U279,{"queued","contacted","replied","call_booked","call_done","yes_in_principle","materials_sent"},0)),"Y","N")</f>
        <v>N</v>
      </c>
      <c r="ES279" s="0" t="str">
        <f aca="false">IF(COUNTIFS($AP$2:$AP$1000,AP279,$ER$2:$ER$1000,"Y")+COUNTIFS($AP$2:$AP$1000,AP279,$T$2:$T$1000,"Y")&gt;0,"Y","N")</f>
        <v>N</v>
      </c>
      <c r="ET279" s="0" t="str">
        <f aca="false">IF(AND(U279="new",T279="N",AT279="Y",AS279="",ES279="N"),"Y","N")</f>
        <v>N</v>
      </c>
      <c r="EU279" s="0" t="str">
        <f aca="false">IF(ET279&lt;&gt;"Y","N",IF(COUNTIFS($AP$2:$AP$1000,AP279,$ET$2:$ET$1000,"Y",$J$2:$J$1000,"&gt;"&amp;J279)+COUNTIFS($AP$2:$AP$1000,AP279,$ET$2:$ET$1000,"Y",$J$2:$J$1000,J279,$EW$2:$EW$1000,"&lt;"&amp;EW279)=0,"Y","N"))</f>
        <v>N</v>
      </c>
      <c r="EV279" s="0" t="str">
        <f aca="false">IF(Y279="","N",IF(Y279&lt;=10,"Y","N"))</f>
        <v>N</v>
      </c>
      <c r="EW279" s="6" t="n">
        <f aca="false">ROW()-1</f>
        <v>278</v>
      </c>
    </row>
    <row r="280" customFormat="false" ht="15" hidden="false" customHeight="false" outlineLevel="0" collapsed="false">
      <c r="A280" s="0" t="s">
        <v>4185</v>
      </c>
      <c r="B280" s="0" t="s">
        <v>4186</v>
      </c>
      <c r="H280" s="5" t="s">
        <v>158</v>
      </c>
      <c r="I280" s="5" t="s">
        <v>159</v>
      </c>
      <c r="J280" s="6" t="n">
        <f aca="false">IF(AX280="pass",ROUND(CU280+CV280+CW280+CX280+CY280+CZ280,1),0)</f>
        <v>0</v>
      </c>
      <c r="K280" s="6" t="s">
        <v>4187</v>
      </c>
      <c r="L280" s="6" t="s">
        <v>1323</v>
      </c>
      <c r="R280" s="5" t="s">
        <v>162</v>
      </c>
      <c r="S280" s="6" t="s">
        <v>163</v>
      </c>
      <c r="T280" s="5" t="s">
        <v>162</v>
      </c>
      <c r="U280" s="5" t="s">
        <v>228</v>
      </c>
      <c r="V280" s="6" t="s">
        <v>3202</v>
      </c>
      <c r="W280" s="6" t="s">
        <v>166</v>
      </c>
      <c r="X280" s="6" t="s">
        <v>167</v>
      </c>
      <c r="Y280" s="0" t="str">
        <f aca="false">IF(EU280&lt;&gt;"Y","",COUNTIFS($EU$2:$EU$1000,"Y",$J$2:$J$1000,"&gt;"&amp;J280)+COUNTIFS($EU$2:$EU$1000,"Y",$J$2:$J$1000,J280,$EW$2:$EW$1000,"&lt;"&amp;EW280)+1)</f>
        <v/>
      </c>
      <c r="AA280" s="6" t="s">
        <v>162</v>
      </c>
      <c r="AD280" s="6" t="s">
        <v>158</v>
      </c>
      <c r="AH280" s="5" t="s">
        <v>158</v>
      </c>
      <c r="AI280" s="6" t="s">
        <v>1992</v>
      </c>
      <c r="AJ280" s="6" t="s">
        <v>163</v>
      </c>
      <c r="AK280" s="6" t="s">
        <v>178</v>
      </c>
      <c r="AL280" s="0" t="n">
        <v>370</v>
      </c>
      <c r="AM280" s="0" t="n">
        <v>7391</v>
      </c>
      <c r="AN280" s="6" t="s">
        <v>179</v>
      </c>
      <c r="AO280" s="6" t="s">
        <v>163</v>
      </c>
      <c r="AP280" s="6" t="s">
        <v>4185</v>
      </c>
      <c r="AQ280" s="5" t="s">
        <v>162</v>
      </c>
      <c r="AT280" s="0" t="str">
        <f aca="false">IF(AND(AX280="pass",AQ280&lt;&gt;"Y",C280&lt;&gt;"",OR(AW280&lt;&gt;"Y",AV280="Y")),"Y","N")</f>
        <v>N</v>
      </c>
      <c r="AU280" s="0" t="str">
        <f aca="false">_xlfn.TEXTJOIN("; ",TRUE(),IF(AX280&lt;&gt;"pass","gated out",""),IF(AQ280="Y","on hold: "&amp;AR280,""),IF(C280="","no contact named on an opened page",""),IF(AND(AW280="Y",AV280&lt;&gt;"Y"),"Tuesday estimate band "&amp;L280&amp;": founder's call",""))</f>
        <v>gated out; no contact named on an opened page; Tuesday estimate band over-500: founder's call</v>
      </c>
      <c r="AW280" s="6" t="s">
        <v>168</v>
      </c>
      <c r="AX280" s="6" t="s">
        <v>3704</v>
      </c>
      <c r="AY280" s="6" t="s">
        <v>4188</v>
      </c>
      <c r="AZ280" s="6" t="s">
        <v>1</v>
      </c>
      <c r="BA280" s="6" t="s">
        <v>4189</v>
      </c>
      <c r="BB280" s="6" t="s">
        <v>4190</v>
      </c>
      <c r="BC280" s="6" t="s">
        <v>4191</v>
      </c>
      <c r="BD280" s="6" t="s">
        <v>4192</v>
      </c>
      <c r="BF280" s="6" t="s">
        <v>1323</v>
      </c>
      <c r="BG280" s="6" t="s">
        <v>188</v>
      </c>
      <c r="BH280" s="6" t="s">
        <v>189</v>
      </c>
      <c r="BI280" s="6" t="s">
        <v>4193</v>
      </c>
      <c r="BK280" s="6" t="s">
        <v>3288</v>
      </c>
      <c r="BL280" s="6" t="s">
        <v>163</v>
      </c>
      <c r="BM280" s="6" t="s">
        <v>163</v>
      </c>
      <c r="BN280" s="6" t="s">
        <v>163</v>
      </c>
      <c r="BO280" s="6" t="s">
        <v>163</v>
      </c>
      <c r="BP280" s="6" t="s">
        <v>347</v>
      </c>
      <c r="BQ280" s="0" t="n">
        <v>40.741141</v>
      </c>
      <c r="BR280" s="0" t="n">
        <v>-73.987489</v>
      </c>
      <c r="BS280" s="6" t="s">
        <v>168</v>
      </c>
      <c r="BT280" s="0" t="n">
        <v>0</v>
      </c>
      <c r="BV280" s="6" t="s">
        <v>163</v>
      </c>
      <c r="BW280" s="6" t="s">
        <v>3202</v>
      </c>
      <c r="BX280" s="6" t="s">
        <v>3208</v>
      </c>
      <c r="BY280" s="6" t="s">
        <v>3209</v>
      </c>
      <c r="CC280" s="6" t="s">
        <v>739</v>
      </c>
      <c r="CE280" s="6" t="s">
        <v>162</v>
      </c>
      <c r="CH280" s="6" t="s">
        <v>163</v>
      </c>
      <c r="CJ280" s="6" t="s">
        <v>163</v>
      </c>
      <c r="CK280" s="6" t="s">
        <v>162</v>
      </c>
      <c r="CL280" s="6" t="s">
        <v>163</v>
      </c>
      <c r="CO280" s="0" t="n">
        <v>1654</v>
      </c>
      <c r="CP280" s="6" t="s">
        <v>3817</v>
      </c>
      <c r="CQ280" s="6" t="s">
        <v>4194</v>
      </c>
      <c r="CR280" s="6" t="s">
        <v>206</v>
      </c>
      <c r="CS280" s="0" t="n">
        <v>0</v>
      </c>
      <c r="CT280" s="0" t="n">
        <v>19</v>
      </c>
      <c r="CU280" s="0" t="n">
        <v>0</v>
      </c>
      <c r="CV280" s="0" t="n">
        <v>0</v>
      </c>
      <c r="CW280" s="0" t="n">
        <v>6</v>
      </c>
      <c r="CX280" s="0" t="n">
        <v>13</v>
      </c>
      <c r="CY280" s="6" t="n">
        <f aca="false">IF(AH280="exact",10,IF(AH280="adjacent",5,0))</f>
        <v>0</v>
      </c>
      <c r="CZ280" s="6" t="n">
        <f aca="false">IF(R280="Y",15,0)</f>
        <v>0</v>
      </c>
      <c r="DF280" s="6" t="s">
        <v>158</v>
      </c>
      <c r="DG280" s="6" t="s">
        <v>1336</v>
      </c>
      <c r="DH280" s="6" t="s">
        <v>3291</v>
      </c>
      <c r="DI280" s="6" t="s">
        <v>162</v>
      </c>
      <c r="DK280" s="6" t="s">
        <v>4195</v>
      </c>
      <c r="DS280" s="6" t="s">
        <v>158</v>
      </c>
      <c r="DX280" s="6" t="s">
        <v>162</v>
      </c>
      <c r="ER280" s="0" t="str">
        <f aca="false">IF(ISNUMBER(MATCH(U280,{"queued","contacted","replied","call_booked","call_done","yes_in_principle","materials_sent"},0)),"Y","N")</f>
        <v>N</v>
      </c>
      <c r="ES280" s="0" t="str">
        <f aca="false">IF(COUNTIFS($AP$2:$AP$1000,AP280,$ER$2:$ER$1000,"Y")+COUNTIFS($AP$2:$AP$1000,AP280,$T$2:$T$1000,"Y")&gt;0,"Y","N")</f>
        <v>N</v>
      </c>
      <c r="ET280" s="0" t="str">
        <f aca="false">IF(AND(U280="new",T280="N",AT280="Y",AS280="",ES280="N"),"Y","N")</f>
        <v>N</v>
      </c>
      <c r="EU280" s="0" t="str">
        <f aca="false">IF(ET280&lt;&gt;"Y","N",IF(COUNTIFS($AP$2:$AP$1000,AP280,$ET$2:$ET$1000,"Y",$J$2:$J$1000,"&gt;"&amp;J280)+COUNTIFS($AP$2:$AP$1000,AP280,$ET$2:$ET$1000,"Y",$J$2:$J$1000,J280,$EW$2:$EW$1000,"&lt;"&amp;EW280)=0,"Y","N"))</f>
        <v>N</v>
      </c>
      <c r="EV280" s="0" t="str">
        <f aca="false">IF(Y280="","N",IF(Y280&lt;=10,"Y","N"))</f>
        <v>N</v>
      </c>
      <c r="EW280" s="6" t="n">
        <f aca="false">ROW()-1</f>
        <v>279</v>
      </c>
    </row>
    <row r="281" customFormat="false" ht="15" hidden="false" customHeight="false" outlineLevel="0" collapsed="false">
      <c r="A281" s="0" t="s">
        <v>4196</v>
      </c>
      <c r="B281" s="0" t="s">
        <v>4197</v>
      </c>
      <c r="H281" s="5" t="s">
        <v>158</v>
      </c>
      <c r="I281" s="5" t="s">
        <v>159</v>
      </c>
      <c r="J281" s="6" t="n">
        <f aca="false">IF(AX281="pass",ROUND(CU281+CV281+CW281+CX281+CY281+CZ281,1),0)</f>
        <v>0</v>
      </c>
      <c r="K281" s="6" t="s">
        <v>4198</v>
      </c>
      <c r="L281" s="6" t="s">
        <v>1323</v>
      </c>
      <c r="R281" s="5" t="s">
        <v>162</v>
      </c>
      <c r="S281" s="6" t="s">
        <v>163</v>
      </c>
      <c r="T281" s="5" t="s">
        <v>162</v>
      </c>
      <c r="U281" s="5" t="s">
        <v>228</v>
      </c>
      <c r="V281" s="6" t="s">
        <v>4199</v>
      </c>
      <c r="W281" s="6" t="s">
        <v>166</v>
      </c>
      <c r="X281" s="6" t="s">
        <v>167</v>
      </c>
      <c r="Y281" s="0" t="str">
        <f aca="false">IF(EU281&lt;&gt;"Y","",COUNTIFS($EU$2:$EU$1000,"Y",$J$2:$J$1000,"&gt;"&amp;J281)+COUNTIFS($EU$2:$EU$1000,"Y",$J$2:$J$1000,J281,$EW$2:$EW$1000,"&lt;"&amp;EW281)+1)</f>
        <v/>
      </c>
      <c r="AA281" s="6" t="s">
        <v>162</v>
      </c>
      <c r="AD281" s="6" t="s">
        <v>158</v>
      </c>
      <c r="AH281" s="5" t="s">
        <v>158</v>
      </c>
      <c r="AI281" s="6" t="s">
        <v>1830</v>
      </c>
      <c r="AJ281" s="6" t="s">
        <v>163</v>
      </c>
      <c r="AK281" s="6" t="s">
        <v>178</v>
      </c>
      <c r="AL281" s="0" t="n">
        <v>374</v>
      </c>
      <c r="AM281" s="0" t="n">
        <v>749</v>
      </c>
      <c r="AN281" s="6" t="s">
        <v>179</v>
      </c>
      <c r="AO281" s="6" t="s">
        <v>163</v>
      </c>
      <c r="AP281" s="6" t="s">
        <v>4196</v>
      </c>
      <c r="AQ281" s="5" t="s">
        <v>162</v>
      </c>
      <c r="AT281" s="0" t="str">
        <f aca="false">IF(AND(AX281="pass",AQ281&lt;&gt;"Y",C281&lt;&gt;"",OR(AW281&lt;&gt;"Y",AV281="Y")),"Y","N")</f>
        <v>N</v>
      </c>
      <c r="AU281" s="0" t="str">
        <f aca="false">_xlfn.TEXTJOIN("; ",TRUE(),IF(AX281&lt;&gt;"pass","gated out",""),IF(AQ281="Y","on hold: "&amp;AR281,""),IF(C281="","no contact named on an opened page",""),IF(AND(AW281="Y",AV281&lt;&gt;"Y"),"Tuesday estimate band "&amp;L281&amp;": founder's call",""))</f>
        <v>gated out; no contact named on an opened page; Tuesday estimate band over-500: founder's call</v>
      </c>
      <c r="AW281" s="6" t="s">
        <v>168</v>
      </c>
      <c r="AX281" s="6" t="s">
        <v>3704</v>
      </c>
      <c r="AY281" s="6" t="s">
        <v>4200</v>
      </c>
      <c r="AZ281" s="6" t="s">
        <v>1</v>
      </c>
      <c r="BA281" s="6" t="s">
        <v>4201</v>
      </c>
      <c r="BB281" s="6" t="s">
        <v>4202</v>
      </c>
      <c r="BC281" s="6" t="s">
        <v>1261</v>
      </c>
      <c r="BD281" s="6" t="s">
        <v>4203</v>
      </c>
      <c r="BF281" s="6" t="s">
        <v>1323</v>
      </c>
      <c r="BG281" s="6" t="s">
        <v>188</v>
      </c>
      <c r="BH281" s="6" t="s">
        <v>189</v>
      </c>
      <c r="BI281" s="6" t="s">
        <v>4204</v>
      </c>
      <c r="BK281" s="6" t="s">
        <v>1440</v>
      </c>
      <c r="BL281" s="6" t="s">
        <v>192</v>
      </c>
      <c r="BM281" s="6" t="s">
        <v>168</v>
      </c>
      <c r="BN281" s="6" t="s">
        <v>163</v>
      </c>
      <c r="BO281" s="6" t="s">
        <v>163</v>
      </c>
      <c r="BP281" s="6" t="s">
        <v>193</v>
      </c>
      <c r="BQ281" s="0" t="n">
        <v>40.738809</v>
      </c>
      <c r="BR281" s="0" t="n">
        <v>-73.991356</v>
      </c>
      <c r="BS281" s="6" t="s">
        <v>168</v>
      </c>
      <c r="BT281" s="0" t="n">
        <v>0</v>
      </c>
      <c r="BU281" s="6" t="s">
        <v>443</v>
      </c>
      <c r="BV281" s="6" t="s">
        <v>444</v>
      </c>
      <c r="BW281" s="6" t="s">
        <v>4199</v>
      </c>
      <c r="BX281" s="6" t="s">
        <v>166</v>
      </c>
      <c r="BY281" s="6" t="s">
        <v>196</v>
      </c>
      <c r="CC281" s="6" t="s">
        <v>739</v>
      </c>
      <c r="CE281" s="6" t="s">
        <v>162</v>
      </c>
      <c r="CH281" s="6" t="s">
        <v>201</v>
      </c>
      <c r="CI281" s="6" t="s">
        <v>448</v>
      </c>
      <c r="CJ281" s="6" t="s">
        <v>163</v>
      </c>
      <c r="CK281" s="6" t="s">
        <v>162</v>
      </c>
      <c r="CL281" s="6" t="s">
        <v>163</v>
      </c>
      <c r="CO281" s="0" t="n">
        <v>529</v>
      </c>
      <c r="CP281" s="6" t="s">
        <v>3817</v>
      </c>
      <c r="CQ281" s="6" t="s">
        <v>4205</v>
      </c>
      <c r="CR281" s="6" t="s">
        <v>206</v>
      </c>
      <c r="CS281" s="0" t="n">
        <v>0</v>
      </c>
      <c r="CT281" s="0" t="n">
        <v>21</v>
      </c>
      <c r="CU281" s="0" t="n">
        <v>0</v>
      </c>
      <c r="CV281" s="0" t="n">
        <v>2</v>
      </c>
      <c r="CW281" s="0" t="n">
        <v>6</v>
      </c>
      <c r="CX281" s="0" t="n">
        <v>13</v>
      </c>
      <c r="CY281" s="6" t="n">
        <f aca="false">IF(AH281="exact",10,IF(AH281="adjacent",5,0))</f>
        <v>0</v>
      </c>
      <c r="CZ281" s="6" t="n">
        <f aca="false">IF(R281="Y",15,0)</f>
        <v>0</v>
      </c>
      <c r="DF281" s="6" t="s">
        <v>158</v>
      </c>
      <c r="DG281" s="6" t="s">
        <v>1336</v>
      </c>
      <c r="DH281" s="6" t="s">
        <v>1447</v>
      </c>
      <c r="DI281" s="6" t="s">
        <v>162</v>
      </c>
      <c r="DK281" s="6" t="s">
        <v>4206</v>
      </c>
      <c r="DS281" s="6" t="s">
        <v>158</v>
      </c>
      <c r="DX281" s="6" t="s">
        <v>162</v>
      </c>
      <c r="ER281" s="0" t="str">
        <f aca="false">IF(ISNUMBER(MATCH(U281,{"queued","contacted","replied","call_booked","call_done","yes_in_principle","materials_sent"},0)),"Y","N")</f>
        <v>N</v>
      </c>
      <c r="ES281" s="0" t="str">
        <f aca="false">IF(COUNTIFS($AP$2:$AP$1000,AP281,$ER$2:$ER$1000,"Y")+COUNTIFS($AP$2:$AP$1000,AP281,$T$2:$T$1000,"Y")&gt;0,"Y","N")</f>
        <v>N</v>
      </c>
      <c r="ET281" s="0" t="str">
        <f aca="false">IF(AND(U281="new",T281="N",AT281="Y",AS281="",ES281="N"),"Y","N")</f>
        <v>N</v>
      </c>
      <c r="EU281" s="0" t="str">
        <f aca="false">IF(ET281&lt;&gt;"Y","N",IF(COUNTIFS($AP$2:$AP$1000,AP281,$ET$2:$ET$1000,"Y",$J$2:$J$1000,"&gt;"&amp;J281)+COUNTIFS($AP$2:$AP$1000,AP281,$ET$2:$ET$1000,"Y",$J$2:$J$1000,J281,$EW$2:$EW$1000,"&lt;"&amp;EW281)=0,"Y","N"))</f>
        <v>N</v>
      </c>
      <c r="EV281" s="0" t="str">
        <f aca="false">IF(Y281="","N",IF(Y281&lt;=10,"Y","N"))</f>
        <v>N</v>
      </c>
      <c r="EW281" s="6" t="n">
        <f aca="false">ROW()-1</f>
        <v>280</v>
      </c>
    </row>
    <row r="282" customFormat="false" ht="15" hidden="false" customHeight="false" outlineLevel="0" collapsed="false">
      <c r="A282" s="0" t="s">
        <v>4207</v>
      </c>
      <c r="B282" s="0" t="s">
        <v>4208</v>
      </c>
      <c r="H282" s="5" t="s">
        <v>158</v>
      </c>
      <c r="I282" s="5" t="s">
        <v>159</v>
      </c>
      <c r="J282" s="6" t="n">
        <f aca="false">IF(AX282="pass",ROUND(CU282+CV282+CW282+CX282+CY282+CZ282,1),0)</f>
        <v>0</v>
      </c>
      <c r="K282" s="6" t="s">
        <v>4209</v>
      </c>
      <c r="L282" s="6" t="s">
        <v>1323</v>
      </c>
      <c r="O282" s="6" t="s">
        <v>4210</v>
      </c>
      <c r="P282" s="6" t="s">
        <v>4211</v>
      </c>
      <c r="Q282" s="6" t="s">
        <v>4212</v>
      </c>
      <c r="R282" s="5" t="s">
        <v>162</v>
      </c>
      <c r="S282" s="6" t="s">
        <v>163</v>
      </c>
      <c r="T282" s="5" t="s">
        <v>162</v>
      </c>
      <c r="U282" s="5" t="s">
        <v>228</v>
      </c>
      <c r="V282" s="6" t="s">
        <v>4211</v>
      </c>
      <c r="W282" s="6" t="s">
        <v>166</v>
      </c>
      <c r="X282" s="6" t="s">
        <v>167</v>
      </c>
      <c r="Y282" s="0" t="str">
        <f aca="false">IF(EU282&lt;&gt;"Y","",COUNTIFS($EU$2:$EU$1000,"Y",$J$2:$J$1000,"&gt;"&amp;J282)+COUNTIFS($EU$2:$EU$1000,"Y",$J$2:$J$1000,J282,$EW$2:$EW$1000,"&lt;"&amp;EW282)+1)</f>
        <v/>
      </c>
      <c r="AA282" s="6" t="s">
        <v>162</v>
      </c>
      <c r="AD282" s="6" t="s">
        <v>158</v>
      </c>
      <c r="AH282" s="5" t="s">
        <v>158</v>
      </c>
      <c r="AI282" s="6" t="s">
        <v>1645</v>
      </c>
      <c r="AJ282" s="6" t="s">
        <v>163</v>
      </c>
      <c r="AK282" s="6" t="s">
        <v>890</v>
      </c>
      <c r="AL282" s="0" t="n">
        <v>551</v>
      </c>
      <c r="AM282" s="0" t="n">
        <v>1102</v>
      </c>
      <c r="AN282" s="6" t="s">
        <v>179</v>
      </c>
      <c r="AO282" s="6" t="s">
        <v>163</v>
      </c>
      <c r="AP282" s="6" t="s">
        <v>4207</v>
      </c>
      <c r="AQ282" s="5" t="s">
        <v>168</v>
      </c>
      <c r="AR282" s="6" t="s">
        <v>891</v>
      </c>
      <c r="AT282" s="0" t="str">
        <f aca="false">IF(AND(AX282="pass",AQ282&lt;&gt;"Y",C282&lt;&gt;"",OR(AW282&lt;&gt;"Y",AV282="Y")),"Y","N")</f>
        <v>N</v>
      </c>
      <c r="AU282" s="0" t="str">
        <f aca="false">_xlfn.TEXTJOIN("; ",TRUE(),IF(AX282&lt;&gt;"pass","gated out",""),IF(AQ282="Y","on hold: "&amp;AR282,""),IF(C282="","no contact named on an opened page",""),IF(AND(AW282="Y",AV282&lt;&gt;"Y"),"Tuesday estimate band "&amp;L282&amp;": founder's call",""))</f>
        <v>gated out; on hold: lease signed, move not confirmed: check the lobby directory before outreach (B); no contact named on an opened page; Tuesday estimate band over-500: founder's call</v>
      </c>
      <c r="AW282" s="6" t="s">
        <v>168</v>
      </c>
      <c r="AX282" s="6" t="s">
        <v>3704</v>
      </c>
      <c r="AY282" s="6" t="s">
        <v>4213</v>
      </c>
      <c r="AZ282" s="6" t="s">
        <v>1</v>
      </c>
      <c r="BA282" s="6" t="s">
        <v>4214</v>
      </c>
      <c r="BB282" s="6" t="s">
        <v>163</v>
      </c>
      <c r="BC282" s="6" t="s">
        <v>4215</v>
      </c>
      <c r="BD282" s="6" t="s">
        <v>4216</v>
      </c>
      <c r="BF282" s="6" t="s">
        <v>1323</v>
      </c>
      <c r="BG282" s="6" t="s">
        <v>188</v>
      </c>
      <c r="BH282" s="6" t="s">
        <v>189</v>
      </c>
      <c r="BI282" s="6" t="s">
        <v>4217</v>
      </c>
      <c r="BK282" s="6" t="s">
        <v>1440</v>
      </c>
      <c r="BL282" s="6" t="s">
        <v>192</v>
      </c>
      <c r="BM282" s="6" t="s">
        <v>168</v>
      </c>
      <c r="BN282" s="6" t="s">
        <v>163</v>
      </c>
      <c r="BO282" s="6" t="s">
        <v>163</v>
      </c>
      <c r="BP282" s="6" t="s">
        <v>244</v>
      </c>
      <c r="BQ282" s="0" t="n">
        <v>40.746186</v>
      </c>
      <c r="BR282" s="0" t="n">
        <v>-73.985981</v>
      </c>
      <c r="BS282" s="6" t="s">
        <v>168</v>
      </c>
      <c r="BT282" s="0" t="n">
        <v>0</v>
      </c>
      <c r="BU282" s="6" t="s">
        <v>1653</v>
      </c>
      <c r="BV282" s="6" t="s">
        <v>1654</v>
      </c>
      <c r="BW282" s="6" t="s">
        <v>4211</v>
      </c>
      <c r="BX282" s="6" t="s">
        <v>4212</v>
      </c>
      <c r="BY282" s="6" t="s">
        <v>248</v>
      </c>
      <c r="CC282" s="6" t="s">
        <v>739</v>
      </c>
      <c r="CD282" s="6" t="s">
        <v>163</v>
      </c>
      <c r="CE282" s="6" t="s">
        <v>162</v>
      </c>
      <c r="CH282" s="6" t="s">
        <v>163</v>
      </c>
      <c r="CJ282" s="6" t="s">
        <v>163</v>
      </c>
      <c r="CK282" s="6" t="s">
        <v>162</v>
      </c>
      <c r="CL282" s="6" t="s">
        <v>163</v>
      </c>
      <c r="CO282" s="0" t="n">
        <v>779</v>
      </c>
      <c r="CP282" s="6" t="s">
        <v>3817</v>
      </c>
      <c r="CQ282" s="6" t="s">
        <v>4218</v>
      </c>
      <c r="CR282" s="6" t="s">
        <v>206</v>
      </c>
      <c r="CS282" s="0" t="n">
        <v>0</v>
      </c>
      <c r="CT282" s="0" t="n">
        <v>13</v>
      </c>
      <c r="CU282" s="0" t="n">
        <v>0</v>
      </c>
      <c r="CV282" s="0" t="n">
        <v>2</v>
      </c>
      <c r="CW282" s="0" t="n">
        <v>6</v>
      </c>
      <c r="CX282" s="0" t="n">
        <v>5</v>
      </c>
      <c r="CY282" s="6" t="n">
        <f aca="false">IF(AH282="exact",10,IF(AH282="adjacent",5,0))</f>
        <v>0</v>
      </c>
      <c r="CZ282" s="6" t="n">
        <f aca="false">IF(R282="Y",15,0)</f>
        <v>0</v>
      </c>
      <c r="DF282" s="6" t="s">
        <v>158</v>
      </c>
      <c r="DG282" s="6" t="s">
        <v>1336</v>
      </c>
      <c r="DH282" s="6" t="s">
        <v>1447</v>
      </c>
      <c r="DI282" s="6" t="s">
        <v>168</v>
      </c>
      <c r="DJ282" s="6" t="s">
        <v>4219</v>
      </c>
      <c r="DK282" s="6" t="s">
        <v>4220</v>
      </c>
      <c r="DS282" s="6" t="s">
        <v>158</v>
      </c>
      <c r="DX282" s="6" t="s">
        <v>162</v>
      </c>
      <c r="ER282" s="0" t="str">
        <f aca="false">IF(ISNUMBER(MATCH(U282,{"queued","contacted","replied","call_booked","call_done","yes_in_principle","materials_sent"},0)),"Y","N")</f>
        <v>N</v>
      </c>
      <c r="ES282" s="0" t="str">
        <f aca="false">IF(COUNTIFS($AP$2:$AP$1000,AP282,$ER$2:$ER$1000,"Y")+COUNTIFS($AP$2:$AP$1000,AP282,$T$2:$T$1000,"Y")&gt;0,"Y","N")</f>
        <v>N</v>
      </c>
      <c r="ET282" s="0" t="str">
        <f aca="false">IF(AND(U282="new",T282="N",AT282="Y",AS282="",ES282="N"),"Y","N")</f>
        <v>N</v>
      </c>
      <c r="EU282" s="0" t="str">
        <f aca="false">IF(ET282&lt;&gt;"Y","N",IF(COUNTIFS($AP$2:$AP$1000,AP282,$ET$2:$ET$1000,"Y",$J$2:$J$1000,"&gt;"&amp;J282)+COUNTIFS($AP$2:$AP$1000,AP282,$ET$2:$ET$1000,"Y",$J$2:$J$1000,J282,$EW$2:$EW$1000,"&lt;"&amp;EW282)=0,"Y","N"))</f>
        <v>N</v>
      </c>
      <c r="EV282" s="0" t="str">
        <f aca="false">IF(Y282="","N",IF(Y282&lt;=10,"Y","N"))</f>
        <v>N</v>
      </c>
      <c r="EW282" s="6" t="n">
        <f aca="false">ROW()-1</f>
        <v>281</v>
      </c>
    </row>
    <row r="283" customFormat="false" ht="15" hidden="false" customHeight="false" outlineLevel="0" collapsed="false">
      <c r="A283" s="0" t="s">
        <v>4221</v>
      </c>
      <c r="B283" s="0" t="s">
        <v>4222</v>
      </c>
      <c r="H283" s="5" t="s">
        <v>158</v>
      </c>
      <c r="I283" s="5" t="s">
        <v>159</v>
      </c>
      <c r="J283" s="6" t="n">
        <f aca="false">IF(AX283="pass",ROUND(CU283+CV283+CW283+CX283+CY283+CZ283,1),0)</f>
        <v>0</v>
      </c>
      <c r="K283" s="6" t="s">
        <v>4112</v>
      </c>
      <c r="L283" s="6" t="s">
        <v>240</v>
      </c>
      <c r="R283" s="5" t="s">
        <v>162</v>
      </c>
      <c r="S283" s="6" t="s">
        <v>163</v>
      </c>
      <c r="T283" s="5" t="s">
        <v>162</v>
      </c>
      <c r="U283" s="5" t="s">
        <v>228</v>
      </c>
      <c r="V283" s="6" t="s">
        <v>4223</v>
      </c>
      <c r="W283" s="6" t="s">
        <v>166</v>
      </c>
      <c r="X283" s="6" t="s">
        <v>167</v>
      </c>
      <c r="Y283" s="0" t="str">
        <f aca="false">IF(EU283&lt;&gt;"Y","",COUNTIFS($EU$2:$EU$1000,"Y",$J$2:$J$1000,"&gt;"&amp;J283)+COUNTIFS($EU$2:$EU$1000,"Y",$J$2:$J$1000,J283,$EW$2:$EW$1000,"&lt;"&amp;EW283)+1)</f>
        <v/>
      </c>
      <c r="AA283" s="6" t="s">
        <v>162</v>
      </c>
      <c r="AD283" s="6" t="s">
        <v>158</v>
      </c>
      <c r="AH283" s="5" t="s">
        <v>158</v>
      </c>
      <c r="AI283" s="6" t="s">
        <v>2804</v>
      </c>
      <c r="AJ283" s="6" t="s">
        <v>2371</v>
      </c>
      <c r="AK283" s="6" t="s">
        <v>178</v>
      </c>
      <c r="AL283" s="0" t="n">
        <v>314</v>
      </c>
      <c r="AM283" s="0" t="n">
        <v>627</v>
      </c>
      <c r="AN283" s="6" t="s">
        <v>179</v>
      </c>
      <c r="AO283" s="6" t="s">
        <v>163</v>
      </c>
      <c r="AP283" s="6" t="s">
        <v>4221</v>
      </c>
      <c r="AQ283" s="5" t="s">
        <v>162</v>
      </c>
      <c r="AT283" s="0" t="str">
        <f aca="false">IF(AND(AX283="pass",AQ283&lt;&gt;"Y",C283&lt;&gt;"",OR(AW283&lt;&gt;"Y",AV283="Y")),"Y","N")</f>
        <v>N</v>
      </c>
      <c r="AU283" s="0" t="str">
        <f aca="false">_xlfn.TEXTJOIN("; ",TRUE(),IF(AX283&lt;&gt;"pass","gated out",""),IF(AQ283="Y","on hold: "&amp;AR283,""),IF(C283="","no contact named on an opened page",""),IF(AND(AW283="Y",AV283&lt;&gt;"Y"),"Tuesday estimate band "&amp;L283&amp;": founder's call",""))</f>
        <v>gated out; no contact named on an opened page; Tuesday estimate band 251-500: founder's call</v>
      </c>
      <c r="AW283" s="6" t="s">
        <v>168</v>
      </c>
      <c r="AX283" s="6" t="s">
        <v>3704</v>
      </c>
      <c r="AY283" s="6" t="s">
        <v>4114</v>
      </c>
      <c r="AZ283" s="6" t="s">
        <v>1</v>
      </c>
      <c r="BA283" s="6" t="s">
        <v>4224</v>
      </c>
      <c r="BB283" s="6" t="s">
        <v>4225</v>
      </c>
      <c r="BC283" s="6" t="s">
        <v>4226</v>
      </c>
      <c r="BD283" s="6" t="s">
        <v>4117</v>
      </c>
      <c r="BF283" s="6" t="s">
        <v>1323</v>
      </c>
      <c r="BG283" s="6" t="s">
        <v>188</v>
      </c>
      <c r="BH283" s="6" t="s">
        <v>189</v>
      </c>
      <c r="BI283" s="6" t="s">
        <v>4227</v>
      </c>
      <c r="BK283" s="6" t="s">
        <v>1440</v>
      </c>
      <c r="BL283" s="6" t="s">
        <v>192</v>
      </c>
      <c r="BM283" s="6" t="s">
        <v>168</v>
      </c>
      <c r="BN283" s="6" t="s">
        <v>163</v>
      </c>
      <c r="BO283" s="6" t="s">
        <v>163</v>
      </c>
      <c r="BP283" s="6" t="s">
        <v>378</v>
      </c>
      <c r="BQ283" s="0" t="n">
        <v>40.738939</v>
      </c>
      <c r="BR283" s="0" t="n">
        <v>-73.993331</v>
      </c>
      <c r="BS283" s="6" t="s">
        <v>168</v>
      </c>
      <c r="BT283" s="0" t="n">
        <v>0</v>
      </c>
      <c r="BU283" s="6" t="s">
        <v>2803</v>
      </c>
      <c r="BV283" s="6" t="s">
        <v>2804</v>
      </c>
      <c r="BW283" s="6" t="s">
        <v>4223</v>
      </c>
      <c r="BX283" s="6" t="s">
        <v>4120</v>
      </c>
      <c r="BY283" s="6" t="s">
        <v>283</v>
      </c>
      <c r="CB283" s="6" t="s">
        <v>199</v>
      </c>
      <c r="CC283" s="6" t="s">
        <v>739</v>
      </c>
      <c r="CE283" s="6" t="s">
        <v>162</v>
      </c>
      <c r="CH283" s="6" t="s">
        <v>163</v>
      </c>
      <c r="CJ283" s="6" t="s">
        <v>163</v>
      </c>
      <c r="CK283" s="6" t="s">
        <v>162</v>
      </c>
      <c r="CL283" s="6" t="s">
        <v>163</v>
      </c>
      <c r="CO283" s="0" t="n">
        <v>444</v>
      </c>
      <c r="CP283" s="6" t="s">
        <v>3817</v>
      </c>
      <c r="CQ283" s="6" t="s">
        <v>4121</v>
      </c>
      <c r="CR283" s="6" t="s">
        <v>206</v>
      </c>
      <c r="CS283" s="0" t="n">
        <v>0</v>
      </c>
      <c r="CT283" s="0" t="n">
        <v>21</v>
      </c>
      <c r="CU283" s="0" t="n">
        <v>0</v>
      </c>
      <c r="CV283" s="0" t="n">
        <v>2</v>
      </c>
      <c r="CW283" s="0" t="n">
        <v>6</v>
      </c>
      <c r="CX283" s="0" t="n">
        <v>13</v>
      </c>
      <c r="CY283" s="6" t="n">
        <f aca="false">IF(AH283="exact",10,IF(AH283="adjacent",5,0))</f>
        <v>0</v>
      </c>
      <c r="CZ283" s="6" t="n">
        <f aca="false">IF(R283="Y",15,0)</f>
        <v>0</v>
      </c>
      <c r="DF283" s="6" t="s">
        <v>158</v>
      </c>
      <c r="DG283" s="6" t="s">
        <v>1336</v>
      </c>
      <c r="DH283" s="6" t="s">
        <v>1447</v>
      </c>
      <c r="DI283" s="6" t="s">
        <v>162</v>
      </c>
      <c r="DK283" s="6" t="s">
        <v>4228</v>
      </c>
      <c r="DS283" s="6" t="s">
        <v>158</v>
      </c>
      <c r="DX283" s="6" t="s">
        <v>162</v>
      </c>
      <c r="ER283" s="0" t="str">
        <f aca="false">IF(ISNUMBER(MATCH(U283,{"queued","contacted","replied","call_booked","call_done","yes_in_principle","materials_sent"},0)),"Y","N")</f>
        <v>N</v>
      </c>
      <c r="ES283" s="0" t="str">
        <f aca="false">IF(COUNTIFS($AP$2:$AP$1000,AP283,$ER$2:$ER$1000,"Y")+COUNTIFS($AP$2:$AP$1000,AP283,$T$2:$T$1000,"Y")&gt;0,"Y","N")</f>
        <v>N</v>
      </c>
      <c r="ET283" s="0" t="str">
        <f aca="false">IF(AND(U283="new",T283="N",AT283="Y",AS283="",ES283="N"),"Y","N")</f>
        <v>N</v>
      </c>
      <c r="EU283" s="0" t="str">
        <f aca="false">IF(ET283&lt;&gt;"Y","N",IF(COUNTIFS($AP$2:$AP$1000,AP283,$ET$2:$ET$1000,"Y",$J$2:$J$1000,"&gt;"&amp;J283)+COUNTIFS($AP$2:$AP$1000,AP283,$ET$2:$ET$1000,"Y",$J$2:$J$1000,J283,$EW$2:$EW$1000,"&lt;"&amp;EW283)=0,"Y","N"))</f>
        <v>N</v>
      </c>
      <c r="EV283" s="0" t="str">
        <f aca="false">IF(Y283="","N",IF(Y283&lt;=10,"Y","N"))</f>
        <v>N</v>
      </c>
      <c r="EW283" s="6" t="n">
        <f aca="false">ROW()-1</f>
        <v>282</v>
      </c>
    </row>
    <row r="284" customFormat="false" ht="15" hidden="false" customHeight="false" outlineLevel="0" collapsed="false">
      <c r="A284" s="0" t="s">
        <v>4229</v>
      </c>
      <c r="B284" s="0" t="s">
        <v>4230</v>
      </c>
      <c r="H284" s="5" t="s">
        <v>158</v>
      </c>
      <c r="I284" s="5" t="s">
        <v>159</v>
      </c>
      <c r="J284" s="6" t="n">
        <f aca="false">IF(AX284="pass",ROUND(CU284+CV284+CW284+CX284+CY284+CZ284,1),0)</f>
        <v>0</v>
      </c>
      <c r="K284" s="6" t="s">
        <v>4060</v>
      </c>
      <c r="L284" s="6" t="s">
        <v>561</v>
      </c>
      <c r="O284" s="6" t="s">
        <v>4231</v>
      </c>
      <c r="P284" s="6" t="s">
        <v>4232</v>
      </c>
      <c r="Q284" s="6" t="s">
        <v>3103</v>
      </c>
      <c r="R284" s="5" t="s">
        <v>162</v>
      </c>
      <c r="S284" s="6" t="s">
        <v>163</v>
      </c>
      <c r="T284" s="5" t="s">
        <v>162</v>
      </c>
      <c r="U284" s="5" t="s">
        <v>228</v>
      </c>
      <c r="V284" s="6" t="s">
        <v>4232</v>
      </c>
      <c r="W284" s="6" t="s">
        <v>166</v>
      </c>
      <c r="X284" s="6" t="s">
        <v>167</v>
      </c>
      <c r="Y284" s="0" t="str">
        <f aca="false">IF(EU284&lt;&gt;"Y","",COUNTIFS($EU$2:$EU$1000,"Y",$J$2:$J$1000,"&gt;"&amp;J284)+COUNTIFS($EU$2:$EU$1000,"Y",$J$2:$J$1000,J284,$EW$2:$EW$1000,"&lt;"&amp;EW284)+1)</f>
        <v/>
      </c>
      <c r="AA284" s="6" t="s">
        <v>162</v>
      </c>
      <c r="AD284" s="6" t="s">
        <v>158</v>
      </c>
      <c r="AH284" s="5" t="s">
        <v>158</v>
      </c>
      <c r="AI284" s="6" t="s">
        <v>1192</v>
      </c>
      <c r="AJ284" s="6" t="s">
        <v>755</v>
      </c>
      <c r="AK284" s="6" t="s">
        <v>178</v>
      </c>
      <c r="AL284" s="0" t="n">
        <v>14</v>
      </c>
      <c r="AM284" s="0" t="n">
        <v>28</v>
      </c>
      <c r="AN284" s="6" t="s">
        <v>179</v>
      </c>
      <c r="AO284" s="6" t="s">
        <v>163</v>
      </c>
      <c r="AP284" s="6" t="s">
        <v>4229</v>
      </c>
      <c r="AQ284" s="5" t="s">
        <v>162</v>
      </c>
      <c r="AT284" s="0" t="str">
        <f aca="false">IF(AND(AX284="pass",AQ284&lt;&gt;"Y",C284&lt;&gt;"",OR(AW284&lt;&gt;"Y",AV284="Y")),"Y","N")</f>
        <v>N</v>
      </c>
      <c r="AU284" s="0" t="str">
        <f aca="false">_xlfn.TEXTJOIN("; ",TRUE(),IF(AX284&lt;&gt;"pass","gated out",""),IF(AQ284="Y","on hold: "&amp;AR284,""),IF(C284="","no contact named on an opened page",""),IF(AND(AW284="Y",AV284&lt;&gt;"Y"),"Tuesday estimate band "&amp;L284&amp;": founder's call",""))</f>
        <v>gated out; no contact named on an opened page; Tuesday estimate band under-40: founder's call</v>
      </c>
      <c r="AW284" s="6" t="s">
        <v>168</v>
      </c>
      <c r="AX284" s="6" t="s">
        <v>3704</v>
      </c>
      <c r="AY284" s="6" t="s">
        <v>4062</v>
      </c>
      <c r="AZ284" s="6" t="s">
        <v>1</v>
      </c>
      <c r="BA284" s="6" t="s">
        <v>4233</v>
      </c>
      <c r="BB284" s="6" t="s">
        <v>4234</v>
      </c>
      <c r="BC284" s="6" t="s">
        <v>4235</v>
      </c>
      <c r="BD284" s="6" t="s">
        <v>4066</v>
      </c>
      <c r="BF284" s="6" t="s">
        <v>395</v>
      </c>
      <c r="BG284" s="6" t="s">
        <v>188</v>
      </c>
      <c r="BH284" s="6" t="s">
        <v>189</v>
      </c>
      <c r="BI284" s="6" t="s">
        <v>4236</v>
      </c>
      <c r="BK284" s="6" t="s">
        <v>191</v>
      </c>
      <c r="BL284" s="6" t="s">
        <v>192</v>
      </c>
      <c r="BM284" s="6" t="s">
        <v>168</v>
      </c>
      <c r="BN284" s="6" t="s">
        <v>163</v>
      </c>
      <c r="BO284" s="6" t="s">
        <v>163</v>
      </c>
      <c r="BP284" s="6" t="s">
        <v>347</v>
      </c>
      <c r="BQ284" s="0" t="n">
        <v>40.739961</v>
      </c>
      <c r="BR284" s="0" t="n">
        <v>-73.990971</v>
      </c>
      <c r="BS284" s="6" t="s">
        <v>168</v>
      </c>
      <c r="BT284" s="0" t="n">
        <v>0</v>
      </c>
      <c r="BU284" s="6" t="s">
        <v>1197</v>
      </c>
      <c r="BV284" s="6" t="s">
        <v>1198</v>
      </c>
      <c r="BW284" s="6" t="s">
        <v>4232</v>
      </c>
      <c r="BX284" s="6" t="s">
        <v>3103</v>
      </c>
      <c r="BY284" s="6" t="s">
        <v>248</v>
      </c>
      <c r="CC284" s="6" t="s">
        <v>739</v>
      </c>
      <c r="CE284" s="6" t="s">
        <v>162</v>
      </c>
      <c r="CH284" s="6" t="s">
        <v>163</v>
      </c>
      <c r="CJ284" s="6" t="s">
        <v>163</v>
      </c>
      <c r="CK284" s="6" t="s">
        <v>162</v>
      </c>
      <c r="CL284" s="6" t="s">
        <v>163</v>
      </c>
      <c r="CO284" s="0" t="n">
        <v>20</v>
      </c>
      <c r="CP284" s="6" t="s">
        <v>4068</v>
      </c>
      <c r="CQ284" s="6" t="s">
        <v>4069</v>
      </c>
      <c r="CR284" s="6" t="s">
        <v>206</v>
      </c>
      <c r="CS284" s="0" t="n">
        <v>0</v>
      </c>
      <c r="CT284" s="0" t="n">
        <v>34</v>
      </c>
      <c r="CU284" s="0" t="n">
        <v>0</v>
      </c>
      <c r="CV284" s="0" t="n">
        <v>15</v>
      </c>
      <c r="CW284" s="0" t="n">
        <v>6</v>
      </c>
      <c r="CX284" s="0" t="n">
        <v>13</v>
      </c>
      <c r="CY284" s="6" t="n">
        <f aca="false">IF(AH284="exact",10,IF(AH284="adjacent",5,0))</f>
        <v>0</v>
      </c>
      <c r="CZ284" s="6" t="n">
        <f aca="false">IF(R284="Y",15,0)</f>
        <v>0</v>
      </c>
      <c r="DF284" s="6" t="s">
        <v>158</v>
      </c>
      <c r="DG284" s="6" t="s">
        <v>211</v>
      </c>
      <c r="DJ284" s="6" t="s">
        <v>4237</v>
      </c>
      <c r="DK284" s="6" t="s">
        <v>4238</v>
      </c>
      <c r="DS284" s="6" t="s">
        <v>158</v>
      </c>
      <c r="DX284" s="6" t="s">
        <v>162</v>
      </c>
      <c r="ER284" s="0" t="str">
        <f aca="false">IF(ISNUMBER(MATCH(U284,{"queued","contacted","replied","call_booked","call_done","yes_in_principle","materials_sent"},0)),"Y","N")</f>
        <v>N</v>
      </c>
      <c r="ES284" s="0" t="str">
        <f aca="false">IF(COUNTIFS($AP$2:$AP$1000,AP284,$ER$2:$ER$1000,"Y")+COUNTIFS($AP$2:$AP$1000,AP284,$T$2:$T$1000,"Y")&gt;0,"Y","N")</f>
        <v>N</v>
      </c>
      <c r="ET284" s="0" t="str">
        <f aca="false">IF(AND(U284="new",T284="N",AT284="Y",AS284="",ES284="N"),"Y","N")</f>
        <v>N</v>
      </c>
      <c r="EU284" s="0" t="str">
        <f aca="false">IF(ET284&lt;&gt;"Y","N",IF(COUNTIFS($AP$2:$AP$1000,AP284,$ET$2:$ET$1000,"Y",$J$2:$J$1000,"&gt;"&amp;J284)+COUNTIFS($AP$2:$AP$1000,AP284,$ET$2:$ET$1000,"Y",$J$2:$J$1000,J284,$EW$2:$EW$1000,"&lt;"&amp;EW284)=0,"Y","N"))</f>
        <v>N</v>
      </c>
      <c r="EV284" s="0" t="str">
        <f aca="false">IF(Y284="","N",IF(Y284&lt;=10,"Y","N"))</f>
        <v>N</v>
      </c>
      <c r="EW284" s="6" t="n">
        <f aca="false">ROW()-1</f>
        <v>283</v>
      </c>
    </row>
    <row r="285" customFormat="false" ht="15" hidden="false" customHeight="false" outlineLevel="0" collapsed="false">
      <c r="A285" s="0" t="s">
        <v>4239</v>
      </c>
      <c r="B285" s="0" t="s">
        <v>4240</v>
      </c>
      <c r="H285" s="5" t="s">
        <v>158</v>
      </c>
      <c r="I285" s="5" t="s">
        <v>159</v>
      </c>
      <c r="J285" s="6" t="n">
        <f aca="false">IF(AX285="pass",ROUND(CU285+CV285+CW285+CX285+CY285+CZ285,1),0)</f>
        <v>0</v>
      </c>
      <c r="K285" s="6" t="s">
        <v>4241</v>
      </c>
      <c r="L285" s="6" t="s">
        <v>1323</v>
      </c>
      <c r="R285" s="5" t="s">
        <v>162</v>
      </c>
      <c r="S285" s="6" t="s">
        <v>163</v>
      </c>
      <c r="T285" s="5" t="s">
        <v>162</v>
      </c>
      <c r="U285" s="5" t="s">
        <v>228</v>
      </c>
      <c r="V285" s="6" t="s">
        <v>1291</v>
      </c>
      <c r="W285" s="6" t="s">
        <v>166</v>
      </c>
      <c r="X285" s="6" t="s">
        <v>167</v>
      </c>
      <c r="Y285" s="0" t="str">
        <f aca="false">IF(EU285&lt;&gt;"Y","",COUNTIFS($EU$2:$EU$1000,"Y",$J$2:$J$1000,"&gt;"&amp;J285)+COUNTIFS($EU$2:$EU$1000,"Y",$J$2:$J$1000,J285,$EW$2:$EW$1000,"&lt;"&amp;EW285)+1)</f>
        <v/>
      </c>
      <c r="AA285" s="6" t="s">
        <v>162</v>
      </c>
      <c r="AD285" s="6" t="s">
        <v>158</v>
      </c>
      <c r="AH285" s="5" t="s">
        <v>158</v>
      </c>
      <c r="AI285" s="6" t="s">
        <v>1293</v>
      </c>
      <c r="AJ285" s="6" t="s">
        <v>163</v>
      </c>
      <c r="AK285" s="6" t="s">
        <v>178</v>
      </c>
      <c r="AL285" s="0" t="n">
        <v>690</v>
      </c>
      <c r="AM285" s="0" t="n">
        <v>13800</v>
      </c>
      <c r="AN285" s="6" t="s">
        <v>179</v>
      </c>
      <c r="AO285" s="6" t="s">
        <v>163</v>
      </c>
      <c r="AP285" s="6" t="s">
        <v>4239</v>
      </c>
      <c r="AQ285" s="5" t="s">
        <v>162</v>
      </c>
      <c r="AT285" s="0" t="str">
        <f aca="false">IF(AND(AX285="pass",AQ285&lt;&gt;"Y",C285&lt;&gt;"",OR(AW285&lt;&gt;"Y",AV285="Y")),"Y","N")</f>
        <v>N</v>
      </c>
      <c r="AU285" s="0" t="str">
        <f aca="false">_xlfn.TEXTJOIN("; ",TRUE(),IF(AX285&lt;&gt;"pass","gated out",""),IF(AQ285="Y","on hold: "&amp;AR285,""),IF(C285="","no contact named on an opened page",""),IF(AND(AW285="Y",AV285&lt;&gt;"Y"),"Tuesday estimate band "&amp;L285&amp;": founder's call",""))</f>
        <v>gated out; no contact named on an opened page; Tuesday estimate band over-500: founder's call</v>
      </c>
      <c r="AW285" s="6" t="s">
        <v>168</v>
      </c>
      <c r="AX285" s="6" t="s">
        <v>3704</v>
      </c>
      <c r="AY285" s="6" t="s">
        <v>4242</v>
      </c>
      <c r="AZ285" s="6" t="s">
        <v>1</v>
      </c>
      <c r="BA285" s="6" t="s">
        <v>4243</v>
      </c>
      <c r="BB285" s="6" t="s">
        <v>4244</v>
      </c>
      <c r="BC285" s="6" t="s">
        <v>4245</v>
      </c>
      <c r="BD285" s="6" t="s">
        <v>4246</v>
      </c>
      <c r="BF285" s="6" t="s">
        <v>1323</v>
      </c>
      <c r="BG285" s="6" t="s">
        <v>188</v>
      </c>
      <c r="BH285" s="6" t="s">
        <v>189</v>
      </c>
      <c r="BI285" s="6" t="s">
        <v>4247</v>
      </c>
      <c r="BK285" s="6" t="s">
        <v>3288</v>
      </c>
      <c r="BL285" s="6" t="s">
        <v>163</v>
      </c>
      <c r="BM285" s="6" t="s">
        <v>163</v>
      </c>
      <c r="BN285" s="6" t="s">
        <v>163</v>
      </c>
      <c r="BO285" s="6" t="s">
        <v>163</v>
      </c>
      <c r="BP285" s="6" t="s">
        <v>378</v>
      </c>
      <c r="BQ285" s="0" t="n">
        <v>40.7409</v>
      </c>
      <c r="BR285" s="0" t="n">
        <v>-73.994512</v>
      </c>
      <c r="BS285" s="6" t="s">
        <v>168</v>
      </c>
      <c r="BT285" s="0" t="n">
        <v>0</v>
      </c>
      <c r="BU285" s="6" t="s">
        <v>1302</v>
      </c>
      <c r="BV285" s="6" t="s">
        <v>1303</v>
      </c>
      <c r="BW285" s="6" t="s">
        <v>1291</v>
      </c>
      <c r="BX285" s="6" t="s">
        <v>1292</v>
      </c>
      <c r="BY285" s="6" t="s">
        <v>248</v>
      </c>
      <c r="BZ285" s="6" t="s">
        <v>4248</v>
      </c>
      <c r="CA285" s="6" t="s">
        <v>4249</v>
      </c>
      <c r="CC285" s="6" t="s">
        <v>739</v>
      </c>
      <c r="CE285" s="6" t="s">
        <v>162</v>
      </c>
      <c r="CH285" s="6" t="s">
        <v>163</v>
      </c>
      <c r="CJ285" s="6" t="s">
        <v>163</v>
      </c>
      <c r="CK285" s="6" t="s">
        <v>162</v>
      </c>
      <c r="CL285" s="6" t="s">
        <v>163</v>
      </c>
      <c r="CO285" s="0" t="n">
        <v>3086</v>
      </c>
      <c r="CP285" s="6" t="s">
        <v>3817</v>
      </c>
      <c r="CQ285" s="6" t="s">
        <v>4250</v>
      </c>
      <c r="CR285" s="6" t="s">
        <v>206</v>
      </c>
      <c r="CS285" s="0" t="n">
        <v>0</v>
      </c>
      <c r="CT285" s="0" t="n">
        <v>19</v>
      </c>
      <c r="CU285" s="0" t="n">
        <v>0</v>
      </c>
      <c r="CV285" s="0" t="n">
        <v>0</v>
      </c>
      <c r="CW285" s="0" t="n">
        <v>6</v>
      </c>
      <c r="CX285" s="0" t="n">
        <v>13</v>
      </c>
      <c r="CY285" s="6" t="n">
        <f aca="false">IF(AH285="exact",10,IF(AH285="adjacent",5,0))</f>
        <v>0</v>
      </c>
      <c r="CZ285" s="6" t="n">
        <f aca="false">IF(R285="Y",15,0)</f>
        <v>0</v>
      </c>
      <c r="DF285" s="6" t="s">
        <v>158</v>
      </c>
      <c r="DG285" s="6" t="s">
        <v>1336</v>
      </c>
      <c r="DH285" s="6" t="s">
        <v>3291</v>
      </c>
      <c r="DI285" s="6" t="s">
        <v>162</v>
      </c>
      <c r="DJ285" s="6" t="s">
        <v>4251</v>
      </c>
      <c r="DK285" s="6" t="s">
        <v>4252</v>
      </c>
      <c r="DS285" s="6" t="s">
        <v>158</v>
      </c>
      <c r="DX285" s="6" t="s">
        <v>162</v>
      </c>
      <c r="ER285" s="0" t="str">
        <f aca="false">IF(ISNUMBER(MATCH(U285,{"queued","contacted","replied","call_booked","call_done","yes_in_principle","materials_sent"},0)),"Y","N")</f>
        <v>N</v>
      </c>
      <c r="ES285" s="0" t="str">
        <f aca="false">IF(COUNTIFS($AP$2:$AP$1000,AP285,$ER$2:$ER$1000,"Y")+COUNTIFS($AP$2:$AP$1000,AP285,$T$2:$T$1000,"Y")&gt;0,"Y","N")</f>
        <v>N</v>
      </c>
      <c r="ET285" s="0" t="str">
        <f aca="false">IF(AND(U285="new",T285="N",AT285="Y",AS285="",ES285="N"),"Y","N")</f>
        <v>N</v>
      </c>
      <c r="EU285" s="0" t="str">
        <f aca="false">IF(ET285&lt;&gt;"Y","N",IF(COUNTIFS($AP$2:$AP$1000,AP285,$ET$2:$ET$1000,"Y",$J$2:$J$1000,"&gt;"&amp;J285)+COUNTIFS($AP$2:$AP$1000,AP285,$ET$2:$ET$1000,"Y",$J$2:$J$1000,J285,$EW$2:$EW$1000,"&lt;"&amp;EW285)=0,"Y","N"))</f>
        <v>N</v>
      </c>
      <c r="EV285" s="0" t="str">
        <f aca="false">IF(Y285="","N",IF(Y285&lt;=10,"Y","N"))</f>
        <v>N</v>
      </c>
      <c r="EW285" s="6" t="n">
        <f aca="false">ROW()-1</f>
        <v>284</v>
      </c>
    </row>
    <row r="286" customFormat="false" ht="15" hidden="false" customHeight="false" outlineLevel="0" collapsed="false">
      <c r="A286" s="0" t="s">
        <v>4253</v>
      </c>
      <c r="B286" s="0" t="s">
        <v>4254</v>
      </c>
      <c r="H286" s="5" t="s">
        <v>158</v>
      </c>
      <c r="I286" s="5" t="s">
        <v>159</v>
      </c>
      <c r="J286" s="6" t="n">
        <f aca="false">IF(AX286="pass",ROUND(CU286+CV286+CW286+CX286+CY286+CZ286,1),0)</f>
        <v>0</v>
      </c>
      <c r="K286" s="6" t="s">
        <v>4255</v>
      </c>
      <c r="L286" s="6" t="s">
        <v>1323</v>
      </c>
      <c r="O286" s="6" t="s">
        <v>4256</v>
      </c>
      <c r="P286" s="6" t="s">
        <v>1775</v>
      </c>
      <c r="Q286" s="6" t="s">
        <v>1776</v>
      </c>
      <c r="R286" s="5" t="s">
        <v>162</v>
      </c>
      <c r="S286" s="6" t="s">
        <v>163</v>
      </c>
      <c r="T286" s="5" t="s">
        <v>162</v>
      </c>
      <c r="U286" s="5" t="s">
        <v>228</v>
      </c>
      <c r="V286" s="6" t="s">
        <v>1775</v>
      </c>
      <c r="W286" s="6" t="s">
        <v>166</v>
      </c>
      <c r="X286" s="6" t="s">
        <v>167</v>
      </c>
      <c r="Y286" s="0" t="str">
        <f aca="false">IF(EU286&lt;&gt;"Y","",COUNTIFS($EU$2:$EU$1000,"Y",$J$2:$J$1000,"&gt;"&amp;J286)+COUNTIFS($EU$2:$EU$1000,"Y",$J$2:$J$1000,J286,$EW$2:$EW$1000,"&lt;"&amp;EW286)+1)</f>
        <v/>
      </c>
      <c r="AA286" s="6" t="s">
        <v>162</v>
      </c>
      <c r="AD286" s="6" t="s">
        <v>158</v>
      </c>
      <c r="AH286" s="5" t="s">
        <v>158</v>
      </c>
      <c r="AI286" s="6" t="s">
        <v>1768</v>
      </c>
      <c r="AJ286" s="6" t="s">
        <v>434</v>
      </c>
      <c r="AK286" s="6" t="s">
        <v>890</v>
      </c>
      <c r="AL286" s="0" t="n">
        <v>599</v>
      </c>
      <c r="AM286" s="0" t="n">
        <v>11976</v>
      </c>
      <c r="AN286" s="6" t="s">
        <v>179</v>
      </c>
      <c r="AO286" s="6" t="s">
        <v>163</v>
      </c>
      <c r="AP286" s="6" t="s">
        <v>4253</v>
      </c>
      <c r="AQ286" s="5" t="s">
        <v>168</v>
      </c>
      <c r="AR286" s="6" t="s">
        <v>891</v>
      </c>
      <c r="AT286" s="0" t="str">
        <f aca="false">IF(AND(AX286="pass",AQ286&lt;&gt;"Y",C286&lt;&gt;"",OR(AW286&lt;&gt;"Y",AV286="Y")),"Y","N")</f>
        <v>N</v>
      </c>
      <c r="AU286" s="0" t="str">
        <f aca="false">_xlfn.TEXTJOIN("; ",TRUE(),IF(AX286&lt;&gt;"pass","gated out",""),IF(AQ286="Y","on hold: "&amp;AR286,""),IF(C286="","no contact named on an opened page",""),IF(AND(AW286="Y",AV286&lt;&gt;"Y"),"Tuesday estimate band "&amp;L286&amp;": founder's call",""))</f>
        <v>gated out; on hold: lease signed, move not confirmed: check the lobby directory before outreach (B); no contact named on an opened page; Tuesday estimate band over-500: founder's call</v>
      </c>
      <c r="AW286" s="6" t="s">
        <v>168</v>
      </c>
      <c r="AX286" s="6" t="s">
        <v>3704</v>
      </c>
      <c r="AY286" s="6" t="s">
        <v>4257</v>
      </c>
      <c r="AZ286" s="6" t="s">
        <v>1</v>
      </c>
      <c r="BA286" s="6" t="s">
        <v>4258</v>
      </c>
      <c r="BB286" s="6" t="s">
        <v>4259</v>
      </c>
      <c r="BC286" s="6" t="s">
        <v>4260</v>
      </c>
      <c r="BD286" s="6" t="s">
        <v>4261</v>
      </c>
      <c r="BF286" s="6" t="s">
        <v>1323</v>
      </c>
      <c r="BG286" s="6" t="s">
        <v>188</v>
      </c>
      <c r="BH286" s="6" t="s">
        <v>189</v>
      </c>
      <c r="BI286" s="6" t="s">
        <v>4262</v>
      </c>
      <c r="BK286" s="6" t="s">
        <v>3288</v>
      </c>
      <c r="BL286" s="6" t="s">
        <v>4263</v>
      </c>
      <c r="BM286" s="6" t="s">
        <v>162</v>
      </c>
      <c r="BN286" s="6" t="s">
        <v>163</v>
      </c>
      <c r="BO286" s="6" t="s">
        <v>163</v>
      </c>
      <c r="BP286" s="6" t="s">
        <v>378</v>
      </c>
      <c r="BQ286" s="0" t="n">
        <v>40.738461</v>
      </c>
      <c r="BR286" s="0" t="n">
        <v>-73.992523</v>
      </c>
      <c r="BS286" s="6" t="s">
        <v>168</v>
      </c>
      <c r="BT286" s="0" t="n">
        <v>0</v>
      </c>
      <c r="BV286" s="6" t="s">
        <v>163</v>
      </c>
      <c r="BW286" s="6" t="s">
        <v>1775</v>
      </c>
      <c r="BX286" s="6" t="s">
        <v>1776</v>
      </c>
      <c r="BY286" s="6" t="s">
        <v>248</v>
      </c>
      <c r="CC286" s="6" t="s">
        <v>739</v>
      </c>
      <c r="CD286" s="6" t="s">
        <v>163</v>
      </c>
      <c r="CE286" s="6" t="s">
        <v>162</v>
      </c>
      <c r="CH286" s="6" t="s">
        <v>163</v>
      </c>
      <c r="CJ286" s="6" t="s">
        <v>163</v>
      </c>
      <c r="CK286" s="6" t="s">
        <v>162</v>
      </c>
      <c r="CL286" s="6" t="s">
        <v>163</v>
      </c>
      <c r="CO286" s="0" t="n">
        <v>2678</v>
      </c>
      <c r="CP286" s="6" t="s">
        <v>3817</v>
      </c>
      <c r="CQ286" s="6" t="s">
        <v>4264</v>
      </c>
      <c r="CR286" s="6" t="s">
        <v>206</v>
      </c>
      <c r="CS286" s="0" t="n">
        <v>0</v>
      </c>
      <c r="CT286" s="0" t="n">
        <v>11</v>
      </c>
      <c r="CU286" s="0" t="n">
        <v>0</v>
      </c>
      <c r="CV286" s="0" t="n">
        <v>0</v>
      </c>
      <c r="CW286" s="0" t="n">
        <v>6</v>
      </c>
      <c r="CX286" s="0" t="n">
        <v>5</v>
      </c>
      <c r="CY286" s="6" t="n">
        <f aca="false">IF(AH286="exact",10,IF(AH286="adjacent",5,0))</f>
        <v>0</v>
      </c>
      <c r="CZ286" s="6" t="n">
        <f aca="false">IF(R286="Y",15,0)</f>
        <v>0</v>
      </c>
      <c r="DF286" s="6" t="s">
        <v>158</v>
      </c>
      <c r="DG286" s="6" t="s">
        <v>1336</v>
      </c>
      <c r="DH286" s="6" t="s">
        <v>3291</v>
      </c>
      <c r="DI286" s="6" t="s">
        <v>162</v>
      </c>
      <c r="DJ286" s="6" t="s">
        <v>4265</v>
      </c>
      <c r="DK286" s="6" t="s">
        <v>4266</v>
      </c>
      <c r="DS286" s="6" t="s">
        <v>158</v>
      </c>
      <c r="DX286" s="6" t="s">
        <v>162</v>
      </c>
      <c r="ER286" s="0" t="str">
        <f aca="false">IF(ISNUMBER(MATCH(U286,{"queued","contacted","replied","call_booked","call_done","yes_in_principle","materials_sent"},0)),"Y","N")</f>
        <v>N</v>
      </c>
      <c r="ES286" s="0" t="str">
        <f aca="false">IF(COUNTIFS($AP$2:$AP$1000,AP286,$ER$2:$ER$1000,"Y")+COUNTIFS($AP$2:$AP$1000,AP286,$T$2:$T$1000,"Y")&gt;0,"Y","N")</f>
        <v>N</v>
      </c>
      <c r="ET286" s="0" t="str">
        <f aca="false">IF(AND(U286="new",T286="N",AT286="Y",AS286="",ES286="N"),"Y","N")</f>
        <v>N</v>
      </c>
      <c r="EU286" s="0" t="str">
        <f aca="false">IF(ET286&lt;&gt;"Y","N",IF(COUNTIFS($AP$2:$AP$1000,AP286,$ET$2:$ET$1000,"Y",$J$2:$J$1000,"&gt;"&amp;J286)+COUNTIFS($AP$2:$AP$1000,AP286,$ET$2:$ET$1000,"Y",$J$2:$J$1000,J286,$EW$2:$EW$1000,"&lt;"&amp;EW286)=0,"Y","N"))</f>
        <v>N</v>
      </c>
      <c r="EV286" s="0" t="str">
        <f aca="false">IF(Y286="","N",IF(Y286&lt;=10,"Y","N"))</f>
        <v>N</v>
      </c>
      <c r="EW286" s="6" t="n">
        <f aca="false">ROW()-1</f>
        <v>285</v>
      </c>
    </row>
    <row r="287" customFormat="false" ht="15" hidden="false" customHeight="false" outlineLevel="0" collapsed="false">
      <c r="A287" s="0" t="s">
        <v>4267</v>
      </c>
      <c r="B287" s="0" t="s">
        <v>4268</v>
      </c>
      <c r="H287" s="5" t="s">
        <v>158</v>
      </c>
      <c r="I287" s="5" t="s">
        <v>159</v>
      </c>
      <c r="J287" s="6" t="n">
        <f aca="false">IF(AX287="pass",ROUND(CU287+CV287+CW287+CX287+CY287+CZ287,1),0)</f>
        <v>0</v>
      </c>
      <c r="K287" s="6" t="s">
        <v>4269</v>
      </c>
      <c r="L287" s="6" t="s">
        <v>1323</v>
      </c>
      <c r="O287" s="6" t="s">
        <v>4270</v>
      </c>
      <c r="P287" s="6" t="s">
        <v>4271</v>
      </c>
      <c r="Q287" s="6" t="s">
        <v>4272</v>
      </c>
      <c r="R287" s="5" t="s">
        <v>162</v>
      </c>
      <c r="S287" s="6" t="s">
        <v>163</v>
      </c>
      <c r="T287" s="5" t="s">
        <v>162</v>
      </c>
      <c r="U287" s="5" t="s">
        <v>228</v>
      </c>
      <c r="V287" s="6" t="s">
        <v>4271</v>
      </c>
      <c r="W287" s="6" t="s">
        <v>166</v>
      </c>
      <c r="X287" s="6" t="s">
        <v>167</v>
      </c>
      <c r="Y287" s="0" t="str">
        <f aca="false">IF(EU287&lt;&gt;"Y","",COUNTIFS($EU$2:$EU$1000,"Y",$J$2:$J$1000,"&gt;"&amp;J287)+COUNTIFS($EU$2:$EU$1000,"Y",$J$2:$J$1000,J287,$EW$2:$EW$1000,"&lt;"&amp;EW287)+1)</f>
        <v/>
      </c>
      <c r="AA287" s="6" t="s">
        <v>162</v>
      </c>
      <c r="AD287" s="6" t="s">
        <v>158</v>
      </c>
      <c r="AH287" s="5" t="s">
        <v>158</v>
      </c>
      <c r="AI287" s="6" t="s">
        <v>4273</v>
      </c>
      <c r="AJ287" s="6" t="s">
        <v>163</v>
      </c>
      <c r="AK287" s="6" t="s">
        <v>178</v>
      </c>
      <c r="AL287" s="0" t="n">
        <v>899</v>
      </c>
      <c r="AM287" s="0" t="n">
        <v>1798</v>
      </c>
      <c r="AN287" s="6" t="s">
        <v>179</v>
      </c>
      <c r="AO287" s="6" t="s">
        <v>163</v>
      </c>
      <c r="AP287" s="6" t="s">
        <v>4267</v>
      </c>
      <c r="AQ287" s="5" t="s">
        <v>162</v>
      </c>
      <c r="AT287" s="0" t="str">
        <f aca="false">IF(AND(AX287="pass",AQ287&lt;&gt;"Y",C287&lt;&gt;"",OR(AW287&lt;&gt;"Y",AV287="Y")),"Y","N")</f>
        <v>N</v>
      </c>
      <c r="AU287" s="0" t="str">
        <f aca="false">_xlfn.TEXTJOIN("; ",TRUE(),IF(AX287&lt;&gt;"pass","gated out",""),IF(AQ287="Y","on hold: "&amp;AR287,""),IF(C287="","no contact named on an opened page",""),IF(AND(AW287="Y",AV287&lt;&gt;"Y"),"Tuesday estimate band "&amp;L287&amp;": founder's call",""))</f>
        <v>gated out; no contact named on an opened page; Tuesday estimate band over-500: founder's call</v>
      </c>
      <c r="AW287" s="6" t="s">
        <v>168</v>
      </c>
      <c r="AX287" s="6" t="s">
        <v>3704</v>
      </c>
      <c r="AY287" s="6" t="s">
        <v>4274</v>
      </c>
      <c r="AZ287" s="6" t="s">
        <v>1</v>
      </c>
      <c r="BA287" s="6" t="s">
        <v>4275</v>
      </c>
      <c r="BB287" s="6" t="s">
        <v>4276</v>
      </c>
      <c r="BC287" s="6" t="s">
        <v>4277</v>
      </c>
      <c r="BD287" s="6" t="s">
        <v>4278</v>
      </c>
      <c r="BF287" s="6" t="s">
        <v>1323</v>
      </c>
      <c r="BG287" s="6" t="s">
        <v>188</v>
      </c>
      <c r="BH287" s="6" t="s">
        <v>189</v>
      </c>
      <c r="BI287" s="6" t="s">
        <v>4279</v>
      </c>
      <c r="BK287" s="6" t="s">
        <v>1440</v>
      </c>
      <c r="BL287" s="6" t="s">
        <v>192</v>
      </c>
      <c r="BM287" s="6" t="s">
        <v>168</v>
      </c>
      <c r="BN287" s="6" t="s">
        <v>163</v>
      </c>
      <c r="BO287" s="6" t="s">
        <v>163</v>
      </c>
      <c r="BP287" s="6" t="s">
        <v>193</v>
      </c>
      <c r="BQ287" s="0" t="n">
        <v>40.737275</v>
      </c>
      <c r="BR287" s="0" t="n">
        <v>-73.988244</v>
      </c>
      <c r="BS287" s="6" t="s">
        <v>168</v>
      </c>
      <c r="BT287" s="0" t="n">
        <v>0</v>
      </c>
      <c r="BV287" s="6" t="s">
        <v>163</v>
      </c>
      <c r="BW287" s="6" t="s">
        <v>4271</v>
      </c>
      <c r="BX287" s="6" t="s">
        <v>4272</v>
      </c>
      <c r="BY287" s="6" t="s">
        <v>248</v>
      </c>
      <c r="CC287" s="6" t="s">
        <v>739</v>
      </c>
      <c r="CE287" s="6" t="s">
        <v>162</v>
      </c>
      <c r="CH287" s="6" t="s">
        <v>163</v>
      </c>
      <c r="CJ287" s="6" t="s">
        <v>163</v>
      </c>
      <c r="CK287" s="6" t="s">
        <v>162</v>
      </c>
      <c r="CL287" s="6" t="s">
        <v>163</v>
      </c>
      <c r="CO287" s="0" t="n">
        <v>1271</v>
      </c>
      <c r="CP287" s="6" t="s">
        <v>3817</v>
      </c>
      <c r="CQ287" s="6" t="s">
        <v>4280</v>
      </c>
      <c r="CR287" s="6" t="s">
        <v>206</v>
      </c>
      <c r="CS287" s="0" t="n">
        <v>0</v>
      </c>
      <c r="CT287" s="0" t="n">
        <v>21</v>
      </c>
      <c r="CU287" s="0" t="n">
        <v>0</v>
      </c>
      <c r="CV287" s="0" t="n">
        <v>2</v>
      </c>
      <c r="CW287" s="0" t="n">
        <v>6</v>
      </c>
      <c r="CX287" s="0" t="n">
        <v>13</v>
      </c>
      <c r="CY287" s="6" t="n">
        <f aca="false">IF(AH287="exact",10,IF(AH287="adjacent",5,0))</f>
        <v>0</v>
      </c>
      <c r="CZ287" s="6" t="n">
        <f aca="false">IF(R287="Y",15,0)</f>
        <v>0</v>
      </c>
      <c r="DF287" s="6" t="s">
        <v>158</v>
      </c>
      <c r="DG287" s="6" t="s">
        <v>1336</v>
      </c>
      <c r="DH287" s="6" t="s">
        <v>1447</v>
      </c>
      <c r="DI287" s="6" t="s">
        <v>162</v>
      </c>
      <c r="DJ287" s="6" t="s">
        <v>4281</v>
      </c>
      <c r="DK287" s="6" t="s">
        <v>4282</v>
      </c>
      <c r="DS287" s="6" t="s">
        <v>158</v>
      </c>
      <c r="DX287" s="6" t="s">
        <v>162</v>
      </c>
      <c r="ER287" s="0" t="str">
        <f aca="false">IF(ISNUMBER(MATCH(U287,{"queued","contacted","replied","call_booked","call_done","yes_in_principle","materials_sent"},0)),"Y","N")</f>
        <v>N</v>
      </c>
      <c r="ES287" s="0" t="str">
        <f aca="false">IF(COUNTIFS($AP$2:$AP$1000,AP287,$ER$2:$ER$1000,"Y")+COUNTIFS($AP$2:$AP$1000,AP287,$T$2:$T$1000,"Y")&gt;0,"Y","N")</f>
        <v>N</v>
      </c>
      <c r="ET287" s="0" t="str">
        <f aca="false">IF(AND(U287="new",T287="N",AT287="Y",AS287="",ES287="N"),"Y","N")</f>
        <v>N</v>
      </c>
      <c r="EU287" s="0" t="str">
        <f aca="false">IF(ET287&lt;&gt;"Y","N",IF(COUNTIFS($AP$2:$AP$1000,AP287,$ET$2:$ET$1000,"Y",$J$2:$J$1000,"&gt;"&amp;J287)+COUNTIFS($AP$2:$AP$1000,AP287,$ET$2:$ET$1000,"Y",$J$2:$J$1000,J287,$EW$2:$EW$1000,"&lt;"&amp;EW287)=0,"Y","N"))</f>
        <v>N</v>
      </c>
      <c r="EV287" s="0" t="str">
        <f aca="false">IF(Y287="","N",IF(Y287&lt;=10,"Y","N"))</f>
        <v>N</v>
      </c>
      <c r="EW287" s="6" t="n">
        <f aca="false">ROW()-1</f>
        <v>286</v>
      </c>
    </row>
    <row r="288" customFormat="false" ht="15" hidden="false" customHeight="false" outlineLevel="0" collapsed="false">
      <c r="A288" s="0" t="s">
        <v>4283</v>
      </c>
      <c r="B288" s="0" t="s">
        <v>4284</v>
      </c>
      <c r="H288" s="5" t="s">
        <v>158</v>
      </c>
      <c r="I288" s="5" t="s">
        <v>159</v>
      </c>
      <c r="J288" s="6" t="n">
        <f aca="false">IF(AX288="pass",ROUND(CU288+CV288+CW288+CX288+CY288+CZ288,1),0)</f>
        <v>0</v>
      </c>
      <c r="K288" s="6" t="s">
        <v>4285</v>
      </c>
      <c r="L288" s="6" t="s">
        <v>1323</v>
      </c>
      <c r="R288" s="5" t="s">
        <v>162</v>
      </c>
      <c r="S288" s="6" t="s">
        <v>163</v>
      </c>
      <c r="T288" s="5" t="s">
        <v>162</v>
      </c>
      <c r="U288" s="5" t="s">
        <v>228</v>
      </c>
      <c r="V288" s="6" t="s">
        <v>1786</v>
      </c>
      <c r="W288" s="6" t="s">
        <v>166</v>
      </c>
      <c r="X288" s="6" t="s">
        <v>167</v>
      </c>
      <c r="Y288" s="0" t="str">
        <f aca="false">IF(EU288&lt;&gt;"Y","",COUNTIFS($EU$2:$EU$1000,"Y",$J$2:$J$1000,"&gt;"&amp;J288)+COUNTIFS($EU$2:$EU$1000,"Y",$J$2:$J$1000,J288,$EW$2:$EW$1000,"&lt;"&amp;EW288)+1)</f>
        <v/>
      </c>
      <c r="AA288" s="6" t="s">
        <v>162</v>
      </c>
      <c r="AD288" s="6" t="s">
        <v>158</v>
      </c>
      <c r="AH288" s="5" t="s">
        <v>158</v>
      </c>
      <c r="AI288" s="6" t="s">
        <v>1787</v>
      </c>
      <c r="AJ288" s="6" t="s">
        <v>163</v>
      </c>
      <c r="AK288" s="6" t="s">
        <v>3189</v>
      </c>
      <c r="AL288" s="0" t="n">
        <v>7820</v>
      </c>
      <c r="AM288" s="0" t="n">
        <v>156400</v>
      </c>
      <c r="AN288" s="6" t="s">
        <v>179</v>
      </c>
      <c r="AO288" s="6" t="s">
        <v>163</v>
      </c>
      <c r="AP288" s="6" t="s">
        <v>4283</v>
      </c>
      <c r="AQ288" s="5" t="s">
        <v>168</v>
      </c>
      <c r="AR288" s="6" t="s">
        <v>3190</v>
      </c>
      <c r="AT288" s="0" t="str">
        <f aca="false">IF(AND(AX288="pass",AQ288&lt;&gt;"Y",C288&lt;&gt;"",OR(AW288&lt;&gt;"Y",AV288="Y")),"Y","N")</f>
        <v>N</v>
      </c>
      <c r="AU288" s="0" t="str">
        <f aca="false">_xlfn.TEXTJOIN("; ",TRUE(),IF(AX288&lt;&gt;"pass","gated out",""),IF(AQ288="Y","on hold: "&amp;AR288,""),IF(C288="","no contact named on an opened page",""),IF(AND(AW288="Y",AV288&lt;&gt;"Y"),"Tuesday estimate band "&amp;L288&amp;": founder's call",""))</f>
        <v>gated out; on hold: moving out of this address: confirm where the office will be before outreach (B); no contact named on an opened page; Tuesday estimate band over-500: founder's call</v>
      </c>
      <c r="AW288" s="6" t="s">
        <v>168</v>
      </c>
      <c r="AX288" s="6" t="s">
        <v>3704</v>
      </c>
      <c r="AY288" s="6" t="s">
        <v>4286</v>
      </c>
      <c r="AZ288" s="6" t="s">
        <v>1</v>
      </c>
      <c r="BA288" s="6" t="s">
        <v>4287</v>
      </c>
      <c r="BB288" s="6" t="s">
        <v>4288</v>
      </c>
      <c r="BC288" s="6" t="s">
        <v>4289</v>
      </c>
      <c r="BD288" s="6" t="s">
        <v>4290</v>
      </c>
      <c r="BF288" s="6" t="s">
        <v>1323</v>
      </c>
      <c r="BG288" s="6" t="s">
        <v>188</v>
      </c>
      <c r="BH288" s="6" t="s">
        <v>189</v>
      </c>
      <c r="BI288" s="6" t="s">
        <v>4291</v>
      </c>
      <c r="BK288" s="6" t="s">
        <v>3288</v>
      </c>
      <c r="BL288" s="6" t="s">
        <v>163</v>
      </c>
      <c r="BM288" s="6" t="s">
        <v>163</v>
      </c>
      <c r="BN288" s="6" t="s">
        <v>163</v>
      </c>
      <c r="BO288" s="6" t="s">
        <v>163</v>
      </c>
      <c r="BP288" s="6" t="s">
        <v>193</v>
      </c>
      <c r="BQ288" s="0" t="n">
        <v>40.737054</v>
      </c>
      <c r="BR288" s="0" t="n">
        <v>-73.992635</v>
      </c>
      <c r="BS288" s="6" t="s">
        <v>168</v>
      </c>
      <c r="BT288" s="0" t="n">
        <v>0</v>
      </c>
      <c r="BU288" s="6" t="s">
        <v>1795</v>
      </c>
      <c r="BV288" s="6" t="s">
        <v>1787</v>
      </c>
      <c r="BW288" s="6" t="s">
        <v>1786</v>
      </c>
      <c r="BX288" s="6" t="s">
        <v>1492</v>
      </c>
      <c r="BY288" s="6" t="s">
        <v>248</v>
      </c>
      <c r="CC288" s="6" t="s">
        <v>179</v>
      </c>
      <c r="CD288" s="6" t="s">
        <v>163</v>
      </c>
      <c r="CE288" s="6" t="s">
        <v>162</v>
      </c>
      <c r="CH288" s="6" t="s">
        <v>163</v>
      </c>
      <c r="CJ288" s="6" t="s">
        <v>163</v>
      </c>
      <c r="CK288" s="6" t="s">
        <v>162</v>
      </c>
      <c r="CL288" s="6" t="s">
        <v>163</v>
      </c>
      <c r="CO288" s="0" t="n">
        <v>34972</v>
      </c>
      <c r="CP288" s="6" t="s">
        <v>3817</v>
      </c>
      <c r="CQ288" s="6" t="s">
        <v>4292</v>
      </c>
      <c r="CR288" s="6" t="s">
        <v>206</v>
      </c>
      <c r="CS288" s="0" t="n">
        <v>0</v>
      </c>
      <c r="CT288" s="0" t="n">
        <v>6</v>
      </c>
      <c r="CU288" s="0" t="n">
        <v>0</v>
      </c>
      <c r="CV288" s="0" t="n">
        <v>0</v>
      </c>
      <c r="CW288" s="0" t="n">
        <v>6</v>
      </c>
      <c r="CX288" s="0" t="n">
        <v>0</v>
      </c>
      <c r="CY288" s="6" t="n">
        <f aca="false">IF(AH288="exact",10,IF(AH288="adjacent",5,0))</f>
        <v>0</v>
      </c>
      <c r="CZ288" s="6" t="n">
        <f aca="false">IF(R288="Y",15,0)</f>
        <v>0</v>
      </c>
      <c r="DF288" s="6" t="s">
        <v>158</v>
      </c>
      <c r="DG288" s="6" t="s">
        <v>1336</v>
      </c>
      <c r="DH288" s="6" t="s">
        <v>3291</v>
      </c>
      <c r="DI288" s="6" t="s">
        <v>162</v>
      </c>
      <c r="DJ288" s="6" t="s">
        <v>3655</v>
      </c>
      <c r="DK288" s="6" t="s">
        <v>4293</v>
      </c>
      <c r="DS288" s="6" t="s">
        <v>158</v>
      </c>
      <c r="DX288" s="6" t="s">
        <v>162</v>
      </c>
      <c r="ER288" s="0" t="str">
        <f aca="false">IF(ISNUMBER(MATCH(U288,{"queued","contacted","replied","call_booked","call_done","yes_in_principle","materials_sent"},0)),"Y","N")</f>
        <v>N</v>
      </c>
      <c r="ES288" s="0" t="str">
        <f aca="false">IF(COUNTIFS($AP$2:$AP$1000,AP288,$ER$2:$ER$1000,"Y")+COUNTIFS($AP$2:$AP$1000,AP288,$T$2:$T$1000,"Y")&gt;0,"Y","N")</f>
        <v>N</v>
      </c>
      <c r="ET288" s="0" t="str">
        <f aca="false">IF(AND(U288="new",T288="N",AT288="Y",AS288="",ES288="N"),"Y","N")</f>
        <v>N</v>
      </c>
      <c r="EU288" s="0" t="str">
        <f aca="false">IF(ET288&lt;&gt;"Y","N",IF(COUNTIFS($AP$2:$AP$1000,AP288,$ET$2:$ET$1000,"Y",$J$2:$J$1000,"&gt;"&amp;J288)+COUNTIFS($AP$2:$AP$1000,AP288,$ET$2:$ET$1000,"Y",$J$2:$J$1000,J288,$EW$2:$EW$1000,"&lt;"&amp;EW288)=0,"Y","N"))</f>
        <v>N</v>
      </c>
      <c r="EV288" s="0" t="str">
        <f aca="false">IF(Y288="","N",IF(Y288&lt;=10,"Y","N"))</f>
        <v>N</v>
      </c>
      <c r="EW288" s="6" t="n">
        <f aca="false">ROW()-1</f>
        <v>287</v>
      </c>
    </row>
    <row r="289" customFormat="false" ht="15" hidden="false" customHeight="false" outlineLevel="0" collapsed="false">
      <c r="A289" s="0" t="s">
        <v>4294</v>
      </c>
      <c r="B289" s="0" t="s">
        <v>4295</v>
      </c>
      <c r="H289" s="5" t="s">
        <v>158</v>
      </c>
      <c r="I289" s="5" t="s">
        <v>159</v>
      </c>
      <c r="J289" s="6" t="n">
        <f aca="false">IF(AX289="pass",ROUND(CU289+CV289+CW289+CX289+CY289+CZ289,1),0)</f>
        <v>0</v>
      </c>
      <c r="K289" s="6" t="s">
        <v>4296</v>
      </c>
      <c r="L289" s="6" t="s">
        <v>1323</v>
      </c>
      <c r="R289" s="5" t="s">
        <v>162</v>
      </c>
      <c r="S289" s="6" t="s">
        <v>163</v>
      </c>
      <c r="T289" s="5" t="s">
        <v>162</v>
      </c>
      <c r="U289" s="5" t="s">
        <v>228</v>
      </c>
      <c r="V289" s="6" t="s">
        <v>4297</v>
      </c>
      <c r="W289" s="6" t="s">
        <v>166</v>
      </c>
      <c r="X289" s="6" t="s">
        <v>167</v>
      </c>
      <c r="Y289" s="0" t="str">
        <f aca="false">IF(EU289&lt;&gt;"Y","",COUNTIFS($EU$2:$EU$1000,"Y",$J$2:$J$1000,"&gt;"&amp;J289)+COUNTIFS($EU$2:$EU$1000,"Y",$J$2:$J$1000,J289,$EW$2:$EW$1000,"&lt;"&amp;EW289)+1)</f>
        <v/>
      </c>
      <c r="AA289" s="6" t="s">
        <v>162</v>
      </c>
      <c r="AD289" s="6" t="s">
        <v>158</v>
      </c>
      <c r="AH289" s="5" t="s">
        <v>158</v>
      </c>
      <c r="AI289" s="6" t="s">
        <v>931</v>
      </c>
      <c r="AJ289" s="6" t="s">
        <v>1258</v>
      </c>
      <c r="AK289" s="6" t="s">
        <v>435</v>
      </c>
      <c r="AL289" s="0" t="n">
        <v>920</v>
      </c>
      <c r="AM289" s="0" t="n">
        <v>18400</v>
      </c>
      <c r="AN289" s="6" t="s">
        <v>179</v>
      </c>
      <c r="AO289" s="6" t="s">
        <v>163</v>
      </c>
      <c r="AP289" s="6" t="s">
        <v>4294</v>
      </c>
      <c r="AQ289" s="5" t="s">
        <v>162</v>
      </c>
      <c r="AT289" s="0" t="str">
        <f aca="false">IF(AND(AX289="pass",AQ289&lt;&gt;"Y",C289&lt;&gt;"",OR(AW289&lt;&gt;"Y",AV289="Y")),"Y","N")</f>
        <v>N</v>
      </c>
      <c r="AU289" s="0" t="str">
        <f aca="false">_xlfn.TEXTJOIN("; ",TRUE(),IF(AX289&lt;&gt;"pass","gated out",""),IF(AQ289="Y","on hold: "&amp;AR289,""),IF(C289="","no contact named on an opened page",""),IF(AND(AW289="Y",AV289&lt;&gt;"Y"),"Tuesday estimate band "&amp;L289&amp;": founder's call",""))</f>
        <v>gated out; no contact named on an opened page; Tuesday estimate band over-500: founder's call</v>
      </c>
      <c r="AW289" s="6" t="s">
        <v>168</v>
      </c>
      <c r="AX289" s="6" t="s">
        <v>3704</v>
      </c>
      <c r="AY289" s="6" t="s">
        <v>4298</v>
      </c>
      <c r="AZ289" s="6" t="s">
        <v>1</v>
      </c>
      <c r="BA289" s="6" t="s">
        <v>4299</v>
      </c>
      <c r="BB289" s="6" t="s">
        <v>4300</v>
      </c>
      <c r="BC289" s="6" t="s">
        <v>4301</v>
      </c>
      <c r="BD289" s="6" t="s">
        <v>3912</v>
      </c>
      <c r="BF289" s="6" t="s">
        <v>1323</v>
      </c>
      <c r="BG289" s="6" t="s">
        <v>188</v>
      </c>
      <c r="BH289" s="6" t="s">
        <v>189</v>
      </c>
      <c r="BI289" s="6" t="s">
        <v>4302</v>
      </c>
      <c r="BK289" s="6" t="s">
        <v>3288</v>
      </c>
      <c r="BL289" s="6" t="s">
        <v>163</v>
      </c>
      <c r="BM289" s="6" t="s">
        <v>163</v>
      </c>
      <c r="BN289" s="6" t="s">
        <v>163</v>
      </c>
      <c r="BO289" s="6" t="s">
        <v>163</v>
      </c>
      <c r="BP289" s="6" t="s">
        <v>712</v>
      </c>
      <c r="BQ289" s="0" t="n">
        <v>40.743939</v>
      </c>
      <c r="BR289" s="0" t="n">
        <v>-73.988677</v>
      </c>
      <c r="BS289" s="6" t="s">
        <v>168</v>
      </c>
      <c r="BT289" s="0" t="n">
        <v>0</v>
      </c>
      <c r="BU289" s="6" t="s">
        <v>938</v>
      </c>
      <c r="BV289" s="6" t="s">
        <v>939</v>
      </c>
      <c r="BW289" s="6" t="s">
        <v>4297</v>
      </c>
      <c r="BX289" s="6" t="s">
        <v>4303</v>
      </c>
      <c r="BY289" s="6" t="s">
        <v>248</v>
      </c>
      <c r="CC289" s="6" t="s">
        <v>179</v>
      </c>
      <c r="CE289" s="6" t="s">
        <v>162</v>
      </c>
      <c r="CH289" s="6" t="s">
        <v>201</v>
      </c>
      <c r="CI289" s="6" t="s">
        <v>942</v>
      </c>
      <c r="CJ289" s="6" t="s">
        <v>163</v>
      </c>
      <c r="CK289" s="6" t="s">
        <v>162</v>
      </c>
      <c r="CL289" s="6" t="s">
        <v>163</v>
      </c>
      <c r="CO289" s="0" t="n">
        <v>4114</v>
      </c>
      <c r="CP289" s="6" t="s">
        <v>3817</v>
      </c>
      <c r="CQ289" s="6" t="s">
        <v>4304</v>
      </c>
      <c r="CR289" s="6" t="s">
        <v>206</v>
      </c>
      <c r="CS289" s="0" t="n">
        <v>0</v>
      </c>
      <c r="CT289" s="0" t="n">
        <v>11</v>
      </c>
      <c r="CU289" s="0" t="n">
        <v>0</v>
      </c>
      <c r="CV289" s="0" t="n">
        <v>0</v>
      </c>
      <c r="CW289" s="0" t="n">
        <v>6</v>
      </c>
      <c r="CX289" s="0" t="n">
        <v>5</v>
      </c>
      <c r="CY289" s="6" t="n">
        <f aca="false">IF(AH289="exact",10,IF(AH289="adjacent",5,0))</f>
        <v>0</v>
      </c>
      <c r="CZ289" s="6" t="n">
        <f aca="false">IF(R289="Y",15,0)</f>
        <v>0</v>
      </c>
      <c r="DF289" s="6" t="s">
        <v>158</v>
      </c>
      <c r="DG289" s="6" t="s">
        <v>1336</v>
      </c>
      <c r="DH289" s="6" t="s">
        <v>3291</v>
      </c>
      <c r="DI289" s="6" t="s">
        <v>162</v>
      </c>
      <c r="DJ289" s="6" t="s">
        <v>4305</v>
      </c>
      <c r="DK289" s="6" t="s">
        <v>4306</v>
      </c>
      <c r="DS289" s="6" t="s">
        <v>158</v>
      </c>
      <c r="DX289" s="6" t="s">
        <v>162</v>
      </c>
      <c r="ER289" s="0" t="str">
        <f aca="false">IF(ISNUMBER(MATCH(U289,{"queued","contacted","replied","call_booked","call_done","yes_in_principle","materials_sent"},0)),"Y","N")</f>
        <v>N</v>
      </c>
      <c r="ES289" s="0" t="str">
        <f aca="false">IF(COUNTIFS($AP$2:$AP$1000,AP289,$ER$2:$ER$1000,"Y")+COUNTIFS($AP$2:$AP$1000,AP289,$T$2:$T$1000,"Y")&gt;0,"Y","N")</f>
        <v>N</v>
      </c>
      <c r="ET289" s="0" t="str">
        <f aca="false">IF(AND(U289="new",T289="N",AT289="Y",AS289="",ES289="N"),"Y","N")</f>
        <v>N</v>
      </c>
      <c r="EU289" s="0" t="str">
        <f aca="false">IF(ET289&lt;&gt;"Y","N",IF(COUNTIFS($AP$2:$AP$1000,AP289,$ET$2:$ET$1000,"Y",$J$2:$J$1000,"&gt;"&amp;J289)+COUNTIFS($AP$2:$AP$1000,AP289,$ET$2:$ET$1000,"Y",$J$2:$J$1000,J289,$EW$2:$EW$1000,"&lt;"&amp;EW289)=0,"Y","N"))</f>
        <v>N</v>
      </c>
      <c r="EV289" s="0" t="str">
        <f aca="false">IF(Y289="","N",IF(Y289&lt;=10,"Y","N"))</f>
        <v>N</v>
      </c>
      <c r="EW289" s="6" t="n">
        <f aca="false">ROW()-1</f>
        <v>288</v>
      </c>
    </row>
    <row r="290" customFormat="false" ht="15" hidden="false" customHeight="false" outlineLevel="0" collapsed="false">
      <c r="A290" s="0" t="s">
        <v>4307</v>
      </c>
      <c r="B290" s="0" t="s">
        <v>4308</v>
      </c>
      <c r="H290" s="5" t="s">
        <v>158</v>
      </c>
      <c r="I290" s="5" t="s">
        <v>159</v>
      </c>
      <c r="J290" s="6" t="n">
        <f aca="false">IF(AX290="pass",ROUND(CU290+CV290+CW290+CX290+CY290+CZ290,1),0)</f>
        <v>0</v>
      </c>
      <c r="K290" s="6" t="s">
        <v>4309</v>
      </c>
      <c r="L290" s="6" t="s">
        <v>1323</v>
      </c>
      <c r="R290" s="5" t="s">
        <v>162</v>
      </c>
      <c r="S290" s="6" t="s">
        <v>163</v>
      </c>
      <c r="T290" s="5" t="s">
        <v>162</v>
      </c>
      <c r="U290" s="5" t="s">
        <v>228</v>
      </c>
      <c r="V290" s="6" t="s">
        <v>4310</v>
      </c>
      <c r="W290" s="6" t="s">
        <v>166</v>
      </c>
      <c r="X290" s="6" t="s">
        <v>167</v>
      </c>
      <c r="Y290" s="0" t="str">
        <f aca="false">IF(EU290&lt;&gt;"Y","",COUNTIFS($EU$2:$EU$1000,"Y",$J$2:$J$1000,"&gt;"&amp;J290)+COUNTIFS($EU$2:$EU$1000,"Y",$J$2:$J$1000,J290,$EW$2:$EW$1000,"&lt;"&amp;EW290)+1)</f>
        <v/>
      </c>
      <c r="AA290" s="6" t="s">
        <v>162</v>
      </c>
      <c r="AD290" s="6" t="s">
        <v>158</v>
      </c>
      <c r="AH290" s="5" t="s">
        <v>158</v>
      </c>
      <c r="AI290" s="6" t="s">
        <v>1527</v>
      </c>
      <c r="AJ290" s="6" t="s">
        <v>472</v>
      </c>
      <c r="AK290" s="6" t="s">
        <v>435</v>
      </c>
      <c r="AL290" s="0" t="n">
        <v>301</v>
      </c>
      <c r="AM290" s="0" t="n">
        <v>6026</v>
      </c>
      <c r="AN290" s="6" t="s">
        <v>179</v>
      </c>
      <c r="AO290" s="6" t="s">
        <v>163</v>
      </c>
      <c r="AP290" s="6" t="s">
        <v>4307</v>
      </c>
      <c r="AQ290" s="5" t="s">
        <v>162</v>
      </c>
      <c r="AT290" s="0" t="str">
        <f aca="false">IF(AND(AX290="pass",AQ290&lt;&gt;"Y",C290&lt;&gt;"",OR(AW290&lt;&gt;"Y",AV290="Y")),"Y","N")</f>
        <v>N</v>
      </c>
      <c r="AU290" s="0" t="str">
        <f aca="false">_xlfn.TEXTJOIN("; ",TRUE(),IF(AX290&lt;&gt;"pass","gated out",""),IF(AQ290="Y","on hold: "&amp;AR290,""),IF(C290="","no contact named on an opened page",""),IF(AND(AW290="Y",AV290&lt;&gt;"Y"),"Tuesday estimate band "&amp;L290&amp;": founder's call",""))</f>
        <v>gated out; no contact named on an opened page; Tuesday estimate band over-500: founder's call</v>
      </c>
      <c r="AW290" s="6" t="s">
        <v>168</v>
      </c>
      <c r="AX290" s="6" t="s">
        <v>3704</v>
      </c>
      <c r="AY290" s="6" t="s">
        <v>4311</v>
      </c>
      <c r="AZ290" s="6" t="s">
        <v>1</v>
      </c>
      <c r="BA290" s="6" t="s">
        <v>4312</v>
      </c>
      <c r="BB290" s="6" t="s">
        <v>4313</v>
      </c>
      <c r="BC290" s="6" t="s">
        <v>4314</v>
      </c>
      <c r="BD290" s="6" t="s">
        <v>4315</v>
      </c>
      <c r="BF290" s="6" t="s">
        <v>1323</v>
      </c>
      <c r="BG290" s="6" t="s">
        <v>188</v>
      </c>
      <c r="BH290" s="6" t="s">
        <v>189</v>
      </c>
      <c r="BI290" s="6" t="s">
        <v>4316</v>
      </c>
      <c r="BK290" s="6" t="s">
        <v>3288</v>
      </c>
      <c r="BL290" s="6" t="s">
        <v>163</v>
      </c>
      <c r="BM290" s="6" t="s">
        <v>163</v>
      </c>
      <c r="BN290" s="6" t="s">
        <v>4317</v>
      </c>
      <c r="BO290" s="6" t="s">
        <v>163</v>
      </c>
      <c r="BP290" s="6" t="s">
        <v>244</v>
      </c>
      <c r="BQ290" s="0" t="n">
        <v>40.745027</v>
      </c>
      <c r="BR290" s="0" t="n">
        <v>-73.986825</v>
      </c>
      <c r="BS290" s="6" t="s">
        <v>168</v>
      </c>
      <c r="BT290" s="0" t="n">
        <v>0</v>
      </c>
      <c r="BU290" s="6" t="s">
        <v>1534</v>
      </c>
      <c r="BV290" s="6" t="s">
        <v>1535</v>
      </c>
      <c r="BW290" s="6" t="s">
        <v>4310</v>
      </c>
      <c r="BX290" s="6" t="s">
        <v>4318</v>
      </c>
      <c r="BY290" s="6" t="s">
        <v>248</v>
      </c>
      <c r="BZ290" s="6" t="s">
        <v>4319</v>
      </c>
      <c r="CA290" s="6" t="s">
        <v>4320</v>
      </c>
      <c r="CC290" s="6" t="s">
        <v>179</v>
      </c>
      <c r="CE290" s="6" t="s">
        <v>162</v>
      </c>
      <c r="CH290" s="6" t="s">
        <v>201</v>
      </c>
      <c r="CI290" s="6" t="s">
        <v>1537</v>
      </c>
      <c r="CJ290" s="6" t="s">
        <v>163</v>
      </c>
      <c r="CK290" s="6" t="s">
        <v>162</v>
      </c>
      <c r="CL290" s="6" t="s">
        <v>163</v>
      </c>
      <c r="CO290" s="0" t="n">
        <v>1347</v>
      </c>
      <c r="CP290" s="6" t="s">
        <v>3817</v>
      </c>
      <c r="CQ290" s="6" t="s">
        <v>4321</v>
      </c>
      <c r="CR290" s="6" t="s">
        <v>206</v>
      </c>
      <c r="CS290" s="0" t="n">
        <v>0</v>
      </c>
      <c r="CT290" s="0" t="n">
        <v>7</v>
      </c>
      <c r="CU290" s="0" t="n">
        <v>0</v>
      </c>
      <c r="CV290" s="0" t="n">
        <v>-4</v>
      </c>
      <c r="CW290" s="0" t="n">
        <v>6</v>
      </c>
      <c r="CX290" s="0" t="n">
        <v>5</v>
      </c>
      <c r="CY290" s="6" t="n">
        <f aca="false">IF(AH290="exact",10,IF(AH290="adjacent",5,0))</f>
        <v>0</v>
      </c>
      <c r="CZ290" s="6" t="n">
        <f aca="false">IF(R290="Y",15,0)</f>
        <v>0</v>
      </c>
      <c r="DF290" s="6" t="s">
        <v>158</v>
      </c>
      <c r="DG290" s="6" t="s">
        <v>1336</v>
      </c>
      <c r="DH290" s="6" t="s">
        <v>3291</v>
      </c>
      <c r="DI290" s="6" t="s">
        <v>162</v>
      </c>
      <c r="DJ290" s="6" t="s">
        <v>4322</v>
      </c>
      <c r="DK290" s="6" t="s">
        <v>4323</v>
      </c>
      <c r="DS290" s="6" t="s">
        <v>158</v>
      </c>
      <c r="DX290" s="6" t="s">
        <v>162</v>
      </c>
      <c r="ER290" s="0" t="str">
        <f aca="false">IF(ISNUMBER(MATCH(U290,{"queued","contacted","replied","call_booked","call_done","yes_in_principle","materials_sent"},0)),"Y","N")</f>
        <v>N</v>
      </c>
      <c r="ES290" s="0" t="str">
        <f aca="false">IF(COUNTIFS($AP$2:$AP$1000,AP290,$ER$2:$ER$1000,"Y")+COUNTIFS($AP$2:$AP$1000,AP290,$T$2:$T$1000,"Y")&gt;0,"Y","N")</f>
        <v>N</v>
      </c>
      <c r="ET290" s="0" t="str">
        <f aca="false">IF(AND(U290="new",T290="N",AT290="Y",AS290="",ES290="N"),"Y","N")</f>
        <v>N</v>
      </c>
      <c r="EU290" s="0" t="str">
        <f aca="false">IF(ET290&lt;&gt;"Y","N",IF(COUNTIFS($AP$2:$AP$1000,AP290,$ET$2:$ET$1000,"Y",$J$2:$J$1000,"&gt;"&amp;J290)+COUNTIFS($AP$2:$AP$1000,AP290,$ET$2:$ET$1000,"Y",$J$2:$J$1000,J290,$EW$2:$EW$1000,"&lt;"&amp;EW290)=0,"Y","N"))</f>
        <v>N</v>
      </c>
      <c r="EV290" s="0" t="str">
        <f aca="false">IF(Y290="","N",IF(Y290&lt;=10,"Y","N"))</f>
        <v>N</v>
      </c>
      <c r="EW290" s="6" t="n">
        <f aca="false">ROW()-1</f>
        <v>289</v>
      </c>
    </row>
    <row r="291" customFormat="false" ht="15" hidden="false" customHeight="false" outlineLevel="0" collapsed="false">
      <c r="A291" s="0" t="s">
        <v>4324</v>
      </c>
      <c r="B291" s="0" t="s">
        <v>4325</v>
      </c>
      <c r="H291" s="5" t="s">
        <v>158</v>
      </c>
      <c r="I291" s="5" t="s">
        <v>159</v>
      </c>
      <c r="J291" s="6" t="n">
        <f aca="false">IF(AX291="pass",ROUND(CU291+CV291+CW291+CX291+CY291+CZ291,1),0)</f>
        <v>0</v>
      </c>
      <c r="K291" s="6" t="s">
        <v>4326</v>
      </c>
      <c r="L291" s="6" t="s">
        <v>240</v>
      </c>
      <c r="R291" s="5" t="s">
        <v>162</v>
      </c>
      <c r="S291" s="6" t="s">
        <v>163</v>
      </c>
      <c r="T291" s="5" t="s">
        <v>162</v>
      </c>
      <c r="U291" s="5" t="s">
        <v>228</v>
      </c>
      <c r="V291" s="6" t="s">
        <v>4327</v>
      </c>
      <c r="W291" s="6" t="s">
        <v>166</v>
      </c>
      <c r="X291" s="6" t="s">
        <v>167</v>
      </c>
      <c r="Y291" s="0" t="str">
        <f aca="false">IF(EU291&lt;&gt;"Y","",COUNTIFS($EU$2:$EU$1000,"Y",$J$2:$J$1000,"&gt;"&amp;J291)+COUNTIFS($EU$2:$EU$1000,"Y",$J$2:$J$1000,J291,$EW$2:$EW$1000,"&lt;"&amp;EW291)+1)</f>
        <v/>
      </c>
      <c r="AA291" s="6" t="s">
        <v>162</v>
      </c>
      <c r="AD291" s="6" t="s">
        <v>158</v>
      </c>
      <c r="AH291" s="5" t="s">
        <v>158</v>
      </c>
      <c r="AI291" s="6" t="s">
        <v>1433</v>
      </c>
      <c r="AJ291" s="6" t="s">
        <v>4328</v>
      </c>
      <c r="AK291" s="6" t="s">
        <v>435</v>
      </c>
      <c r="AL291" s="0" t="n">
        <v>256</v>
      </c>
      <c r="AM291" s="0" t="n">
        <v>513</v>
      </c>
      <c r="AN291" s="6" t="s">
        <v>179</v>
      </c>
      <c r="AO291" s="6" t="s">
        <v>163</v>
      </c>
      <c r="AP291" s="6" t="s">
        <v>4324</v>
      </c>
      <c r="AQ291" s="5" t="s">
        <v>162</v>
      </c>
      <c r="AT291" s="0" t="str">
        <f aca="false">IF(AND(AX291="pass",AQ291&lt;&gt;"Y",C291&lt;&gt;"",OR(AW291&lt;&gt;"Y",AV291="Y")),"Y","N")</f>
        <v>N</v>
      </c>
      <c r="AU291" s="0" t="str">
        <f aca="false">_xlfn.TEXTJOIN("; ",TRUE(),IF(AX291&lt;&gt;"pass","gated out",""),IF(AQ291="Y","on hold: "&amp;AR291,""),IF(C291="","no contact named on an opened page",""),IF(AND(AW291="Y",AV291&lt;&gt;"Y"),"Tuesday estimate band "&amp;L291&amp;": founder's call",""))</f>
        <v>gated out; no contact named on an opened page; Tuesday estimate band 251-500: founder's call</v>
      </c>
      <c r="AW291" s="6" t="s">
        <v>168</v>
      </c>
      <c r="AX291" s="6" t="s">
        <v>3704</v>
      </c>
      <c r="AY291" s="6" t="s">
        <v>4329</v>
      </c>
      <c r="AZ291" s="6" t="s">
        <v>1</v>
      </c>
      <c r="BA291" s="6" t="s">
        <v>4330</v>
      </c>
      <c r="BB291" s="6" t="s">
        <v>4331</v>
      </c>
      <c r="BC291" s="6" t="s">
        <v>4332</v>
      </c>
      <c r="BD291" s="6" t="s">
        <v>1808</v>
      </c>
      <c r="BF291" s="6" t="s">
        <v>1323</v>
      </c>
      <c r="BG291" s="6" t="s">
        <v>188</v>
      </c>
      <c r="BH291" s="6" t="s">
        <v>189</v>
      </c>
      <c r="BI291" s="6" t="s">
        <v>4333</v>
      </c>
      <c r="BK291" s="6" t="s">
        <v>1264</v>
      </c>
      <c r="BL291" s="6" t="s">
        <v>192</v>
      </c>
      <c r="BM291" s="6" t="s">
        <v>168</v>
      </c>
      <c r="BN291" s="6" t="s">
        <v>163</v>
      </c>
      <c r="BO291" s="6" t="s">
        <v>163</v>
      </c>
      <c r="BP291" s="6" t="s">
        <v>347</v>
      </c>
      <c r="BQ291" s="0" t="n">
        <v>40.739363</v>
      </c>
      <c r="BR291" s="0" t="n">
        <v>-73.989534</v>
      </c>
      <c r="BS291" s="6" t="s">
        <v>168</v>
      </c>
      <c r="BT291" s="0" t="n">
        <v>0</v>
      </c>
      <c r="BU291" s="6" t="s">
        <v>1442</v>
      </c>
      <c r="BV291" s="6" t="s">
        <v>1443</v>
      </c>
      <c r="BW291" s="6" t="s">
        <v>4327</v>
      </c>
      <c r="BX291" s="6" t="s">
        <v>4334</v>
      </c>
      <c r="BY291" s="6" t="s">
        <v>248</v>
      </c>
      <c r="BZ291" s="6" t="s">
        <v>1445</v>
      </c>
      <c r="CA291" s="6" t="s">
        <v>4335</v>
      </c>
      <c r="CC291" s="6" t="s">
        <v>179</v>
      </c>
      <c r="CE291" s="6" t="s">
        <v>162</v>
      </c>
      <c r="CH291" s="6" t="s">
        <v>201</v>
      </c>
      <c r="CI291" s="6" t="s">
        <v>1445</v>
      </c>
      <c r="CJ291" s="6" t="s">
        <v>163</v>
      </c>
      <c r="CK291" s="6" t="s">
        <v>162</v>
      </c>
      <c r="CL291" s="6" t="s">
        <v>163</v>
      </c>
      <c r="CO291" s="0" t="n">
        <v>362</v>
      </c>
      <c r="CP291" s="6" t="s">
        <v>3817</v>
      </c>
      <c r="CQ291" s="6" t="s">
        <v>4336</v>
      </c>
      <c r="CR291" s="6" t="s">
        <v>206</v>
      </c>
      <c r="CS291" s="0" t="n">
        <v>0</v>
      </c>
      <c r="CT291" s="0" t="n">
        <v>17</v>
      </c>
      <c r="CU291" s="0" t="n">
        <v>0</v>
      </c>
      <c r="CV291" s="0" t="n">
        <v>6</v>
      </c>
      <c r="CW291" s="0" t="n">
        <v>6</v>
      </c>
      <c r="CX291" s="0" t="n">
        <v>5</v>
      </c>
      <c r="CY291" s="6" t="n">
        <f aca="false">IF(AH291="exact",10,IF(AH291="adjacent",5,0))</f>
        <v>0</v>
      </c>
      <c r="CZ291" s="6" t="n">
        <f aca="false">IF(R291="Y",15,0)</f>
        <v>0</v>
      </c>
      <c r="DF291" s="6" t="s">
        <v>158</v>
      </c>
      <c r="DG291" s="6" t="s">
        <v>1336</v>
      </c>
      <c r="DH291" s="6" t="s">
        <v>1337</v>
      </c>
      <c r="DI291" s="6" t="s">
        <v>162</v>
      </c>
      <c r="DJ291" s="6" t="s">
        <v>1448</v>
      </c>
      <c r="DK291" s="6" t="s">
        <v>4337</v>
      </c>
      <c r="DS291" s="6" t="s">
        <v>158</v>
      </c>
      <c r="DX291" s="6" t="s">
        <v>162</v>
      </c>
      <c r="ER291" s="0" t="str">
        <f aca="false">IF(ISNUMBER(MATCH(U291,{"queued","contacted","replied","call_booked","call_done","yes_in_principle","materials_sent"},0)),"Y","N")</f>
        <v>N</v>
      </c>
      <c r="ES291" s="0" t="str">
        <f aca="false">IF(COUNTIFS($AP$2:$AP$1000,AP291,$ER$2:$ER$1000,"Y")+COUNTIFS($AP$2:$AP$1000,AP291,$T$2:$T$1000,"Y")&gt;0,"Y","N")</f>
        <v>N</v>
      </c>
      <c r="ET291" s="0" t="str">
        <f aca="false">IF(AND(U291="new",T291="N",AT291="Y",AS291="",ES291="N"),"Y","N")</f>
        <v>N</v>
      </c>
      <c r="EU291" s="0" t="str">
        <f aca="false">IF(ET291&lt;&gt;"Y","N",IF(COUNTIFS($AP$2:$AP$1000,AP291,$ET$2:$ET$1000,"Y",$J$2:$J$1000,"&gt;"&amp;J291)+COUNTIFS($AP$2:$AP$1000,AP291,$ET$2:$ET$1000,"Y",$J$2:$J$1000,J291,$EW$2:$EW$1000,"&lt;"&amp;EW291)=0,"Y","N"))</f>
        <v>N</v>
      </c>
      <c r="EV291" s="0" t="str">
        <f aca="false">IF(Y291="","N",IF(Y291&lt;=10,"Y","N"))</f>
        <v>N</v>
      </c>
      <c r="EW291" s="6" t="n">
        <f aca="false">ROW()-1</f>
        <v>290</v>
      </c>
    </row>
    <row r="292" customFormat="false" ht="15" hidden="false" customHeight="false" outlineLevel="0" collapsed="false">
      <c r="A292" s="0" t="s">
        <v>4338</v>
      </c>
      <c r="B292" s="0" t="s">
        <v>4339</v>
      </c>
      <c r="H292" s="5" t="s">
        <v>158</v>
      </c>
      <c r="I292" s="5" t="s">
        <v>159</v>
      </c>
      <c r="J292" s="6" t="n">
        <f aca="false">IF(AX292="pass",ROUND(CU292+CV292+CW292+CX292+CY292+CZ292,1),0)</f>
        <v>0</v>
      </c>
      <c r="K292" s="6" t="s">
        <v>4340</v>
      </c>
      <c r="L292" s="6" t="s">
        <v>1323</v>
      </c>
      <c r="R292" s="5" t="s">
        <v>162</v>
      </c>
      <c r="S292" s="6" t="s">
        <v>163</v>
      </c>
      <c r="T292" s="5" t="s">
        <v>162</v>
      </c>
      <c r="U292" s="5" t="s">
        <v>228</v>
      </c>
      <c r="V292" s="6" t="s">
        <v>4341</v>
      </c>
      <c r="W292" s="6" t="s">
        <v>166</v>
      </c>
      <c r="X292" s="6" t="s">
        <v>167</v>
      </c>
      <c r="Y292" s="0" t="str">
        <f aca="false">IF(EU292&lt;&gt;"Y","",COUNTIFS($EU$2:$EU$1000,"Y",$J$2:$J$1000,"&gt;"&amp;J292)+COUNTIFS($EU$2:$EU$1000,"Y",$J$2:$J$1000,J292,$EW$2:$EW$1000,"&lt;"&amp;EW292)+1)</f>
        <v/>
      </c>
      <c r="AA292" s="6" t="s">
        <v>162</v>
      </c>
      <c r="AD292" s="6" t="s">
        <v>158</v>
      </c>
      <c r="AH292" s="5" t="s">
        <v>158</v>
      </c>
      <c r="AI292" s="6" t="s">
        <v>1734</v>
      </c>
      <c r="AJ292" s="6" t="s">
        <v>1365</v>
      </c>
      <c r="AK292" s="6" t="s">
        <v>435</v>
      </c>
      <c r="AL292" s="0" t="n">
        <v>370</v>
      </c>
      <c r="AM292" s="0" t="n">
        <v>741</v>
      </c>
      <c r="AN292" s="6" t="s">
        <v>179</v>
      </c>
      <c r="AO292" s="6" t="s">
        <v>163</v>
      </c>
      <c r="AP292" s="6" t="s">
        <v>4338</v>
      </c>
      <c r="AQ292" s="5" t="s">
        <v>162</v>
      </c>
      <c r="AT292" s="0" t="str">
        <f aca="false">IF(AND(AX292="pass",AQ292&lt;&gt;"Y",C292&lt;&gt;"",OR(AW292&lt;&gt;"Y",AV292="Y")),"Y","N")</f>
        <v>N</v>
      </c>
      <c r="AU292" s="0" t="str">
        <f aca="false">_xlfn.TEXTJOIN("; ",TRUE(),IF(AX292&lt;&gt;"pass","gated out",""),IF(AQ292="Y","on hold: "&amp;AR292,""),IF(C292="","no contact named on an opened page",""),IF(AND(AW292="Y",AV292&lt;&gt;"Y"),"Tuesday estimate band "&amp;L292&amp;": founder's call",""))</f>
        <v>gated out; no contact named on an opened page; Tuesday estimate band over-500: founder's call</v>
      </c>
      <c r="AW292" s="6" t="s">
        <v>168</v>
      </c>
      <c r="AX292" s="6" t="s">
        <v>3704</v>
      </c>
      <c r="AY292" s="6" t="s">
        <v>4342</v>
      </c>
      <c r="AZ292" s="6" t="s">
        <v>1</v>
      </c>
      <c r="BA292" s="6" t="s">
        <v>4343</v>
      </c>
      <c r="BB292" s="6" t="s">
        <v>4344</v>
      </c>
      <c r="BC292" s="6" t="s">
        <v>4345</v>
      </c>
      <c r="BD292" s="6" t="s">
        <v>4346</v>
      </c>
      <c r="BF292" s="6" t="s">
        <v>1323</v>
      </c>
      <c r="BG292" s="6" t="s">
        <v>188</v>
      </c>
      <c r="BH292" s="6" t="s">
        <v>189</v>
      </c>
      <c r="BI292" s="6" t="s">
        <v>4341</v>
      </c>
      <c r="BK292" s="6" t="s">
        <v>1440</v>
      </c>
      <c r="BL292" s="6" t="s">
        <v>192</v>
      </c>
      <c r="BM292" s="6" t="s">
        <v>168</v>
      </c>
      <c r="BN292" s="6" t="s">
        <v>163</v>
      </c>
      <c r="BO292" s="6" t="s">
        <v>163</v>
      </c>
      <c r="BP292" s="6" t="s">
        <v>347</v>
      </c>
      <c r="BQ292" s="0" t="n">
        <v>40.743288</v>
      </c>
      <c r="BR292" s="0" t="n">
        <v>-73.986627</v>
      </c>
      <c r="BS292" s="6" t="s">
        <v>168</v>
      </c>
      <c r="BT292" s="0" t="n">
        <v>0</v>
      </c>
      <c r="BU292" s="6" t="s">
        <v>1740</v>
      </c>
      <c r="BV292" s="6" t="s">
        <v>1741</v>
      </c>
      <c r="BW292" s="6" t="s">
        <v>4341</v>
      </c>
      <c r="BX292" s="6" t="s">
        <v>166</v>
      </c>
      <c r="BY292" s="6" t="s">
        <v>445</v>
      </c>
      <c r="BZ292" s="6" t="s">
        <v>4347</v>
      </c>
      <c r="CA292" s="6" t="s">
        <v>4348</v>
      </c>
      <c r="CC292" s="6" t="s">
        <v>179</v>
      </c>
      <c r="CE292" s="6" t="s">
        <v>162</v>
      </c>
      <c r="CH292" s="6" t="s">
        <v>163</v>
      </c>
      <c r="CJ292" s="6" t="s">
        <v>163</v>
      </c>
      <c r="CK292" s="6" t="s">
        <v>162</v>
      </c>
      <c r="CL292" s="6" t="s">
        <v>163</v>
      </c>
      <c r="CO292" s="0" t="n">
        <v>524</v>
      </c>
      <c r="CP292" s="6" t="s">
        <v>3817</v>
      </c>
      <c r="CQ292" s="6" t="s">
        <v>4349</v>
      </c>
      <c r="CR292" s="6" t="s">
        <v>206</v>
      </c>
      <c r="CS292" s="0" t="n">
        <v>0</v>
      </c>
      <c r="CT292" s="0" t="n">
        <v>13</v>
      </c>
      <c r="CU292" s="0" t="n">
        <v>0</v>
      </c>
      <c r="CV292" s="0" t="n">
        <v>2</v>
      </c>
      <c r="CW292" s="0" t="n">
        <v>6</v>
      </c>
      <c r="CX292" s="0" t="n">
        <v>5</v>
      </c>
      <c r="CY292" s="6" t="n">
        <f aca="false">IF(AH292="exact",10,IF(AH292="adjacent",5,0))</f>
        <v>0</v>
      </c>
      <c r="CZ292" s="6" t="n">
        <f aca="false">IF(R292="Y",15,0)</f>
        <v>0</v>
      </c>
      <c r="DF292" s="6" t="s">
        <v>158</v>
      </c>
      <c r="DG292" s="6" t="s">
        <v>1336</v>
      </c>
      <c r="DH292" s="6" t="s">
        <v>1447</v>
      </c>
      <c r="DI292" s="6" t="s">
        <v>162</v>
      </c>
      <c r="DJ292" s="6" t="s">
        <v>2621</v>
      </c>
      <c r="DK292" s="6" t="s">
        <v>4350</v>
      </c>
      <c r="DS292" s="6" t="s">
        <v>158</v>
      </c>
      <c r="DX292" s="6" t="s">
        <v>162</v>
      </c>
      <c r="ER292" s="0" t="str">
        <f aca="false">IF(ISNUMBER(MATCH(U292,{"queued","contacted","replied","call_booked","call_done","yes_in_principle","materials_sent"},0)),"Y","N")</f>
        <v>N</v>
      </c>
      <c r="ES292" s="0" t="str">
        <f aca="false">IF(COUNTIFS($AP$2:$AP$1000,AP292,$ER$2:$ER$1000,"Y")+COUNTIFS($AP$2:$AP$1000,AP292,$T$2:$T$1000,"Y")&gt;0,"Y","N")</f>
        <v>N</v>
      </c>
      <c r="ET292" s="0" t="str">
        <f aca="false">IF(AND(U292="new",T292="N",AT292="Y",AS292="",ES292="N"),"Y","N")</f>
        <v>N</v>
      </c>
      <c r="EU292" s="0" t="str">
        <f aca="false">IF(ET292&lt;&gt;"Y","N",IF(COUNTIFS($AP$2:$AP$1000,AP292,$ET$2:$ET$1000,"Y",$J$2:$J$1000,"&gt;"&amp;J292)+COUNTIFS($AP$2:$AP$1000,AP292,$ET$2:$ET$1000,"Y",$J$2:$J$1000,J292,$EW$2:$EW$1000,"&lt;"&amp;EW292)=0,"Y","N"))</f>
        <v>N</v>
      </c>
      <c r="EV292" s="0" t="str">
        <f aca="false">IF(Y292="","N",IF(Y292&lt;=10,"Y","N"))</f>
        <v>N</v>
      </c>
      <c r="EW292" s="6" t="n">
        <f aca="false">ROW()-1</f>
        <v>291</v>
      </c>
    </row>
    <row r="293" customFormat="false" ht="15" hidden="false" customHeight="false" outlineLevel="0" collapsed="false">
      <c r="A293" s="0" t="s">
        <v>4351</v>
      </c>
      <c r="B293" s="0" t="s">
        <v>4352</v>
      </c>
      <c r="H293" s="5" t="s">
        <v>158</v>
      </c>
      <c r="I293" s="5" t="s">
        <v>159</v>
      </c>
      <c r="J293" s="6" t="n">
        <f aca="false">IF(AX293="pass",ROUND(CU293+CV293+CW293+CX293+CY293+CZ293,1),0)</f>
        <v>0</v>
      </c>
      <c r="K293" s="6" t="s">
        <v>4353</v>
      </c>
      <c r="L293" s="6" t="s">
        <v>1323</v>
      </c>
      <c r="R293" s="5" t="s">
        <v>162</v>
      </c>
      <c r="S293" s="6" t="s">
        <v>163</v>
      </c>
      <c r="T293" s="5" t="s">
        <v>162</v>
      </c>
      <c r="U293" s="5" t="s">
        <v>228</v>
      </c>
      <c r="V293" s="6" t="s">
        <v>4354</v>
      </c>
      <c r="W293" s="6" t="s">
        <v>166</v>
      </c>
      <c r="X293" s="6" t="s">
        <v>167</v>
      </c>
      <c r="Y293" s="0" t="str">
        <f aca="false">IF(EU293&lt;&gt;"Y","",COUNTIFS($EU$2:$EU$1000,"Y",$J$2:$J$1000,"&gt;"&amp;J293)+COUNTIFS($EU$2:$EU$1000,"Y",$J$2:$J$1000,J293,$EW$2:$EW$1000,"&lt;"&amp;EW293)+1)</f>
        <v/>
      </c>
      <c r="AA293" s="6" t="s">
        <v>162</v>
      </c>
      <c r="AD293" s="6" t="s">
        <v>158</v>
      </c>
      <c r="AH293" s="5" t="s">
        <v>158</v>
      </c>
      <c r="AI293" s="6" t="s">
        <v>4355</v>
      </c>
      <c r="AJ293" s="6" t="s">
        <v>4356</v>
      </c>
      <c r="AK293" s="6" t="s">
        <v>435</v>
      </c>
      <c r="AL293" s="0" t="n">
        <v>914</v>
      </c>
      <c r="AM293" s="0" t="n">
        <v>1827</v>
      </c>
      <c r="AN293" s="6" t="s">
        <v>179</v>
      </c>
      <c r="AO293" s="6" t="s">
        <v>163</v>
      </c>
      <c r="AP293" s="6" t="s">
        <v>4351</v>
      </c>
      <c r="AQ293" s="5" t="s">
        <v>162</v>
      </c>
      <c r="AT293" s="0" t="str">
        <f aca="false">IF(AND(AX293="pass",AQ293&lt;&gt;"Y",C293&lt;&gt;"",OR(AW293&lt;&gt;"Y",AV293="Y")),"Y","N")</f>
        <v>N</v>
      </c>
      <c r="AU293" s="0" t="str">
        <f aca="false">_xlfn.TEXTJOIN("; ",TRUE(),IF(AX293&lt;&gt;"pass","gated out",""),IF(AQ293="Y","on hold: "&amp;AR293,""),IF(C293="","no contact named on an opened page",""),IF(AND(AW293="Y",AV293&lt;&gt;"Y"),"Tuesday estimate band "&amp;L293&amp;": founder's call",""))</f>
        <v>gated out; no contact named on an opened page; Tuesday estimate band over-500: founder's call</v>
      </c>
      <c r="AW293" s="6" t="s">
        <v>168</v>
      </c>
      <c r="AX293" s="6" t="s">
        <v>3704</v>
      </c>
      <c r="AY293" s="6" t="s">
        <v>4357</v>
      </c>
      <c r="AZ293" s="6" t="s">
        <v>1</v>
      </c>
      <c r="BA293" s="6" t="s">
        <v>4358</v>
      </c>
      <c r="BB293" s="6" t="s">
        <v>4359</v>
      </c>
      <c r="BC293" s="6" t="s">
        <v>4360</v>
      </c>
      <c r="BD293" s="6" t="s">
        <v>4361</v>
      </c>
      <c r="BF293" s="6" t="s">
        <v>1323</v>
      </c>
      <c r="BG293" s="6" t="s">
        <v>188</v>
      </c>
      <c r="BH293" s="6" t="s">
        <v>189</v>
      </c>
      <c r="BI293" s="6" t="s">
        <v>4362</v>
      </c>
      <c r="BK293" s="6" t="s">
        <v>1440</v>
      </c>
      <c r="BL293" s="6" t="s">
        <v>192</v>
      </c>
      <c r="BM293" s="6" t="s">
        <v>168</v>
      </c>
      <c r="BN293" s="6" t="s">
        <v>163</v>
      </c>
      <c r="BO293" s="6" t="s">
        <v>163</v>
      </c>
      <c r="BP293" s="6" t="s">
        <v>378</v>
      </c>
      <c r="BQ293" s="0" t="n">
        <v>40.739723</v>
      </c>
      <c r="BR293" s="0" t="n">
        <v>-73.992339</v>
      </c>
      <c r="BS293" s="6" t="s">
        <v>168</v>
      </c>
      <c r="BT293" s="0" t="n">
        <v>0</v>
      </c>
      <c r="BV293" s="6" t="s">
        <v>163</v>
      </c>
      <c r="BW293" s="6" t="s">
        <v>4354</v>
      </c>
      <c r="BX293" s="6" t="s">
        <v>166</v>
      </c>
      <c r="BY293" s="6" t="s">
        <v>445</v>
      </c>
      <c r="BZ293" s="6" t="s">
        <v>4363</v>
      </c>
      <c r="CA293" s="6" t="s">
        <v>4364</v>
      </c>
      <c r="CC293" s="6" t="s">
        <v>179</v>
      </c>
      <c r="CE293" s="6" t="s">
        <v>162</v>
      </c>
      <c r="CH293" s="6" t="s">
        <v>201</v>
      </c>
      <c r="CJ293" s="6" t="s">
        <v>163</v>
      </c>
      <c r="CK293" s="6" t="s">
        <v>162</v>
      </c>
      <c r="CL293" s="6" t="s">
        <v>163</v>
      </c>
      <c r="CO293" s="0" t="n">
        <v>1292</v>
      </c>
      <c r="CP293" s="6" t="s">
        <v>3817</v>
      </c>
      <c r="CQ293" s="6" t="s">
        <v>4365</v>
      </c>
      <c r="CR293" s="6" t="s">
        <v>206</v>
      </c>
      <c r="CS293" s="0" t="n">
        <v>0</v>
      </c>
      <c r="CT293" s="0" t="n">
        <v>13</v>
      </c>
      <c r="CU293" s="0" t="n">
        <v>0</v>
      </c>
      <c r="CV293" s="0" t="n">
        <v>2</v>
      </c>
      <c r="CW293" s="0" t="n">
        <v>6</v>
      </c>
      <c r="CX293" s="0" t="n">
        <v>5</v>
      </c>
      <c r="CY293" s="6" t="n">
        <f aca="false">IF(AH293="exact",10,IF(AH293="adjacent",5,0))</f>
        <v>0</v>
      </c>
      <c r="CZ293" s="6" t="n">
        <f aca="false">IF(R293="Y",15,0)</f>
        <v>0</v>
      </c>
      <c r="DF293" s="6" t="s">
        <v>158</v>
      </c>
      <c r="DG293" s="6" t="s">
        <v>1336</v>
      </c>
      <c r="DH293" s="6" t="s">
        <v>1447</v>
      </c>
      <c r="DI293" s="6" t="s">
        <v>162</v>
      </c>
      <c r="DJ293" s="6" t="s">
        <v>4366</v>
      </c>
      <c r="DK293" s="6" t="s">
        <v>4367</v>
      </c>
      <c r="DS293" s="6" t="s">
        <v>158</v>
      </c>
      <c r="DX293" s="6" t="s">
        <v>162</v>
      </c>
      <c r="ER293" s="0" t="str">
        <f aca="false">IF(ISNUMBER(MATCH(U293,{"queued","contacted","replied","call_booked","call_done","yes_in_principle","materials_sent"},0)),"Y","N")</f>
        <v>N</v>
      </c>
      <c r="ES293" s="0" t="str">
        <f aca="false">IF(COUNTIFS($AP$2:$AP$1000,AP293,$ER$2:$ER$1000,"Y")+COUNTIFS($AP$2:$AP$1000,AP293,$T$2:$T$1000,"Y")&gt;0,"Y","N")</f>
        <v>N</v>
      </c>
      <c r="ET293" s="0" t="str">
        <f aca="false">IF(AND(U293="new",T293="N",AT293="Y",AS293="",ES293="N"),"Y","N")</f>
        <v>N</v>
      </c>
      <c r="EU293" s="0" t="str">
        <f aca="false">IF(ET293&lt;&gt;"Y","N",IF(COUNTIFS($AP$2:$AP$1000,AP293,$ET$2:$ET$1000,"Y",$J$2:$J$1000,"&gt;"&amp;J293)+COUNTIFS($AP$2:$AP$1000,AP293,$ET$2:$ET$1000,"Y",$J$2:$J$1000,J293,$EW$2:$EW$1000,"&lt;"&amp;EW293)=0,"Y","N"))</f>
        <v>N</v>
      </c>
      <c r="EV293" s="0" t="str">
        <f aca="false">IF(Y293="","N",IF(Y293&lt;=10,"Y","N"))</f>
        <v>N</v>
      </c>
      <c r="EW293" s="6" t="n">
        <f aca="false">ROW()-1</f>
        <v>292</v>
      </c>
    </row>
    <row r="294" customFormat="false" ht="15" hidden="false" customHeight="false" outlineLevel="0" collapsed="false">
      <c r="A294" s="0" t="s">
        <v>4368</v>
      </c>
      <c r="B294" s="0" t="s">
        <v>4369</v>
      </c>
      <c r="H294" s="5" t="s">
        <v>158</v>
      </c>
      <c r="I294" s="5" t="s">
        <v>159</v>
      </c>
      <c r="J294" s="6" t="n">
        <f aca="false">IF(AX294="pass",ROUND(CU294+CV294+CW294+CX294+CY294+CZ294,1),0)</f>
        <v>0</v>
      </c>
      <c r="K294" s="6" t="s">
        <v>4370</v>
      </c>
      <c r="L294" s="6" t="s">
        <v>163</v>
      </c>
      <c r="R294" s="5" t="s">
        <v>162</v>
      </c>
      <c r="S294" s="6" t="s">
        <v>163</v>
      </c>
      <c r="T294" s="5" t="s">
        <v>162</v>
      </c>
      <c r="U294" s="5" t="s">
        <v>228</v>
      </c>
      <c r="V294" s="6" t="s">
        <v>4371</v>
      </c>
      <c r="W294" s="6" t="s">
        <v>166</v>
      </c>
      <c r="X294" s="6" t="s">
        <v>167</v>
      </c>
      <c r="Y294" s="0" t="str">
        <f aca="false">IF(EU294&lt;&gt;"Y","",COUNTIFS($EU$2:$EU$1000,"Y",$J$2:$J$1000,"&gt;"&amp;J294)+COUNTIFS($EU$2:$EU$1000,"Y",$J$2:$J$1000,J294,$EW$2:$EW$1000,"&lt;"&amp;EW294)+1)</f>
        <v/>
      </c>
      <c r="AA294" s="6" t="s">
        <v>162</v>
      </c>
      <c r="AD294" s="6" t="s">
        <v>158</v>
      </c>
      <c r="AH294" s="5" t="s">
        <v>158</v>
      </c>
      <c r="AI294" s="6" t="s">
        <v>4372</v>
      </c>
      <c r="AJ294" s="6" t="s">
        <v>1258</v>
      </c>
      <c r="AK294" s="6" t="s">
        <v>178</v>
      </c>
      <c r="AL294" s="6" t="s">
        <v>163</v>
      </c>
      <c r="AM294" s="6" t="s">
        <v>163</v>
      </c>
      <c r="AN294" s="6" t="s">
        <v>158</v>
      </c>
      <c r="AO294" s="6" t="s">
        <v>163</v>
      </c>
      <c r="AP294" s="6" t="s">
        <v>4368</v>
      </c>
      <c r="AQ294" s="5" t="s">
        <v>162</v>
      </c>
      <c r="AT294" s="0" t="str">
        <f aca="false">IF(AND(AX294="pass",AQ294&lt;&gt;"Y",C294&lt;&gt;"",OR(AW294&lt;&gt;"Y",AV294="Y")),"Y","N")</f>
        <v>N</v>
      </c>
      <c r="AU294" s="0" t="str">
        <f aca="false">_xlfn.TEXTJOIN("; ",TRUE(),IF(AX294&lt;&gt;"pass","gated out",""),IF(AQ294="Y","on hold: "&amp;AR294,""),IF(C294="","no contact named on an opened page",""),IF(AND(AW294="Y",AV294&lt;&gt;"Y"),"Tuesday estimate band "&amp;L294&amp;": founder's call",""))</f>
        <v>gated out; no contact named on an opened page</v>
      </c>
      <c r="AW294" s="6" t="s">
        <v>162</v>
      </c>
      <c r="AX294" s="6" t="s">
        <v>3704</v>
      </c>
      <c r="AY294" s="6" t="s">
        <v>4373</v>
      </c>
      <c r="AZ294" s="6" t="s">
        <v>1</v>
      </c>
      <c r="BA294" s="6" t="s">
        <v>4374</v>
      </c>
      <c r="BB294" s="6" t="s">
        <v>4375</v>
      </c>
      <c r="BC294" s="6" t="s">
        <v>3269</v>
      </c>
      <c r="BD294" s="6" t="s">
        <v>163</v>
      </c>
      <c r="BF294" s="6" t="s">
        <v>163</v>
      </c>
      <c r="BG294" s="6" t="s">
        <v>163</v>
      </c>
      <c r="BH294" s="6" t="s">
        <v>2196</v>
      </c>
      <c r="BK294" s="6" t="s">
        <v>163</v>
      </c>
      <c r="BL294" s="6" t="s">
        <v>163</v>
      </c>
      <c r="BM294" s="6" t="s">
        <v>163</v>
      </c>
      <c r="BN294" s="6" t="s">
        <v>163</v>
      </c>
      <c r="BO294" s="6" t="s">
        <v>163</v>
      </c>
      <c r="BP294" s="6" t="s">
        <v>244</v>
      </c>
      <c r="BQ294" s="0" t="n">
        <v>40.745308</v>
      </c>
      <c r="BR294" s="0" t="n">
        <v>-73.98356</v>
      </c>
      <c r="BS294" s="6" t="s">
        <v>162</v>
      </c>
      <c r="BT294" s="0" t="n">
        <v>0.2</v>
      </c>
      <c r="BV294" s="6" t="s">
        <v>163</v>
      </c>
      <c r="BW294" s="6" t="s">
        <v>4371</v>
      </c>
      <c r="BX294" s="6" t="s">
        <v>166</v>
      </c>
      <c r="BY294" s="6" t="s">
        <v>196</v>
      </c>
      <c r="BZ294" s="6" t="s">
        <v>4376</v>
      </c>
      <c r="CA294" s="6" t="s">
        <v>4377</v>
      </c>
      <c r="CC294" s="6" t="s">
        <v>200</v>
      </c>
      <c r="CE294" s="6" t="s">
        <v>162</v>
      </c>
      <c r="CH294" s="6" t="s">
        <v>163</v>
      </c>
      <c r="CJ294" s="6" t="s">
        <v>163</v>
      </c>
      <c r="CK294" s="6" t="s">
        <v>162</v>
      </c>
      <c r="CL294" s="6" t="s">
        <v>163</v>
      </c>
      <c r="CO294" s="6" t="s">
        <v>163</v>
      </c>
      <c r="CQ294" s="6" t="s">
        <v>2197</v>
      </c>
      <c r="CR294" s="6" t="s">
        <v>206</v>
      </c>
      <c r="CS294" s="6" t="s">
        <v>163</v>
      </c>
      <c r="CT294" s="0" t="n">
        <v>36</v>
      </c>
      <c r="CU294" s="0" t="n">
        <v>7</v>
      </c>
      <c r="CV294" s="0" t="n">
        <v>8</v>
      </c>
      <c r="CW294" s="0" t="n">
        <v>6</v>
      </c>
      <c r="CX294" s="0" t="n">
        <v>15</v>
      </c>
      <c r="CY294" s="6" t="n">
        <f aca="false">IF(AH294="exact",10,IF(AH294="adjacent",5,0))</f>
        <v>0</v>
      </c>
      <c r="CZ294" s="6" t="n">
        <f aca="false">IF(R294="Y",15,0)</f>
        <v>0</v>
      </c>
      <c r="DF294" s="6" t="s">
        <v>158</v>
      </c>
      <c r="DG294" s="6" t="s">
        <v>3713</v>
      </c>
      <c r="DH294" s="6" t="s">
        <v>3714</v>
      </c>
      <c r="DI294" s="6" t="s">
        <v>162</v>
      </c>
      <c r="DJ294" s="6" t="s">
        <v>4378</v>
      </c>
      <c r="DK294" s="6" t="s">
        <v>4379</v>
      </c>
      <c r="DS294" s="6" t="s">
        <v>158</v>
      </c>
      <c r="DX294" s="6" t="s">
        <v>162</v>
      </c>
      <c r="ER294" s="0" t="str">
        <f aca="false">IF(ISNUMBER(MATCH(U294,{"queued","contacted","replied","call_booked","call_done","yes_in_principle","materials_sent"},0)),"Y","N")</f>
        <v>N</v>
      </c>
      <c r="ES294" s="0" t="str">
        <f aca="false">IF(COUNTIFS($AP$2:$AP$1000,AP294,$ER$2:$ER$1000,"Y")+COUNTIFS($AP$2:$AP$1000,AP294,$T$2:$T$1000,"Y")&gt;0,"Y","N")</f>
        <v>N</v>
      </c>
      <c r="ET294" s="0" t="str">
        <f aca="false">IF(AND(U294="new",T294="N",AT294="Y",AS294="",ES294="N"),"Y","N")</f>
        <v>N</v>
      </c>
      <c r="EU294" s="0" t="str">
        <f aca="false">IF(ET294&lt;&gt;"Y","N",IF(COUNTIFS($AP$2:$AP$1000,AP294,$ET$2:$ET$1000,"Y",$J$2:$J$1000,"&gt;"&amp;J294)+COUNTIFS($AP$2:$AP$1000,AP294,$ET$2:$ET$1000,"Y",$J$2:$J$1000,J294,$EW$2:$EW$1000,"&lt;"&amp;EW294)=0,"Y","N"))</f>
        <v>N</v>
      </c>
      <c r="EV294" s="0" t="str">
        <f aca="false">IF(Y294="","N",IF(Y294&lt;=10,"Y","N"))</f>
        <v>N</v>
      </c>
      <c r="EW294" s="6" t="n">
        <f aca="false">ROW()-1</f>
        <v>293</v>
      </c>
    </row>
    <row r="295" customFormat="false" ht="15" hidden="false" customHeight="false" outlineLevel="0" collapsed="false">
      <c r="A295" s="0" t="s">
        <v>4380</v>
      </c>
      <c r="B295" s="0" t="s">
        <v>4381</v>
      </c>
      <c r="H295" s="5" t="s">
        <v>158</v>
      </c>
      <c r="I295" s="5" t="s">
        <v>159</v>
      </c>
      <c r="J295" s="6" t="n">
        <f aca="false">IF(AX295="pass",ROUND(CU295+CV295+CW295+CX295+CY295+CZ295,1),0)</f>
        <v>0</v>
      </c>
      <c r="K295" s="6" t="s">
        <v>4382</v>
      </c>
      <c r="L295" s="6" t="s">
        <v>163</v>
      </c>
      <c r="R295" s="5" t="s">
        <v>162</v>
      </c>
      <c r="S295" s="6" t="s">
        <v>163</v>
      </c>
      <c r="T295" s="5" t="s">
        <v>162</v>
      </c>
      <c r="U295" s="5" t="s">
        <v>228</v>
      </c>
      <c r="V295" s="6" t="s">
        <v>4383</v>
      </c>
      <c r="W295" s="6" t="s">
        <v>166</v>
      </c>
      <c r="X295" s="6" t="s">
        <v>167</v>
      </c>
      <c r="Y295" s="0" t="str">
        <f aca="false">IF(EU295&lt;&gt;"Y","",COUNTIFS($EU$2:$EU$1000,"Y",$J$2:$J$1000,"&gt;"&amp;J295)+COUNTIFS($EU$2:$EU$1000,"Y",$J$2:$J$1000,J295,$EW$2:$EW$1000,"&lt;"&amp;EW295)+1)</f>
        <v/>
      </c>
      <c r="AA295" s="6" t="s">
        <v>162</v>
      </c>
      <c r="AD295" s="6" t="s">
        <v>158</v>
      </c>
      <c r="AH295" s="5" t="s">
        <v>158</v>
      </c>
      <c r="AI295" s="6" t="s">
        <v>4384</v>
      </c>
      <c r="AJ295" s="6" t="s">
        <v>650</v>
      </c>
      <c r="AK295" s="6" t="s">
        <v>178</v>
      </c>
      <c r="AL295" s="6" t="s">
        <v>163</v>
      </c>
      <c r="AM295" s="6" t="s">
        <v>163</v>
      </c>
      <c r="AN295" s="6" t="s">
        <v>158</v>
      </c>
      <c r="AO295" s="6" t="s">
        <v>163</v>
      </c>
      <c r="AP295" s="6" t="s">
        <v>4380</v>
      </c>
      <c r="AQ295" s="5" t="s">
        <v>162</v>
      </c>
      <c r="AT295" s="0" t="str">
        <f aca="false">IF(AND(AX295="pass",AQ295&lt;&gt;"Y",C295&lt;&gt;"",OR(AW295&lt;&gt;"Y",AV295="Y")),"Y","N")</f>
        <v>N</v>
      </c>
      <c r="AU295" s="0" t="str">
        <f aca="false">_xlfn.TEXTJOIN("; ",TRUE(),IF(AX295&lt;&gt;"pass","gated out",""),IF(AQ295="Y","on hold: "&amp;AR295,""),IF(C295="","no contact named on an opened page",""),IF(AND(AW295="Y",AV295&lt;&gt;"Y"),"Tuesday estimate band "&amp;L295&amp;": founder's call",""))</f>
        <v>gated out; no contact named on an opened page</v>
      </c>
      <c r="AW295" s="6" t="s">
        <v>162</v>
      </c>
      <c r="AX295" s="6" t="s">
        <v>3704</v>
      </c>
      <c r="AY295" s="6" t="s">
        <v>4385</v>
      </c>
      <c r="AZ295" s="6" t="s">
        <v>1</v>
      </c>
      <c r="BA295" s="6" t="s">
        <v>4386</v>
      </c>
      <c r="BB295" s="6" t="s">
        <v>4387</v>
      </c>
      <c r="BC295" s="6" t="s">
        <v>4388</v>
      </c>
      <c r="BD295" s="6" t="s">
        <v>163</v>
      </c>
      <c r="BF295" s="6" t="s">
        <v>163</v>
      </c>
      <c r="BG295" s="6" t="s">
        <v>163</v>
      </c>
      <c r="BH295" s="6" t="s">
        <v>2196</v>
      </c>
      <c r="BK295" s="6" t="s">
        <v>163</v>
      </c>
      <c r="BL295" s="6" t="s">
        <v>163</v>
      </c>
      <c r="BM295" s="6" t="s">
        <v>163</v>
      </c>
      <c r="BN295" s="6" t="s">
        <v>163</v>
      </c>
      <c r="BO295" s="6" t="s">
        <v>163</v>
      </c>
      <c r="BP295" s="6" t="s">
        <v>347</v>
      </c>
      <c r="BQ295" s="0" t="n">
        <v>40.74293</v>
      </c>
      <c r="BR295" s="0" t="n">
        <v>-73.989315</v>
      </c>
      <c r="BS295" s="6" t="s">
        <v>168</v>
      </c>
      <c r="BT295" s="0" t="n">
        <v>0</v>
      </c>
      <c r="BU295" s="6" t="s">
        <v>843</v>
      </c>
      <c r="BV295" s="6" t="s">
        <v>844</v>
      </c>
      <c r="BW295" s="6" t="s">
        <v>4383</v>
      </c>
      <c r="BX295" s="6" t="s">
        <v>166</v>
      </c>
      <c r="BY295" s="6" t="s">
        <v>196</v>
      </c>
      <c r="BZ295" s="6" t="s">
        <v>1235</v>
      </c>
      <c r="CA295" s="6" t="s">
        <v>1245</v>
      </c>
      <c r="CC295" s="6" t="s">
        <v>200</v>
      </c>
      <c r="CE295" s="6" t="s">
        <v>168</v>
      </c>
      <c r="CF295" s="6" t="s">
        <v>2744</v>
      </c>
      <c r="CH295" s="6" t="s">
        <v>201</v>
      </c>
      <c r="CI295" s="6" t="s">
        <v>846</v>
      </c>
      <c r="CJ295" s="6" t="s">
        <v>163</v>
      </c>
      <c r="CK295" s="6" t="s">
        <v>162</v>
      </c>
      <c r="CL295" s="6" t="s">
        <v>163</v>
      </c>
      <c r="CO295" s="6" t="s">
        <v>163</v>
      </c>
      <c r="CQ295" s="6" t="s">
        <v>2197</v>
      </c>
      <c r="CR295" s="6" t="s">
        <v>206</v>
      </c>
      <c r="CS295" s="6" t="s">
        <v>163</v>
      </c>
      <c r="CT295" s="0" t="n">
        <v>36</v>
      </c>
      <c r="CU295" s="0" t="n">
        <v>7</v>
      </c>
      <c r="CV295" s="0" t="n">
        <v>8</v>
      </c>
      <c r="CW295" s="0" t="n">
        <v>6</v>
      </c>
      <c r="CX295" s="0" t="n">
        <v>15</v>
      </c>
      <c r="CY295" s="6" t="n">
        <f aca="false">IF(AH295="exact",10,IF(AH295="adjacent",5,0))</f>
        <v>0</v>
      </c>
      <c r="CZ295" s="6" t="n">
        <f aca="false">IF(R295="Y",15,0)</f>
        <v>0</v>
      </c>
      <c r="DF295" s="6" t="s">
        <v>158</v>
      </c>
      <c r="DG295" s="6" t="s">
        <v>3779</v>
      </c>
      <c r="DK295" s="6" t="s">
        <v>4389</v>
      </c>
      <c r="DS295" s="6" t="s">
        <v>158</v>
      </c>
      <c r="DX295" s="6" t="s">
        <v>162</v>
      </c>
      <c r="ER295" s="0" t="str">
        <f aca="false">IF(ISNUMBER(MATCH(U295,{"queued","contacted","replied","call_booked","call_done","yes_in_principle","materials_sent"},0)),"Y","N")</f>
        <v>N</v>
      </c>
      <c r="ES295" s="0" t="str">
        <f aca="false">IF(COUNTIFS($AP$2:$AP$1000,AP295,$ER$2:$ER$1000,"Y")+COUNTIFS($AP$2:$AP$1000,AP295,$T$2:$T$1000,"Y")&gt;0,"Y","N")</f>
        <v>N</v>
      </c>
      <c r="ET295" s="0" t="str">
        <f aca="false">IF(AND(U295="new",T295="N",AT295="Y",AS295="",ES295="N"),"Y","N")</f>
        <v>N</v>
      </c>
      <c r="EU295" s="0" t="str">
        <f aca="false">IF(ET295&lt;&gt;"Y","N",IF(COUNTIFS($AP$2:$AP$1000,AP295,$ET$2:$ET$1000,"Y",$J$2:$J$1000,"&gt;"&amp;J295)+COUNTIFS($AP$2:$AP$1000,AP295,$ET$2:$ET$1000,"Y",$J$2:$J$1000,J295,$EW$2:$EW$1000,"&lt;"&amp;EW295)=0,"Y","N"))</f>
        <v>N</v>
      </c>
      <c r="EV295" s="0" t="str">
        <f aca="false">IF(Y295="","N",IF(Y295&lt;=10,"Y","N"))</f>
        <v>N</v>
      </c>
      <c r="EW295" s="6" t="n">
        <f aca="false">ROW()-1</f>
        <v>294</v>
      </c>
    </row>
    <row r="296" customFormat="false" ht="15" hidden="false" customHeight="false" outlineLevel="0" collapsed="false">
      <c r="A296" s="0" t="s">
        <v>4390</v>
      </c>
      <c r="B296" s="0" t="s">
        <v>4391</v>
      </c>
      <c r="H296" s="5" t="s">
        <v>158</v>
      </c>
      <c r="I296" s="5" t="s">
        <v>159</v>
      </c>
      <c r="J296" s="6" t="n">
        <f aca="false">IF(AX296="pass",ROUND(CU296+CV296+CW296+CX296+CY296+CZ296,1),0)</f>
        <v>0</v>
      </c>
      <c r="K296" s="6" t="s">
        <v>3733</v>
      </c>
      <c r="L296" s="6" t="s">
        <v>163</v>
      </c>
      <c r="R296" s="5" t="s">
        <v>162</v>
      </c>
      <c r="S296" s="6" t="s">
        <v>163</v>
      </c>
      <c r="T296" s="5" t="s">
        <v>162</v>
      </c>
      <c r="U296" s="5" t="s">
        <v>228</v>
      </c>
      <c r="V296" s="6" t="s">
        <v>4392</v>
      </c>
      <c r="W296" s="6" t="s">
        <v>166</v>
      </c>
      <c r="X296" s="6" t="s">
        <v>167</v>
      </c>
      <c r="Y296" s="0" t="str">
        <f aca="false">IF(EU296&lt;&gt;"Y","",COUNTIFS($EU$2:$EU$1000,"Y",$J$2:$J$1000,"&gt;"&amp;J296)+COUNTIFS($EU$2:$EU$1000,"Y",$J$2:$J$1000,J296,$EW$2:$EW$1000,"&lt;"&amp;EW296)+1)</f>
        <v/>
      </c>
      <c r="AA296" s="6" t="s">
        <v>162</v>
      </c>
      <c r="AD296" s="6" t="s">
        <v>158</v>
      </c>
      <c r="AH296" s="5" t="s">
        <v>158</v>
      </c>
      <c r="AI296" s="6" t="s">
        <v>4393</v>
      </c>
      <c r="AJ296" s="6" t="s">
        <v>4394</v>
      </c>
      <c r="AK296" s="6" t="s">
        <v>2228</v>
      </c>
      <c r="AL296" s="6" t="s">
        <v>163</v>
      </c>
      <c r="AM296" s="6" t="s">
        <v>163</v>
      </c>
      <c r="AN296" s="6" t="s">
        <v>158</v>
      </c>
      <c r="AO296" s="6" t="s">
        <v>163</v>
      </c>
      <c r="AP296" s="6" t="s">
        <v>4395</v>
      </c>
      <c r="AQ296" s="5" t="s">
        <v>162</v>
      </c>
      <c r="AT296" s="0" t="str">
        <f aca="false">IF(AND(AX296="pass",AQ296&lt;&gt;"Y",C296&lt;&gt;"",OR(AW296&lt;&gt;"Y",AV296="Y")),"Y","N")</f>
        <v>N</v>
      </c>
      <c r="AU296" s="0" t="str">
        <f aca="false">_xlfn.TEXTJOIN("; ",TRUE(),IF(AX296&lt;&gt;"pass","gated out",""),IF(AQ296="Y","on hold: "&amp;AR296,""),IF(C296="","no contact named on an opened page",""),IF(AND(AW296="Y",AV296&lt;&gt;"Y"),"Tuesday estimate band "&amp;L296&amp;": founder's call",""))</f>
        <v>gated out; no contact named on an opened page</v>
      </c>
      <c r="AW296" s="6" t="s">
        <v>162</v>
      </c>
      <c r="AX296" s="6" t="s">
        <v>3704</v>
      </c>
      <c r="AY296" s="6" t="s">
        <v>3736</v>
      </c>
      <c r="AZ296" s="6" t="s">
        <v>2229</v>
      </c>
      <c r="BA296" s="6" t="s">
        <v>4396</v>
      </c>
      <c r="BB296" s="6" t="s">
        <v>4397</v>
      </c>
      <c r="BC296" s="6" t="s">
        <v>2232</v>
      </c>
      <c r="BD296" s="6" t="s">
        <v>163</v>
      </c>
      <c r="BF296" s="6" t="s">
        <v>163</v>
      </c>
      <c r="BG296" s="6" t="s">
        <v>163</v>
      </c>
      <c r="BK296" s="6" t="s">
        <v>163</v>
      </c>
      <c r="BL296" s="6" t="s">
        <v>2233</v>
      </c>
      <c r="BM296" s="6" t="s">
        <v>163</v>
      </c>
      <c r="BN296" s="6" t="s">
        <v>4398</v>
      </c>
      <c r="BP296" s="6" t="s">
        <v>347</v>
      </c>
      <c r="BQ296" s="0" t="n">
        <v>40.740111</v>
      </c>
      <c r="BR296" s="0" t="n">
        <v>-73.985459</v>
      </c>
      <c r="BS296" s="6" t="s">
        <v>162</v>
      </c>
      <c r="BT296" s="0" t="n">
        <v>0.1</v>
      </c>
      <c r="BV296" s="6" t="s">
        <v>163</v>
      </c>
      <c r="BW296" s="6" t="s">
        <v>4392</v>
      </c>
      <c r="BX296" s="6" t="s">
        <v>166</v>
      </c>
      <c r="BY296" s="6" t="s">
        <v>2237</v>
      </c>
      <c r="BZ296" s="6" t="s">
        <v>4399</v>
      </c>
      <c r="CC296" s="6" t="s">
        <v>200</v>
      </c>
      <c r="CE296" s="6" t="s">
        <v>162</v>
      </c>
      <c r="CF296" s="6" t="s">
        <v>4396</v>
      </c>
      <c r="CG296" s="6" t="s">
        <v>2239</v>
      </c>
      <c r="CH296" s="6" t="s">
        <v>163</v>
      </c>
      <c r="CJ296" s="6" t="s">
        <v>163</v>
      </c>
      <c r="CK296" s="6" t="s">
        <v>162</v>
      </c>
      <c r="CL296" s="6" t="s">
        <v>163</v>
      </c>
      <c r="CO296" s="6" t="s">
        <v>163</v>
      </c>
      <c r="CQ296" s="6" t="s">
        <v>2240</v>
      </c>
      <c r="CR296" s="6" t="s">
        <v>206</v>
      </c>
      <c r="CS296" s="6" t="s">
        <v>163</v>
      </c>
      <c r="CT296" s="0" t="n">
        <v>36</v>
      </c>
      <c r="CU296" s="0" t="n">
        <v>7</v>
      </c>
      <c r="CV296" s="0" t="n">
        <v>8</v>
      </c>
      <c r="CW296" s="0" t="n">
        <v>6</v>
      </c>
      <c r="CX296" s="0" t="n">
        <v>15</v>
      </c>
      <c r="CY296" s="6" t="n">
        <f aca="false">IF(AH296="exact",10,IF(AH296="adjacent",5,0))</f>
        <v>0</v>
      </c>
      <c r="CZ296" s="6" t="n">
        <f aca="false">IF(R296="Y",15,0)</f>
        <v>0</v>
      </c>
      <c r="DF296" s="6" t="s">
        <v>158</v>
      </c>
      <c r="DG296" s="6" t="s">
        <v>2229</v>
      </c>
      <c r="DK296" s="6" t="s">
        <v>4400</v>
      </c>
      <c r="DS296" s="6" t="s">
        <v>158</v>
      </c>
      <c r="DX296" s="6" t="s">
        <v>162</v>
      </c>
      <c r="DZ296" s="6" t="s">
        <v>4401</v>
      </c>
      <c r="ER296" s="0" t="str">
        <f aca="false">IF(ISNUMBER(MATCH(U296,{"queued","contacted","replied","call_booked","call_done","yes_in_principle","materials_sent"},0)),"Y","N")</f>
        <v>N</v>
      </c>
      <c r="ES296" s="0" t="str">
        <f aca="false">IF(COUNTIFS($AP$2:$AP$1000,AP296,$ER$2:$ER$1000,"Y")+COUNTIFS($AP$2:$AP$1000,AP296,$T$2:$T$1000,"Y")&gt;0,"Y","N")</f>
        <v>N</v>
      </c>
      <c r="ET296" s="0" t="str">
        <f aca="false">IF(AND(U296="new",T296="N",AT296="Y",AS296="",ES296="N"),"Y","N")</f>
        <v>N</v>
      </c>
      <c r="EU296" s="0" t="str">
        <f aca="false">IF(ET296&lt;&gt;"Y","N",IF(COUNTIFS($AP$2:$AP$1000,AP296,$ET$2:$ET$1000,"Y",$J$2:$J$1000,"&gt;"&amp;J296)+COUNTIFS($AP$2:$AP$1000,AP296,$ET$2:$ET$1000,"Y",$J$2:$J$1000,J296,$EW$2:$EW$1000,"&lt;"&amp;EW296)=0,"Y","N"))</f>
        <v>N</v>
      </c>
      <c r="EV296" s="0" t="str">
        <f aca="false">IF(Y296="","N",IF(Y296&lt;=10,"Y","N"))</f>
        <v>N</v>
      </c>
      <c r="EW296" s="6" t="n">
        <f aca="false">ROW()-1</f>
        <v>295</v>
      </c>
    </row>
    <row r="297" customFormat="false" ht="15" hidden="false" customHeight="false" outlineLevel="0" collapsed="false">
      <c r="A297" s="0" t="s">
        <v>4402</v>
      </c>
      <c r="B297" s="0" t="s">
        <v>4403</v>
      </c>
      <c r="H297" s="5" t="s">
        <v>158</v>
      </c>
      <c r="I297" s="5" t="s">
        <v>159</v>
      </c>
      <c r="J297" s="6" t="n">
        <f aca="false">IF(AX297="pass",ROUND(CU297+CV297+CW297+CX297+CY297+CZ297,1),0)</f>
        <v>0</v>
      </c>
      <c r="K297" s="6" t="s">
        <v>4370</v>
      </c>
      <c r="L297" s="6" t="s">
        <v>163</v>
      </c>
      <c r="R297" s="5" t="s">
        <v>162</v>
      </c>
      <c r="S297" s="6" t="s">
        <v>163</v>
      </c>
      <c r="T297" s="5" t="s">
        <v>162</v>
      </c>
      <c r="U297" s="5" t="s">
        <v>228</v>
      </c>
      <c r="V297" s="6" t="s">
        <v>4399</v>
      </c>
      <c r="W297" s="6" t="s">
        <v>166</v>
      </c>
      <c r="X297" s="6" t="s">
        <v>167</v>
      </c>
      <c r="Y297" s="0" t="str">
        <f aca="false">IF(EU297&lt;&gt;"Y","",COUNTIFS($EU$2:$EU$1000,"Y",$J$2:$J$1000,"&gt;"&amp;J297)+COUNTIFS($EU$2:$EU$1000,"Y",$J$2:$J$1000,J297,$EW$2:$EW$1000,"&lt;"&amp;EW297)+1)</f>
        <v/>
      </c>
      <c r="AA297" s="6" t="s">
        <v>162</v>
      </c>
      <c r="AD297" s="6" t="s">
        <v>158</v>
      </c>
      <c r="AH297" s="5" t="s">
        <v>158</v>
      </c>
      <c r="AI297" s="6" t="s">
        <v>4404</v>
      </c>
      <c r="AJ297" s="6" t="s">
        <v>4394</v>
      </c>
      <c r="AK297" s="6" t="s">
        <v>2228</v>
      </c>
      <c r="AL297" s="6" t="s">
        <v>163</v>
      </c>
      <c r="AM297" s="6" t="s">
        <v>163</v>
      </c>
      <c r="AN297" s="6" t="s">
        <v>158</v>
      </c>
      <c r="AO297" s="6" t="s">
        <v>163</v>
      </c>
      <c r="AP297" s="6" t="s">
        <v>4395</v>
      </c>
      <c r="AQ297" s="5" t="s">
        <v>162</v>
      </c>
      <c r="AT297" s="0" t="str">
        <f aca="false">IF(AND(AX297="pass",AQ297&lt;&gt;"Y",C297&lt;&gt;"",OR(AW297&lt;&gt;"Y",AV297="Y")),"Y","N")</f>
        <v>N</v>
      </c>
      <c r="AU297" s="0" t="str">
        <f aca="false">_xlfn.TEXTJOIN("; ",TRUE(),IF(AX297&lt;&gt;"pass","gated out",""),IF(AQ297="Y","on hold: "&amp;AR297,""),IF(C297="","no contact named on an opened page",""),IF(AND(AW297="Y",AV297&lt;&gt;"Y"),"Tuesday estimate band "&amp;L297&amp;": founder's call",""))</f>
        <v>gated out; no contact named on an opened page</v>
      </c>
      <c r="AW297" s="6" t="s">
        <v>162</v>
      </c>
      <c r="AX297" s="6" t="s">
        <v>3704</v>
      </c>
      <c r="AY297" s="6" t="s">
        <v>4373</v>
      </c>
      <c r="AZ297" s="6" t="s">
        <v>2229</v>
      </c>
      <c r="BA297" s="6" t="s">
        <v>4405</v>
      </c>
      <c r="BB297" s="6" t="s">
        <v>2491</v>
      </c>
      <c r="BC297" s="6" t="s">
        <v>2232</v>
      </c>
      <c r="BD297" s="6" t="s">
        <v>163</v>
      </c>
      <c r="BF297" s="6" t="s">
        <v>163</v>
      </c>
      <c r="BG297" s="6" t="s">
        <v>163</v>
      </c>
      <c r="BK297" s="6" t="s">
        <v>163</v>
      </c>
      <c r="BL297" s="6" t="s">
        <v>2233</v>
      </c>
      <c r="BM297" s="6" t="s">
        <v>163</v>
      </c>
      <c r="BN297" s="6" t="s">
        <v>4398</v>
      </c>
      <c r="BP297" s="6" t="s">
        <v>193</v>
      </c>
      <c r="BQ297" s="0" t="n">
        <v>40.734347</v>
      </c>
      <c r="BR297" s="0" t="n">
        <v>-73.992229</v>
      </c>
      <c r="BS297" s="6" t="s">
        <v>162</v>
      </c>
      <c r="BT297" s="0" t="n">
        <v>0.2</v>
      </c>
      <c r="BV297" s="6" t="s">
        <v>163</v>
      </c>
      <c r="BW297" s="6" t="s">
        <v>4399</v>
      </c>
      <c r="BX297" s="6" t="s">
        <v>4406</v>
      </c>
      <c r="BY297" s="6" t="s">
        <v>2237</v>
      </c>
      <c r="BZ297" s="6" t="s">
        <v>4392</v>
      </c>
      <c r="CC297" s="6" t="s">
        <v>200</v>
      </c>
      <c r="CE297" s="6" t="s">
        <v>162</v>
      </c>
      <c r="CF297" s="6" t="s">
        <v>4405</v>
      </c>
      <c r="CG297" s="6" t="s">
        <v>2239</v>
      </c>
      <c r="CH297" s="6" t="s">
        <v>163</v>
      </c>
      <c r="CJ297" s="6" t="s">
        <v>163</v>
      </c>
      <c r="CK297" s="6" t="s">
        <v>162</v>
      </c>
      <c r="CL297" s="6" t="s">
        <v>163</v>
      </c>
      <c r="CO297" s="6" t="s">
        <v>163</v>
      </c>
      <c r="CQ297" s="6" t="s">
        <v>2240</v>
      </c>
      <c r="CR297" s="6" t="s">
        <v>206</v>
      </c>
      <c r="CS297" s="6" t="s">
        <v>163</v>
      </c>
      <c r="CT297" s="0" t="n">
        <v>36</v>
      </c>
      <c r="CU297" s="0" t="n">
        <v>7</v>
      </c>
      <c r="CV297" s="0" t="n">
        <v>8</v>
      </c>
      <c r="CW297" s="0" t="n">
        <v>6</v>
      </c>
      <c r="CX297" s="0" t="n">
        <v>15</v>
      </c>
      <c r="CY297" s="6" t="n">
        <f aca="false">IF(AH297="exact",10,IF(AH297="adjacent",5,0))</f>
        <v>0</v>
      </c>
      <c r="CZ297" s="6" t="n">
        <f aca="false">IF(R297="Y",15,0)</f>
        <v>0</v>
      </c>
      <c r="DF297" s="6" t="s">
        <v>158</v>
      </c>
      <c r="DG297" s="6" t="s">
        <v>2229</v>
      </c>
      <c r="DK297" s="6" t="s">
        <v>4407</v>
      </c>
      <c r="DS297" s="6" t="s">
        <v>158</v>
      </c>
      <c r="DX297" s="6" t="s">
        <v>162</v>
      </c>
      <c r="DZ297" s="6" t="s">
        <v>4408</v>
      </c>
      <c r="ER297" s="0" t="str">
        <f aca="false">IF(ISNUMBER(MATCH(U297,{"queued","contacted","replied","call_booked","call_done","yes_in_principle","materials_sent"},0)),"Y","N")</f>
        <v>N</v>
      </c>
      <c r="ES297" s="0" t="str">
        <f aca="false">IF(COUNTIFS($AP$2:$AP$1000,AP297,$ER$2:$ER$1000,"Y")+COUNTIFS($AP$2:$AP$1000,AP297,$T$2:$T$1000,"Y")&gt;0,"Y","N")</f>
        <v>N</v>
      </c>
      <c r="ET297" s="0" t="str">
        <f aca="false">IF(AND(U297="new",T297="N",AT297="Y",AS297="",ES297="N"),"Y","N")</f>
        <v>N</v>
      </c>
      <c r="EU297" s="0" t="str">
        <f aca="false">IF(ET297&lt;&gt;"Y","N",IF(COUNTIFS($AP$2:$AP$1000,AP297,$ET$2:$ET$1000,"Y",$J$2:$J$1000,"&gt;"&amp;J297)+COUNTIFS($AP$2:$AP$1000,AP297,$ET$2:$ET$1000,"Y",$J$2:$J$1000,J297,$EW$2:$EW$1000,"&lt;"&amp;EW297)=0,"Y","N"))</f>
        <v>N</v>
      </c>
      <c r="EV297" s="0" t="str">
        <f aca="false">IF(Y297="","N",IF(Y297&lt;=10,"Y","N"))</f>
        <v>N</v>
      </c>
      <c r="EW297" s="6" t="n">
        <f aca="false">ROW()-1</f>
        <v>296</v>
      </c>
    </row>
    <row r="298" customFormat="false" ht="15" hidden="false" customHeight="false" outlineLevel="0" collapsed="false">
      <c r="A298" s="0" t="s">
        <v>4409</v>
      </c>
      <c r="B298" s="0" t="s">
        <v>4410</v>
      </c>
      <c r="H298" s="5" t="s">
        <v>158</v>
      </c>
      <c r="I298" s="5" t="s">
        <v>159</v>
      </c>
      <c r="J298" s="6" t="n">
        <f aca="false">IF(AX298="pass",ROUND(CU298+CV298+CW298+CX298+CY298+CZ298,1),0)</f>
        <v>0</v>
      </c>
      <c r="K298" s="6" t="s">
        <v>4370</v>
      </c>
      <c r="L298" s="6" t="s">
        <v>163</v>
      </c>
      <c r="O298" s="6" t="s">
        <v>4411</v>
      </c>
      <c r="P298" s="6" t="s">
        <v>4412</v>
      </c>
      <c r="Q298" s="6" t="s">
        <v>4413</v>
      </c>
      <c r="R298" s="5" t="s">
        <v>162</v>
      </c>
      <c r="S298" s="6" t="s">
        <v>163</v>
      </c>
      <c r="T298" s="5" t="s">
        <v>162</v>
      </c>
      <c r="U298" s="5" t="s">
        <v>228</v>
      </c>
      <c r="V298" s="6" t="s">
        <v>4412</v>
      </c>
      <c r="W298" s="6" t="s">
        <v>166</v>
      </c>
      <c r="X298" s="6" t="s">
        <v>167</v>
      </c>
      <c r="Y298" s="0" t="str">
        <f aca="false">IF(EU298&lt;&gt;"Y","",COUNTIFS($EU$2:$EU$1000,"Y",$J$2:$J$1000,"&gt;"&amp;J298)+COUNTIFS($EU$2:$EU$1000,"Y",$J$2:$J$1000,J298,$EW$2:$EW$1000,"&lt;"&amp;EW298)+1)</f>
        <v/>
      </c>
      <c r="AA298" s="6" t="s">
        <v>162</v>
      </c>
      <c r="AD298" s="6" t="s">
        <v>158</v>
      </c>
      <c r="AH298" s="5" t="s">
        <v>158</v>
      </c>
      <c r="AI298" s="6" t="s">
        <v>4372</v>
      </c>
      <c r="AJ298" s="6" t="s">
        <v>4414</v>
      </c>
      <c r="AK298" s="6" t="s">
        <v>178</v>
      </c>
      <c r="AL298" s="6" t="s">
        <v>163</v>
      </c>
      <c r="AM298" s="6" t="s">
        <v>163</v>
      </c>
      <c r="AN298" s="6" t="s">
        <v>158</v>
      </c>
      <c r="AO298" s="6" t="s">
        <v>163</v>
      </c>
      <c r="AP298" s="6" t="s">
        <v>4409</v>
      </c>
      <c r="AQ298" s="5" t="s">
        <v>162</v>
      </c>
      <c r="AT298" s="0" t="str">
        <f aca="false">IF(AND(AX298="pass",AQ298&lt;&gt;"Y",C298&lt;&gt;"",OR(AW298&lt;&gt;"Y",AV298="Y")),"Y","N")</f>
        <v>N</v>
      </c>
      <c r="AU298" s="0" t="str">
        <f aca="false">_xlfn.TEXTJOIN("; ",TRUE(),IF(AX298&lt;&gt;"pass","gated out",""),IF(AQ298="Y","on hold: "&amp;AR298,""),IF(C298="","no contact named on an opened page",""),IF(AND(AW298="Y",AV298&lt;&gt;"Y"),"Tuesday estimate band "&amp;L298&amp;": founder's call",""))</f>
        <v>gated out; no contact named on an opened page</v>
      </c>
      <c r="AW298" s="6" t="s">
        <v>162</v>
      </c>
      <c r="AX298" s="6" t="s">
        <v>3704</v>
      </c>
      <c r="AY298" s="6" t="s">
        <v>4373</v>
      </c>
      <c r="AZ298" s="6" t="s">
        <v>1</v>
      </c>
      <c r="BA298" s="6" t="s">
        <v>4415</v>
      </c>
      <c r="BB298" s="6" t="s">
        <v>4416</v>
      </c>
      <c r="BC298" s="6" t="s">
        <v>4417</v>
      </c>
      <c r="BD298" s="6" t="s">
        <v>163</v>
      </c>
      <c r="BF298" s="6" t="s">
        <v>163</v>
      </c>
      <c r="BG298" s="6" t="s">
        <v>163</v>
      </c>
      <c r="BH298" s="6" t="s">
        <v>2196</v>
      </c>
      <c r="BK298" s="6" t="s">
        <v>163</v>
      </c>
      <c r="BL298" s="6" t="s">
        <v>163</v>
      </c>
      <c r="BM298" s="6" t="s">
        <v>163</v>
      </c>
      <c r="BN298" s="6" t="s">
        <v>163</v>
      </c>
      <c r="BO298" s="6" t="s">
        <v>163</v>
      </c>
      <c r="BP298" s="6" t="s">
        <v>244</v>
      </c>
      <c r="BQ298" s="0" t="n">
        <v>40.745308</v>
      </c>
      <c r="BR298" s="0" t="n">
        <v>-73.98356</v>
      </c>
      <c r="BS298" s="6" t="s">
        <v>162</v>
      </c>
      <c r="BT298" s="0" t="n">
        <v>0.2</v>
      </c>
      <c r="BV298" s="6" t="s">
        <v>163</v>
      </c>
      <c r="BW298" s="6" t="s">
        <v>4412</v>
      </c>
      <c r="BX298" s="6" t="s">
        <v>4413</v>
      </c>
      <c r="BY298" s="6" t="s">
        <v>248</v>
      </c>
      <c r="BZ298" s="6" t="s">
        <v>4418</v>
      </c>
      <c r="CA298" s="6" t="s">
        <v>166</v>
      </c>
      <c r="CC298" s="6" t="s">
        <v>200</v>
      </c>
      <c r="CE298" s="6" t="s">
        <v>162</v>
      </c>
      <c r="CH298" s="6" t="s">
        <v>163</v>
      </c>
      <c r="CJ298" s="6" t="s">
        <v>163</v>
      </c>
      <c r="CK298" s="6" t="s">
        <v>162</v>
      </c>
      <c r="CL298" s="6" t="s">
        <v>163</v>
      </c>
      <c r="CO298" s="6" t="s">
        <v>163</v>
      </c>
      <c r="CQ298" s="6" t="s">
        <v>2197</v>
      </c>
      <c r="CR298" s="6" t="s">
        <v>206</v>
      </c>
      <c r="CS298" s="6" t="s">
        <v>163</v>
      </c>
      <c r="CT298" s="0" t="n">
        <v>36</v>
      </c>
      <c r="CU298" s="0" t="n">
        <v>7</v>
      </c>
      <c r="CV298" s="0" t="n">
        <v>8</v>
      </c>
      <c r="CW298" s="0" t="n">
        <v>6</v>
      </c>
      <c r="CX298" s="0" t="n">
        <v>15</v>
      </c>
      <c r="CY298" s="6" t="n">
        <f aca="false">IF(AH298="exact",10,IF(AH298="adjacent",5,0))</f>
        <v>0</v>
      </c>
      <c r="CZ298" s="6" t="n">
        <f aca="false">IF(R298="Y",15,0)</f>
        <v>0</v>
      </c>
      <c r="DF298" s="6" t="s">
        <v>158</v>
      </c>
      <c r="DG298" s="6" t="s">
        <v>3713</v>
      </c>
      <c r="DH298" s="6" t="s">
        <v>3714</v>
      </c>
      <c r="DI298" s="6" t="s">
        <v>162</v>
      </c>
      <c r="DJ298" s="6" t="s">
        <v>4419</v>
      </c>
      <c r="DK298" s="6" t="s">
        <v>4420</v>
      </c>
      <c r="DS298" s="6" t="s">
        <v>158</v>
      </c>
      <c r="DX298" s="6" t="s">
        <v>162</v>
      </c>
      <c r="ER298" s="0" t="str">
        <f aca="false">IF(ISNUMBER(MATCH(U298,{"queued","contacted","replied","call_booked","call_done","yes_in_principle","materials_sent"},0)),"Y","N")</f>
        <v>N</v>
      </c>
      <c r="ES298" s="0" t="str">
        <f aca="false">IF(COUNTIFS($AP$2:$AP$1000,AP298,$ER$2:$ER$1000,"Y")+COUNTIFS($AP$2:$AP$1000,AP298,$T$2:$T$1000,"Y")&gt;0,"Y","N")</f>
        <v>N</v>
      </c>
      <c r="ET298" s="0" t="str">
        <f aca="false">IF(AND(U298="new",T298="N",AT298="Y",AS298="",ES298="N"),"Y","N")</f>
        <v>N</v>
      </c>
      <c r="EU298" s="0" t="str">
        <f aca="false">IF(ET298&lt;&gt;"Y","N",IF(COUNTIFS($AP$2:$AP$1000,AP298,$ET$2:$ET$1000,"Y",$J$2:$J$1000,"&gt;"&amp;J298)+COUNTIFS($AP$2:$AP$1000,AP298,$ET$2:$ET$1000,"Y",$J$2:$J$1000,J298,$EW$2:$EW$1000,"&lt;"&amp;EW298)=0,"Y","N"))</f>
        <v>N</v>
      </c>
      <c r="EV298" s="0" t="str">
        <f aca="false">IF(Y298="","N",IF(Y298&lt;=10,"Y","N"))</f>
        <v>N</v>
      </c>
      <c r="EW298" s="6" t="n">
        <f aca="false">ROW()-1</f>
        <v>297</v>
      </c>
    </row>
    <row r="299" customFormat="false" ht="15" hidden="false" customHeight="false" outlineLevel="0" collapsed="false">
      <c r="A299" s="0" t="s">
        <v>4421</v>
      </c>
      <c r="B299" s="0" t="s">
        <v>4422</v>
      </c>
      <c r="H299" s="5" t="s">
        <v>158</v>
      </c>
      <c r="I299" s="5" t="s">
        <v>159</v>
      </c>
      <c r="J299" s="6" t="n">
        <f aca="false">IF(AX299="pass",ROUND(CU299+CV299+CW299+CX299+CY299+CZ299,1),0)</f>
        <v>0</v>
      </c>
      <c r="K299" s="6" t="s">
        <v>4423</v>
      </c>
      <c r="L299" s="6" t="s">
        <v>163</v>
      </c>
      <c r="R299" s="5" t="s">
        <v>162</v>
      </c>
      <c r="S299" s="6" t="s">
        <v>163</v>
      </c>
      <c r="T299" s="5" t="s">
        <v>162</v>
      </c>
      <c r="U299" s="5" t="s">
        <v>228</v>
      </c>
      <c r="V299" s="6" t="s">
        <v>4424</v>
      </c>
      <c r="W299" s="6" t="s">
        <v>166</v>
      </c>
      <c r="X299" s="6" t="s">
        <v>167</v>
      </c>
      <c r="Y299" s="0" t="str">
        <f aca="false">IF(EU299&lt;&gt;"Y","",COUNTIFS($EU$2:$EU$1000,"Y",$J$2:$J$1000,"&gt;"&amp;J299)+COUNTIFS($EU$2:$EU$1000,"Y",$J$2:$J$1000,J299,$EW$2:$EW$1000,"&lt;"&amp;EW299)+1)</f>
        <v/>
      </c>
      <c r="AA299" s="6" t="s">
        <v>162</v>
      </c>
      <c r="AD299" s="6" t="s">
        <v>158</v>
      </c>
      <c r="AH299" s="5" t="s">
        <v>158</v>
      </c>
      <c r="AI299" s="6" t="s">
        <v>4425</v>
      </c>
      <c r="AJ299" s="6" t="s">
        <v>4426</v>
      </c>
      <c r="AK299" s="6" t="s">
        <v>2228</v>
      </c>
      <c r="AL299" s="6" t="s">
        <v>163</v>
      </c>
      <c r="AM299" s="6" t="s">
        <v>163</v>
      </c>
      <c r="AN299" s="6" t="s">
        <v>158</v>
      </c>
      <c r="AO299" s="6" t="s">
        <v>163</v>
      </c>
      <c r="AP299" s="6" t="s">
        <v>4421</v>
      </c>
      <c r="AQ299" s="5" t="s">
        <v>162</v>
      </c>
      <c r="AT299" s="0" t="str">
        <f aca="false">IF(AND(AX299="pass",AQ299&lt;&gt;"Y",C299&lt;&gt;"",OR(AW299&lt;&gt;"Y",AV299="Y")),"Y","N")</f>
        <v>N</v>
      </c>
      <c r="AU299" s="0" t="str">
        <f aca="false">_xlfn.TEXTJOIN("; ",TRUE(),IF(AX299&lt;&gt;"pass","gated out",""),IF(AQ299="Y","on hold: "&amp;AR299,""),IF(C299="","no contact named on an opened page",""),IF(AND(AW299="Y",AV299&lt;&gt;"Y"),"Tuesday estimate band "&amp;L299&amp;": founder's call",""))</f>
        <v>gated out; no contact named on an opened page</v>
      </c>
      <c r="AW299" s="6" t="s">
        <v>162</v>
      </c>
      <c r="AX299" s="6" t="s">
        <v>3704</v>
      </c>
      <c r="AY299" s="6" t="s">
        <v>4427</v>
      </c>
      <c r="AZ299" s="6" t="s">
        <v>2229</v>
      </c>
      <c r="BA299" s="6" t="s">
        <v>4428</v>
      </c>
      <c r="BB299" s="6" t="s">
        <v>4429</v>
      </c>
      <c r="BC299" s="6" t="s">
        <v>2232</v>
      </c>
      <c r="BD299" s="6" t="s">
        <v>163</v>
      </c>
      <c r="BF299" s="6" t="s">
        <v>163</v>
      </c>
      <c r="BG299" s="6" t="s">
        <v>163</v>
      </c>
      <c r="BK299" s="6" t="s">
        <v>163</v>
      </c>
      <c r="BL299" s="6" t="s">
        <v>2233</v>
      </c>
      <c r="BM299" s="6" t="s">
        <v>163</v>
      </c>
      <c r="BN299" s="6" t="s">
        <v>4430</v>
      </c>
      <c r="BP299" s="6" t="s">
        <v>244</v>
      </c>
      <c r="BQ299" s="0" t="n">
        <v>40.746221</v>
      </c>
      <c r="BR299" s="0" t="n">
        <v>-73.982288</v>
      </c>
      <c r="BS299" s="6" t="s">
        <v>162</v>
      </c>
      <c r="BT299" s="0" t="n">
        <v>2</v>
      </c>
      <c r="BV299" s="6" t="s">
        <v>163</v>
      </c>
      <c r="BW299" s="6" t="s">
        <v>4424</v>
      </c>
      <c r="BX299" s="6" t="s">
        <v>166</v>
      </c>
      <c r="BY299" s="6" t="s">
        <v>2237</v>
      </c>
      <c r="BZ299" s="6" t="s">
        <v>4431</v>
      </c>
      <c r="CC299" s="6" t="s">
        <v>739</v>
      </c>
      <c r="CE299" s="6" t="s">
        <v>162</v>
      </c>
      <c r="CF299" s="6" t="s">
        <v>4428</v>
      </c>
      <c r="CG299" s="6" t="s">
        <v>2239</v>
      </c>
      <c r="CH299" s="6" t="s">
        <v>163</v>
      </c>
      <c r="CJ299" s="6" t="s">
        <v>163</v>
      </c>
      <c r="CK299" s="6" t="s">
        <v>162</v>
      </c>
      <c r="CL299" s="6" t="s">
        <v>163</v>
      </c>
      <c r="CO299" s="6" t="s">
        <v>163</v>
      </c>
      <c r="CQ299" s="6" t="s">
        <v>2240</v>
      </c>
      <c r="CR299" s="6" t="s">
        <v>206</v>
      </c>
      <c r="CS299" s="6" t="s">
        <v>163</v>
      </c>
      <c r="CT299" s="0" t="n">
        <v>34</v>
      </c>
      <c r="CU299" s="0" t="n">
        <v>7</v>
      </c>
      <c r="CV299" s="0" t="n">
        <v>8</v>
      </c>
      <c r="CW299" s="0" t="n">
        <v>6</v>
      </c>
      <c r="CX299" s="0" t="n">
        <v>13</v>
      </c>
      <c r="CY299" s="6" t="n">
        <f aca="false">IF(AH299="exact",10,IF(AH299="adjacent",5,0))</f>
        <v>0</v>
      </c>
      <c r="CZ299" s="6" t="n">
        <f aca="false">IF(R299="Y",15,0)</f>
        <v>0</v>
      </c>
      <c r="DF299" s="6" t="s">
        <v>158</v>
      </c>
      <c r="DG299" s="6" t="s">
        <v>2229</v>
      </c>
      <c r="DK299" s="6" t="s">
        <v>4432</v>
      </c>
      <c r="DS299" s="6" t="s">
        <v>158</v>
      </c>
      <c r="DX299" s="6" t="s">
        <v>162</v>
      </c>
      <c r="ER299" s="0" t="str">
        <f aca="false">IF(ISNUMBER(MATCH(U299,{"queued","contacted","replied","call_booked","call_done","yes_in_principle","materials_sent"},0)),"Y","N")</f>
        <v>N</v>
      </c>
      <c r="ES299" s="0" t="str">
        <f aca="false">IF(COUNTIFS($AP$2:$AP$1000,AP299,$ER$2:$ER$1000,"Y")+COUNTIFS($AP$2:$AP$1000,AP299,$T$2:$T$1000,"Y")&gt;0,"Y","N")</f>
        <v>N</v>
      </c>
      <c r="ET299" s="0" t="str">
        <f aca="false">IF(AND(U299="new",T299="N",AT299="Y",AS299="",ES299="N"),"Y","N")</f>
        <v>N</v>
      </c>
      <c r="EU299" s="0" t="str">
        <f aca="false">IF(ET299&lt;&gt;"Y","N",IF(COUNTIFS($AP$2:$AP$1000,AP299,$ET$2:$ET$1000,"Y",$J$2:$J$1000,"&gt;"&amp;J299)+COUNTIFS($AP$2:$AP$1000,AP299,$ET$2:$ET$1000,"Y",$J$2:$J$1000,J299,$EW$2:$EW$1000,"&lt;"&amp;EW299)=0,"Y","N"))</f>
        <v>N</v>
      </c>
      <c r="EV299" s="0" t="str">
        <f aca="false">IF(Y299="","N",IF(Y299&lt;=10,"Y","N"))</f>
        <v>N</v>
      </c>
      <c r="EW299" s="6" t="n">
        <f aca="false">ROW()-1</f>
        <v>298</v>
      </c>
    </row>
    <row r="300" customFormat="false" ht="15" hidden="false" customHeight="false" outlineLevel="0" collapsed="false">
      <c r="A300" s="0" t="s">
        <v>4433</v>
      </c>
      <c r="B300" s="0" t="s">
        <v>4434</v>
      </c>
      <c r="H300" s="5" t="s">
        <v>158</v>
      </c>
      <c r="I300" s="5" t="s">
        <v>159</v>
      </c>
      <c r="J300" s="6" t="n">
        <f aca="false">IF(AX300="pass",ROUND(CU300+CV300+CW300+CX300+CY300+CZ300,1),0)</f>
        <v>0</v>
      </c>
      <c r="K300" s="6" t="s">
        <v>4435</v>
      </c>
      <c r="L300" s="6" t="s">
        <v>163</v>
      </c>
      <c r="R300" s="5" t="s">
        <v>162</v>
      </c>
      <c r="S300" s="6" t="s">
        <v>163</v>
      </c>
      <c r="T300" s="5" t="s">
        <v>162</v>
      </c>
      <c r="U300" s="5" t="s">
        <v>228</v>
      </c>
      <c r="V300" s="6" t="s">
        <v>2527</v>
      </c>
      <c r="W300" s="6" t="s">
        <v>174</v>
      </c>
      <c r="X300" s="6" t="s">
        <v>167</v>
      </c>
      <c r="Y300" s="0" t="str">
        <f aca="false">IF(EU300&lt;&gt;"Y","",COUNTIFS($EU$2:$EU$1000,"Y",$J$2:$J$1000,"&gt;"&amp;J300)+COUNTIFS($EU$2:$EU$1000,"Y",$J$2:$J$1000,J300,$EW$2:$EW$1000,"&lt;"&amp;EW300)+1)</f>
        <v/>
      </c>
      <c r="AA300" s="6" t="s">
        <v>162</v>
      </c>
      <c r="AD300" s="6" t="s">
        <v>158</v>
      </c>
      <c r="AH300" s="5" t="s">
        <v>158</v>
      </c>
      <c r="AI300" s="6" t="s">
        <v>4436</v>
      </c>
      <c r="AJ300" s="6" t="s">
        <v>163</v>
      </c>
      <c r="AK300" s="6" t="s">
        <v>598</v>
      </c>
      <c r="AL300" s="6" t="s">
        <v>163</v>
      </c>
      <c r="AM300" s="6" t="s">
        <v>163</v>
      </c>
      <c r="AN300" s="6" t="s">
        <v>158</v>
      </c>
      <c r="AO300" s="6" t="s">
        <v>163</v>
      </c>
      <c r="AP300" s="6" t="s">
        <v>4433</v>
      </c>
      <c r="AQ300" s="5" t="s">
        <v>162</v>
      </c>
      <c r="AT300" s="0" t="str">
        <f aca="false">IF(AND(AX300="pass",AQ300&lt;&gt;"Y",C300&lt;&gt;"",OR(AW300&lt;&gt;"Y",AV300="Y")),"Y","N")</f>
        <v>N</v>
      </c>
      <c r="AU300" s="0" t="str">
        <f aca="false">_xlfn.TEXTJOIN("; ",TRUE(),IF(AX300&lt;&gt;"pass","gated out",""),IF(AQ300="Y","on hold: "&amp;AR300,""),IF(C300="","no contact named on an opened page",""),IF(AND(AW300="Y",AV300&lt;&gt;"Y"),"Tuesday estimate band "&amp;L300&amp;": founder's call",""))</f>
        <v>gated out; no contact named on an opened page</v>
      </c>
      <c r="AW300" s="6" t="s">
        <v>162</v>
      </c>
      <c r="AX300" s="6" t="s">
        <v>3704</v>
      </c>
      <c r="AY300" s="6" t="s">
        <v>4437</v>
      </c>
      <c r="AZ300" s="6" t="s">
        <v>2229</v>
      </c>
      <c r="BA300" s="6" t="s">
        <v>4438</v>
      </c>
      <c r="BB300" s="6" t="s">
        <v>2491</v>
      </c>
      <c r="BC300" s="6" t="s">
        <v>2232</v>
      </c>
      <c r="BD300" s="6" t="s">
        <v>163</v>
      </c>
      <c r="BF300" s="6" t="s">
        <v>163</v>
      </c>
      <c r="BG300" s="6" t="s">
        <v>163</v>
      </c>
      <c r="BK300" s="6" t="s">
        <v>163</v>
      </c>
      <c r="BL300" s="6" t="s">
        <v>2233</v>
      </c>
      <c r="BM300" s="6" t="s">
        <v>163</v>
      </c>
      <c r="BN300" s="6" t="s">
        <v>4439</v>
      </c>
      <c r="BP300" s="6" t="s">
        <v>378</v>
      </c>
      <c r="BQ300" s="0" t="n">
        <v>40.737788</v>
      </c>
      <c r="BR300" s="0" t="n">
        <v>-73.992555</v>
      </c>
      <c r="BS300" s="6" t="s">
        <v>168</v>
      </c>
      <c r="BT300" s="0" t="n">
        <v>0</v>
      </c>
      <c r="BU300" s="6" t="s">
        <v>2536</v>
      </c>
      <c r="BV300" s="6" t="s">
        <v>2529</v>
      </c>
      <c r="BW300" s="6" t="s">
        <v>2527</v>
      </c>
      <c r="BX300" s="6" t="s">
        <v>4440</v>
      </c>
      <c r="BY300" s="6" t="s">
        <v>2237</v>
      </c>
      <c r="CC300" s="6" t="s">
        <v>739</v>
      </c>
      <c r="CE300" s="6" t="s">
        <v>162</v>
      </c>
      <c r="CF300" s="6" t="s">
        <v>4438</v>
      </c>
      <c r="CG300" s="6" t="s">
        <v>163</v>
      </c>
      <c r="CH300" s="6" t="s">
        <v>163</v>
      </c>
      <c r="CJ300" s="6" t="s">
        <v>163</v>
      </c>
      <c r="CK300" s="6" t="s">
        <v>162</v>
      </c>
      <c r="CL300" s="6" t="s">
        <v>163</v>
      </c>
      <c r="CO300" s="6" t="s">
        <v>163</v>
      </c>
      <c r="CQ300" s="6" t="s">
        <v>2240</v>
      </c>
      <c r="CR300" s="6" t="s">
        <v>206</v>
      </c>
      <c r="CS300" s="6" t="s">
        <v>163</v>
      </c>
      <c r="CT300" s="0" t="n">
        <v>26</v>
      </c>
      <c r="CU300" s="0" t="n">
        <v>7</v>
      </c>
      <c r="CV300" s="0" t="n">
        <v>8</v>
      </c>
      <c r="CW300" s="0" t="n">
        <v>6</v>
      </c>
      <c r="CX300" s="0" t="n">
        <v>5</v>
      </c>
      <c r="CY300" s="6" t="n">
        <f aca="false">IF(AH300="exact",10,IF(AH300="adjacent",5,0))</f>
        <v>0</v>
      </c>
      <c r="CZ300" s="6" t="n">
        <f aca="false">IF(R300="Y",15,0)</f>
        <v>0</v>
      </c>
      <c r="DF300" s="6" t="s">
        <v>158</v>
      </c>
      <c r="DG300" s="6" t="s">
        <v>2229</v>
      </c>
      <c r="DK300" s="6" t="s">
        <v>4441</v>
      </c>
      <c r="DS300" s="6" t="s">
        <v>158</v>
      </c>
      <c r="DX300" s="6" t="s">
        <v>162</v>
      </c>
      <c r="ER300" s="0" t="str">
        <f aca="false">IF(ISNUMBER(MATCH(U300,{"queued","contacted","replied","call_booked","call_done","yes_in_principle","materials_sent"},0)),"Y","N")</f>
        <v>N</v>
      </c>
      <c r="ES300" s="0" t="str">
        <f aca="false">IF(COUNTIFS($AP$2:$AP$1000,AP300,$ER$2:$ER$1000,"Y")+COUNTIFS($AP$2:$AP$1000,AP300,$T$2:$T$1000,"Y")&gt;0,"Y","N")</f>
        <v>N</v>
      </c>
      <c r="ET300" s="0" t="str">
        <f aca="false">IF(AND(U300="new",T300="N",AT300="Y",AS300="",ES300="N"),"Y","N")</f>
        <v>N</v>
      </c>
      <c r="EU300" s="0" t="str">
        <f aca="false">IF(ET300&lt;&gt;"Y","N",IF(COUNTIFS($AP$2:$AP$1000,AP300,$ET$2:$ET$1000,"Y",$J$2:$J$1000,"&gt;"&amp;J300)+COUNTIFS($AP$2:$AP$1000,AP300,$ET$2:$ET$1000,"Y",$J$2:$J$1000,J300,$EW$2:$EW$1000,"&lt;"&amp;EW300)=0,"Y","N"))</f>
        <v>N</v>
      </c>
      <c r="EV300" s="0" t="str">
        <f aca="false">IF(Y300="","N",IF(Y300&lt;=10,"Y","N"))</f>
        <v>N</v>
      </c>
      <c r="EW300" s="6" t="n">
        <f aca="false">ROW()-1</f>
        <v>299</v>
      </c>
    </row>
    <row r="301" customFormat="false" ht="15" hidden="false" customHeight="false" outlineLevel="0" collapsed="false">
      <c r="A301" s="0" t="s">
        <v>4442</v>
      </c>
      <c r="B301" s="0" t="s">
        <v>4443</v>
      </c>
      <c r="H301" s="5" t="s">
        <v>158</v>
      </c>
      <c r="I301" s="5" t="s">
        <v>159</v>
      </c>
      <c r="J301" s="6" t="n">
        <f aca="false">IF(AX301="pass",ROUND(CU301+CV301+CW301+CX301+CY301+CZ301,1),0)</f>
        <v>0</v>
      </c>
      <c r="K301" s="6" t="s">
        <v>4444</v>
      </c>
      <c r="L301" s="6" t="s">
        <v>163</v>
      </c>
      <c r="R301" s="5" t="s">
        <v>162</v>
      </c>
      <c r="S301" s="6" t="s">
        <v>163</v>
      </c>
      <c r="T301" s="5" t="s">
        <v>162</v>
      </c>
      <c r="U301" s="5" t="s">
        <v>228</v>
      </c>
      <c r="V301" s="6" t="s">
        <v>2277</v>
      </c>
      <c r="W301" s="6" t="s">
        <v>166</v>
      </c>
      <c r="X301" s="6" t="s">
        <v>167</v>
      </c>
      <c r="Y301" s="0" t="str">
        <f aca="false">IF(EU301&lt;&gt;"Y","",COUNTIFS($EU$2:$EU$1000,"Y",$J$2:$J$1000,"&gt;"&amp;J301)+COUNTIFS($EU$2:$EU$1000,"Y",$J$2:$J$1000,J301,$EW$2:$EW$1000,"&lt;"&amp;EW301)+1)</f>
        <v/>
      </c>
      <c r="AA301" s="6" t="s">
        <v>162</v>
      </c>
      <c r="AD301" s="6" t="s">
        <v>158</v>
      </c>
      <c r="AH301" s="5" t="s">
        <v>158</v>
      </c>
      <c r="AI301" s="6" t="s">
        <v>4445</v>
      </c>
      <c r="AJ301" s="6" t="s">
        <v>2279</v>
      </c>
      <c r="AK301" s="6" t="s">
        <v>2228</v>
      </c>
      <c r="AL301" s="6" t="s">
        <v>163</v>
      </c>
      <c r="AM301" s="6" t="s">
        <v>163</v>
      </c>
      <c r="AN301" s="6" t="s">
        <v>158</v>
      </c>
      <c r="AO301" s="6" t="s">
        <v>163</v>
      </c>
      <c r="AP301" s="6" t="s">
        <v>2280</v>
      </c>
      <c r="AQ301" s="5" t="s">
        <v>162</v>
      </c>
      <c r="AT301" s="0" t="str">
        <f aca="false">IF(AND(AX301="pass",AQ301&lt;&gt;"Y",C301&lt;&gt;"",OR(AW301&lt;&gt;"Y",AV301="Y")),"Y","N")</f>
        <v>N</v>
      </c>
      <c r="AU301" s="0" t="str">
        <f aca="false">_xlfn.TEXTJOIN("; ",TRUE(),IF(AX301&lt;&gt;"pass","gated out",""),IF(AQ301="Y","on hold: "&amp;AR301,""),IF(C301="","no contact named on an opened page",""),IF(AND(AW301="Y",AV301&lt;&gt;"Y"),"Tuesday estimate band "&amp;L301&amp;": founder's call",""))</f>
        <v>gated out; no contact named on an opened page</v>
      </c>
      <c r="AW301" s="6" t="s">
        <v>162</v>
      </c>
      <c r="AX301" s="6" t="s">
        <v>3704</v>
      </c>
      <c r="AY301" s="6" t="s">
        <v>4446</v>
      </c>
      <c r="AZ301" s="6" t="s">
        <v>2229</v>
      </c>
      <c r="BA301" s="6" t="s">
        <v>4447</v>
      </c>
      <c r="BB301" s="6" t="s">
        <v>2282</v>
      </c>
      <c r="BC301" s="6" t="s">
        <v>2232</v>
      </c>
      <c r="BD301" s="6" t="s">
        <v>163</v>
      </c>
      <c r="BF301" s="6" t="s">
        <v>163</v>
      </c>
      <c r="BG301" s="6" t="s">
        <v>163</v>
      </c>
      <c r="BK301" s="6" t="s">
        <v>163</v>
      </c>
      <c r="BL301" s="6" t="s">
        <v>2233</v>
      </c>
      <c r="BM301" s="6" t="s">
        <v>163</v>
      </c>
      <c r="BN301" s="6" t="s">
        <v>2283</v>
      </c>
      <c r="BP301" s="6" t="s">
        <v>347</v>
      </c>
      <c r="BQ301" s="0" t="n">
        <v>40.739621</v>
      </c>
      <c r="BR301" s="0" t="n">
        <v>-73.985632</v>
      </c>
      <c r="BS301" s="6" t="s">
        <v>162</v>
      </c>
      <c r="BT301" s="0" t="n">
        <v>0.3</v>
      </c>
      <c r="BV301" s="6" t="s">
        <v>163</v>
      </c>
      <c r="BW301" s="6" t="s">
        <v>2277</v>
      </c>
      <c r="BX301" s="6" t="s">
        <v>166</v>
      </c>
      <c r="BY301" s="6" t="s">
        <v>2237</v>
      </c>
      <c r="BZ301" s="6" t="s">
        <v>2661</v>
      </c>
      <c r="CC301" s="6" t="s">
        <v>739</v>
      </c>
      <c r="CE301" s="6" t="s">
        <v>162</v>
      </c>
      <c r="CF301" s="6" t="s">
        <v>4447</v>
      </c>
      <c r="CG301" s="6" t="s">
        <v>2239</v>
      </c>
      <c r="CH301" s="6" t="s">
        <v>163</v>
      </c>
      <c r="CJ301" s="6" t="s">
        <v>163</v>
      </c>
      <c r="CK301" s="6" t="s">
        <v>162</v>
      </c>
      <c r="CL301" s="6" t="s">
        <v>163</v>
      </c>
      <c r="CO301" s="6" t="s">
        <v>163</v>
      </c>
      <c r="CQ301" s="6" t="s">
        <v>2240</v>
      </c>
      <c r="CR301" s="6" t="s">
        <v>206</v>
      </c>
      <c r="CS301" s="6" t="s">
        <v>163</v>
      </c>
      <c r="CT301" s="0" t="n">
        <v>34</v>
      </c>
      <c r="CU301" s="0" t="n">
        <v>7</v>
      </c>
      <c r="CV301" s="0" t="n">
        <v>8</v>
      </c>
      <c r="CW301" s="0" t="n">
        <v>6</v>
      </c>
      <c r="CX301" s="0" t="n">
        <v>13</v>
      </c>
      <c r="CY301" s="6" t="n">
        <f aca="false">IF(AH301="exact",10,IF(AH301="adjacent",5,0))</f>
        <v>0</v>
      </c>
      <c r="CZ301" s="6" t="n">
        <f aca="false">IF(R301="Y",15,0)</f>
        <v>0</v>
      </c>
      <c r="DF301" s="6" t="s">
        <v>158</v>
      </c>
      <c r="DG301" s="6" t="s">
        <v>2229</v>
      </c>
      <c r="DK301" s="6" t="s">
        <v>4448</v>
      </c>
      <c r="DS301" s="6" t="s">
        <v>158</v>
      </c>
      <c r="DX301" s="6" t="s">
        <v>162</v>
      </c>
      <c r="DZ301" s="6" t="s">
        <v>4449</v>
      </c>
      <c r="ER301" s="0" t="str">
        <f aca="false">IF(ISNUMBER(MATCH(U301,{"queued","contacted","replied","call_booked","call_done","yes_in_principle","materials_sent"},0)),"Y","N")</f>
        <v>N</v>
      </c>
      <c r="ES301" s="0" t="str">
        <f aca="false">IF(COUNTIFS($AP$2:$AP$1000,AP301,$ER$2:$ER$1000,"Y")+COUNTIFS($AP$2:$AP$1000,AP301,$T$2:$T$1000,"Y")&gt;0,"Y","N")</f>
        <v>N</v>
      </c>
      <c r="ET301" s="0" t="str">
        <f aca="false">IF(AND(U301="new",T301="N",AT301="Y",AS301="",ES301="N"),"Y","N")</f>
        <v>N</v>
      </c>
      <c r="EU301" s="0" t="str">
        <f aca="false">IF(ET301&lt;&gt;"Y","N",IF(COUNTIFS($AP$2:$AP$1000,AP301,$ET$2:$ET$1000,"Y",$J$2:$J$1000,"&gt;"&amp;J301)+COUNTIFS($AP$2:$AP$1000,AP301,$ET$2:$ET$1000,"Y",$J$2:$J$1000,J301,$EW$2:$EW$1000,"&lt;"&amp;EW301)=0,"Y","N"))</f>
        <v>N</v>
      </c>
      <c r="EV301" s="0" t="str">
        <f aca="false">IF(Y301="","N",IF(Y301&lt;=10,"Y","N"))</f>
        <v>N</v>
      </c>
      <c r="EW301" s="6" t="n">
        <f aca="false">ROW()-1</f>
        <v>300</v>
      </c>
    </row>
    <row r="302" customFormat="false" ht="15" hidden="false" customHeight="false" outlineLevel="0" collapsed="false">
      <c r="A302" s="0" t="s">
        <v>4450</v>
      </c>
      <c r="B302" s="0" t="s">
        <v>4451</v>
      </c>
      <c r="H302" s="5" t="s">
        <v>158</v>
      </c>
      <c r="I302" s="5" t="s">
        <v>159</v>
      </c>
      <c r="J302" s="6" t="n">
        <f aca="false">IF(AX302="pass",ROUND(CU302+CV302+CW302+CX302+CY302+CZ302,1),0)</f>
        <v>0</v>
      </c>
      <c r="K302" s="6" t="s">
        <v>4452</v>
      </c>
      <c r="L302" s="6" t="s">
        <v>163</v>
      </c>
      <c r="R302" s="5" t="s">
        <v>162</v>
      </c>
      <c r="S302" s="6" t="s">
        <v>163</v>
      </c>
      <c r="T302" s="5" t="s">
        <v>162</v>
      </c>
      <c r="U302" s="5" t="s">
        <v>228</v>
      </c>
      <c r="V302" s="6" t="s">
        <v>4453</v>
      </c>
      <c r="W302" s="6" t="s">
        <v>166</v>
      </c>
      <c r="X302" s="6" t="s">
        <v>167</v>
      </c>
      <c r="Y302" s="0" t="str">
        <f aca="false">IF(EU302&lt;&gt;"Y","",COUNTIFS($EU$2:$EU$1000,"Y",$J$2:$J$1000,"&gt;"&amp;J302)+COUNTIFS($EU$2:$EU$1000,"Y",$J$2:$J$1000,J302,$EW$2:$EW$1000,"&lt;"&amp;EW302)+1)</f>
        <v/>
      </c>
      <c r="AA302" s="6" t="s">
        <v>162</v>
      </c>
      <c r="AD302" s="6" t="s">
        <v>158</v>
      </c>
      <c r="AH302" s="5" t="s">
        <v>158</v>
      </c>
      <c r="AI302" s="6" t="s">
        <v>4454</v>
      </c>
      <c r="AJ302" s="6" t="s">
        <v>163</v>
      </c>
      <c r="AK302" s="6" t="s">
        <v>2228</v>
      </c>
      <c r="AL302" s="6" t="s">
        <v>163</v>
      </c>
      <c r="AM302" s="6" t="s">
        <v>163</v>
      </c>
      <c r="AN302" s="6" t="s">
        <v>158</v>
      </c>
      <c r="AO302" s="6" t="s">
        <v>163</v>
      </c>
      <c r="AP302" s="6" t="s">
        <v>2799</v>
      </c>
      <c r="AQ302" s="5" t="s">
        <v>162</v>
      </c>
      <c r="AT302" s="0" t="str">
        <f aca="false">IF(AND(AX302="pass",AQ302&lt;&gt;"Y",C302&lt;&gt;"",OR(AW302&lt;&gt;"Y",AV302="Y")),"Y","N")</f>
        <v>N</v>
      </c>
      <c r="AU302" s="0" t="str">
        <f aca="false">_xlfn.TEXTJOIN("; ",TRUE(),IF(AX302&lt;&gt;"pass","gated out",""),IF(AQ302="Y","on hold: "&amp;AR302,""),IF(C302="","no contact named on an opened page",""),IF(AND(AW302="Y",AV302&lt;&gt;"Y"),"Tuesday estimate band "&amp;L302&amp;": founder's call",""))</f>
        <v>gated out; no contact named on an opened page</v>
      </c>
      <c r="AW302" s="6" t="s">
        <v>162</v>
      </c>
      <c r="AX302" s="6" t="s">
        <v>3704</v>
      </c>
      <c r="AY302" s="6" t="s">
        <v>4455</v>
      </c>
      <c r="AZ302" s="6" t="s">
        <v>2229</v>
      </c>
      <c r="BA302" s="6" t="s">
        <v>4456</v>
      </c>
      <c r="BB302" s="6" t="s">
        <v>2801</v>
      </c>
      <c r="BC302" s="6" t="s">
        <v>2232</v>
      </c>
      <c r="BD302" s="6" t="s">
        <v>163</v>
      </c>
      <c r="BF302" s="6" t="s">
        <v>163</v>
      </c>
      <c r="BG302" s="6" t="s">
        <v>163</v>
      </c>
      <c r="BK302" s="6" t="s">
        <v>163</v>
      </c>
      <c r="BL302" s="6" t="s">
        <v>2233</v>
      </c>
      <c r="BM302" s="6" t="s">
        <v>163</v>
      </c>
      <c r="BN302" s="6" t="s">
        <v>2802</v>
      </c>
      <c r="BP302" s="6" t="s">
        <v>244</v>
      </c>
      <c r="BQ302" s="0" t="n">
        <v>40.746008</v>
      </c>
      <c r="BR302" s="0" t="n">
        <v>-73.984034</v>
      </c>
      <c r="BS302" s="6" t="s">
        <v>162</v>
      </c>
      <c r="BT302" s="0" t="n">
        <v>0.8</v>
      </c>
      <c r="BV302" s="6" t="s">
        <v>163</v>
      </c>
      <c r="BW302" s="6" t="s">
        <v>4453</v>
      </c>
      <c r="BX302" s="6" t="s">
        <v>166</v>
      </c>
      <c r="BY302" s="6" t="s">
        <v>2237</v>
      </c>
      <c r="CC302" s="6" t="s">
        <v>739</v>
      </c>
      <c r="CE302" s="6" t="s">
        <v>162</v>
      </c>
      <c r="CF302" s="6" t="s">
        <v>4456</v>
      </c>
      <c r="CG302" s="6" t="s">
        <v>2239</v>
      </c>
      <c r="CH302" s="6" t="s">
        <v>163</v>
      </c>
      <c r="CJ302" s="6" t="s">
        <v>163</v>
      </c>
      <c r="CK302" s="6" t="s">
        <v>162</v>
      </c>
      <c r="CL302" s="6" t="s">
        <v>163</v>
      </c>
      <c r="CO302" s="6" t="s">
        <v>163</v>
      </c>
      <c r="CQ302" s="6" t="s">
        <v>2240</v>
      </c>
      <c r="CR302" s="6" t="s">
        <v>206</v>
      </c>
      <c r="CS302" s="6" t="s">
        <v>163</v>
      </c>
      <c r="CT302" s="0" t="n">
        <v>34</v>
      </c>
      <c r="CU302" s="0" t="n">
        <v>7</v>
      </c>
      <c r="CV302" s="0" t="n">
        <v>8</v>
      </c>
      <c r="CW302" s="0" t="n">
        <v>6</v>
      </c>
      <c r="CX302" s="0" t="n">
        <v>13</v>
      </c>
      <c r="CY302" s="6" t="n">
        <f aca="false">IF(AH302="exact",10,IF(AH302="adjacent",5,0))</f>
        <v>0</v>
      </c>
      <c r="CZ302" s="6" t="n">
        <f aca="false">IF(R302="Y",15,0)</f>
        <v>0</v>
      </c>
      <c r="DF302" s="6" t="s">
        <v>158</v>
      </c>
      <c r="DG302" s="6" t="s">
        <v>2229</v>
      </c>
      <c r="DK302" s="6" t="s">
        <v>4457</v>
      </c>
      <c r="DS302" s="6" t="s">
        <v>158</v>
      </c>
      <c r="DX302" s="6" t="s">
        <v>162</v>
      </c>
      <c r="DZ302" s="6" t="s">
        <v>4458</v>
      </c>
      <c r="ER302" s="0" t="str">
        <f aca="false">IF(ISNUMBER(MATCH(U302,{"queued","contacted","replied","call_booked","call_done","yes_in_principle","materials_sent"},0)),"Y","N")</f>
        <v>N</v>
      </c>
      <c r="ES302" s="0" t="str">
        <f aca="false">IF(COUNTIFS($AP$2:$AP$1000,AP302,$ER$2:$ER$1000,"Y")+COUNTIFS($AP$2:$AP$1000,AP302,$T$2:$T$1000,"Y")&gt;0,"Y","N")</f>
        <v>N</v>
      </c>
      <c r="ET302" s="0" t="str">
        <f aca="false">IF(AND(U302="new",T302="N",AT302="Y",AS302="",ES302="N"),"Y","N")</f>
        <v>N</v>
      </c>
      <c r="EU302" s="0" t="str">
        <f aca="false">IF(ET302&lt;&gt;"Y","N",IF(COUNTIFS($AP$2:$AP$1000,AP302,$ET$2:$ET$1000,"Y",$J$2:$J$1000,"&gt;"&amp;J302)+COUNTIFS($AP$2:$AP$1000,AP302,$ET$2:$ET$1000,"Y",$J$2:$J$1000,J302,$EW$2:$EW$1000,"&lt;"&amp;EW302)=0,"Y","N"))</f>
        <v>N</v>
      </c>
      <c r="EV302" s="0" t="str">
        <f aca="false">IF(Y302="","N",IF(Y302&lt;=10,"Y","N"))</f>
        <v>N</v>
      </c>
      <c r="EW302" s="6" t="n">
        <f aca="false">ROW()-1</f>
        <v>301</v>
      </c>
    </row>
    <row r="303" customFormat="false" ht="15" hidden="false" customHeight="false" outlineLevel="0" collapsed="false">
      <c r="A303" s="0" t="s">
        <v>4459</v>
      </c>
      <c r="B303" s="0" t="s">
        <v>4460</v>
      </c>
      <c r="H303" s="5" t="s">
        <v>158</v>
      </c>
      <c r="I303" s="5" t="s">
        <v>159</v>
      </c>
      <c r="J303" s="6" t="n">
        <f aca="false">IF(AX303="pass",ROUND(CU303+CV303+CW303+CX303+CY303+CZ303,1),0)</f>
        <v>0</v>
      </c>
      <c r="K303" s="6" t="s">
        <v>4461</v>
      </c>
      <c r="L303" s="6" t="s">
        <v>163</v>
      </c>
      <c r="R303" s="5" t="s">
        <v>162</v>
      </c>
      <c r="S303" s="6" t="s">
        <v>163</v>
      </c>
      <c r="T303" s="5" t="s">
        <v>162</v>
      </c>
      <c r="U303" s="5" t="s">
        <v>228</v>
      </c>
      <c r="V303" s="6" t="s">
        <v>4462</v>
      </c>
      <c r="W303" s="6" t="s">
        <v>166</v>
      </c>
      <c r="X303" s="6" t="s">
        <v>167</v>
      </c>
      <c r="Y303" s="0" t="str">
        <f aca="false">IF(EU303&lt;&gt;"Y","",COUNTIFS($EU$2:$EU$1000,"Y",$J$2:$J$1000,"&gt;"&amp;J303)+COUNTIFS($EU$2:$EU$1000,"Y",$J$2:$J$1000,J303,$EW$2:$EW$1000,"&lt;"&amp;EW303)+1)</f>
        <v/>
      </c>
      <c r="AA303" s="6" t="s">
        <v>162</v>
      </c>
      <c r="AD303" s="6" t="s">
        <v>158</v>
      </c>
      <c r="AH303" s="5" t="s">
        <v>158</v>
      </c>
      <c r="AI303" s="6" t="s">
        <v>4463</v>
      </c>
      <c r="AJ303" s="6" t="s">
        <v>163</v>
      </c>
      <c r="AK303" s="6" t="s">
        <v>2228</v>
      </c>
      <c r="AL303" s="6" t="s">
        <v>163</v>
      </c>
      <c r="AM303" s="6" t="s">
        <v>163</v>
      </c>
      <c r="AN303" s="6" t="s">
        <v>158</v>
      </c>
      <c r="AO303" s="6" t="s">
        <v>163</v>
      </c>
      <c r="AP303" s="6" t="s">
        <v>2799</v>
      </c>
      <c r="AQ303" s="5" t="s">
        <v>162</v>
      </c>
      <c r="AT303" s="0" t="str">
        <f aca="false">IF(AND(AX303="pass",AQ303&lt;&gt;"Y",C303&lt;&gt;"",OR(AW303&lt;&gt;"Y",AV303="Y")),"Y","N")</f>
        <v>N</v>
      </c>
      <c r="AU303" s="0" t="str">
        <f aca="false">_xlfn.TEXTJOIN("; ",TRUE(),IF(AX303&lt;&gt;"pass","gated out",""),IF(AQ303="Y","on hold: "&amp;AR303,""),IF(C303="","no contact named on an opened page",""),IF(AND(AW303="Y",AV303&lt;&gt;"Y"),"Tuesday estimate band "&amp;L303&amp;": founder's call",""))</f>
        <v>gated out; no contact named on an opened page</v>
      </c>
      <c r="AW303" s="6" t="s">
        <v>162</v>
      </c>
      <c r="AX303" s="6" t="s">
        <v>3704</v>
      </c>
      <c r="AY303" s="6" t="s">
        <v>4464</v>
      </c>
      <c r="AZ303" s="6" t="s">
        <v>2229</v>
      </c>
      <c r="BA303" s="6" t="s">
        <v>4465</v>
      </c>
      <c r="BB303" s="6" t="s">
        <v>2801</v>
      </c>
      <c r="BC303" s="6" t="s">
        <v>2232</v>
      </c>
      <c r="BD303" s="6" t="s">
        <v>163</v>
      </c>
      <c r="BF303" s="6" t="s">
        <v>163</v>
      </c>
      <c r="BG303" s="6" t="s">
        <v>163</v>
      </c>
      <c r="BK303" s="6" t="s">
        <v>163</v>
      </c>
      <c r="BL303" s="6" t="s">
        <v>2233</v>
      </c>
      <c r="BM303" s="6" t="s">
        <v>163</v>
      </c>
      <c r="BN303" s="6" t="s">
        <v>2802</v>
      </c>
      <c r="BP303" s="6" t="s">
        <v>193</v>
      </c>
      <c r="BQ303" s="0" t="n">
        <v>40.735166</v>
      </c>
      <c r="BR303" s="0" t="n">
        <v>-73.988236</v>
      </c>
      <c r="BS303" s="6" t="s">
        <v>162</v>
      </c>
      <c r="BT303" s="0" t="n">
        <v>0.9</v>
      </c>
      <c r="BV303" s="6" t="s">
        <v>163</v>
      </c>
      <c r="BW303" s="6" t="s">
        <v>4462</v>
      </c>
      <c r="BX303" s="6" t="s">
        <v>166</v>
      </c>
      <c r="BY303" s="6" t="s">
        <v>2237</v>
      </c>
      <c r="CC303" s="6" t="s">
        <v>739</v>
      </c>
      <c r="CE303" s="6" t="s">
        <v>162</v>
      </c>
      <c r="CF303" s="6" t="s">
        <v>4465</v>
      </c>
      <c r="CG303" s="6" t="s">
        <v>2239</v>
      </c>
      <c r="CH303" s="6" t="s">
        <v>163</v>
      </c>
      <c r="CJ303" s="6" t="s">
        <v>163</v>
      </c>
      <c r="CK303" s="6" t="s">
        <v>162</v>
      </c>
      <c r="CL303" s="6" t="s">
        <v>163</v>
      </c>
      <c r="CO303" s="6" t="s">
        <v>163</v>
      </c>
      <c r="CQ303" s="6" t="s">
        <v>2240</v>
      </c>
      <c r="CR303" s="6" t="s">
        <v>206</v>
      </c>
      <c r="CS303" s="6" t="s">
        <v>163</v>
      </c>
      <c r="CT303" s="0" t="n">
        <v>34</v>
      </c>
      <c r="CU303" s="0" t="n">
        <v>7</v>
      </c>
      <c r="CV303" s="0" t="n">
        <v>8</v>
      </c>
      <c r="CW303" s="0" t="n">
        <v>6</v>
      </c>
      <c r="CX303" s="0" t="n">
        <v>13</v>
      </c>
      <c r="CY303" s="6" t="n">
        <f aca="false">IF(AH303="exact",10,IF(AH303="adjacent",5,0))</f>
        <v>0</v>
      </c>
      <c r="CZ303" s="6" t="n">
        <f aca="false">IF(R303="Y",15,0)</f>
        <v>0</v>
      </c>
      <c r="DF303" s="6" t="s">
        <v>158</v>
      </c>
      <c r="DG303" s="6" t="s">
        <v>2229</v>
      </c>
      <c r="DK303" s="6" t="s">
        <v>4466</v>
      </c>
      <c r="DS303" s="6" t="s">
        <v>158</v>
      </c>
      <c r="DX303" s="6" t="s">
        <v>162</v>
      </c>
      <c r="DZ303" s="6" t="s">
        <v>4467</v>
      </c>
      <c r="ER303" s="0" t="str">
        <f aca="false">IF(ISNUMBER(MATCH(U303,{"queued","contacted","replied","call_booked","call_done","yes_in_principle","materials_sent"},0)),"Y","N")</f>
        <v>N</v>
      </c>
      <c r="ES303" s="0" t="str">
        <f aca="false">IF(COUNTIFS($AP$2:$AP$1000,AP303,$ER$2:$ER$1000,"Y")+COUNTIFS($AP$2:$AP$1000,AP303,$T$2:$T$1000,"Y")&gt;0,"Y","N")</f>
        <v>N</v>
      </c>
      <c r="ET303" s="0" t="str">
        <f aca="false">IF(AND(U303="new",T303="N",AT303="Y",AS303="",ES303="N"),"Y","N")</f>
        <v>N</v>
      </c>
      <c r="EU303" s="0" t="str">
        <f aca="false">IF(ET303&lt;&gt;"Y","N",IF(COUNTIFS($AP$2:$AP$1000,AP303,$ET$2:$ET$1000,"Y",$J$2:$J$1000,"&gt;"&amp;J303)+COUNTIFS($AP$2:$AP$1000,AP303,$ET$2:$ET$1000,"Y",$J$2:$J$1000,J303,$EW$2:$EW$1000,"&lt;"&amp;EW303)=0,"Y","N"))</f>
        <v>N</v>
      </c>
      <c r="EV303" s="0" t="str">
        <f aca="false">IF(Y303="","N",IF(Y303&lt;=10,"Y","N"))</f>
        <v>N</v>
      </c>
      <c r="EW303" s="6" t="n">
        <f aca="false">ROW()-1</f>
        <v>302</v>
      </c>
    </row>
    <row r="304" customFormat="false" ht="15" hidden="false" customHeight="false" outlineLevel="0" collapsed="false">
      <c r="A304" s="0" t="s">
        <v>4468</v>
      </c>
      <c r="B304" s="0" t="s">
        <v>4469</v>
      </c>
      <c r="H304" s="5" t="s">
        <v>158</v>
      </c>
      <c r="I304" s="5" t="s">
        <v>159</v>
      </c>
      <c r="J304" s="6" t="n">
        <f aca="false">IF(AX304="pass",ROUND(CU304+CV304+CW304+CX304+CY304+CZ304,1),0)</f>
        <v>0</v>
      </c>
      <c r="K304" s="6" t="s">
        <v>4435</v>
      </c>
      <c r="L304" s="6" t="s">
        <v>163</v>
      </c>
      <c r="R304" s="5" t="s">
        <v>162</v>
      </c>
      <c r="S304" s="6" t="s">
        <v>163</v>
      </c>
      <c r="T304" s="5" t="s">
        <v>162</v>
      </c>
      <c r="U304" s="5" t="s">
        <v>228</v>
      </c>
      <c r="V304" s="6" t="s">
        <v>4470</v>
      </c>
      <c r="W304" s="6" t="s">
        <v>166</v>
      </c>
      <c r="X304" s="6" t="s">
        <v>167</v>
      </c>
      <c r="Y304" s="0" t="str">
        <f aca="false">IF(EU304&lt;&gt;"Y","",COUNTIFS($EU$2:$EU$1000,"Y",$J$2:$J$1000,"&gt;"&amp;J304)+COUNTIFS($EU$2:$EU$1000,"Y",$J$2:$J$1000,J304,$EW$2:$EW$1000,"&lt;"&amp;EW304)+1)</f>
        <v/>
      </c>
      <c r="AA304" s="6" t="s">
        <v>162</v>
      </c>
      <c r="AD304" s="6" t="s">
        <v>158</v>
      </c>
      <c r="AH304" s="5" t="s">
        <v>158</v>
      </c>
      <c r="AI304" s="6" t="s">
        <v>4471</v>
      </c>
      <c r="AJ304" s="6" t="s">
        <v>2773</v>
      </c>
      <c r="AK304" s="6" t="s">
        <v>598</v>
      </c>
      <c r="AL304" s="6" t="s">
        <v>163</v>
      </c>
      <c r="AM304" s="6" t="s">
        <v>163</v>
      </c>
      <c r="AN304" s="6" t="s">
        <v>158</v>
      </c>
      <c r="AO304" s="6" t="s">
        <v>163</v>
      </c>
      <c r="AP304" s="6" t="s">
        <v>4468</v>
      </c>
      <c r="AQ304" s="5" t="s">
        <v>162</v>
      </c>
      <c r="AT304" s="0" t="str">
        <f aca="false">IF(AND(AX304="pass",AQ304&lt;&gt;"Y",C304&lt;&gt;"",OR(AW304&lt;&gt;"Y",AV304="Y")),"Y","N")</f>
        <v>N</v>
      </c>
      <c r="AU304" s="0" t="str">
        <f aca="false">_xlfn.TEXTJOIN("; ",TRUE(),IF(AX304&lt;&gt;"pass","gated out",""),IF(AQ304="Y","on hold: "&amp;AR304,""),IF(C304="","no contact named on an opened page",""),IF(AND(AW304="Y",AV304&lt;&gt;"Y"),"Tuesday estimate band "&amp;L304&amp;": founder's call",""))</f>
        <v>gated out; no contact named on an opened page</v>
      </c>
      <c r="AW304" s="6" t="s">
        <v>162</v>
      </c>
      <c r="AX304" s="6" t="s">
        <v>3704</v>
      </c>
      <c r="AY304" s="6" t="s">
        <v>4437</v>
      </c>
      <c r="AZ304" s="6" t="s">
        <v>2229</v>
      </c>
      <c r="BA304" s="6" t="s">
        <v>4472</v>
      </c>
      <c r="BB304" s="6" t="s">
        <v>4473</v>
      </c>
      <c r="BC304" s="6" t="s">
        <v>2232</v>
      </c>
      <c r="BD304" s="6" t="s">
        <v>163</v>
      </c>
      <c r="BF304" s="6" t="s">
        <v>163</v>
      </c>
      <c r="BG304" s="6" t="s">
        <v>163</v>
      </c>
      <c r="BK304" s="6" t="s">
        <v>163</v>
      </c>
      <c r="BL304" s="6" t="s">
        <v>2233</v>
      </c>
      <c r="BM304" s="6" t="s">
        <v>163</v>
      </c>
      <c r="BN304" s="6" t="s">
        <v>4474</v>
      </c>
      <c r="BP304" s="6" t="s">
        <v>347</v>
      </c>
      <c r="BQ304" s="0" t="n">
        <v>40.739588</v>
      </c>
      <c r="BR304" s="0" t="n">
        <v>-73.986574</v>
      </c>
      <c r="BS304" s="6" t="s">
        <v>168</v>
      </c>
      <c r="BT304" s="0" t="n">
        <v>0</v>
      </c>
      <c r="BU304" s="6" t="s">
        <v>4475</v>
      </c>
      <c r="BV304" s="6" t="s">
        <v>4476</v>
      </c>
      <c r="BW304" s="6" t="s">
        <v>4470</v>
      </c>
      <c r="BX304" s="6" t="s">
        <v>4477</v>
      </c>
      <c r="BY304" s="6" t="s">
        <v>2237</v>
      </c>
      <c r="BZ304" s="6" t="s">
        <v>2661</v>
      </c>
      <c r="CC304" s="6" t="s">
        <v>179</v>
      </c>
      <c r="CE304" s="6" t="s">
        <v>162</v>
      </c>
      <c r="CF304" s="6" t="s">
        <v>4472</v>
      </c>
      <c r="CG304" s="6" t="s">
        <v>163</v>
      </c>
      <c r="CH304" s="6" t="s">
        <v>163</v>
      </c>
      <c r="CJ304" s="6" t="s">
        <v>163</v>
      </c>
      <c r="CK304" s="6" t="s">
        <v>162</v>
      </c>
      <c r="CL304" s="6" t="s">
        <v>163</v>
      </c>
      <c r="CO304" s="6" t="s">
        <v>163</v>
      </c>
      <c r="CQ304" s="6" t="s">
        <v>2240</v>
      </c>
      <c r="CR304" s="6" t="s">
        <v>206</v>
      </c>
      <c r="CS304" s="6" t="s">
        <v>163</v>
      </c>
      <c r="CT304" s="0" t="n">
        <v>23</v>
      </c>
      <c r="CU304" s="0" t="n">
        <v>7</v>
      </c>
      <c r="CV304" s="0" t="n">
        <v>8</v>
      </c>
      <c r="CW304" s="0" t="n">
        <v>6</v>
      </c>
      <c r="CX304" s="0" t="n">
        <v>2</v>
      </c>
      <c r="CY304" s="6" t="n">
        <f aca="false">IF(AH304="exact",10,IF(AH304="adjacent",5,0))</f>
        <v>0</v>
      </c>
      <c r="CZ304" s="6" t="n">
        <f aca="false">IF(R304="Y",15,0)</f>
        <v>0</v>
      </c>
      <c r="DF304" s="6" t="s">
        <v>158</v>
      </c>
      <c r="DG304" s="6" t="s">
        <v>2229</v>
      </c>
      <c r="DK304" s="6" t="s">
        <v>4478</v>
      </c>
      <c r="DS304" s="6" t="s">
        <v>158</v>
      </c>
      <c r="DX304" s="6" t="s">
        <v>162</v>
      </c>
      <c r="ER304" s="0" t="str">
        <f aca="false">IF(ISNUMBER(MATCH(U304,{"queued","contacted","replied","call_booked","call_done","yes_in_principle","materials_sent"},0)),"Y","N")</f>
        <v>N</v>
      </c>
      <c r="ES304" s="0" t="str">
        <f aca="false">IF(COUNTIFS($AP$2:$AP$1000,AP304,$ER$2:$ER$1000,"Y")+COUNTIFS($AP$2:$AP$1000,AP304,$T$2:$T$1000,"Y")&gt;0,"Y","N")</f>
        <v>N</v>
      </c>
      <c r="ET304" s="0" t="str">
        <f aca="false">IF(AND(U304="new",T304="N",AT304="Y",AS304="",ES304="N"),"Y","N")</f>
        <v>N</v>
      </c>
      <c r="EU304" s="0" t="str">
        <f aca="false">IF(ET304&lt;&gt;"Y","N",IF(COUNTIFS($AP$2:$AP$1000,AP304,$ET$2:$ET$1000,"Y",$J$2:$J$1000,"&gt;"&amp;J304)+COUNTIFS($AP$2:$AP$1000,AP304,$ET$2:$ET$1000,"Y",$J$2:$J$1000,J304,$EW$2:$EW$1000,"&lt;"&amp;EW304)=0,"Y","N"))</f>
        <v>N</v>
      </c>
      <c r="EV304" s="0" t="str">
        <f aca="false">IF(Y304="","N",IF(Y304&lt;=10,"Y","N"))</f>
        <v>N</v>
      </c>
      <c r="EW304" s="6" t="n">
        <f aca="false">ROW()-1</f>
        <v>303</v>
      </c>
    </row>
    <row r="305" customFormat="false" ht="15" hidden="false" customHeight="false" outlineLevel="0" collapsed="false">
      <c r="A305" s="0" t="s">
        <v>4479</v>
      </c>
      <c r="B305" s="0" t="s">
        <v>4480</v>
      </c>
      <c r="H305" s="5" t="s">
        <v>158</v>
      </c>
      <c r="I305" s="5" t="s">
        <v>159</v>
      </c>
      <c r="J305" s="6" t="n">
        <f aca="false">IF(AX305="pass",ROUND(CU305+CV305+CW305+CX305+CY305+CZ305,1),0)</f>
        <v>0</v>
      </c>
      <c r="K305" s="6" t="s">
        <v>4481</v>
      </c>
      <c r="L305" s="6" t="s">
        <v>163</v>
      </c>
      <c r="R305" s="5" t="s">
        <v>162</v>
      </c>
      <c r="S305" s="6" t="s">
        <v>163</v>
      </c>
      <c r="T305" s="5" t="s">
        <v>162</v>
      </c>
      <c r="U305" s="5" t="s">
        <v>228</v>
      </c>
      <c r="V305" s="6" t="s">
        <v>4482</v>
      </c>
      <c r="W305" s="6" t="s">
        <v>166</v>
      </c>
      <c r="X305" s="6" t="s">
        <v>167</v>
      </c>
      <c r="Y305" s="0" t="str">
        <f aca="false">IF(EU305&lt;&gt;"Y","",COUNTIFS($EU$2:$EU$1000,"Y",$J$2:$J$1000,"&gt;"&amp;J305)+COUNTIFS($EU$2:$EU$1000,"Y",$J$2:$J$1000,J305,$EW$2:$EW$1000,"&lt;"&amp;EW305)+1)</f>
        <v/>
      </c>
      <c r="AA305" s="6" t="s">
        <v>162</v>
      </c>
      <c r="AD305" s="6" t="s">
        <v>158</v>
      </c>
      <c r="AH305" s="5" t="s">
        <v>158</v>
      </c>
      <c r="AI305" s="6" t="s">
        <v>4483</v>
      </c>
      <c r="AJ305" s="6" t="s">
        <v>4484</v>
      </c>
      <c r="AK305" s="6" t="s">
        <v>598</v>
      </c>
      <c r="AL305" s="6" t="s">
        <v>163</v>
      </c>
      <c r="AM305" s="6" t="s">
        <v>163</v>
      </c>
      <c r="AN305" s="6" t="s">
        <v>158</v>
      </c>
      <c r="AO305" s="6" t="s">
        <v>163</v>
      </c>
      <c r="AP305" s="6" t="s">
        <v>4485</v>
      </c>
      <c r="AQ305" s="5" t="s">
        <v>162</v>
      </c>
      <c r="AT305" s="0" t="str">
        <f aca="false">IF(AND(AX305="pass",AQ305&lt;&gt;"Y",C305&lt;&gt;"",OR(AW305&lt;&gt;"Y",AV305="Y")),"Y","N")</f>
        <v>N</v>
      </c>
      <c r="AU305" s="0" t="str">
        <f aca="false">_xlfn.TEXTJOIN("; ",TRUE(),IF(AX305&lt;&gt;"pass","gated out",""),IF(AQ305="Y","on hold: "&amp;AR305,""),IF(C305="","no contact named on an opened page",""),IF(AND(AW305="Y",AV305&lt;&gt;"Y"),"Tuesday estimate band "&amp;L305&amp;": founder's call",""))</f>
        <v>gated out; no contact named on an opened page</v>
      </c>
      <c r="AW305" s="6" t="s">
        <v>162</v>
      </c>
      <c r="AX305" s="6" t="s">
        <v>3704</v>
      </c>
      <c r="AY305" s="6" t="s">
        <v>4486</v>
      </c>
      <c r="AZ305" s="6" t="s">
        <v>2229</v>
      </c>
      <c r="BA305" s="6" t="s">
        <v>4487</v>
      </c>
      <c r="BB305" s="6" t="s">
        <v>4488</v>
      </c>
      <c r="BC305" s="6" t="s">
        <v>2232</v>
      </c>
      <c r="BD305" s="6" t="s">
        <v>163</v>
      </c>
      <c r="BF305" s="6" t="s">
        <v>163</v>
      </c>
      <c r="BG305" s="6" t="s">
        <v>163</v>
      </c>
      <c r="BK305" s="6" t="s">
        <v>163</v>
      </c>
      <c r="BL305" s="6" t="s">
        <v>2233</v>
      </c>
      <c r="BM305" s="6" t="s">
        <v>163</v>
      </c>
      <c r="BN305" s="6" t="s">
        <v>4489</v>
      </c>
      <c r="BP305" s="6" t="s">
        <v>712</v>
      </c>
      <c r="BQ305" s="0" t="n">
        <v>40.747741</v>
      </c>
      <c r="BR305" s="0" t="n">
        <v>-73.988094</v>
      </c>
      <c r="BS305" s="6" t="s">
        <v>162</v>
      </c>
      <c r="BT305" s="0" t="n">
        <v>0.8</v>
      </c>
      <c r="BV305" s="6" t="s">
        <v>163</v>
      </c>
      <c r="BW305" s="6" t="s">
        <v>4482</v>
      </c>
      <c r="BX305" s="6" t="s">
        <v>166</v>
      </c>
      <c r="BY305" s="6" t="s">
        <v>2237</v>
      </c>
      <c r="CC305" s="6" t="s">
        <v>179</v>
      </c>
      <c r="CE305" s="6" t="s">
        <v>162</v>
      </c>
      <c r="CF305" s="6" t="s">
        <v>4487</v>
      </c>
      <c r="CG305" s="6" t="s">
        <v>163</v>
      </c>
      <c r="CH305" s="6" t="s">
        <v>163</v>
      </c>
      <c r="CJ305" s="6" t="s">
        <v>163</v>
      </c>
      <c r="CK305" s="6" t="s">
        <v>162</v>
      </c>
      <c r="CL305" s="6" t="s">
        <v>163</v>
      </c>
      <c r="CO305" s="6" t="s">
        <v>163</v>
      </c>
      <c r="CQ305" s="6" t="s">
        <v>2240</v>
      </c>
      <c r="CR305" s="6" t="s">
        <v>206</v>
      </c>
      <c r="CS305" s="6" t="s">
        <v>163</v>
      </c>
      <c r="CT305" s="0" t="n">
        <v>23</v>
      </c>
      <c r="CU305" s="0" t="n">
        <v>7</v>
      </c>
      <c r="CV305" s="0" t="n">
        <v>8</v>
      </c>
      <c r="CW305" s="0" t="n">
        <v>6</v>
      </c>
      <c r="CX305" s="0" t="n">
        <v>2</v>
      </c>
      <c r="CY305" s="6" t="n">
        <f aca="false">IF(AH305="exact",10,IF(AH305="adjacent",5,0))</f>
        <v>0</v>
      </c>
      <c r="CZ305" s="6" t="n">
        <f aca="false">IF(R305="Y",15,0)</f>
        <v>0</v>
      </c>
      <c r="DF305" s="6" t="s">
        <v>158</v>
      </c>
      <c r="DG305" s="6" t="s">
        <v>2229</v>
      </c>
      <c r="DK305" s="6" t="s">
        <v>4490</v>
      </c>
      <c r="DS305" s="6" t="s">
        <v>158</v>
      </c>
      <c r="DX305" s="6" t="s">
        <v>162</v>
      </c>
      <c r="DZ305" s="6" t="s">
        <v>4491</v>
      </c>
      <c r="ER305" s="0" t="str">
        <f aca="false">IF(ISNUMBER(MATCH(U305,{"queued","contacted","replied","call_booked","call_done","yes_in_principle","materials_sent"},0)),"Y","N")</f>
        <v>N</v>
      </c>
      <c r="ES305" s="0" t="str">
        <f aca="false">IF(COUNTIFS($AP$2:$AP$1000,AP305,$ER$2:$ER$1000,"Y")+COUNTIFS($AP$2:$AP$1000,AP305,$T$2:$T$1000,"Y")&gt;0,"Y","N")</f>
        <v>N</v>
      </c>
      <c r="ET305" s="0" t="str">
        <f aca="false">IF(AND(U305="new",T305="N",AT305="Y",AS305="",ES305="N"),"Y","N")</f>
        <v>N</v>
      </c>
      <c r="EU305" s="0" t="str">
        <f aca="false">IF(ET305&lt;&gt;"Y","N",IF(COUNTIFS($AP$2:$AP$1000,AP305,$ET$2:$ET$1000,"Y",$J$2:$J$1000,"&gt;"&amp;J305)+COUNTIFS($AP$2:$AP$1000,AP305,$ET$2:$ET$1000,"Y",$J$2:$J$1000,J305,$EW$2:$EW$1000,"&lt;"&amp;EW305)=0,"Y","N"))</f>
        <v>N</v>
      </c>
      <c r="EV305" s="0" t="str">
        <f aca="false">IF(Y305="","N",IF(Y305&lt;=10,"Y","N"))</f>
        <v>N</v>
      </c>
      <c r="EW305" s="6" t="n">
        <f aca="false">ROW()-1</f>
        <v>304</v>
      </c>
    </row>
    <row r="306" customFormat="false" ht="15" hidden="false" customHeight="false" outlineLevel="0" collapsed="false">
      <c r="A306" s="0" t="s">
        <v>4492</v>
      </c>
      <c r="B306" s="0" t="s">
        <v>4493</v>
      </c>
      <c r="H306" s="5" t="s">
        <v>158</v>
      </c>
      <c r="I306" s="5" t="s">
        <v>159</v>
      </c>
      <c r="J306" s="6" t="n">
        <f aca="false">IF(AX306="pass",ROUND(CU306+CV306+CW306+CX306+CY306+CZ306,1),0)</f>
        <v>0</v>
      </c>
      <c r="K306" s="6" t="s">
        <v>4481</v>
      </c>
      <c r="L306" s="6" t="s">
        <v>163</v>
      </c>
      <c r="R306" s="5" t="s">
        <v>162</v>
      </c>
      <c r="S306" s="6" t="s">
        <v>163</v>
      </c>
      <c r="T306" s="5" t="s">
        <v>162</v>
      </c>
      <c r="U306" s="5" t="s">
        <v>228</v>
      </c>
      <c r="V306" s="6" t="s">
        <v>4494</v>
      </c>
      <c r="W306" s="6" t="s">
        <v>166</v>
      </c>
      <c r="X306" s="6" t="s">
        <v>167</v>
      </c>
      <c r="Y306" s="0" t="str">
        <f aca="false">IF(EU306&lt;&gt;"Y","",COUNTIFS($EU$2:$EU$1000,"Y",$J$2:$J$1000,"&gt;"&amp;J306)+COUNTIFS($EU$2:$EU$1000,"Y",$J$2:$J$1000,J306,$EW$2:$EW$1000,"&lt;"&amp;EW306)+1)</f>
        <v/>
      </c>
      <c r="AA306" s="6" t="s">
        <v>162</v>
      </c>
      <c r="AD306" s="6" t="s">
        <v>158</v>
      </c>
      <c r="AH306" s="5" t="s">
        <v>158</v>
      </c>
      <c r="AI306" s="6" t="s">
        <v>4495</v>
      </c>
      <c r="AJ306" s="6" t="s">
        <v>2659</v>
      </c>
      <c r="AK306" s="6" t="s">
        <v>598</v>
      </c>
      <c r="AL306" s="6" t="s">
        <v>163</v>
      </c>
      <c r="AM306" s="6" t="s">
        <v>163</v>
      </c>
      <c r="AN306" s="6" t="s">
        <v>158</v>
      </c>
      <c r="AO306" s="6" t="s">
        <v>163</v>
      </c>
      <c r="AP306" s="6" t="s">
        <v>4485</v>
      </c>
      <c r="AQ306" s="5" t="s">
        <v>162</v>
      </c>
      <c r="AT306" s="0" t="str">
        <f aca="false">IF(AND(AX306="pass",AQ306&lt;&gt;"Y",C306&lt;&gt;"",OR(AW306&lt;&gt;"Y",AV306="Y")),"Y","N")</f>
        <v>N</v>
      </c>
      <c r="AU306" s="0" t="str">
        <f aca="false">_xlfn.TEXTJOIN("; ",TRUE(),IF(AX306&lt;&gt;"pass","gated out",""),IF(AQ306="Y","on hold: "&amp;AR306,""),IF(C306="","no contact named on an opened page",""),IF(AND(AW306="Y",AV306&lt;&gt;"Y"),"Tuesday estimate band "&amp;L306&amp;": founder's call",""))</f>
        <v>gated out; no contact named on an opened page</v>
      </c>
      <c r="AW306" s="6" t="s">
        <v>162</v>
      </c>
      <c r="AX306" s="6" t="s">
        <v>3704</v>
      </c>
      <c r="AY306" s="6" t="s">
        <v>4486</v>
      </c>
      <c r="AZ306" s="6" t="s">
        <v>2229</v>
      </c>
      <c r="BA306" s="6" t="s">
        <v>4496</v>
      </c>
      <c r="BB306" s="6" t="s">
        <v>4488</v>
      </c>
      <c r="BC306" s="6" t="s">
        <v>2232</v>
      </c>
      <c r="BD306" s="6" t="s">
        <v>163</v>
      </c>
      <c r="BF306" s="6" t="s">
        <v>163</v>
      </c>
      <c r="BG306" s="6" t="s">
        <v>163</v>
      </c>
      <c r="BK306" s="6" t="s">
        <v>163</v>
      </c>
      <c r="BL306" s="6" t="s">
        <v>2233</v>
      </c>
      <c r="BM306" s="6" t="s">
        <v>163</v>
      </c>
      <c r="BN306" s="6" t="s">
        <v>4489</v>
      </c>
      <c r="BP306" s="6" t="s">
        <v>244</v>
      </c>
      <c r="BQ306" s="0" t="n">
        <v>40.746229</v>
      </c>
      <c r="BR306" s="0" t="n">
        <v>-73.984472</v>
      </c>
      <c r="BS306" s="6" t="s">
        <v>162</v>
      </c>
      <c r="BT306" s="0" t="n">
        <v>0.8</v>
      </c>
      <c r="BV306" s="6" t="s">
        <v>163</v>
      </c>
      <c r="BW306" s="6" t="s">
        <v>4494</v>
      </c>
      <c r="BX306" s="6" t="s">
        <v>166</v>
      </c>
      <c r="BY306" s="6" t="s">
        <v>2237</v>
      </c>
      <c r="CC306" s="6" t="s">
        <v>179</v>
      </c>
      <c r="CE306" s="6" t="s">
        <v>162</v>
      </c>
      <c r="CF306" s="6" t="s">
        <v>4496</v>
      </c>
      <c r="CG306" s="6" t="s">
        <v>163</v>
      </c>
      <c r="CH306" s="6" t="s">
        <v>163</v>
      </c>
      <c r="CJ306" s="6" t="s">
        <v>163</v>
      </c>
      <c r="CK306" s="6" t="s">
        <v>162</v>
      </c>
      <c r="CL306" s="6" t="s">
        <v>163</v>
      </c>
      <c r="CO306" s="6" t="s">
        <v>163</v>
      </c>
      <c r="CQ306" s="6" t="s">
        <v>2240</v>
      </c>
      <c r="CR306" s="6" t="s">
        <v>206</v>
      </c>
      <c r="CS306" s="6" t="s">
        <v>163</v>
      </c>
      <c r="CT306" s="0" t="n">
        <v>23</v>
      </c>
      <c r="CU306" s="0" t="n">
        <v>7</v>
      </c>
      <c r="CV306" s="0" t="n">
        <v>8</v>
      </c>
      <c r="CW306" s="0" t="n">
        <v>6</v>
      </c>
      <c r="CX306" s="0" t="n">
        <v>2</v>
      </c>
      <c r="CY306" s="6" t="n">
        <f aca="false">IF(AH306="exact",10,IF(AH306="adjacent",5,0))</f>
        <v>0</v>
      </c>
      <c r="CZ306" s="6" t="n">
        <f aca="false">IF(R306="Y",15,0)</f>
        <v>0</v>
      </c>
      <c r="DF306" s="6" t="s">
        <v>158</v>
      </c>
      <c r="DG306" s="6" t="s">
        <v>2229</v>
      </c>
      <c r="DK306" s="6" t="s">
        <v>4497</v>
      </c>
      <c r="DS306" s="6" t="s">
        <v>158</v>
      </c>
      <c r="DX306" s="6" t="s">
        <v>162</v>
      </c>
      <c r="DZ306" s="6" t="s">
        <v>4498</v>
      </c>
      <c r="ER306" s="0" t="str">
        <f aca="false">IF(ISNUMBER(MATCH(U306,{"queued","contacted","replied","call_booked","call_done","yes_in_principle","materials_sent"},0)),"Y","N")</f>
        <v>N</v>
      </c>
      <c r="ES306" s="0" t="str">
        <f aca="false">IF(COUNTIFS($AP$2:$AP$1000,AP306,$ER$2:$ER$1000,"Y")+COUNTIFS($AP$2:$AP$1000,AP306,$T$2:$T$1000,"Y")&gt;0,"Y","N")</f>
        <v>N</v>
      </c>
      <c r="ET306" s="0" t="str">
        <f aca="false">IF(AND(U306="new",T306="N",AT306="Y",AS306="",ES306="N"),"Y","N")</f>
        <v>N</v>
      </c>
      <c r="EU306" s="0" t="str">
        <f aca="false">IF(ET306&lt;&gt;"Y","N",IF(COUNTIFS($AP$2:$AP$1000,AP306,$ET$2:$ET$1000,"Y",$J$2:$J$1000,"&gt;"&amp;J306)+COUNTIFS($AP$2:$AP$1000,AP306,$ET$2:$ET$1000,"Y",$J$2:$J$1000,J306,$EW$2:$EW$1000,"&lt;"&amp;EW306)=0,"Y","N"))</f>
        <v>N</v>
      </c>
      <c r="EV306" s="0" t="str">
        <f aca="false">IF(Y306="","N",IF(Y306&lt;=10,"Y","N"))</f>
        <v>N</v>
      </c>
      <c r="EW306" s="6" t="n">
        <f aca="false">ROW()-1</f>
        <v>305</v>
      </c>
    </row>
    <row r="307" customFormat="false" ht="15" hidden="false" customHeight="false" outlineLevel="0" collapsed="false">
      <c r="A307" s="0" t="s">
        <v>4499</v>
      </c>
      <c r="B307" s="0" t="s">
        <v>4500</v>
      </c>
      <c r="H307" s="5" t="s">
        <v>158</v>
      </c>
      <c r="I307" s="5" t="s">
        <v>159</v>
      </c>
      <c r="J307" s="6" t="n">
        <f aca="false">IF(AX307="pass",ROUND(CU307+CV307+CW307+CX307+CY307+CZ307,1),0)</f>
        <v>0</v>
      </c>
      <c r="K307" s="6" t="s">
        <v>4435</v>
      </c>
      <c r="L307" s="6" t="s">
        <v>163</v>
      </c>
      <c r="R307" s="5" t="s">
        <v>162</v>
      </c>
      <c r="S307" s="6" t="s">
        <v>163</v>
      </c>
      <c r="T307" s="5" t="s">
        <v>162</v>
      </c>
      <c r="U307" s="5" t="s">
        <v>228</v>
      </c>
      <c r="V307" s="6" t="s">
        <v>4501</v>
      </c>
      <c r="W307" s="6" t="s">
        <v>166</v>
      </c>
      <c r="X307" s="6" t="s">
        <v>167</v>
      </c>
      <c r="Y307" s="0" t="str">
        <f aca="false">IF(EU307&lt;&gt;"Y","",COUNTIFS($EU$2:$EU$1000,"Y",$J$2:$J$1000,"&gt;"&amp;J307)+COUNTIFS($EU$2:$EU$1000,"Y",$J$2:$J$1000,J307,$EW$2:$EW$1000,"&lt;"&amp;EW307)+1)</f>
        <v/>
      </c>
      <c r="AA307" s="6" t="s">
        <v>162</v>
      </c>
      <c r="AD307" s="6" t="s">
        <v>158</v>
      </c>
      <c r="AH307" s="5" t="s">
        <v>158</v>
      </c>
      <c r="AI307" s="6" t="s">
        <v>4502</v>
      </c>
      <c r="AJ307" s="6" t="s">
        <v>4503</v>
      </c>
      <c r="AK307" s="6" t="s">
        <v>598</v>
      </c>
      <c r="AL307" s="6" t="s">
        <v>163</v>
      </c>
      <c r="AM307" s="6" t="s">
        <v>163</v>
      </c>
      <c r="AN307" s="6" t="s">
        <v>158</v>
      </c>
      <c r="AO307" s="6" t="s">
        <v>163</v>
      </c>
      <c r="AP307" s="6" t="s">
        <v>4485</v>
      </c>
      <c r="AQ307" s="5" t="s">
        <v>162</v>
      </c>
      <c r="AT307" s="0" t="str">
        <f aca="false">IF(AND(AX307="pass",AQ307&lt;&gt;"Y",C307&lt;&gt;"",OR(AW307&lt;&gt;"Y",AV307="Y")),"Y","N")</f>
        <v>N</v>
      </c>
      <c r="AU307" s="0" t="str">
        <f aca="false">_xlfn.TEXTJOIN("; ",TRUE(),IF(AX307&lt;&gt;"pass","gated out",""),IF(AQ307="Y","on hold: "&amp;AR307,""),IF(C307="","no contact named on an opened page",""),IF(AND(AW307="Y",AV307&lt;&gt;"Y"),"Tuesday estimate band "&amp;L307&amp;": founder's call",""))</f>
        <v>gated out; no contact named on an opened page</v>
      </c>
      <c r="AW307" s="6" t="s">
        <v>162</v>
      </c>
      <c r="AX307" s="6" t="s">
        <v>3704</v>
      </c>
      <c r="AY307" s="6" t="s">
        <v>4437</v>
      </c>
      <c r="AZ307" s="6" t="s">
        <v>2229</v>
      </c>
      <c r="BA307" s="6" t="s">
        <v>4504</v>
      </c>
      <c r="BB307" s="6" t="s">
        <v>4488</v>
      </c>
      <c r="BC307" s="6" t="s">
        <v>2232</v>
      </c>
      <c r="BD307" s="6" t="s">
        <v>163</v>
      </c>
      <c r="BF307" s="6" t="s">
        <v>163</v>
      </c>
      <c r="BG307" s="6" t="s">
        <v>163</v>
      </c>
      <c r="BK307" s="6" t="s">
        <v>163</v>
      </c>
      <c r="BL307" s="6" t="s">
        <v>2233</v>
      </c>
      <c r="BM307" s="6" t="s">
        <v>163</v>
      </c>
      <c r="BN307" s="6" t="s">
        <v>4489</v>
      </c>
      <c r="BP307" s="6" t="s">
        <v>347</v>
      </c>
      <c r="BQ307" s="0" t="n">
        <v>40.742477</v>
      </c>
      <c r="BR307" s="0" t="n">
        <v>-73.986608</v>
      </c>
      <c r="BS307" s="6" t="s">
        <v>168</v>
      </c>
      <c r="BT307" s="0" t="n">
        <v>0</v>
      </c>
      <c r="BU307" s="6" t="s">
        <v>2413</v>
      </c>
      <c r="BV307" s="6" t="s">
        <v>2414</v>
      </c>
      <c r="BW307" s="6" t="s">
        <v>4501</v>
      </c>
      <c r="BX307" s="6" t="s">
        <v>166</v>
      </c>
      <c r="BY307" s="6" t="s">
        <v>2237</v>
      </c>
      <c r="CC307" s="6" t="s">
        <v>179</v>
      </c>
      <c r="CE307" s="6" t="s">
        <v>162</v>
      </c>
      <c r="CF307" s="6" t="s">
        <v>4504</v>
      </c>
      <c r="CG307" s="6" t="s">
        <v>163</v>
      </c>
      <c r="CH307" s="6" t="s">
        <v>201</v>
      </c>
      <c r="CI307" s="6" t="s">
        <v>2416</v>
      </c>
      <c r="CJ307" s="6" t="s">
        <v>163</v>
      </c>
      <c r="CK307" s="6" t="s">
        <v>162</v>
      </c>
      <c r="CL307" s="6" t="s">
        <v>163</v>
      </c>
      <c r="CO307" s="6" t="s">
        <v>163</v>
      </c>
      <c r="CQ307" s="6" t="s">
        <v>2240</v>
      </c>
      <c r="CR307" s="6" t="s">
        <v>206</v>
      </c>
      <c r="CS307" s="6" t="s">
        <v>163</v>
      </c>
      <c r="CT307" s="0" t="n">
        <v>23</v>
      </c>
      <c r="CU307" s="0" t="n">
        <v>7</v>
      </c>
      <c r="CV307" s="0" t="n">
        <v>8</v>
      </c>
      <c r="CW307" s="0" t="n">
        <v>6</v>
      </c>
      <c r="CX307" s="0" t="n">
        <v>2</v>
      </c>
      <c r="CY307" s="6" t="n">
        <f aca="false">IF(AH307="exact",10,IF(AH307="adjacent",5,0))</f>
        <v>0</v>
      </c>
      <c r="CZ307" s="6" t="n">
        <f aca="false">IF(R307="Y",15,0)</f>
        <v>0</v>
      </c>
      <c r="DF307" s="6" t="s">
        <v>158</v>
      </c>
      <c r="DG307" s="6" t="s">
        <v>2229</v>
      </c>
      <c r="DK307" s="6" t="s">
        <v>4505</v>
      </c>
      <c r="DS307" s="6" t="s">
        <v>158</v>
      </c>
      <c r="DX307" s="6" t="s">
        <v>162</v>
      </c>
      <c r="DZ307" s="6" t="s">
        <v>4506</v>
      </c>
      <c r="ER307" s="0" t="str">
        <f aca="false">IF(ISNUMBER(MATCH(U307,{"queued","contacted","replied","call_booked","call_done","yes_in_principle","materials_sent"},0)),"Y","N")</f>
        <v>N</v>
      </c>
      <c r="ES307" s="0" t="str">
        <f aca="false">IF(COUNTIFS($AP$2:$AP$1000,AP307,$ER$2:$ER$1000,"Y")+COUNTIFS($AP$2:$AP$1000,AP307,$T$2:$T$1000,"Y")&gt;0,"Y","N")</f>
        <v>N</v>
      </c>
      <c r="ET307" s="0" t="str">
        <f aca="false">IF(AND(U307="new",T307="N",AT307="Y",AS307="",ES307="N"),"Y","N")</f>
        <v>N</v>
      </c>
      <c r="EU307" s="0" t="str">
        <f aca="false">IF(ET307&lt;&gt;"Y","N",IF(COUNTIFS($AP$2:$AP$1000,AP307,$ET$2:$ET$1000,"Y",$J$2:$J$1000,"&gt;"&amp;J307)+COUNTIFS($AP$2:$AP$1000,AP307,$ET$2:$ET$1000,"Y",$J$2:$J$1000,J307,$EW$2:$EW$1000,"&lt;"&amp;EW307)=0,"Y","N"))</f>
        <v>N</v>
      </c>
      <c r="EV307" s="0" t="str">
        <f aca="false">IF(Y307="","N",IF(Y307&lt;=10,"Y","N"))</f>
        <v>N</v>
      </c>
      <c r="EW307" s="6" t="n">
        <f aca="false">ROW()-1</f>
        <v>306</v>
      </c>
    </row>
    <row r="308" customFormat="false" ht="15" hidden="false" customHeight="false" outlineLevel="0" collapsed="false">
      <c r="A308" s="0" t="s">
        <v>4507</v>
      </c>
      <c r="B308" s="0" t="s">
        <v>4508</v>
      </c>
      <c r="H308" s="5" t="s">
        <v>158</v>
      </c>
      <c r="I308" s="5" t="s">
        <v>159</v>
      </c>
      <c r="J308" s="6" t="n">
        <f aca="false">IF(AX308="pass",ROUND(CU308+CV308+CW308+CX308+CY308+CZ308,1),0)</f>
        <v>0</v>
      </c>
      <c r="K308" s="6" t="s">
        <v>4435</v>
      </c>
      <c r="L308" s="6" t="s">
        <v>163</v>
      </c>
      <c r="R308" s="5" t="s">
        <v>162</v>
      </c>
      <c r="S308" s="6" t="s">
        <v>163</v>
      </c>
      <c r="T308" s="5" t="s">
        <v>162</v>
      </c>
      <c r="U308" s="5" t="s">
        <v>228</v>
      </c>
      <c r="V308" s="6" t="s">
        <v>4509</v>
      </c>
      <c r="W308" s="6" t="s">
        <v>166</v>
      </c>
      <c r="X308" s="6" t="s">
        <v>167</v>
      </c>
      <c r="Y308" s="0" t="str">
        <f aca="false">IF(EU308&lt;&gt;"Y","",COUNTIFS($EU$2:$EU$1000,"Y",$J$2:$J$1000,"&gt;"&amp;J308)+COUNTIFS($EU$2:$EU$1000,"Y",$J$2:$J$1000,J308,$EW$2:$EW$1000,"&lt;"&amp;EW308)+1)</f>
        <v/>
      </c>
      <c r="AA308" s="6" t="s">
        <v>162</v>
      </c>
      <c r="AD308" s="6" t="s">
        <v>158</v>
      </c>
      <c r="AH308" s="5" t="s">
        <v>158</v>
      </c>
      <c r="AI308" s="6" t="s">
        <v>4510</v>
      </c>
      <c r="AJ308" s="6" t="s">
        <v>4511</v>
      </c>
      <c r="AK308" s="6" t="s">
        <v>598</v>
      </c>
      <c r="AL308" s="6" t="s">
        <v>163</v>
      </c>
      <c r="AM308" s="6" t="s">
        <v>163</v>
      </c>
      <c r="AN308" s="6" t="s">
        <v>158</v>
      </c>
      <c r="AO308" s="6" t="s">
        <v>163</v>
      </c>
      <c r="AP308" s="6" t="s">
        <v>4507</v>
      </c>
      <c r="AQ308" s="5" t="s">
        <v>162</v>
      </c>
      <c r="AT308" s="0" t="str">
        <f aca="false">IF(AND(AX308="pass",AQ308&lt;&gt;"Y",C308&lt;&gt;"",OR(AW308&lt;&gt;"Y",AV308="Y")),"Y","N")</f>
        <v>N</v>
      </c>
      <c r="AU308" s="0" t="str">
        <f aca="false">_xlfn.TEXTJOIN("; ",TRUE(),IF(AX308&lt;&gt;"pass","gated out",""),IF(AQ308="Y","on hold: "&amp;AR308,""),IF(C308="","no contact named on an opened page",""),IF(AND(AW308="Y",AV308&lt;&gt;"Y"),"Tuesday estimate band "&amp;L308&amp;": founder's call",""))</f>
        <v>gated out; no contact named on an opened page</v>
      </c>
      <c r="AW308" s="6" t="s">
        <v>162</v>
      </c>
      <c r="AX308" s="6" t="s">
        <v>3704</v>
      </c>
      <c r="AY308" s="6" t="s">
        <v>4437</v>
      </c>
      <c r="AZ308" s="6" t="s">
        <v>2229</v>
      </c>
      <c r="BA308" s="6" t="s">
        <v>4512</v>
      </c>
      <c r="BB308" s="6" t="s">
        <v>4488</v>
      </c>
      <c r="BC308" s="6" t="s">
        <v>2232</v>
      </c>
      <c r="BD308" s="6" t="s">
        <v>163</v>
      </c>
      <c r="BF308" s="6" t="s">
        <v>163</v>
      </c>
      <c r="BG308" s="6" t="s">
        <v>163</v>
      </c>
      <c r="BK308" s="6" t="s">
        <v>163</v>
      </c>
      <c r="BL308" s="6" t="s">
        <v>2233</v>
      </c>
      <c r="BM308" s="6" t="s">
        <v>163</v>
      </c>
      <c r="BN308" s="6" t="s">
        <v>4513</v>
      </c>
      <c r="BP308" s="6" t="s">
        <v>244</v>
      </c>
      <c r="BQ308" s="0" t="n">
        <v>40.743042</v>
      </c>
      <c r="BR308" s="0" t="n">
        <v>-73.984024</v>
      </c>
      <c r="BS308" s="6" t="s">
        <v>168</v>
      </c>
      <c r="BT308" s="0" t="n">
        <v>0</v>
      </c>
      <c r="BV308" s="6" t="s">
        <v>163</v>
      </c>
      <c r="BW308" s="6" t="s">
        <v>4509</v>
      </c>
      <c r="BX308" s="6" t="s">
        <v>166</v>
      </c>
      <c r="BY308" s="6" t="s">
        <v>2237</v>
      </c>
      <c r="CC308" s="6" t="s">
        <v>179</v>
      </c>
      <c r="CE308" s="6" t="s">
        <v>162</v>
      </c>
      <c r="CF308" s="6" t="s">
        <v>4512</v>
      </c>
      <c r="CG308" s="6" t="s">
        <v>163</v>
      </c>
      <c r="CH308" s="6" t="s">
        <v>163</v>
      </c>
      <c r="CJ308" s="6" t="s">
        <v>163</v>
      </c>
      <c r="CK308" s="6" t="s">
        <v>162</v>
      </c>
      <c r="CL308" s="6" t="s">
        <v>163</v>
      </c>
      <c r="CO308" s="6" t="s">
        <v>163</v>
      </c>
      <c r="CQ308" s="6" t="s">
        <v>2240</v>
      </c>
      <c r="CR308" s="6" t="s">
        <v>206</v>
      </c>
      <c r="CS308" s="6" t="s">
        <v>163</v>
      </c>
      <c r="CT308" s="0" t="n">
        <v>23</v>
      </c>
      <c r="CU308" s="0" t="n">
        <v>7</v>
      </c>
      <c r="CV308" s="0" t="n">
        <v>8</v>
      </c>
      <c r="CW308" s="0" t="n">
        <v>6</v>
      </c>
      <c r="CX308" s="0" t="n">
        <v>2</v>
      </c>
      <c r="CY308" s="6" t="n">
        <f aca="false">IF(AH308="exact",10,IF(AH308="adjacent",5,0))</f>
        <v>0</v>
      </c>
      <c r="CZ308" s="6" t="n">
        <f aca="false">IF(R308="Y",15,0)</f>
        <v>0</v>
      </c>
      <c r="DF308" s="6" t="s">
        <v>158</v>
      </c>
      <c r="DG308" s="6" t="s">
        <v>2229</v>
      </c>
      <c r="DK308" s="6" t="s">
        <v>4514</v>
      </c>
      <c r="DS308" s="6" t="s">
        <v>158</v>
      </c>
      <c r="DX308" s="6" t="s">
        <v>162</v>
      </c>
      <c r="ER308" s="0" t="str">
        <f aca="false">IF(ISNUMBER(MATCH(U308,{"queued","contacted","replied","call_booked","call_done","yes_in_principle","materials_sent"},0)),"Y","N")</f>
        <v>N</v>
      </c>
      <c r="ES308" s="0" t="str">
        <f aca="false">IF(COUNTIFS($AP$2:$AP$1000,AP308,$ER$2:$ER$1000,"Y")+COUNTIFS($AP$2:$AP$1000,AP308,$T$2:$T$1000,"Y")&gt;0,"Y","N")</f>
        <v>N</v>
      </c>
      <c r="ET308" s="0" t="str">
        <f aca="false">IF(AND(U308="new",T308="N",AT308="Y",AS308="",ES308="N"),"Y","N")</f>
        <v>N</v>
      </c>
      <c r="EU308" s="0" t="str">
        <f aca="false">IF(ET308&lt;&gt;"Y","N",IF(COUNTIFS($AP$2:$AP$1000,AP308,$ET$2:$ET$1000,"Y",$J$2:$J$1000,"&gt;"&amp;J308)+COUNTIFS($AP$2:$AP$1000,AP308,$ET$2:$ET$1000,"Y",$J$2:$J$1000,J308,$EW$2:$EW$1000,"&lt;"&amp;EW308)=0,"Y","N"))</f>
        <v>N</v>
      </c>
      <c r="EV308" s="0" t="str">
        <f aca="false">IF(Y308="","N",IF(Y308&lt;=10,"Y","N"))</f>
        <v>N</v>
      </c>
      <c r="EW308" s="6" t="n">
        <f aca="false">ROW()-1</f>
        <v>307</v>
      </c>
    </row>
    <row r="309" customFormat="false" ht="15" hidden="false" customHeight="false" outlineLevel="0" collapsed="false">
      <c r="A309" s="0" t="s">
        <v>4515</v>
      </c>
      <c r="B309" s="0" t="s">
        <v>4516</v>
      </c>
      <c r="H309" s="5" t="s">
        <v>158</v>
      </c>
      <c r="I309" s="5" t="s">
        <v>159</v>
      </c>
      <c r="J309" s="6" t="n">
        <f aca="false">IF(AX309="pass",ROUND(CU309+CV309+CW309+CX309+CY309+CZ309,1),0)</f>
        <v>0</v>
      </c>
      <c r="K309" s="6" t="s">
        <v>4517</v>
      </c>
      <c r="L309" s="6" t="s">
        <v>163</v>
      </c>
      <c r="R309" s="5" t="s">
        <v>162</v>
      </c>
      <c r="S309" s="6" t="s">
        <v>163</v>
      </c>
      <c r="T309" s="5" t="s">
        <v>162</v>
      </c>
      <c r="U309" s="5" t="s">
        <v>228</v>
      </c>
      <c r="V309" s="6" t="s">
        <v>3793</v>
      </c>
      <c r="W309" s="6" t="s">
        <v>174</v>
      </c>
      <c r="X309" s="6" t="s">
        <v>167</v>
      </c>
      <c r="Y309" s="0" t="str">
        <f aca="false">IF(EU309&lt;&gt;"Y","",COUNTIFS($EU$2:$EU$1000,"Y",$J$2:$J$1000,"&gt;"&amp;J309)+COUNTIFS($EU$2:$EU$1000,"Y",$J$2:$J$1000,J309,$EW$2:$EW$1000,"&lt;"&amp;EW309)+1)</f>
        <v/>
      </c>
      <c r="AA309" s="6" t="s">
        <v>162</v>
      </c>
      <c r="AD309" s="6" t="s">
        <v>158</v>
      </c>
      <c r="AH309" s="5" t="s">
        <v>158</v>
      </c>
      <c r="AI309" s="6" t="s">
        <v>4518</v>
      </c>
      <c r="AJ309" s="6" t="s">
        <v>4519</v>
      </c>
      <c r="AK309" s="6" t="s">
        <v>4520</v>
      </c>
      <c r="AL309" s="6" t="s">
        <v>163</v>
      </c>
      <c r="AM309" s="6" t="s">
        <v>163</v>
      </c>
      <c r="AN309" s="6" t="s">
        <v>158</v>
      </c>
      <c r="AO309" s="6" t="s">
        <v>163</v>
      </c>
      <c r="AP309" s="6" t="s">
        <v>2799</v>
      </c>
      <c r="AQ309" s="5" t="s">
        <v>168</v>
      </c>
      <c r="AR309" s="6" t="s">
        <v>4521</v>
      </c>
      <c r="AT309" s="0" t="str">
        <f aca="false">IF(AND(AX309="pass",AQ309&lt;&gt;"Y",C309&lt;&gt;"",OR(AW309&lt;&gt;"Y",AV309="Y")),"Y","N")</f>
        <v>N</v>
      </c>
      <c r="AU309" s="0" t="str">
        <f aca="false">_xlfn.TEXTJOIN("; ",TRUE(),IF(AX309&lt;&gt;"pass","gated out",""),IF(AQ309="Y","on hold: "&amp;AR309,""),IF(C309="","no contact named on an opened page",""),IF(AND(AW309="Y",AV309&lt;&gt;"Y"),"Tuesday estimate band "&amp;L309&amp;": founder's call",""))</f>
        <v>gated out; on hold: address conflict in B's sources: check the lobby directory before outreach (B); site possibly closed: walk by first (B); no contact named on an opened page</v>
      </c>
      <c r="AW309" s="6" t="s">
        <v>162</v>
      </c>
      <c r="AX309" s="6" t="s">
        <v>3704</v>
      </c>
      <c r="AY309" s="6" t="s">
        <v>4522</v>
      </c>
      <c r="AZ309" s="6" t="s">
        <v>2229</v>
      </c>
      <c r="BA309" s="6" t="s">
        <v>3794</v>
      </c>
      <c r="BB309" s="6" t="s">
        <v>4523</v>
      </c>
      <c r="BC309" s="6" t="s">
        <v>2232</v>
      </c>
      <c r="BD309" s="6" t="s">
        <v>163</v>
      </c>
      <c r="BF309" s="6" t="s">
        <v>163</v>
      </c>
      <c r="BG309" s="6" t="s">
        <v>163</v>
      </c>
      <c r="BK309" s="6" t="s">
        <v>163</v>
      </c>
      <c r="BL309" s="6" t="s">
        <v>2233</v>
      </c>
      <c r="BM309" s="6" t="s">
        <v>163</v>
      </c>
      <c r="BN309" s="6" t="s">
        <v>2802</v>
      </c>
      <c r="BP309" s="6" t="s">
        <v>244</v>
      </c>
      <c r="BQ309" s="0" t="n">
        <v>40.744057</v>
      </c>
      <c r="BR309" s="0" t="n">
        <v>-73.985252</v>
      </c>
      <c r="BS309" s="6" t="s">
        <v>168</v>
      </c>
      <c r="BT309" s="0" t="n">
        <v>0</v>
      </c>
      <c r="BU309" s="6" t="s">
        <v>3791</v>
      </c>
      <c r="BV309" s="6" t="s">
        <v>3792</v>
      </c>
      <c r="BW309" s="6" t="s">
        <v>3793</v>
      </c>
      <c r="BX309" s="6" t="s">
        <v>174</v>
      </c>
      <c r="BY309" s="6" t="s">
        <v>2237</v>
      </c>
      <c r="BZ309" s="6" t="s">
        <v>3784</v>
      </c>
      <c r="CC309" s="6" t="s">
        <v>179</v>
      </c>
      <c r="CE309" s="6" t="s">
        <v>162</v>
      </c>
      <c r="CF309" s="6" t="s">
        <v>3794</v>
      </c>
      <c r="CG309" s="6" t="s">
        <v>163</v>
      </c>
      <c r="CH309" s="6" t="s">
        <v>163</v>
      </c>
      <c r="CJ309" s="6" t="s">
        <v>163</v>
      </c>
      <c r="CK309" s="6" t="s">
        <v>162</v>
      </c>
      <c r="CL309" s="6" t="s">
        <v>163</v>
      </c>
      <c r="CO309" s="6" t="s">
        <v>163</v>
      </c>
      <c r="CQ309" s="6" t="s">
        <v>2240</v>
      </c>
      <c r="CR309" s="6" t="s">
        <v>206</v>
      </c>
      <c r="CS309" s="6" t="s">
        <v>163</v>
      </c>
      <c r="CT309" s="0" t="n">
        <v>21</v>
      </c>
      <c r="CU309" s="0" t="n">
        <v>7</v>
      </c>
      <c r="CV309" s="0" t="n">
        <v>8</v>
      </c>
      <c r="CW309" s="0" t="n">
        <v>6</v>
      </c>
      <c r="CX309" s="0" t="n">
        <v>0</v>
      </c>
      <c r="CY309" s="6" t="n">
        <f aca="false">IF(AH309="exact",10,IF(AH309="adjacent",5,0))</f>
        <v>0</v>
      </c>
      <c r="CZ309" s="6" t="n">
        <f aca="false">IF(R309="Y",15,0)</f>
        <v>0</v>
      </c>
      <c r="DF309" s="6" t="s">
        <v>158</v>
      </c>
      <c r="DG309" s="6" t="s">
        <v>2229</v>
      </c>
      <c r="DK309" s="6" t="s">
        <v>4524</v>
      </c>
      <c r="DS309" s="6" t="s">
        <v>158</v>
      </c>
      <c r="DX309" s="6" t="s">
        <v>162</v>
      </c>
      <c r="DZ309" s="6" t="s">
        <v>4525</v>
      </c>
      <c r="ER309" s="0" t="str">
        <f aca="false">IF(ISNUMBER(MATCH(U309,{"queued","contacted","replied","call_booked","call_done","yes_in_principle","materials_sent"},0)),"Y","N")</f>
        <v>N</v>
      </c>
      <c r="ES309" s="0" t="str">
        <f aca="false">IF(COUNTIFS($AP$2:$AP$1000,AP309,$ER$2:$ER$1000,"Y")+COUNTIFS($AP$2:$AP$1000,AP309,$T$2:$T$1000,"Y")&gt;0,"Y","N")</f>
        <v>N</v>
      </c>
      <c r="ET309" s="0" t="str">
        <f aca="false">IF(AND(U309="new",T309="N",AT309="Y",AS309="",ES309="N"),"Y","N")</f>
        <v>N</v>
      </c>
      <c r="EU309" s="0" t="str">
        <f aca="false">IF(ET309&lt;&gt;"Y","N",IF(COUNTIFS($AP$2:$AP$1000,AP309,$ET$2:$ET$1000,"Y",$J$2:$J$1000,"&gt;"&amp;J309)+COUNTIFS($AP$2:$AP$1000,AP309,$ET$2:$ET$1000,"Y",$J$2:$J$1000,J309,$EW$2:$EW$1000,"&lt;"&amp;EW309)=0,"Y","N"))</f>
        <v>N</v>
      </c>
      <c r="EV309" s="0" t="str">
        <f aca="false">IF(Y309="","N",IF(Y309&lt;=10,"Y","N"))</f>
        <v>N</v>
      </c>
      <c r="EW309" s="6" t="n">
        <f aca="false">ROW()-1</f>
        <v>308</v>
      </c>
    </row>
  </sheetData>
  <autoFilter ref="A1:EW309"/>
  <dataValidations count="8">
    <dataValidation allowBlank="true" errorStyle="stop" operator="between" showDropDown="false" showErrorMessage="false" showInputMessage="false" sqref="T2:T309" type="list">
      <formula1>"Y,N"</formula1>
      <formula2>0</formula2>
    </dataValidation>
    <dataValidation allowBlank="true" errorStyle="stop" operator="between" showDropDown="false" showErrorMessage="false" showInputMessage="false" sqref="R2:R309" type="list">
      <formula1>"Y,N"</formula1>
      <formula2>0</formula2>
    </dataValidation>
    <dataValidation allowBlank="true" errorStyle="stop" operator="between" showDropDown="false" showErrorMessage="false" showInputMessage="false" sqref="AV2:AV309" type="list">
      <formula1>"Y"</formula1>
      <formula2>0</formula2>
    </dataValidation>
    <dataValidation allowBlank="true" errorStyle="stop" operator="between" showDropDown="false" showErrorMessage="false" showInputMessage="false" sqref="H2:H309" type="list">
      <formula1>"verified,unverified,none"</formula1>
      <formula2>0</formula2>
    </dataValidation>
    <dataValidation allowBlank="true" errorStyle="stop" operator="between" showDropDown="false" showErrorMessage="false" showInputMessage="false" sqref="I2:I309" type="list">
      <formula1>"email,linkedin,warm-intro,walk-in"</formula1>
      <formula2>0</formula2>
    </dataValidation>
    <dataValidation allowBlank="true" errorStyle="stop" operator="between" showDropDown="false" showErrorMessage="false" showInputMessage="false" sqref="U2:U309" type="list">
      <formula1>"new,queued,contacted,replied,call_booked,call_done,yes_in_principle,materials_sent,signed,not_now,no,wrong_person,do_not_contact"</formula1>
      <formula2>0</formula2>
    </dataValidation>
    <dataValidation allowBlank="true" errorStyle="stop" operator="between" showDropDown="false" showErrorMessage="false" showInputMessage="false" sqref="AQ2:AQ309" type="list">
      <formula1>"Y,N"</formula1>
      <formula2>0</formula2>
    </dataValidation>
    <dataValidation allowBlank="true" errorStyle="stop" operator="between" showDropDown="false" showErrorMessage="false" showInputMessage="false" sqref="AH2:AH309" type="list">
      <formula1>"exact,adjacent,none"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D3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4" min="3" style="0" width="14"/>
    <col collapsed="false" customWidth="true" hidden="false" outlineLevel="0" max="5" min="5" style="0" width="40"/>
    <col collapsed="false" customWidth="true" hidden="false" outlineLevel="0" max="10" min="6" style="0" width="14"/>
    <col collapsed="false" customWidth="true" hidden="false" outlineLevel="0" max="11" min="11" style="0" width="40"/>
    <col collapsed="false" customWidth="true" hidden="false" outlineLevel="0" max="14" min="12" style="0" width="14"/>
    <col collapsed="false" customWidth="true" hidden="false" outlineLevel="0" max="15" min="15" style="0" width="40"/>
    <col collapsed="false" customWidth="true" hidden="false" outlineLevel="0" max="27" min="16" style="0" width="14"/>
    <col collapsed="false" customWidth="true" hidden="false" outlineLevel="0" max="28" min="28" style="0" width="40"/>
    <col collapsed="false" customWidth="true" hidden="false" outlineLevel="0" max="38" min="29" style="0" width="14"/>
    <col collapsed="false" customWidth="true" hidden="false" outlineLevel="0" max="39" min="39" style="0" width="40"/>
    <col collapsed="false" customWidth="true" hidden="false" outlineLevel="0" max="41" min="40" style="0" width="14"/>
    <col collapsed="false" customWidth="true" hidden="false" outlineLevel="0" max="42" min="42" style="0" width="40"/>
    <col collapsed="false" customWidth="true" hidden="false" outlineLevel="0" max="44" min="43" style="0" width="14"/>
    <col collapsed="false" customWidth="true" hidden="false" outlineLevel="0" max="45" min="45" style="0" width="40"/>
    <col collapsed="false" customWidth="true" hidden="false" outlineLevel="0" max="48" min="46" style="0" width="14"/>
    <col collapsed="false" customWidth="true" hidden="false" outlineLevel="0" max="49" min="49" style="0" width="40"/>
    <col collapsed="false" customWidth="true" hidden="false" outlineLevel="0" max="76" min="50" style="0" width="14"/>
    <col collapsed="false" customWidth="true" hidden="false" outlineLevel="0" max="77" min="77" style="0" width="40"/>
    <col collapsed="false" customWidth="true" hidden="false" outlineLevel="0" max="101" min="78" style="0" width="14"/>
    <col collapsed="false" customWidth="true" hidden="false" outlineLevel="0" max="102" min="102" style="0" width="40"/>
    <col collapsed="false" customWidth="true" hidden="false" outlineLevel="0" max="134" min="103" style="0" width="14"/>
  </cols>
  <sheetData>
    <row r="1" customFormat="false" ht="15" hidden="false" customHeight="false" outlineLevel="0" collapsed="false">
      <c r="A1" s="1" t="s">
        <v>0</v>
      </c>
      <c r="B1" s="1" t="s">
        <v>1</v>
      </c>
      <c r="C1" s="1" t="s">
        <v>2</v>
      </c>
      <c r="D1" s="1" t="s">
        <v>3</v>
      </c>
      <c r="E1" s="1" t="s">
        <v>4</v>
      </c>
      <c r="F1" s="2" t="s">
        <v>5</v>
      </c>
      <c r="G1" s="2" t="s">
        <v>6</v>
      </c>
      <c r="H1" s="2" t="s">
        <v>7</v>
      </c>
      <c r="I1" s="1" t="s">
        <v>8</v>
      </c>
      <c r="J1" s="3" t="s">
        <v>9</v>
      </c>
      <c r="K1" s="1" t="s">
        <v>10</v>
      </c>
      <c r="L1" s="1" t="s">
        <v>11</v>
      </c>
      <c r="M1" s="1" t="s">
        <v>12</v>
      </c>
      <c r="N1" s="1" t="s">
        <v>13</v>
      </c>
      <c r="O1" s="1" t="s">
        <v>14</v>
      </c>
      <c r="P1" s="1" t="s">
        <v>15</v>
      </c>
      <c r="Q1" s="1" t="s">
        <v>16</v>
      </c>
      <c r="R1" s="2" t="s">
        <v>17</v>
      </c>
      <c r="S1" s="1" t="s">
        <v>18</v>
      </c>
      <c r="T1" s="4" t="s">
        <v>19</v>
      </c>
      <c r="U1" s="4" t="s">
        <v>20</v>
      </c>
      <c r="V1" s="1" t="s">
        <v>21</v>
      </c>
      <c r="W1" s="1" t="s">
        <v>22</v>
      </c>
      <c r="X1" s="1" t="s">
        <v>23</v>
      </c>
      <c r="Y1" s="3" t="s">
        <v>24</v>
      </c>
      <c r="Z1" s="1" t="s">
        <v>25</v>
      </c>
      <c r="AA1" s="1" t="s">
        <v>4526</v>
      </c>
      <c r="AB1" s="1" t="s">
        <v>27</v>
      </c>
      <c r="AC1" s="1" t="s">
        <v>28</v>
      </c>
      <c r="AD1" s="1" t="s">
        <v>29</v>
      </c>
      <c r="AE1" s="1" t="s">
        <v>30</v>
      </c>
      <c r="AF1" s="1" t="s">
        <v>31</v>
      </c>
      <c r="AG1" s="1" t="s">
        <v>32</v>
      </c>
      <c r="AH1" s="1" t="s">
        <v>4527</v>
      </c>
      <c r="AI1" s="1" t="s">
        <v>4528</v>
      </c>
      <c r="AJ1" s="1" t="s">
        <v>63</v>
      </c>
      <c r="AK1" s="1" t="s">
        <v>4529</v>
      </c>
      <c r="AL1" s="1" t="s">
        <v>4530</v>
      </c>
      <c r="AM1" s="1" t="s">
        <v>4531</v>
      </c>
      <c r="AN1" s="1" t="s">
        <v>41</v>
      </c>
      <c r="AO1" s="2" t="s">
        <v>42</v>
      </c>
      <c r="AP1" s="1" t="s">
        <v>43</v>
      </c>
      <c r="AQ1" s="4" t="s">
        <v>44</v>
      </c>
      <c r="AR1" s="3" t="s">
        <v>45</v>
      </c>
      <c r="AS1" s="3" t="s">
        <v>46</v>
      </c>
      <c r="AT1" s="2" t="s">
        <v>47</v>
      </c>
      <c r="AU1" s="1" t="s">
        <v>49</v>
      </c>
      <c r="AV1" s="1" t="s">
        <v>4532</v>
      </c>
      <c r="AW1" s="1" t="s">
        <v>50</v>
      </c>
      <c r="AX1" s="1" t="s">
        <v>4533</v>
      </c>
      <c r="AY1" s="1" t="s">
        <v>53</v>
      </c>
      <c r="AZ1" s="1" t="s">
        <v>4534</v>
      </c>
      <c r="BA1" s="1" t="s">
        <v>4535</v>
      </c>
      <c r="BB1" s="1" t="s">
        <v>4536</v>
      </c>
      <c r="BC1" s="1" t="s">
        <v>4537</v>
      </c>
      <c r="BD1" s="1" t="s">
        <v>4538</v>
      </c>
      <c r="BE1" s="1" t="s">
        <v>4539</v>
      </c>
      <c r="BF1" s="1" t="s">
        <v>4540</v>
      </c>
      <c r="BG1" s="1" t="s">
        <v>4541</v>
      </c>
      <c r="BH1" s="1" t="s">
        <v>4542</v>
      </c>
      <c r="BI1" s="1" t="s">
        <v>4543</v>
      </c>
      <c r="BJ1" s="1" t="s">
        <v>4544</v>
      </c>
      <c r="BK1" s="1" t="s">
        <v>4545</v>
      </c>
      <c r="BL1" s="1" t="s">
        <v>4546</v>
      </c>
      <c r="BM1" s="1" t="s">
        <v>4547</v>
      </c>
      <c r="BN1" s="1" t="s">
        <v>4548</v>
      </c>
      <c r="BO1" s="1" t="s">
        <v>4549</v>
      </c>
      <c r="BP1" s="1" t="s">
        <v>4550</v>
      </c>
      <c r="BQ1" s="1" t="s">
        <v>4551</v>
      </c>
      <c r="BR1" s="1" t="s">
        <v>4552</v>
      </c>
      <c r="BS1" s="1" t="s">
        <v>4553</v>
      </c>
      <c r="BT1" s="1" t="s">
        <v>4554</v>
      </c>
      <c r="BU1" s="1" t="s">
        <v>4555</v>
      </c>
      <c r="BV1" s="1" t="s">
        <v>4556</v>
      </c>
      <c r="BW1" s="1" t="s">
        <v>4557</v>
      </c>
      <c r="BX1" s="1" t="s">
        <v>116</v>
      </c>
      <c r="BY1" s="1" t="s">
        <v>118</v>
      </c>
      <c r="BZ1" s="1" t="s">
        <v>119</v>
      </c>
      <c r="CA1" s="1" t="s">
        <v>121</v>
      </c>
      <c r="CB1" s="1" t="s">
        <v>104</v>
      </c>
      <c r="CC1" s="1" t="s">
        <v>105</v>
      </c>
      <c r="CD1" s="1" t="s">
        <v>106</v>
      </c>
      <c r="CE1" s="1" t="s">
        <v>120</v>
      </c>
      <c r="CF1" s="1" t="s">
        <v>122</v>
      </c>
      <c r="CG1" s="1" t="s">
        <v>126</v>
      </c>
      <c r="CH1" s="2" t="s">
        <v>107</v>
      </c>
      <c r="CI1" s="1" t="s">
        <v>4558</v>
      </c>
      <c r="CJ1" s="2" t="s">
        <v>108</v>
      </c>
      <c r="CK1" s="2" t="s">
        <v>109</v>
      </c>
      <c r="CL1" s="1" t="s">
        <v>97</v>
      </c>
      <c r="CM1" s="1" t="s">
        <v>4559</v>
      </c>
      <c r="CN1" s="1" t="s">
        <v>4560</v>
      </c>
      <c r="CO1" s="1" t="s">
        <v>4561</v>
      </c>
      <c r="CP1" s="1" t="s">
        <v>4562</v>
      </c>
      <c r="CQ1" s="1" t="s">
        <v>4563</v>
      </c>
      <c r="CR1" s="1" t="s">
        <v>4564</v>
      </c>
      <c r="CS1" s="3" t="s">
        <v>103</v>
      </c>
      <c r="CT1" s="1" t="s">
        <v>4565</v>
      </c>
      <c r="CU1" s="1" t="s">
        <v>4566</v>
      </c>
      <c r="CV1" s="1" t="s">
        <v>4567</v>
      </c>
      <c r="CW1" s="1" t="s">
        <v>4568</v>
      </c>
      <c r="CX1" s="1" t="s">
        <v>4569</v>
      </c>
      <c r="CY1" s="1" t="s">
        <v>4570</v>
      </c>
      <c r="CZ1" s="1" t="s">
        <v>124</v>
      </c>
      <c r="DA1" s="1" t="s">
        <v>127</v>
      </c>
      <c r="DB1" s="1" t="s">
        <v>117</v>
      </c>
      <c r="DC1" s="1" t="s">
        <v>123</v>
      </c>
      <c r="DD1" s="1" t="s">
        <v>125</v>
      </c>
      <c r="DE1" s="1" t="s">
        <v>4571</v>
      </c>
      <c r="DF1" s="1" t="s">
        <v>129</v>
      </c>
      <c r="DG1" s="4" t="s">
        <v>130</v>
      </c>
      <c r="DH1" s="4" t="s">
        <v>131</v>
      </c>
      <c r="DI1" s="4" t="s">
        <v>132</v>
      </c>
      <c r="DJ1" s="4" t="s">
        <v>133</v>
      </c>
      <c r="DK1" s="4" t="s">
        <v>134</v>
      </c>
      <c r="DL1" s="4" t="s">
        <v>135</v>
      </c>
      <c r="DM1" s="4" t="s">
        <v>136</v>
      </c>
      <c r="DN1" s="4" t="s">
        <v>137</v>
      </c>
      <c r="DO1" s="4" t="s">
        <v>138</v>
      </c>
      <c r="DP1" s="4" t="s">
        <v>139</v>
      </c>
      <c r="DQ1" s="4" t="s">
        <v>140</v>
      </c>
      <c r="DR1" s="4" t="s">
        <v>141</v>
      </c>
      <c r="DS1" s="4" t="s">
        <v>143</v>
      </c>
      <c r="DT1" s="4" t="s">
        <v>4572</v>
      </c>
      <c r="DU1" s="4" t="s">
        <v>144</v>
      </c>
      <c r="DV1" s="4" t="s">
        <v>145</v>
      </c>
      <c r="DW1" s="4" t="s">
        <v>146</v>
      </c>
      <c r="DX1" s="4" t="s">
        <v>4573</v>
      </c>
      <c r="DY1" s="3" t="s">
        <v>147</v>
      </c>
      <c r="DZ1" s="3" t="s">
        <v>148</v>
      </c>
      <c r="EA1" s="3" t="s">
        <v>149</v>
      </c>
      <c r="EB1" s="3" t="s">
        <v>150</v>
      </c>
      <c r="EC1" s="3" t="s">
        <v>151</v>
      </c>
      <c r="ED1" s="3" t="s">
        <v>152</v>
      </c>
    </row>
    <row r="2" customFormat="false" ht="15" hidden="false" customHeight="false" outlineLevel="0" collapsed="false">
      <c r="A2" s="0" t="s">
        <v>4574</v>
      </c>
      <c r="B2" s="0" t="s">
        <v>4575</v>
      </c>
      <c r="C2" s="0" t="s">
        <v>4576</v>
      </c>
      <c r="D2" s="0" t="s">
        <v>4577</v>
      </c>
      <c r="E2" s="0" t="s">
        <v>4578</v>
      </c>
      <c r="F2" s="0" t="s">
        <v>4579</v>
      </c>
      <c r="H2" s="5" t="s">
        <v>158</v>
      </c>
      <c r="I2" s="5" t="s">
        <v>159</v>
      </c>
      <c r="J2" s="6" t="n">
        <f aca="false">IF(AU2="pass",CM2+CN2+CO2+CP2+CQ2+CR2+CS2+CT2,0)</f>
        <v>81</v>
      </c>
      <c r="K2" s="6" t="s">
        <v>4580</v>
      </c>
      <c r="M2" s="6" t="s">
        <v>4581</v>
      </c>
      <c r="N2" s="6" t="s">
        <v>4582</v>
      </c>
      <c r="O2" s="6" t="s">
        <v>4583</v>
      </c>
      <c r="P2" s="6" t="s">
        <v>4584</v>
      </c>
      <c r="Q2" s="6" t="s">
        <v>2159</v>
      </c>
      <c r="R2" s="5" t="s">
        <v>162</v>
      </c>
      <c r="S2" s="6" t="s">
        <v>168</v>
      </c>
      <c r="T2" s="5" t="s">
        <v>162</v>
      </c>
      <c r="U2" s="5" t="s">
        <v>698</v>
      </c>
      <c r="V2" s="6" t="s">
        <v>4585</v>
      </c>
      <c r="W2" s="6" t="s">
        <v>166</v>
      </c>
      <c r="X2" s="6" t="s">
        <v>4586</v>
      </c>
      <c r="Y2" s="0" t="str">
        <f aca="false">IF(EB2&lt;&gt;"Y","",COUNTIFS($EB$2:$EB$1000,"Y",$J$2:$J$1000,"&gt;"&amp;J2)+COUNTIFS($EB$2:$EB$1000,"Y",$J$2:$J$1000,J2,$ED$2:$ED$1000,"&lt;"&amp;ED2)+1)</f>
        <v/>
      </c>
      <c r="Z2" s="0" t="n">
        <v>1</v>
      </c>
      <c r="AA2" s="6" t="s">
        <v>168</v>
      </c>
      <c r="AB2" s="6" t="s">
        <v>4587</v>
      </c>
      <c r="AC2" s="6" t="s">
        <v>4588</v>
      </c>
      <c r="AD2" s="6" t="s">
        <v>171</v>
      </c>
      <c r="AE2" s="6" t="s">
        <v>231</v>
      </c>
      <c r="AF2" s="6" t="s">
        <v>4589</v>
      </c>
      <c r="AG2" s="6" t="s">
        <v>174</v>
      </c>
      <c r="AH2" s="6" t="s">
        <v>4590</v>
      </c>
      <c r="AI2" s="6" t="s">
        <v>4591</v>
      </c>
      <c r="AJ2" s="6" t="s">
        <v>4592</v>
      </c>
      <c r="AK2" s="6" t="s">
        <v>4593</v>
      </c>
      <c r="AL2" s="6" t="s">
        <v>168</v>
      </c>
      <c r="AM2" s="6" t="s">
        <v>4594</v>
      </c>
      <c r="AN2" s="6" t="s">
        <v>4574</v>
      </c>
      <c r="AO2" s="5" t="s">
        <v>162</v>
      </c>
      <c r="AR2" s="0" t="str">
        <f aca="false">IF(AND(AU2="pass",AO2&lt;&gt;"Y",C2&lt;&gt;""),"Y","N")</f>
        <v>Y</v>
      </c>
      <c r="AS2" s="0" t="str">
        <f aca="false">_xlfn.TEXTJOIN("; ",TRUE(),IF(AU2&lt;&gt;"pass","gated out",""),IF(AO2="Y","on hold: "&amp;AP2,""),IF(C2="","no contact named on an opened page",""))</f>
        <v/>
      </c>
      <c r="AU2" s="6" t="s">
        <v>181</v>
      </c>
      <c r="AW2" s="6" t="s">
        <v>182</v>
      </c>
      <c r="AX2" s="6" t="s">
        <v>4595</v>
      </c>
      <c r="AY2" s="6" t="s">
        <v>4593</v>
      </c>
      <c r="AZ2" s="6" t="s">
        <v>4596</v>
      </c>
      <c r="BA2" s="6" t="s">
        <v>4597</v>
      </c>
      <c r="BB2" s="6" t="s">
        <v>4598</v>
      </c>
      <c r="BD2" s="6" t="s">
        <v>168</v>
      </c>
      <c r="BE2" s="6" t="s">
        <v>4599</v>
      </c>
      <c r="BF2" s="6" t="s">
        <v>168</v>
      </c>
      <c r="BG2" s="6" t="s">
        <v>168</v>
      </c>
      <c r="BH2" s="6" t="s">
        <v>163</v>
      </c>
      <c r="BJ2" s="6" t="s">
        <v>4600</v>
      </c>
      <c r="BK2" s="6" t="s">
        <v>162</v>
      </c>
      <c r="BL2" s="6" t="s">
        <v>162</v>
      </c>
      <c r="BN2" s="0" t="n">
        <v>0</v>
      </c>
      <c r="BO2" s="6" t="s">
        <v>168</v>
      </c>
      <c r="BP2" s="0" t="n">
        <v>12</v>
      </c>
      <c r="BQ2" s="6" t="s">
        <v>4601</v>
      </c>
      <c r="BR2" s="6" t="s">
        <v>4602</v>
      </c>
      <c r="BS2" s="6" t="s">
        <v>4603</v>
      </c>
      <c r="BT2" s="6" t="s">
        <v>4604</v>
      </c>
      <c r="BU2" s="6" t="s">
        <v>4605</v>
      </c>
      <c r="BV2" s="0" t="n">
        <v>176</v>
      </c>
      <c r="BW2" s="6" t="s">
        <v>4584</v>
      </c>
      <c r="BX2" s="6" t="s">
        <v>4606</v>
      </c>
      <c r="BY2" s="6" t="s">
        <v>4607</v>
      </c>
      <c r="BZ2" s="6" t="s">
        <v>4608</v>
      </c>
      <c r="CA2" s="6" t="s">
        <v>4609</v>
      </c>
      <c r="CB2" s="6" t="s">
        <v>4610</v>
      </c>
      <c r="CC2" s="6" t="s">
        <v>4611</v>
      </c>
      <c r="CD2" s="6" t="s">
        <v>4612</v>
      </c>
      <c r="CE2" s="6" t="s">
        <v>4613</v>
      </c>
      <c r="CF2" s="6" t="s">
        <v>171</v>
      </c>
      <c r="CG2" s="6" t="s">
        <v>4614</v>
      </c>
      <c r="CK2" s="6" t="s">
        <v>158</v>
      </c>
      <c r="CL2" s="0" t="n">
        <v>81</v>
      </c>
      <c r="CM2" s="0" t="n">
        <v>25</v>
      </c>
      <c r="CN2" s="0" t="n">
        <v>20</v>
      </c>
      <c r="CO2" s="0" t="n">
        <v>15</v>
      </c>
      <c r="CP2" s="0" t="n">
        <v>5</v>
      </c>
      <c r="CQ2" s="0" t="n">
        <v>10</v>
      </c>
      <c r="CR2" s="0" t="n">
        <v>10</v>
      </c>
      <c r="CS2" s="6" t="n">
        <f aca="false">IF(R2="Y",10,0)</f>
        <v>0</v>
      </c>
      <c r="CT2" s="0" t="n">
        <v>-4</v>
      </c>
      <c r="CU2" s="6" t="s">
        <v>4615</v>
      </c>
      <c r="CV2" s="6" t="s">
        <v>4616</v>
      </c>
      <c r="CW2" s="6" t="s">
        <v>4617</v>
      </c>
      <c r="CX2" s="6" t="s">
        <v>4618</v>
      </c>
      <c r="CY2" s="6" t="s">
        <v>4619</v>
      </c>
      <c r="CZ2" s="6" t="s">
        <v>4620</v>
      </c>
      <c r="DA2" s="6" t="s">
        <v>4621</v>
      </c>
      <c r="DB2" s="6" t="s">
        <v>3313</v>
      </c>
      <c r="DC2" s="6" t="s">
        <v>231</v>
      </c>
      <c r="DD2" s="6" t="s">
        <v>913</v>
      </c>
      <c r="DY2" s="0" t="str">
        <f aca="false">IF(ISNUMBER(MATCH(U2,{"queued","contacted","replied","call_booked","call_done","yes_in_principle","materials_sent"},0)),"Y","N")</f>
        <v>Y</v>
      </c>
      <c r="DZ2" s="0" t="str">
        <f aca="false">IF(COUNTIFS($AN$2:$AN$1000,AN2,$DY$2:$DY$1000,"Y")+COUNTIFS($AN$2:$AN$1000,AN2,$T$2:$T$1000,"Y")&gt;0,"Y","N")</f>
        <v>Y</v>
      </c>
      <c r="EA2" s="0" t="str">
        <f aca="false">IF(AND(U2="new",T2="N",AR2="Y",AQ2="",DZ2="N"),"Y","N")</f>
        <v>N</v>
      </c>
      <c r="EB2" s="0" t="str">
        <f aca="false">IF(EA2&lt;&gt;"Y","N",IF(COUNTIFS($AN$2:$AN$1000,AN2,$EA$2:$EA$1000,"Y",$J$2:$J$1000,"&gt;"&amp;J2)+COUNTIFS($AN$2:$AN$1000,AN2,$EA$2:$EA$1000,"Y",$J$2:$J$1000,J2,$ED$2:$ED$1000,"&lt;"&amp;ED2)=0,"Y","N"))</f>
        <v>N</v>
      </c>
      <c r="EC2" s="0" t="str">
        <f aca="false">IF(Y2="","N",IF(Y2&lt;=10,"Y","N"))</f>
        <v>N</v>
      </c>
      <c r="ED2" s="6" t="n">
        <f aca="false">ROW()-1</f>
        <v>1</v>
      </c>
    </row>
    <row r="3" customFormat="false" ht="15" hidden="false" customHeight="false" outlineLevel="0" collapsed="false">
      <c r="A3" s="0" t="s">
        <v>4622</v>
      </c>
      <c r="B3" s="0" t="s">
        <v>4623</v>
      </c>
      <c r="C3" s="0" t="s">
        <v>4624</v>
      </c>
      <c r="D3" s="0" t="s">
        <v>4625</v>
      </c>
      <c r="E3" s="0" t="s">
        <v>4626</v>
      </c>
      <c r="H3" s="5" t="s">
        <v>158</v>
      </c>
      <c r="I3" s="5" t="s">
        <v>159</v>
      </c>
      <c r="J3" s="6" t="n">
        <f aca="false">IF(AU3="pass",CM3+CN3+CO3+CP3+CQ3+CR3+CS3+CT3,0)</f>
        <v>78</v>
      </c>
      <c r="K3" s="6" t="s">
        <v>4627</v>
      </c>
      <c r="M3" s="6" t="s">
        <v>4628</v>
      </c>
      <c r="N3" s="6" t="s">
        <v>4582</v>
      </c>
      <c r="O3" s="6" t="s">
        <v>4629</v>
      </c>
      <c r="P3" s="6" t="s">
        <v>4630</v>
      </c>
      <c r="Q3" s="6" t="s">
        <v>610</v>
      </c>
      <c r="R3" s="5" t="s">
        <v>162</v>
      </c>
      <c r="S3" s="6" t="s">
        <v>168</v>
      </c>
      <c r="T3" s="5" t="s">
        <v>162</v>
      </c>
      <c r="U3" s="5" t="s">
        <v>228</v>
      </c>
      <c r="V3" s="6" t="s">
        <v>4631</v>
      </c>
      <c r="W3" s="6" t="s">
        <v>166</v>
      </c>
      <c r="X3" s="6" t="s">
        <v>4586</v>
      </c>
      <c r="Y3" s="6" t="n">
        <f aca="false">IF(EB3&lt;&gt;"Y","",COUNTIFS($EB$2:$EB$1000,"Y",$J$2:$J$1000,"&gt;"&amp;J3)+COUNTIFS($EB$2:$EB$1000,"Y",$J$2:$J$1000,J3,$ED$2:$ED$1000,"&lt;"&amp;ED3)+1)</f>
        <v>1</v>
      </c>
      <c r="Z3" s="0" t="n">
        <v>2</v>
      </c>
      <c r="AA3" s="6" t="s">
        <v>168</v>
      </c>
      <c r="AB3" s="6" t="s">
        <v>4632</v>
      </c>
      <c r="AC3" s="6" t="s">
        <v>4588</v>
      </c>
      <c r="AD3" s="6" t="s">
        <v>171</v>
      </c>
      <c r="AE3" s="6" t="s">
        <v>1190</v>
      </c>
      <c r="AF3" s="6" t="s">
        <v>4630</v>
      </c>
      <c r="AG3" s="6" t="s">
        <v>174</v>
      </c>
      <c r="AH3" s="6" t="s">
        <v>4633</v>
      </c>
      <c r="AI3" s="6" t="s">
        <v>4634</v>
      </c>
      <c r="AJ3" s="6" t="s">
        <v>4635</v>
      </c>
      <c r="AK3" s="6" t="s">
        <v>4636</v>
      </c>
      <c r="AL3" s="6" t="s">
        <v>162</v>
      </c>
      <c r="AN3" s="6" t="s">
        <v>4622</v>
      </c>
      <c r="AO3" s="5" t="s">
        <v>162</v>
      </c>
      <c r="AR3" s="0" t="str">
        <f aca="false">IF(AND(AU3="pass",AO3&lt;&gt;"Y",C3&lt;&gt;""),"Y","N")</f>
        <v>Y</v>
      </c>
      <c r="AS3" s="0" t="str">
        <f aca="false">_xlfn.TEXTJOIN("; ",TRUE(),IF(AU3&lt;&gt;"pass","gated out",""),IF(AO3="Y","on hold: "&amp;AP3,""),IF(C3="","no contact named on an opened page",""))</f>
        <v/>
      </c>
      <c r="AU3" s="6" t="s">
        <v>181</v>
      </c>
      <c r="AW3" s="6" t="s">
        <v>182</v>
      </c>
      <c r="AY3" s="6" t="s">
        <v>4636</v>
      </c>
      <c r="AZ3" s="6" t="s">
        <v>4596</v>
      </c>
      <c r="BA3" s="6" t="s">
        <v>4597</v>
      </c>
      <c r="BB3" s="6" t="s">
        <v>163</v>
      </c>
      <c r="BD3" s="6" t="s">
        <v>168</v>
      </c>
      <c r="BE3" s="6" t="s">
        <v>4637</v>
      </c>
      <c r="BF3" s="6" t="s">
        <v>168</v>
      </c>
      <c r="BG3" s="6" t="s">
        <v>168</v>
      </c>
      <c r="BH3" s="6" t="s">
        <v>163</v>
      </c>
      <c r="BJ3" s="6" t="s">
        <v>163</v>
      </c>
      <c r="BK3" s="6" t="s">
        <v>162</v>
      </c>
      <c r="BL3" s="6" t="s">
        <v>162</v>
      </c>
      <c r="BN3" s="0" t="n">
        <v>0</v>
      </c>
      <c r="BO3" s="6" t="s">
        <v>168</v>
      </c>
      <c r="BP3" s="0" t="n">
        <v>1</v>
      </c>
      <c r="BQ3" s="6" t="s">
        <v>4638</v>
      </c>
      <c r="BS3" s="6" t="s">
        <v>4639</v>
      </c>
      <c r="BT3" s="6" t="s">
        <v>4640</v>
      </c>
      <c r="BU3" s="6" t="s">
        <v>4605</v>
      </c>
      <c r="BV3" s="0" t="n">
        <v>248</v>
      </c>
      <c r="BW3" s="6" t="s">
        <v>4641</v>
      </c>
      <c r="BX3" s="6" t="s">
        <v>4642</v>
      </c>
      <c r="BY3" s="6" t="s">
        <v>4643</v>
      </c>
      <c r="CA3" s="6" t="s">
        <v>4644</v>
      </c>
      <c r="CB3" s="6" t="s">
        <v>793</v>
      </c>
      <c r="CC3" s="6" t="s">
        <v>4645</v>
      </c>
      <c r="CD3" s="6" t="s">
        <v>4646</v>
      </c>
      <c r="CE3" s="6" t="s">
        <v>4613</v>
      </c>
      <c r="CF3" s="6" t="s">
        <v>171</v>
      </c>
      <c r="CG3" s="6" t="s">
        <v>4647</v>
      </c>
      <c r="CK3" s="6" t="s">
        <v>158</v>
      </c>
      <c r="CL3" s="0" t="n">
        <v>78</v>
      </c>
      <c r="CM3" s="0" t="n">
        <v>25</v>
      </c>
      <c r="CN3" s="0" t="n">
        <v>20</v>
      </c>
      <c r="CO3" s="0" t="n">
        <v>8</v>
      </c>
      <c r="CP3" s="0" t="n">
        <v>5</v>
      </c>
      <c r="CQ3" s="0" t="n">
        <v>10</v>
      </c>
      <c r="CR3" s="0" t="n">
        <v>10</v>
      </c>
      <c r="CS3" s="6" t="n">
        <f aca="false">IF(R3="Y",10,0)</f>
        <v>0</v>
      </c>
      <c r="CT3" s="0" t="n">
        <v>0</v>
      </c>
      <c r="CV3" s="6" t="s">
        <v>4616</v>
      </c>
      <c r="CW3" s="6" t="s">
        <v>4648</v>
      </c>
      <c r="CX3" s="6" t="s">
        <v>4649</v>
      </c>
      <c r="CY3" s="6" t="s">
        <v>4650</v>
      </c>
      <c r="CZ3" s="6" t="s">
        <v>4651</v>
      </c>
      <c r="DA3" s="6" t="s">
        <v>4621</v>
      </c>
      <c r="DC3" s="6" t="s">
        <v>1190</v>
      </c>
      <c r="DE3" s="6" t="s">
        <v>4652</v>
      </c>
      <c r="DY3" s="0" t="str">
        <f aca="false">IF(ISNUMBER(MATCH(U3,{"queued","contacted","replied","call_booked","call_done","yes_in_principle","materials_sent"},0)),"Y","N")</f>
        <v>N</v>
      </c>
      <c r="DZ3" s="0" t="str">
        <f aca="false">IF(COUNTIFS($AN$2:$AN$1000,AN3,$DY$2:$DY$1000,"Y")+COUNTIFS($AN$2:$AN$1000,AN3,$T$2:$T$1000,"Y")&gt;0,"Y","N")</f>
        <v>N</v>
      </c>
      <c r="EA3" s="0" t="str">
        <f aca="false">IF(AND(U3="new",T3="N",AR3="Y",AQ3="",DZ3="N"),"Y","N")</f>
        <v>Y</v>
      </c>
      <c r="EB3" s="0" t="str">
        <f aca="false">IF(EA3&lt;&gt;"Y","N",IF(COUNTIFS($AN$2:$AN$1000,AN3,$EA$2:$EA$1000,"Y",$J$2:$J$1000,"&gt;"&amp;J3)+COUNTIFS($AN$2:$AN$1000,AN3,$EA$2:$EA$1000,"Y",$J$2:$J$1000,J3,$ED$2:$ED$1000,"&lt;"&amp;ED3)=0,"Y","N"))</f>
        <v>Y</v>
      </c>
      <c r="EC3" s="0" t="str">
        <f aca="false">IF(Y3="","N",IF(Y3&lt;=10,"Y","N"))</f>
        <v>Y</v>
      </c>
      <c r="ED3" s="6" t="n">
        <f aca="false">ROW()-1</f>
        <v>2</v>
      </c>
    </row>
    <row r="4" customFormat="false" ht="15" hidden="false" customHeight="false" outlineLevel="0" collapsed="false">
      <c r="A4" s="0" t="s">
        <v>4653</v>
      </c>
      <c r="B4" s="0" t="s">
        <v>4654</v>
      </c>
      <c r="C4" s="0" t="s">
        <v>4655</v>
      </c>
      <c r="D4" s="0" t="s">
        <v>4656</v>
      </c>
      <c r="E4" s="0" t="s">
        <v>4657</v>
      </c>
      <c r="F4" s="0" t="s">
        <v>4658</v>
      </c>
      <c r="H4" s="5" t="s">
        <v>158</v>
      </c>
      <c r="I4" s="5" t="s">
        <v>159</v>
      </c>
      <c r="J4" s="6" t="n">
        <f aca="false">IF(AU4="pass",CM4+CN4+CO4+CP4+CQ4+CR4+CS4+CT4,0)</f>
        <v>77</v>
      </c>
      <c r="K4" s="6" t="s">
        <v>4659</v>
      </c>
      <c r="M4" s="6" t="s">
        <v>4581</v>
      </c>
      <c r="N4" s="6" t="s">
        <v>4582</v>
      </c>
      <c r="O4" s="6" t="s">
        <v>4660</v>
      </c>
      <c r="P4" s="6" t="s">
        <v>4661</v>
      </c>
      <c r="Q4" s="6" t="s">
        <v>4662</v>
      </c>
      <c r="R4" s="5" t="s">
        <v>162</v>
      </c>
      <c r="S4" s="6" t="s">
        <v>168</v>
      </c>
      <c r="T4" s="5" t="s">
        <v>162</v>
      </c>
      <c r="U4" s="5" t="s">
        <v>228</v>
      </c>
      <c r="V4" s="6" t="s">
        <v>4661</v>
      </c>
      <c r="W4" s="6" t="s">
        <v>166</v>
      </c>
      <c r="X4" s="6" t="s">
        <v>4586</v>
      </c>
      <c r="Y4" s="6" t="n">
        <f aca="false">IF(EB4&lt;&gt;"Y","",COUNTIFS($EB$2:$EB$1000,"Y",$J$2:$J$1000,"&gt;"&amp;J4)+COUNTIFS($EB$2:$EB$1000,"Y",$J$2:$J$1000,J4,$ED$2:$ED$1000,"&lt;"&amp;ED4)+1)</f>
        <v>2</v>
      </c>
      <c r="Z4" s="0" t="n">
        <v>3</v>
      </c>
      <c r="AA4" s="6" t="s">
        <v>168</v>
      </c>
      <c r="AB4" s="6" t="s">
        <v>4663</v>
      </c>
      <c r="AC4" s="6" t="s">
        <v>4588</v>
      </c>
      <c r="AD4" s="6" t="s">
        <v>171</v>
      </c>
      <c r="AE4" s="6" t="s">
        <v>1190</v>
      </c>
      <c r="AF4" s="6" t="s">
        <v>4661</v>
      </c>
      <c r="AG4" s="6" t="s">
        <v>174</v>
      </c>
      <c r="AH4" s="6" t="s">
        <v>4664</v>
      </c>
      <c r="AI4" s="6" t="s">
        <v>4665</v>
      </c>
      <c r="AJ4" s="6" t="s">
        <v>4666</v>
      </c>
      <c r="AK4" s="6" t="s">
        <v>4667</v>
      </c>
      <c r="AL4" s="6" t="s">
        <v>168</v>
      </c>
      <c r="AM4" s="6" t="s">
        <v>4668</v>
      </c>
      <c r="AN4" s="6" t="s">
        <v>4653</v>
      </c>
      <c r="AO4" s="5" t="s">
        <v>162</v>
      </c>
      <c r="AR4" s="0" t="str">
        <f aca="false">IF(AND(AU4="pass",AO4&lt;&gt;"Y",C4&lt;&gt;""),"Y","N")</f>
        <v>Y</v>
      </c>
      <c r="AS4" s="0" t="str">
        <f aca="false">_xlfn.TEXTJOIN("; ",TRUE(),IF(AU4&lt;&gt;"pass","gated out",""),IF(AO4="Y","on hold: "&amp;AP4,""),IF(C4="","no contact named on an opened page",""))</f>
        <v/>
      </c>
      <c r="AU4" s="6" t="s">
        <v>181</v>
      </c>
      <c r="AW4" s="6" t="s">
        <v>182</v>
      </c>
      <c r="AX4" s="6" t="s">
        <v>4595</v>
      </c>
      <c r="AY4" s="6" t="s">
        <v>4667</v>
      </c>
      <c r="AZ4" s="6" t="s">
        <v>4596</v>
      </c>
      <c r="BA4" s="6" t="s">
        <v>4597</v>
      </c>
      <c r="BB4" s="6" t="s">
        <v>163</v>
      </c>
      <c r="BD4" s="6" t="s">
        <v>168</v>
      </c>
      <c r="BE4" s="6" t="s">
        <v>4669</v>
      </c>
      <c r="BF4" s="6" t="s">
        <v>168</v>
      </c>
      <c r="BG4" s="6" t="s">
        <v>168</v>
      </c>
      <c r="BH4" s="6" t="s">
        <v>163</v>
      </c>
      <c r="BJ4" s="6" t="s">
        <v>163</v>
      </c>
      <c r="BK4" s="6" t="s">
        <v>162</v>
      </c>
      <c r="BL4" s="6" t="s">
        <v>162</v>
      </c>
      <c r="BN4" s="0" t="n">
        <v>0</v>
      </c>
      <c r="BO4" s="6" t="s">
        <v>168</v>
      </c>
      <c r="BP4" s="0" t="n">
        <v>3</v>
      </c>
      <c r="BQ4" s="6" t="s">
        <v>4670</v>
      </c>
      <c r="BR4" s="6" t="s">
        <v>4671</v>
      </c>
      <c r="BS4" s="6" t="s">
        <v>4672</v>
      </c>
      <c r="BT4" s="6" t="s">
        <v>4673</v>
      </c>
      <c r="BU4" s="6" t="s">
        <v>4605</v>
      </c>
      <c r="BV4" s="0" t="n">
        <v>44</v>
      </c>
      <c r="BW4" s="6" t="s">
        <v>4661</v>
      </c>
      <c r="BX4" s="6" t="s">
        <v>4674</v>
      </c>
      <c r="BY4" s="6" t="s">
        <v>4675</v>
      </c>
      <c r="BZ4" s="6" t="s">
        <v>4608</v>
      </c>
      <c r="CF4" s="6" t="s">
        <v>158</v>
      </c>
      <c r="CK4" s="6" t="s">
        <v>158</v>
      </c>
      <c r="CL4" s="0" t="n">
        <v>77</v>
      </c>
      <c r="CM4" s="0" t="n">
        <v>25</v>
      </c>
      <c r="CN4" s="0" t="n">
        <v>20</v>
      </c>
      <c r="CO4" s="0" t="n">
        <v>15</v>
      </c>
      <c r="CP4" s="0" t="n">
        <v>5</v>
      </c>
      <c r="CQ4" s="0" t="n">
        <v>10</v>
      </c>
      <c r="CR4" s="0" t="n">
        <v>6</v>
      </c>
      <c r="CS4" s="6" t="n">
        <f aca="false">IF(R4="Y",10,0)</f>
        <v>0</v>
      </c>
      <c r="CT4" s="0" t="n">
        <v>-4</v>
      </c>
      <c r="CV4" s="6" t="s">
        <v>4616</v>
      </c>
      <c r="CW4" s="6" t="s">
        <v>4676</v>
      </c>
      <c r="CX4" s="6" t="s">
        <v>4677</v>
      </c>
      <c r="CY4" s="6" t="s">
        <v>4678</v>
      </c>
      <c r="DA4" s="6" t="s">
        <v>4621</v>
      </c>
      <c r="DY4" s="0" t="str">
        <f aca="false">IF(ISNUMBER(MATCH(U4,{"queued","contacted","replied","call_booked","call_done","yes_in_principle","materials_sent"},0)),"Y","N")</f>
        <v>N</v>
      </c>
      <c r="DZ4" s="0" t="str">
        <f aca="false">IF(COUNTIFS($AN$2:$AN$1000,AN4,$DY$2:$DY$1000,"Y")+COUNTIFS($AN$2:$AN$1000,AN4,$T$2:$T$1000,"Y")&gt;0,"Y","N")</f>
        <v>N</v>
      </c>
      <c r="EA4" s="0" t="str">
        <f aca="false">IF(AND(U4="new",T4="N",AR4="Y",AQ4="",DZ4="N"),"Y","N")</f>
        <v>Y</v>
      </c>
      <c r="EB4" s="0" t="str">
        <f aca="false">IF(EA4&lt;&gt;"Y","N",IF(COUNTIFS($AN$2:$AN$1000,AN4,$EA$2:$EA$1000,"Y",$J$2:$J$1000,"&gt;"&amp;J4)+COUNTIFS($AN$2:$AN$1000,AN4,$EA$2:$EA$1000,"Y",$J$2:$J$1000,J4,$ED$2:$ED$1000,"&lt;"&amp;ED4)=0,"Y","N"))</f>
        <v>Y</v>
      </c>
      <c r="EC4" s="0" t="str">
        <f aca="false">IF(Y4="","N",IF(Y4&lt;=10,"Y","N"))</f>
        <v>Y</v>
      </c>
      <c r="ED4" s="6" t="n">
        <f aca="false">ROW()-1</f>
        <v>3</v>
      </c>
    </row>
    <row r="5" customFormat="false" ht="15" hidden="false" customHeight="false" outlineLevel="0" collapsed="false">
      <c r="A5" s="0" t="s">
        <v>4679</v>
      </c>
      <c r="B5" s="0" t="s">
        <v>4680</v>
      </c>
      <c r="C5" s="0" t="s">
        <v>4681</v>
      </c>
      <c r="D5" s="0" t="s">
        <v>4682</v>
      </c>
      <c r="E5" s="0" t="s">
        <v>4657</v>
      </c>
      <c r="H5" s="5" t="s">
        <v>158</v>
      </c>
      <c r="I5" s="5" t="s">
        <v>159</v>
      </c>
      <c r="J5" s="6" t="n">
        <f aca="false">IF(AU5="pass",CM5+CN5+CO5+CP5+CQ5+CR5+CS5+CT5,0)</f>
        <v>76</v>
      </c>
      <c r="K5" s="6" t="s">
        <v>4683</v>
      </c>
      <c r="M5" s="6" t="s">
        <v>4581</v>
      </c>
      <c r="N5" s="6" t="s">
        <v>4582</v>
      </c>
      <c r="O5" s="6" t="s">
        <v>4684</v>
      </c>
      <c r="P5" s="6" t="s">
        <v>4685</v>
      </c>
      <c r="Q5" s="6" t="s">
        <v>4686</v>
      </c>
      <c r="R5" s="5" t="s">
        <v>162</v>
      </c>
      <c r="S5" s="6" t="s">
        <v>163</v>
      </c>
      <c r="T5" s="5" t="s">
        <v>162</v>
      </c>
      <c r="U5" s="5" t="s">
        <v>228</v>
      </c>
      <c r="V5" s="6" t="s">
        <v>4685</v>
      </c>
      <c r="W5" s="6" t="s">
        <v>166</v>
      </c>
      <c r="X5" s="6" t="s">
        <v>4586</v>
      </c>
      <c r="Y5" s="6" t="n">
        <f aca="false">IF(EB5&lt;&gt;"Y","",COUNTIFS($EB$2:$EB$1000,"Y",$J$2:$J$1000,"&gt;"&amp;J5)+COUNTIFS($EB$2:$EB$1000,"Y",$J$2:$J$1000,J5,$ED$2:$ED$1000,"&lt;"&amp;ED5)+1)</f>
        <v>3</v>
      </c>
      <c r="Z5" s="0" t="n">
        <v>4</v>
      </c>
      <c r="AA5" s="6" t="s">
        <v>168</v>
      </c>
      <c r="AB5" s="6" t="s">
        <v>4687</v>
      </c>
      <c r="AC5" s="6" t="s">
        <v>4588</v>
      </c>
      <c r="AD5" s="6" t="s">
        <v>171</v>
      </c>
      <c r="AE5" s="6" t="s">
        <v>231</v>
      </c>
      <c r="AF5" s="6" t="s">
        <v>4688</v>
      </c>
      <c r="AG5" s="6" t="s">
        <v>174</v>
      </c>
      <c r="AH5" s="6" t="s">
        <v>4689</v>
      </c>
      <c r="AI5" s="6" t="s">
        <v>4665</v>
      </c>
      <c r="AJ5" s="6" t="s">
        <v>4635</v>
      </c>
      <c r="AK5" s="6" t="s">
        <v>4690</v>
      </c>
      <c r="AL5" s="6" t="s">
        <v>168</v>
      </c>
      <c r="AM5" s="6" t="s">
        <v>4691</v>
      </c>
      <c r="AN5" s="6" t="s">
        <v>4679</v>
      </c>
      <c r="AO5" s="5" t="s">
        <v>162</v>
      </c>
      <c r="AR5" s="0" t="str">
        <f aca="false">IF(AND(AU5="pass",AO5&lt;&gt;"Y",C5&lt;&gt;""),"Y","N")</f>
        <v>Y</v>
      </c>
      <c r="AS5" s="0" t="str">
        <f aca="false">_xlfn.TEXTJOIN("; ",TRUE(),IF(AU5&lt;&gt;"pass","gated out",""),IF(AO5="Y","on hold: "&amp;AP5,""),IF(C5="","no contact named on an opened page",""))</f>
        <v/>
      </c>
      <c r="AU5" s="6" t="s">
        <v>181</v>
      </c>
      <c r="AW5" s="6" t="s">
        <v>182</v>
      </c>
      <c r="AY5" s="6" t="s">
        <v>4690</v>
      </c>
      <c r="AZ5" s="6" t="s">
        <v>4596</v>
      </c>
      <c r="BA5" s="6" t="s">
        <v>4597</v>
      </c>
      <c r="BB5" s="6" t="s">
        <v>163</v>
      </c>
      <c r="BD5" s="6" t="s">
        <v>264</v>
      </c>
      <c r="BE5" s="6" t="s">
        <v>4692</v>
      </c>
      <c r="BF5" s="6" t="s">
        <v>168</v>
      </c>
      <c r="BG5" s="6" t="s">
        <v>168</v>
      </c>
      <c r="BH5" s="6" t="s">
        <v>163</v>
      </c>
      <c r="BJ5" s="6" t="s">
        <v>163</v>
      </c>
      <c r="BK5" s="6" t="s">
        <v>162</v>
      </c>
      <c r="BL5" s="6" t="s">
        <v>162</v>
      </c>
      <c r="BN5" s="0" t="n">
        <v>0</v>
      </c>
      <c r="BO5" s="6" t="s">
        <v>168</v>
      </c>
      <c r="BP5" s="0" t="n">
        <v>3</v>
      </c>
      <c r="BQ5" s="6" t="s">
        <v>4670</v>
      </c>
      <c r="BS5" s="6" t="s">
        <v>4693</v>
      </c>
      <c r="BT5" s="6" t="s">
        <v>4694</v>
      </c>
      <c r="BU5" s="6" t="s">
        <v>4695</v>
      </c>
      <c r="BV5" s="0" t="n">
        <v>22</v>
      </c>
      <c r="BX5" s="6" t="s">
        <v>4696</v>
      </c>
      <c r="BY5" s="6" t="s">
        <v>4697</v>
      </c>
      <c r="CA5" s="6" t="s">
        <v>4698</v>
      </c>
      <c r="CB5" s="6" t="s">
        <v>4699</v>
      </c>
      <c r="CC5" s="6" t="s">
        <v>4700</v>
      </c>
      <c r="CD5" s="6" t="s">
        <v>4701</v>
      </c>
      <c r="CE5" s="6" t="s">
        <v>4613</v>
      </c>
      <c r="CF5" s="6" t="s">
        <v>171</v>
      </c>
      <c r="CG5" s="6" t="s">
        <v>4702</v>
      </c>
      <c r="CK5" s="6" t="s">
        <v>158</v>
      </c>
      <c r="CL5" s="0" t="n">
        <v>76</v>
      </c>
      <c r="CM5" s="0" t="n">
        <v>25</v>
      </c>
      <c r="CN5" s="0" t="n">
        <v>20</v>
      </c>
      <c r="CO5" s="0" t="n">
        <v>8</v>
      </c>
      <c r="CP5" s="0" t="n">
        <v>5</v>
      </c>
      <c r="CQ5" s="0" t="n">
        <v>8</v>
      </c>
      <c r="CR5" s="0" t="n">
        <v>10</v>
      </c>
      <c r="CS5" s="6" t="n">
        <f aca="false">IF(R5="Y",10,0)</f>
        <v>0</v>
      </c>
      <c r="CT5" s="0" t="n">
        <v>0</v>
      </c>
      <c r="CU5" s="6" t="s">
        <v>4703</v>
      </c>
      <c r="CV5" s="6" t="s">
        <v>4704</v>
      </c>
      <c r="CW5" s="6" t="s">
        <v>4705</v>
      </c>
      <c r="CX5" s="6" t="s">
        <v>4706</v>
      </c>
      <c r="CY5" s="6" t="s">
        <v>4707</v>
      </c>
      <c r="CZ5" s="6" t="s">
        <v>4708</v>
      </c>
      <c r="DA5" s="6" t="s">
        <v>4621</v>
      </c>
      <c r="DB5" s="6" t="s">
        <v>4709</v>
      </c>
      <c r="DC5" s="6" t="s">
        <v>231</v>
      </c>
      <c r="DD5" s="6" t="s">
        <v>4710</v>
      </c>
      <c r="DY5" s="0" t="str">
        <f aca="false">IF(ISNUMBER(MATCH(U5,{"queued","contacted","replied","call_booked","call_done","yes_in_principle","materials_sent"},0)),"Y","N")</f>
        <v>N</v>
      </c>
      <c r="DZ5" s="0" t="str">
        <f aca="false">IF(COUNTIFS($AN$2:$AN$1000,AN5,$DY$2:$DY$1000,"Y")+COUNTIFS($AN$2:$AN$1000,AN5,$T$2:$T$1000,"Y")&gt;0,"Y","N")</f>
        <v>N</v>
      </c>
      <c r="EA5" s="0" t="str">
        <f aca="false">IF(AND(U5="new",T5="N",AR5="Y",AQ5="",DZ5="N"),"Y","N")</f>
        <v>Y</v>
      </c>
      <c r="EB5" s="0" t="str">
        <f aca="false">IF(EA5&lt;&gt;"Y","N",IF(COUNTIFS($AN$2:$AN$1000,AN5,$EA$2:$EA$1000,"Y",$J$2:$J$1000,"&gt;"&amp;J5)+COUNTIFS($AN$2:$AN$1000,AN5,$EA$2:$EA$1000,"Y",$J$2:$J$1000,J5,$ED$2:$ED$1000,"&lt;"&amp;ED5)=0,"Y","N"))</f>
        <v>Y</v>
      </c>
      <c r="EC5" s="0" t="str">
        <f aca="false">IF(Y5="","N",IF(Y5&lt;=10,"Y","N"))</f>
        <v>Y</v>
      </c>
      <c r="ED5" s="6" t="n">
        <f aca="false">ROW()-1</f>
        <v>4</v>
      </c>
    </row>
    <row r="6" customFormat="false" ht="15" hidden="false" customHeight="false" outlineLevel="0" collapsed="false">
      <c r="A6" s="0" t="s">
        <v>4711</v>
      </c>
      <c r="B6" s="0" t="s">
        <v>4712</v>
      </c>
      <c r="C6" s="0" t="s">
        <v>4713</v>
      </c>
      <c r="D6" s="0" t="s">
        <v>4714</v>
      </c>
      <c r="E6" s="0" t="s">
        <v>4657</v>
      </c>
      <c r="H6" s="5" t="s">
        <v>158</v>
      </c>
      <c r="I6" s="5" t="s">
        <v>159</v>
      </c>
      <c r="J6" s="6" t="n">
        <f aca="false">IF(AU6="pass",CM6+CN6+CO6+CP6+CQ6+CR6+CS6+CT6,0)</f>
        <v>74</v>
      </c>
      <c r="K6" s="6" t="s">
        <v>4715</v>
      </c>
      <c r="M6" s="6" t="s">
        <v>4581</v>
      </c>
      <c r="N6" s="6" t="s">
        <v>4582</v>
      </c>
      <c r="O6" s="6" t="s">
        <v>4716</v>
      </c>
      <c r="P6" s="6" t="s">
        <v>4717</v>
      </c>
      <c r="Q6" s="6" t="s">
        <v>4718</v>
      </c>
      <c r="R6" s="5" t="s">
        <v>162</v>
      </c>
      <c r="S6" s="6" t="s">
        <v>163</v>
      </c>
      <c r="T6" s="5" t="s">
        <v>162</v>
      </c>
      <c r="U6" s="5" t="s">
        <v>4719</v>
      </c>
      <c r="V6" s="6" t="s">
        <v>4720</v>
      </c>
      <c r="W6" s="6" t="s">
        <v>166</v>
      </c>
      <c r="X6" s="6" t="s">
        <v>4586</v>
      </c>
      <c r="Y6" s="0" t="str">
        <f aca="false">IF(EB6&lt;&gt;"Y","",COUNTIFS($EB$2:$EB$1000,"Y",$J$2:$J$1000,"&gt;"&amp;J6)+COUNTIFS($EB$2:$EB$1000,"Y",$J$2:$J$1000,J6,$ED$2:$ED$1000,"&lt;"&amp;ED6)+1)</f>
        <v/>
      </c>
      <c r="Z6" s="0" t="n">
        <v>5</v>
      </c>
      <c r="AA6" s="6" t="s">
        <v>168</v>
      </c>
      <c r="AB6" s="6" t="s">
        <v>4721</v>
      </c>
      <c r="AC6" s="6" t="s">
        <v>4588</v>
      </c>
      <c r="AD6" s="6" t="s">
        <v>171</v>
      </c>
      <c r="AE6" s="6" t="s">
        <v>231</v>
      </c>
      <c r="AF6" s="6" t="s">
        <v>4722</v>
      </c>
      <c r="AG6" s="6" t="s">
        <v>174</v>
      </c>
      <c r="AH6" s="6" t="s">
        <v>4723</v>
      </c>
      <c r="AI6" s="6" t="s">
        <v>4724</v>
      </c>
      <c r="AJ6" s="6" t="s">
        <v>192</v>
      </c>
      <c r="AK6" s="6" t="s">
        <v>4725</v>
      </c>
      <c r="AL6" s="6" t="s">
        <v>162</v>
      </c>
      <c r="AN6" s="6" t="s">
        <v>4711</v>
      </c>
      <c r="AO6" s="5" t="s">
        <v>162</v>
      </c>
      <c r="AR6" s="0" t="str">
        <f aca="false">IF(AND(AU6="pass",AO6&lt;&gt;"Y",C6&lt;&gt;""),"Y","N")</f>
        <v>Y</v>
      </c>
      <c r="AS6" s="0" t="str">
        <f aca="false">_xlfn.TEXTJOIN("; ",TRUE(),IF(AU6&lt;&gt;"pass","gated out",""),IF(AO6="Y","on hold: "&amp;AP6,""),IF(C6="","no contact named on an opened page",""))</f>
        <v/>
      </c>
      <c r="AU6" s="6" t="s">
        <v>181</v>
      </c>
      <c r="AW6" s="6" t="s">
        <v>182</v>
      </c>
      <c r="AY6" s="6" t="s">
        <v>4725</v>
      </c>
      <c r="AZ6" s="6" t="s">
        <v>4596</v>
      </c>
      <c r="BA6" s="6" t="s">
        <v>4597</v>
      </c>
      <c r="BB6" s="6" t="s">
        <v>163</v>
      </c>
      <c r="BD6" s="6" t="s">
        <v>168</v>
      </c>
      <c r="BE6" s="6" t="s">
        <v>4726</v>
      </c>
      <c r="BF6" s="6" t="s">
        <v>168</v>
      </c>
      <c r="BG6" s="6" t="s">
        <v>168</v>
      </c>
      <c r="BH6" s="6" t="s">
        <v>163</v>
      </c>
      <c r="BJ6" s="6" t="s">
        <v>163</v>
      </c>
      <c r="BK6" s="6" t="s">
        <v>162</v>
      </c>
      <c r="BL6" s="6" t="s">
        <v>162</v>
      </c>
      <c r="BN6" s="0" t="n">
        <v>0</v>
      </c>
      <c r="BO6" s="6" t="s">
        <v>168</v>
      </c>
      <c r="BP6" s="0" t="n">
        <v>10</v>
      </c>
      <c r="BQ6" s="6" t="s">
        <v>4727</v>
      </c>
      <c r="BS6" s="6" t="s">
        <v>4728</v>
      </c>
      <c r="BT6" s="6" t="s">
        <v>4729</v>
      </c>
      <c r="BU6" s="6" t="s">
        <v>4605</v>
      </c>
      <c r="BV6" s="0" t="n">
        <v>201</v>
      </c>
      <c r="BX6" s="6" t="s">
        <v>4730</v>
      </c>
      <c r="BY6" s="6" t="s">
        <v>4731</v>
      </c>
      <c r="CF6" s="6" t="s">
        <v>158</v>
      </c>
      <c r="CK6" s="6" t="s">
        <v>158</v>
      </c>
      <c r="CL6" s="0" t="n">
        <v>74</v>
      </c>
      <c r="CM6" s="0" t="n">
        <v>25</v>
      </c>
      <c r="CN6" s="0" t="n">
        <v>20</v>
      </c>
      <c r="CO6" s="0" t="n">
        <v>8</v>
      </c>
      <c r="CP6" s="0" t="n">
        <v>5</v>
      </c>
      <c r="CQ6" s="0" t="n">
        <v>10</v>
      </c>
      <c r="CR6" s="0" t="n">
        <v>6</v>
      </c>
      <c r="CS6" s="6" t="n">
        <f aca="false">IF(R6="Y",10,0)</f>
        <v>0</v>
      </c>
      <c r="CT6" s="0" t="n">
        <v>0</v>
      </c>
      <c r="CU6" s="6" t="s">
        <v>4732</v>
      </c>
      <c r="CV6" s="6" t="s">
        <v>4704</v>
      </c>
      <c r="CW6" s="6" t="s">
        <v>4733</v>
      </c>
      <c r="CX6" s="6" t="s">
        <v>4734</v>
      </c>
      <c r="CY6" s="6" t="s">
        <v>4735</v>
      </c>
      <c r="DA6" s="6" t="s">
        <v>4621</v>
      </c>
      <c r="DB6" s="6" t="s">
        <v>4249</v>
      </c>
      <c r="DY6" s="0" t="str">
        <f aca="false">IF(ISNUMBER(MATCH(U6,{"queued","contacted","replied","call_booked","call_done","yes_in_principle","materials_sent"},0)),"Y","N")</f>
        <v>N</v>
      </c>
      <c r="DZ6" s="0" t="str">
        <f aca="false">IF(COUNTIFS($AN$2:$AN$1000,AN6,$DY$2:$DY$1000,"Y")+COUNTIFS($AN$2:$AN$1000,AN6,$T$2:$T$1000,"Y")&gt;0,"Y","N")</f>
        <v>N</v>
      </c>
      <c r="EA6" s="0" t="str">
        <f aca="false">IF(AND(U6="new",T6="N",AR6="Y",AQ6="",DZ6="N"),"Y","N")</f>
        <v>N</v>
      </c>
      <c r="EB6" s="0" t="str">
        <f aca="false">IF(EA6&lt;&gt;"Y","N",IF(COUNTIFS($AN$2:$AN$1000,AN6,$EA$2:$EA$1000,"Y",$J$2:$J$1000,"&gt;"&amp;J6)+COUNTIFS($AN$2:$AN$1000,AN6,$EA$2:$EA$1000,"Y",$J$2:$J$1000,J6,$ED$2:$ED$1000,"&lt;"&amp;ED6)=0,"Y","N"))</f>
        <v>N</v>
      </c>
      <c r="EC6" s="0" t="str">
        <f aca="false">IF(Y6="","N",IF(Y6&lt;=10,"Y","N"))</f>
        <v>N</v>
      </c>
      <c r="ED6" s="6" t="n">
        <f aca="false">ROW()-1</f>
        <v>5</v>
      </c>
    </row>
    <row r="7" customFormat="false" ht="15" hidden="false" customHeight="false" outlineLevel="0" collapsed="false">
      <c r="A7" s="0" t="s">
        <v>4736</v>
      </c>
      <c r="B7" s="0" t="s">
        <v>4737</v>
      </c>
      <c r="C7" s="0" t="s">
        <v>4738</v>
      </c>
      <c r="D7" s="0" t="s">
        <v>4739</v>
      </c>
      <c r="E7" s="0" t="s">
        <v>4740</v>
      </c>
      <c r="H7" s="5" t="s">
        <v>158</v>
      </c>
      <c r="I7" s="5" t="s">
        <v>159</v>
      </c>
      <c r="J7" s="6" t="n">
        <f aca="false">IF(AU7="pass",CM7+CN7+CO7+CP7+CQ7+CR7+CS7+CT7,0)</f>
        <v>74</v>
      </c>
      <c r="K7" s="6" t="s">
        <v>4741</v>
      </c>
      <c r="M7" s="6" t="s">
        <v>4628</v>
      </c>
      <c r="N7" s="6" t="s">
        <v>4582</v>
      </c>
      <c r="O7" s="6" t="s">
        <v>4742</v>
      </c>
      <c r="P7" s="6" t="s">
        <v>4743</v>
      </c>
      <c r="Q7" s="6" t="s">
        <v>4160</v>
      </c>
      <c r="R7" s="5" t="s">
        <v>162</v>
      </c>
      <c r="S7" s="6" t="s">
        <v>163</v>
      </c>
      <c r="T7" s="5" t="s">
        <v>162</v>
      </c>
      <c r="U7" s="5" t="s">
        <v>228</v>
      </c>
      <c r="V7" s="6" t="s">
        <v>4744</v>
      </c>
      <c r="W7" s="6" t="s">
        <v>166</v>
      </c>
      <c r="X7" s="6" t="s">
        <v>4586</v>
      </c>
      <c r="Y7" s="6" t="n">
        <f aca="false">IF(EB7&lt;&gt;"Y","",COUNTIFS($EB$2:$EB$1000,"Y",$J$2:$J$1000,"&gt;"&amp;J7)+COUNTIFS($EB$2:$EB$1000,"Y",$J$2:$J$1000,J7,$ED$2:$ED$1000,"&lt;"&amp;ED7)+1)</f>
        <v>4</v>
      </c>
      <c r="Z7" s="0" t="n">
        <v>6</v>
      </c>
      <c r="AA7" s="6" t="s">
        <v>168</v>
      </c>
      <c r="AB7" s="6" t="s">
        <v>4745</v>
      </c>
      <c r="AC7" s="6" t="s">
        <v>4588</v>
      </c>
      <c r="AD7" s="6" t="s">
        <v>171</v>
      </c>
      <c r="AE7" s="6" t="s">
        <v>231</v>
      </c>
      <c r="AF7" s="6" t="s">
        <v>4746</v>
      </c>
      <c r="AG7" s="6" t="s">
        <v>174</v>
      </c>
      <c r="AH7" s="6" t="s">
        <v>4747</v>
      </c>
      <c r="AI7" s="6" t="s">
        <v>4665</v>
      </c>
      <c r="AJ7" s="6" t="s">
        <v>4748</v>
      </c>
      <c r="AK7" s="6" t="s">
        <v>4749</v>
      </c>
      <c r="AL7" s="6" t="s">
        <v>168</v>
      </c>
      <c r="AM7" s="6" t="s">
        <v>4750</v>
      </c>
      <c r="AN7" s="6" t="s">
        <v>4736</v>
      </c>
      <c r="AO7" s="5" t="s">
        <v>162</v>
      </c>
      <c r="AR7" s="0" t="str">
        <f aca="false">IF(AND(AU7="pass",AO7&lt;&gt;"Y",C7&lt;&gt;""),"Y","N")</f>
        <v>Y</v>
      </c>
      <c r="AS7" s="0" t="str">
        <f aca="false">_xlfn.TEXTJOIN("; ",TRUE(),IF(AU7&lt;&gt;"pass","gated out",""),IF(AO7="Y","on hold: "&amp;AP7,""),IF(C7="","no contact named on an opened page",""))</f>
        <v/>
      </c>
      <c r="AU7" s="6" t="s">
        <v>181</v>
      </c>
      <c r="AW7" s="6" t="s">
        <v>182</v>
      </c>
      <c r="AX7" s="6" t="s">
        <v>4595</v>
      </c>
      <c r="AY7" s="6" t="s">
        <v>4749</v>
      </c>
      <c r="AZ7" s="6" t="s">
        <v>4596</v>
      </c>
      <c r="BA7" s="6" t="s">
        <v>4597</v>
      </c>
      <c r="BB7" s="6" t="s">
        <v>163</v>
      </c>
      <c r="BD7" s="6" t="s">
        <v>168</v>
      </c>
      <c r="BE7" s="6" t="s">
        <v>4751</v>
      </c>
      <c r="BF7" s="6" t="s">
        <v>168</v>
      </c>
      <c r="BG7" s="6" t="s">
        <v>168</v>
      </c>
      <c r="BH7" s="6" t="s">
        <v>163</v>
      </c>
      <c r="BJ7" s="6" t="s">
        <v>163</v>
      </c>
      <c r="BK7" s="6" t="s">
        <v>162</v>
      </c>
      <c r="BL7" s="6" t="s">
        <v>162</v>
      </c>
      <c r="BN7" s="0" t="n">
        <v>0</v>
      </c>
      <c r="BO7" s="6" t="s">
        <v>168</v>
      </c>
      <c r="BP7" s="0" t="n">
        <v>7</v>
      </c>
      <c r="BQ7" s="6" t="s">
        <v>4752</v>
      </c>
      <c r="BR7" s="6" t="s">
        <v>4753</v>
      </c>
      <c r="BS7" s="6" t="s">
        <v>4754</v>
      </c>
      <c r="BT7" s="6" t="s">
        <v>4755</v>
      </c>
      <c r="BU7" s="6" t="s">
        <v>4695</v>
      </c>
      <c r="BV7" s="0" t="n">
        <v>2</v>
      </c>
      <c r="BX7" s="6" t="s">
        <v>4756</v>
      </c>
      <c r="BY7" s="6" t="s">
        <v>4757</v>
      </c>
      <c r="CA7" s="6" t="s">
        <v>4758</v>
      </c>
      <c r="CB7" s="6" t="s">
        <v>4759</v>
      </c>
      <c r="CC7" s="6" t="s">
        <v>4760</v>
      </c>
      <c r="CD7" s="6" t="s">
        <v>4761</v>
      </c>
      <c r="CE7" s="6" t="s">
        <v>4613</v>
      </c>
      <c r="CF7" s="6" t="s">
        <v>171</v>
      </c>
      <c r="CG7" s="6" t="s">
        <v>4762</v>
      </c>
      <c r="CK7" s="6" t="s">
        <v>158</v>
      </c>
      <c r="CL7" s="0" t="n">
        <v>74</v>
      </c>
      <c r="CM7" s="0" t="n">
        <v>25</v>
      </c>
      <c r="CN7" s="0" t="n">
        <v>20</v>
      </c>
      <c r="CO7" s="0" t="n">
        <v>8</v>
      </c>
      <c r="CP7" s="0" t="n">
        <v>5</v>
      </c>
      <c r="CQ7" s="0" t="n">
        <v>10</v>
      </c>
      <c r="CR7" s="0" t="n">
        <v>10</v>
      </c>
      <c r="CS7" s="6" t="n">
        <f aca="false">IF(R7="Y",10,0)</f>
        <v>0</v>
      </c>
      <c r="CT7" s="0" t="n">
        <v>-4</v>
      </c>
      <c r="CU7" s="6" t="s">
        <v>4763</v>
      </c>
      <c r="CV7" s="6" t="s">
        <v>4704</v>
      </c>
      <c r="CW7" s="6" t="s">
        <v>4764</v>
      </c>
      <c r="CX7" s="6" t="s">
        <v>4765</v>
      </c>
      <c r="CY7" s="6" t="s">
        <v>4766</v>
      </c>
      <c r="CZ7" s="6" t="s">
        <v>4767</v>
      </c>
      <c r="DA7" s="6" t="s">
        <v>4621</v>
      </c>
      <c r="DB7" s="6" t="s">
        <v>4768</v>
      </c>
      <c r="DC7" s="6" t="s">
        <v>231</v>
      </c>
      <c r="DD7" s="6" t="s">
        <v>4768</v>
      </c>
      <c r="DY7" s="0" t="str">
        <f aca="false">IF(ISNUMBER(MATCH(U7,{"queued","contacted","replied","call_booked","call_done","yes_in_principle","materials_sent"},0)),"Y","N")</f>
        <v>N</v>
      </c>
      <c r="DZ7" s="0" t="str">
        <f aca="false">IF(COUNTIFS($AN$2:$AN$1000,AN7,$DY$2:$DY$1000,"Y")+COUNTIFS($AN$2:$AN$1000,AN7,$T$2:$T$1000,"Y")&gt;0,"Y","N")</f>
        <v>N</v>
      </c>
      <c r="EA7" s="0" t="str">
        <f aca="false">IF(AND(U7="new",T7="N",AR7="Y",AQ7="",DZ7="N"),"Y","N")</f>
        <v>Y</v>
      </c>
      <c r="EB7" s="0" t="str">
        <f aca="false">IF(EA7&lt;&gt;"Y","N",IF(COUNTIFS($AN$2:$AN$1000,AN7,$EA$2:$EA$1000,"Y",$J$2:$J$1000,"&gt;"&amp;J7)+COUNTIFS($AN$2:$AN$1000,AN7,$EA$2:$EA$1000,"Y",$J$2:$J$1000,J7,$ED$2:$ED$1000,"&lt;"&amp;ED7)=0,"Y","N"))</f>
        <v>Y</v>
      </c>
      <c r="EC7" s="0" t="str">
        <f aca="false">IF(Y7="","N",IF(Y7&lt;=10,"Y","N"))</f>
        <v>Y</v>
      </c>
      <c r="ED7" s="6" t="n">
        <f aca="false">ROW()-1</f>
        <v>6</v>
      </c>
    </row>
    <row r="8" customFormat="false" ht="15" hidden="false" customHeight="false" outlineLevel="0" collapsed="false">
      <c r="A8" s="0" t="s">
        <v>4769</v>
      </c>
      <c r="B8" s="0" t="s">
        <v>4770</v>
      </c>
      <c r="C8" s="0" t="s">
        <v>4771</v>
      </c>
      <c r="D8" s="0" t="s">
        <v>4772</v>
      </c>
      <c r="E8" s="0" t="s">
        <v>4773</v>
      </c>
      <c r="H8" s="5" t="s">
        <v>158</v>
      </c>
      <c r="I8" s="5" t="s">
        <v>159</v>
      </c>
      <c r="J8" s="6" t="n">
        <f aca="false">IF(AU8="pass",CM8+CN8+CO8+CP8+CQ8+CR8+CS8+CT8,0)</f>
        <v>72</v>
      </c>
      <c r="K8" s="6" t="s">
        <v>4774</v>
      </c>
      <c r="M8" s="6" t="s">
        <v>4581</v>
      </c>
      <c r="N8" s="6" t="s">
        <v>4582</v>
      </c>
      <c r="O8" s="6" t="s">
        <v>4775</v>
      </c>
      <c r="P8" s="6" t="s">
        <v>4776</v>
      </c>
      <c r="Q8" s="6" t="s">
        <v>4777</v>
      </c>
      <c r="R8" s="5" t="s">
        <v>162</v>
      </c>
      <c r="S8" s="6" t="s">
        <v>163</v>
      </c>
      <c r="T8" s="5" t="s">
        <v>162</v>
      </c>
      <c r="U8" s="5" t="s">
        <v>228</v>
      </c>
      <c r="V8" s="6" t="s">
        <v>4778</v>
      </c>
      <c r="W8" s="6" t="s">
        <v>166</v>
      </c>
      <c r="X8" s="6" t="s">
        <v>4586</v>
      </c>
      <c r="Y8" s="6" t="n">
        <f aca="false">IF(EB8&lt;&gt;"Y","",COUNTIFS($EB$2:$EB$1000,"Y",$J$2:$J$1000,"&gt;"&amp;J8)+COUNTIFS($EB$2:$EB$1000,"Y",$J$2:$J$1000,J8,$ED$2:$ED$1000,"&lt;"&amp;ED8)+1)</f>
        <v>5</v>
      </c>
      <c r="Z8" s="0" t="n">
        <v>7</v>
      </c>
      <c r="AA8" s="6" t="s">
        <v>168</v>
      </c>
      <c r="AB8" s="6" t="s">
        <v>4779</v>
      </c>
      <c r="AC8" s="6" t="s">
        <v>4588</v>
      </c>
      <c r="AD8" s="6" t="s">
        <v>171</v>
      </c>
      <c r="AE8" s="6" t="s">
        <v>172</v>
      </c>
      <c r="AF8" s="6" t="s">
        <v>4778</v>
      </c>
      <c r="AG8" s="6" t="s">
        <v>174</v>
      </c>
      <c r="AH8" s="6" t="s">
        <v>4780</v>
      </c>
      <c r="AI8" s="6" t="s">
        <v>4665</v>
      </c>
      <c r="AJ8" s="6" t="s">
        <v>4635</v>
      </c>
      <c r="AK8" s="6" t="s">
        <v>4781</v>
      </c>
      <c r="AL8" s="6" t="s">
        <v>168</v>
      </c>
      <c r="AM8" s="6" t="s">
        <v>4691</v>
      </c>
      <c r="AN8" s="6" t="s">
        <v>4769</v>
      </c>
      <c r="AO8" s="5" t="s">
        <v>162</v>
      </c>
      <c r="AR8" s="0" t="str">
        <f aca="false">IF(AND(AU8="pass",AO8&lt;&gt;"Y",C8&lt;&gt;""),"Y","N")</f>
        <v>Y</v>
      </c>
      <c r="AS8" s="0" t="str">
        <f aca="false">_xlfn.TEXTJOIN("; ",TRUE(),IF(AU8&lt;&gt;"pass","gated out",""),IF(AO8="Y","on hold: "&amp;AP8,""),IF(C8="","no contact named on an opened page",""))</f>
        <v/>
      </c>
      <c r="AU8" s="6" t="s">
        <v>181</v>
      </c>
      <c r="AW8" s="6" t="s">
        <v>182</v>
      </c>
      <c r="AY8" s="6" t="s">
        <v>4781</v>
      </c>
      <c r="AZ8" s="6" t="s">
        <v>4596</v>
      </c>
      <c r="BA8" s="6" t="s">
        <v>4597</v>
      </c>
      <c r="BB8" s="6" t="s">
        <v>163</v>
      </c>
      <c r="BD8" s="6" t="s">
        <v>264</v>
      </c>
      <c r="BE8" s="6" t="s">
        <v>4782</v>
      </c>
      <c r="BF8" s="6" t="s">
        <v>168</v>
      </c>
      <c r="BG8" s="6" t="s">
        <v>168</v>
      </c>
      <c r="BH8" s="6" t="s">
        <v>163</v>
      </c>
      <c r="BJ8" s="6" t="s">
        <v>163</v>
      </c>
      <c r="BK8" s="6" t="s">
        <v>162</v>
      </c>
      <c r="BL8" s="6" t="s">
        <v>162</v>
      </c>
      <c r="BN8" s="0" t="n">
        <v>0</v>
      </c>
      <c r="BO8" s="6" t="s">
        <v>168</v>
      </c>
      <c r="BP8" s="0" t="n">
        <v>2</v>
      </c>
      <c r="BQ8" s="6" t="s">
        <v>4783</v>
      </c>
      <c r="BS8" s="6" t="s">
        <v>4693</v>
      </c>
      <c r="BT8" s="6" t="s">
        <v>4784</v>
      </c>
      <c r="BU8" s="6" t="s">
        <v>4695</v>
      </c>
      <c r="BV8" s="0" t="n">
        <v>9</v>
      </c>
      <c r="BX8" s="6" t="s">
        <v>4785</v>
      </c>
      <c r="BY8" s="6" t="s">
        <v>4786</v>
      </c>
      <c r="CF8" s="6" t="s">
        <v>158</v>
      </c>
      <c r="CK8" s="6" t="s">
        <v>158</v>
      </c>
      <c r="CL8" s="0" t="n">
        <v>72</v>
      </c>
      <c r="CM8" s="0" t="n">
        <v>25</v>
      </c>
      <c r="CN8" s="0" t="n">
        <v>20</v>
      </c>
      <c r="CO8" s="0" t="n">
        <v>8</v>
      </c>
      <c r="CP8" s="0" t="n">
        <v>5</v>
      </c>
      <c r="CQ8" s="0" t="n">
        <v>8</v>
      </c>
      <c r="CR8" s="0" t="n">
        <v>6</v>
      </c>
      <c r="CS8" s="6" t="n">
        <f aca="false">IF(R8="Y",10,0)</f>
        <v>0</v>
      </c>
      <c r="CT8" s="0" t="n">
        <v>0</v>
      </c>
      <c r="CU8" s="6" t="s">
        <v>4787</v>
      </c>
      <c r="CV8" s="6" t="s">
        <v>4704</v>
      </c>
      <c r="CW8" s="6" t="s">
        <v>4788</v>
      </c>
      <c r="CX8" s="6" t="s">
        <v>4789</v>
      </c>
      <c r="DA8" s="6" t="s">
        <v>4621</v>
      </c>
      <c r="DY8" s="0" t="str">
        <f aca="false">IF(ISNUMBER(MATCH(U8,{"queued","contacted","replied","call_booked","call_done","yes_in_principle","materials_sent"},0)),"Y","N")</f>
        <v>N</v>
      </c>
      <c r="DZ8" s="0" t="str">
        <f aca="false">IF(COUNTIFS($AN$2:$AN$1000,AN8,$DY$2:$DY$1000,"Y")+COUNTIFS($AN$2:$AN$1000,AN8,$T$2:$T$1000,"Y")&gt;0,"Y","N")</f>
        <v>N</v>
      </c>
      <c r="EA8" s="0" t="str">
        <f aca="false">IF(AND(U8="new",T8="N",AR8="Y",AQ8="",DZ8="N"),"Y","N")</f>
        <v>Y</v>
      </c>
      <c r="EB8" s="0" t="str">
        <f aca="false">IF(EA8&lt;&gt;"Y","N",IF(COUNTIFS($AN$2:$AN$1000,AN8,$EA$2:$EA$1000,"Y",$J$2:$J$1000,"&gt;"&amp;J8)+COUNTIFS($AN$2:$AN$1000,AN8,$EA$2:$EA$1000,"Y",$J$2:$J$1000,J8,$ED$2:$ED$1000,"&lt;"&amp;ED8)=0,"Y","N"))</f>
        <v>Y</v>
      </c>
      <c r="EC8" s="0" t="str">
        <f aca="false">IF(Y8="","N",IF(Y8&lt;=10,"Y","N"))</f>
        <v>Y</v>
      </c>
      <c r="ED8" s="6" t="n">
        <f aca="false">ROW()-1</f>
        <v>7</v>
      </c>
    </row>
    <row r="9" customFormat="false" ht="15" hidden="false" customHeight="false" outlineLevel="0" collapsed="false">
      <c r="A9" s="0" t="s">
        <v>4790</v>
      </c>
      <c r="B9" s="0" t="s">
        <v>4791</v>
      </c>
      <c r="C9" s="0" t="s">
        <v>4792</v>
      </c>
      <c r="D9" s="0" t="s">
        <v>4793</v>
      </c>
      <c r="E9" s="0" t="s">
        <v>4626</v>
      </c>
      <c r="H9" s="5" t="s">
        <v>158</v>
      </c>
      <c r="I9" s="5" t="s">
        <v>159</v>
      </c>
      <c r="J9" s="6" t="n">
        <f aca="false">IF(AU9="pass",CM9+CN9+CO9+CP9+CQ9+CR9+CS9+CT9,0)</f>
        <v>72</v>
      </c>
      <c r="K9" s="6" t="s">
        <v>4794</v>
      </c>
      <c r="M9" s="6" t="s">
        <v>4581</v>
      </c>
      <c r="N9" s="6" t="s">
        <v>4582</v>
      </c>
      <c r="O9" s="6" t="s">
        <v>4795</v>
      </c>
      <c r="P9" s="6" t="s">
        <v>4796</v>
      </c>
      <c r="Q9" s="6" t="s">
        <v>4797</v>
      </c>
      <c r="R9" s="5" t="s">
        <v>162</v>
      </c>
      <c r="S9" s="6" t="s">
        <v>163</v>
      </c>
      <c r="T9" s="5" t="s">
        <v>162</v>
      </c>
      <c r="U9" s="5" t="s">
        <v>228</v>
      </c>
      <c r="V9" s="6" t="s">
        <v>4798</v>
      </c>
      <c r="W9" s="6" t="s">
        <v>166</v>
      </c>
      <c r="X9" s="6" t="s">
        <v>4586</v>
      </c>
      <c r="Y9" s="6" t="n">
        <f aca="false">IF(EB9&lt;&gt;"Y","",COUNTIFS($EB$2:$EB$1000,"Y",$J$2:$J$1000,"&gt;"&amp;J9)+COUNTIFS($EB$2:$EB$1000,"Y",$J$2:$J$1000,J9,$ED$2:$ED$1000,"&lt;"&amp;ED9)+1)</f>
        <v>6</v>
      </c>
      <c r="Z9" s="0" t="n">
        <v>8</v>
      </c>
      <c r="AA9" s="6" t="s">
        <v>168</v>
      </c>
      <c r="AB9" s="6" t="s">
        <v>4799</v>
      </c>
      <c r="AC9" s="6" t="s">
        <v>4588</v>
      </c>
      <c r="AD9" s="6" t="s">
        <v>171</v>
      </c>
      <c r="AE9" s="6" t="s">
        <v>172</v>
      </c>
      <c r="AF9" s="6" t="s">
        <v>4798</v>
      </c>
      <c r="AG9" s="6" t="s">
        <v>174</v>
      </c>
      <c r="AH9" s="6" t="s">
        <v>4800</v>
      </c>
      <c r="AI9" s="6" t="s">
        <v>4724</v>
      </c>
      <c r="AJ9" s="6" t="s">
        <v>192</v>
      </c>
      <c r="AK9" s="6" t="s">
        <v>4801</v>
      </c>
      <c r="AL9" s="6" t="s">
        <v>162</v>
      </c>
      <c r="AN9" s="6" t="s">
        <v>4790</v>
      </c>
      <c r="AO9" s="5" t="s">
        <v>162</v>
      </c>
      <c r="AR9" s="0" t="str">
        <f aca="false">IF(AND(AU9="pass",AO9&lt;&gt;"Y",C9&lt;&gt;""),"Y","N")</f>
        <v>Y</v>
      </c>
      <c r="AS9" s="0" t="str">
        <f aca="false">_xlfn.TEXTJOIN("; ",TRUE(),IF(AU9&lt;&gt;"pass","gated out",""),IF(AO9="Y","on hold: "&amp;AP9,""),IF(C9="","no contact named on an opened page",""))</f>
        <v/>
      </c>
      <c r="AU9" s="6" t="s">
        <v>181</v>
      </c>
      <c r="AW9" s="6" t="s">
        <v>182</v>
      </c>
      <c r="AY9" s="6" t="s">
        <v>4801</v>
      </c>
      <c r="AZ9" s="6" t="s">
        <v>4596</v>
      </c>
      <c r="BA9" s="6" t="s">
        <v>4597</v>
      </c>
      <c r="BB9" s="6" t="s">
        <v>163</v>
      </c>
      <c r="BD9" s="6" t="s">
        <v>168</v>
      </c>
      <c r="BE9" s="6" t="s">
        <v>4802</v>
      </c>
      <c r="BF9" s="6" t="s">
        <v>163</v>
      </c>
      <c r="BG9" s="6" t="s">
        <v>168</v>
      </c>
      <c r="BH9" s="6" t="s">
        <v>163</v>
      </c>
      <c r="BJ9" s="6" t="s">
        <v>163</v>
      </c>
      <c r="BK9" s="6" t="s">
        <v>162</v>
      </c>
      <c r="BL9" s="6" t="s">
        <v>162</v>
      </c>
      <c r="BN9" s="0" t="n">
        <v>0</v>
      </c>
      <c r="BO9" s="6" t="s">
        <v>168</v>
      </c>
      <c r="BP9" s="0" t="n">
        <v>3</v>
      </c>
      <c r="BQ9" s="6" t="s">
        <v>4670</v>
      </c>
      <c r="BS9" s="6" t="s">
        <v>4803</v>
      </c>
      <c r="BT9" s="6" t="s">
        <v>4804</v>
      </c>
      <c r="BU9" s="6" t="s">
        <v>4695</v>
      </c>
      <c r="BV9" s="0" t="n">
        <v>36</v>
      </c>
      <c r="BX9" s="6" t="s">
        <v>4805</v>
      </c>
      <c r="BY9" s="6" t="s">
        <v>4806</v>
      </c>
      <c r="CA9" s="6" t="s">
        <v>4807</v>
      </c>
      <c r="CB9" s="6" t="s">
        <v>4808</v>
      </c>
      <c r="CC9" s="6" t="s">
        <v>4809</v>
      </c>
      <c r="CD9" s="6" t="s">
        <v>4626</v>
      </c>
      <c r="CE9" s="6" t="s">
        <v>4810</v>
      </c>
      <c r="CF9" s="6" t="s">
        <v>171</v>
      </c>
      <c r="CG9" s="6" t="s">
        <v>4811</v>
      </c>
      <c r="CK9" s="6" t="s">
        <v>158</v>
      </c>
      <c r="CL9" s="0" t="n">
        <v>72</v>
      </c>
      <c r="CM9" s="0" t="n">
        <v>25</v>
      </c>
      <c r="CN9" s="0" t="n">
        <v>20</v>
      </c>
      <c r="CO9" s="0" t="n">
        <v>8</v>
      </c>
      <c r="CP9" s="0" t="n">
        <v>5</v>
      </c>
      <c r="CQ9" s="0" t="n">
        <v>8</v>
      </c>
      <c r="CR9" s="0" t="n">
        <v>6</v>
      </c>
      <c r="CS9" s="6" t="n">
        <f aca="false">IF(R9="Y",10,0)</f>
        <v>0</v>
      </c>
      <c r="CT9" s="0" t="n">
        <v>0</v>
      </c>
      <c r="CU9" s="6" t="s">
        <v>4812</v>
      </c>
      <c r="CV9" s="6" t="s">
        <v>4704</v>
      </c>
      <c r="CW9" s="6" t="s">
        <v>4813</v>
      </c>
      <c r="CX9" s="6" t="s">
        <v>4814</v>
      </c>
      <c r="CY9" s="6" t="s">
        <v>4815</v>
      </c>
      <c r="CZ9" s="6" t="s">
        <v>4798</v>
      </c>
      <c r="DA9" s="6" t="s">
        <v>4621</v>
      </c>
      <c r="DC9" s="6" t="s">
        <v>172</v>
      </c>
      <c r="DY9" s="0" t="str">
        <f aca="false">IF(ISNUMBER(MATCH(U9,{"queued","contacted","replied","call_booked","call_done","yes_in_principle","materials_sent"},0)),"Y","N")</f>
        <v>N</v>
      </c>
      <c r="DZ9" s="0" t="str">
        <f aca="false">IF(COUNTIFS($AN$2:$AN$1000,AN9,$DY$2:$DY$1000,"Y")+COUNTIFS($AN$2:$AN$1000,AN9,$T$2:$T$1000,"Y")&gt;0,"Y","N")</f>
        <v>N</v>
      </c>
      <c r="EA9" s="0" t="str">
        <f aca="false">IF(AND(U9="new",T9="N",AR9="Y",AQ9="",DZ9="N"),"Y","N")</f>
        <v>Y</v>
      </c>
      <c r="EB9" s="0" t="str">
        <f aca="false">IF(EA9&lt;&gt;"Y","N",IF(COUNTIFS($AN$2:$AN$1000,AN9,$EA$2:$EA$1000,"Y",$J$2:$J$1000,"&gt;"&amp;J9)+COUNTIFS($AN$2:$AN$1000,AN9,$EA$2:$EA$1000,"Y",$J$2:$J$1000,J9,$ED$2:$ED$1000,"&lt;"&amp;ED9)=0,"Y","N"))</f>
        <v>Y</v>
      </c>
      <c r="EC9" s="0" t="str">
        <f aca="false">IF(Y9="","N",IF(Y9&lt;=10,"Y","N"))</f>
        <v>Y</v>
      </c>
      <c r="ED9" s="6" t="n">
        <f aca="false">ROW()-1</f>
        <v>8</v>
      </c>
    </row>
    <row r="10" customFormat="false" ht="15" hidden="false" customHeight="false" outlineLevel="0" collapsed="false">
      <c r="A10" s="0" t="s">
        <v>4816</v>
      </c>
      <c r="B10" s="0" t="s">
        <v>4817</v>
      </c>
      <c r="C10" s="0" t="s">
        <v>4818</v>
      </c>
      <c r="D10" s="0" t="s">
        <v>4819</v>
      </c>
      <c r="E10" s="0" t="s">
        <v>4773</v>
      </c>
      <c r="H10" s="5" t="s">
        <v>158</v>
      </c>
      <c r="I10" s="5" t="s">
        <v>159</v>
      </c>
      <c r="J10" s="6" t="n">
        <f aca="false">IF(AU10="pass",CM10+CN10+CO10+CP10+CQ10+CR10+CS10+CT10,0)</f>
        <v>71</v>
      </c>
      <c r="K10" s="6" t="s">
        <v>4820</v>
      </c>
      <c r="M10" s="6" t="s">
        <v>4581</v>
      </c>
      <c r="N10" s="6" t="s">
        <v>4582</v>
      </c>
      <c r="O10" s="6" t="s">
        <v>4821</v>
      </c>
      <c r="P10" s="6" t="s">
        <v>4822</v>
      </c>
      <c r="Q10" s="6" t="s">
        <v>4823</v>
      </c>
      <c r="R10" s="5" t="s">
        <v>162</v>
      </c>
      <c r="S10" s="6" t="s">
        <v>163</v>
      </c>
      <c r="T10" s="5" t="s">
        <v>162</v>
      </c>
      <c r="U10" s="5" t="s">
        <v>228</v>
      </c>
      <c r="V10" s="6" t="s">
        <v>4824</v>
      </c>
      <c r="W10" s="6" t="s">
        <v>166</v>
      </c>
      <c r="X10" s="6" t="s">
        <v>4586</v>
      </c>
      <c r="Y10" s="6" t="n">
        <f aca="false">IF(EB10&lt;&gt;"Y","",COUNTIFS($EB$2:$EB$1000,"Y",$J$2:$J$1000,"&gt;"&amp;J10)+COUNTIFS($EB$2:$EB$1000,"Y",$J$2:$J$1000,J10,$ED$2:$ED$1000,"&lt;"&amp;ED10)+1)</f>
        <v>7</v>
      </c>
      <c r="Z10" s="0" t="n">
        <v>9</v>
      </c>
      <c r="AA10" s="6" t="s">
        <v>168</v>
      </c>
      <c r="AB10" s="6" t="s">
        <v>4825</v>
      </c>
      <c r="AC10" s="6" t="s">
        <v>4588</v>
      </c>
      <c r="AD10" s="6" t="s">
        <v>171</v>
      </c>
      <c r="AE10" s="6" t="s">
        <v>1190</v>
      </c>
      <c r="AF10" s="6" t="s">
        <v>4826</v>
      </c>
      <c r="AG10" s="6" t="s">
        <v>174</v>
      </c>
      <c r="AH10" s="6" t="s">
        <v>4827</v>
      </c>
      <c r="AI10" s="6" t="s">
        <v>4828</v>
      </c>
      <c r="AJ10" s="6" t="s">
        <v>4635</v>
      </c>
      <c r="AK10" s="6" t="s">
        <v>4824</v>
      </c>
      <c r="AL10" s="6" t="s">
        <v>168</v>
      </c>
      <c r="AM10" s="6" t="s">
        <v>4829</v>
      </c>
      <c r="AN10" s="6" t="s">
        <v>4816</v>
      </c>
      <c r="AO10" s="5" t="s">
        <v>162</v>
      </c>
      <c r="AR10" s="0" t="str">
        <f aca="false">IF(AND(AU10="pass",AO10&lt;&gt;"Y",C10&lt;&gt;""),"Y","N")</f>
        <v>Y</v>
      </c>
      <c r="AS10" s="0" t="str">
        <f aca="false">_xlfn.TEXTJOIN("; ",TRUE(),IF(AU10&lt;&gt;"pass","gated out",""),IF(AO10="Y","on hold: "&amp;AP10,""),IF(C10="","no contact named on an opened page",""))</f>
        <v/>
      </c>
      <c r="AU10" s="6" t="s">
        <v>181</v>
      </c>
      <c r="AW10" s="6" t="s">
        <v>182</v>
      </c>
      <c r="AX10" s="6" t="s">
        <v>4830</v>
      </c>
      <c r="AY10" s="6" t="s">
        <v>4824</v>
      </c>
      <c r="AZ10" s="6" t="s">
        <v>4596</v>
      </c>
      <c r="BA10" s="6" t="s">
        <v>4597</v>
      </c>
      <c r="BB10" s="6" t="s">
        <v>4831</v>
      </c>
      <c r="BC10" s="6" t="s">
        <v>4832</v>
      </c>
      <c r="BD10" s="6" t="s">
        <v>168</v>
      </c>
      <c r="BE10" s="6" t="s">
        <v>4833</v>
      </c>
      <c r="BF10" s="6" t="s">
        <v>162</v>
      </c>
      <c r="BG10" s="6" t="s">
        <v>168</v>
      </c>
      <c r="BH10" s="6" t="s">
        <v>163</v>
      </c>
      <c r="BJ10" s="6" t="s">
        <v>163</v>
      </c>
      <c r="BK10" s="6" t="s">
        <v>162</v>
      </c>
      <c r="BL10" s="6" t="s">
        <v>162</v>
      </c>
      <c r="BN10" s="0" t="n">
        <v>0</v>
      </c>
      <c r="BO10" s="6" t="s">
        <v>168</v>
      </c>
      <c r="BP10" s="0" t="n">
        <v>2</v>
      </c>
      <c r="BQ10" s="6" t="s">
        <v>4783</v>
      </c>
      <c r="BS10" s="6" t="s">
        <v>4834</v>
      </c>
      <c r="BT10" s="6" t="s">
        <v>4835</v>
      </c>
      <c r="BU10" s="6" t="s">
        <v>4695</v>
      </c>
      <c r="BV10" s="0" t="n">
        <v>12</v>
      </c>
      <c r="BX10" s="6" t="s">
        <v>4836</v>
      </c>
      <c r="BY10" s="6" t="s">
        <v>4837</v>
      </c>
      <c r="CA10" s="6" t="s">
        <v>4838</v>
      </c>
      <c r="CB10" s="6" t="s">
        <v>4839</v>
      </c>
      <c r="CC10" s="6" t="s">
        <v>4840</v>
      </c>
      <c r="CD10" s="6" t="s">
        <v>4841</v>
      </c>
      <c r="CE10" s="6" t="s">
        <v>4613</v>
      </c>
      <c r="CF10" s="6" t="s">
        <v>171</v>
      </c>
      <c r="CG10" s="6" t="s">
        <v>4842</v>
      </c>
      <c r="CK10" s="6" t="s">
        <v>158</v>
      </c>
      <c r="CL10" s="0" t="n">
        <v>71</v>
      </c>
      <c r="CM10" s="0" t="n">
        <v>25</v>
      </c>
      <c r="CN10" s="0" t="n">
        <v>20</v>
      </c>
      <c r="CO10" s="0" t="n">
        <v>8</v>
      </c>
      <c r="CP10" s="0" t="n">
        <v>5</v>
      </c>
      <c r="CQ10" s="0" t="n">
        <v>7</v>
      </c>
      <c r="CR10" s="0" t="n">
        <v>10</v>
      </c>
      <c r="CS10" s="6" t="n">
        <f aca="false">IF(R10="Y",10,0)</f>
        <v>0</v>
      </c>
      <c r="CT10" s="0" t="n">
        <v>-4</v>
      </c>
      <c r="CU10" s="6" t="s">
        <v>163</v>
      </c>
      <c r="CV10" s="6" t="s">
        <v>4843</v>
      </c>
      <c r="CW10" s="6" t="s">
        <v>4844</v>
      </c>
      <c r="CX10" s="6" t="s">
        <v>4845</v>
      </c>
      <c r="CY10" s="6" t="s">
        <v>4846</v>
      </c>
      <c r="CZ10" s="6" t="s">
        <v>4847</v>
      </c>
      <c r="DA10" s="6" t="s">
        <v>4621</v>
      </c>
      <c r="DC10" s="6" t="s">
        <v>231</v>
      </c>
      <c r="DD10" s="6" t="s">
        <v>4848</v>
      </c>
      <c r="DY10" s="0" t="str">
        <f aca="false">IF(ISNUMBER(MATCH(U10,{"queued","contacted","replied","call_booked","call_done","yes_in_principle","materials_sent"},0)),"Y","N")</f>
        <v>N</v>
      </c>
      <c r="DZ10" s="0" t="str">
        <f aca="false">IF(COUNTIFS($AN$2:$AN$1000,AN10,$DY$2:$DY$1000,"Y")+COUNTIFS($AN$2:$AN$1000,AN10,$T$2:$T$1000,"Y")&gt;0,"Y","N")</f>
        <v>N</v>
      </c>
      <c r="EA10" s="0" t="str">
        <f aca="false">IF(AND(U10="new",T10="N",AR10="Y",AQ10="",DZ10="N"),"Y","N")</f>
        <v>Y</v>
      </c>
      <c r="EB10" s="0" t="str">
        <f aca="false">IF(EA10&lt;&gt;"Y","N",IF(COUNTIFS($AN$2:$AN$1000,AN10,$EA$2:$EA$1000,"Y",$J$2:$J$1000,"&gt;"&amp;J10)+COUNTIFS($AN$2:$AN$1000,AN10,$EA$2:$EA$1000,"Y",$J$2:$J$1000,J10,$ED$2:$ED$1000,"&lt;"&amp;ED10)=0,"Y","N"))</f>
        <v>Y</v>
      </c>
      <c r="EC10" s="0" t="str">
        <f aca="false">IF(Y10="","N",IF(Y10&lt;=10,"Y","N"))</f>
        <v>Y</v>
      </c>
      <c r="ED10" s="6" t="n">
        <f aca="false">ROW()-1</f>
        <v>9</v>
      </c>
    </row>
    <row r="11" customFormat="false" ht="15" hidden="false" customHeight="false" outlineLevel="0" collapsed="false">
      <c r="A11" s="0" t="s">
        <v>4849</v>
      </c>
      <c r="B11" s="0" t="s">
        <v>4850</v>
      </c>
      <c r="C11" s="0" t="s">
        <v>4851</v>
      </c>
      <c r="D11" s="0" t="s">
        <v>4852</v>
      </c>
      <c r="E11" s="0" t="s">
        <v>4657</v>
      </c>
      <c r="H11" s="5" t="s">
        <v>158</v>
      </c>
      <c r="I11" s="5" t="s">
        <v>159</v>
      </c>
      <c r="J11" s="6" t="n">
        <f aca="false">IF(AU11="pass",CM11+CN11+CO11+CP11+CQ11+CR11+CS11+CT11,0)</f>
        <v>70</v>
      </c>
      <c r="K11" s="6" t="s">
        <v>4853</v>
      </c>
      <c r="M11" s="6" t="s">
        <v>4581</v>
      </c>
      <c r="N11" s="6" t="s">
        <v>4582</v>
      </c>
      <c r="O11" s="6" t="s">
        <v>4854</v>
      </c>
      <c r="P11" s="6" t="s">
        <v>4855</v>
      </c>
      <c r="Q11" s="6" t="s">
        <v>4856</v>
      </c>
      <c r="R11" s="5" t="s">
        <v>162</v>
      </c>
      <c r="S11" s="6" t="s">
        <v>163</v>
      </c>
      <c r="T11" s="5" t="s">
        <v>162</v>
      </c>
      <c r="U11" s="5" t="s">
        <v>228</v>
      </c>
      <c r="V11" s="6" t="s">
        <v>4857</v>
      </c>
      <c r="W11" s="6" t="s">
        <v>166</v>
      </c>
      <c r="X11" s="6" t="s">
        <v>4586</v>
      </c>
      <c r="Y11" s="6" t="n">
        <f aca="false">IF(EB11&lt;&gt;"Y","",COUNTIFS($EB$2:$EB$1000,"Y",$J$2:$J$1000,"&gt;"&amp;J11)+COUNTIFS($EB$2:$EB$1000,"Y",$J$2:$J$1000,J11,$ED$2:$ED$1000,"&lt;"&amp;ED11)+1)</f>
        <v>8</v>
      </c>
      <c r="Z11" s="0" t="n">
        <v>10</v>
      </c>
      <c r="AA11" s="6" t="s">
        <v>168</v>
      </c>
      <c r="AB11" s="6" t="s">
        <v>4858</v>
      </c>
      <c r="AC11" s="6" t="s">
        <v>4588</v>
      </c>
      <c r="AD11" s="6" t="s">
        <v>171</v>
      </c>
      <c r="AE11" s="6" t="s">
        <v>1190</v>
      </c>
      <c r="AF11" s="6" t="s">
        <v>4859</v>
      </c>
      <c r="AG11" s="6" t="s">
        <v>174</v>
      </c>
      <c r="AH11" s="6" t="s">
        <v>4860</v>
      </c>
      <c r="AI11" s="6" t="s">
        <v>4665</v>
      </c>
      <c r="AJ11" s="6" t="s">
        <v>4861</v>
      </c>
      <c r="AK11" s="6" t="s">
        <v>4862</v>
      </c>
      <c r="AL11" s="6" t="s">
        <v>168</v>
      </c>
      <c r="AM11" s="6" t="s">
        <v>4863</v>
      </c>
      <c r="AN11" s="6" t="s">
        <v>4849</v>
      </c>
      <c r="AO11" s="5" t="s">
        <v>162</v>
      </c>
      <c r="AR11" s="0" t="str">
        <f aca="false">IF(AND(AU11="pass",AO11&lt;&gt;"Y",C11&lt;&gt;""),"Y","N")</f>
        <v>Y</v>
      </c>
      <c r="AS11" s="0" t="str">
        <f aca="false">_xlfn.TEXTJOIN("; ",TRUE(),IF(AU11&lt;&gt;"pass","gated out",""),IF(AO11="Y","on hold: "&amp;AP11,""),IF(C11="","no contact named on an opened page",""))</f>
        <v/>
      </c>
      <c r="AU11" s="6" t="s">
        <v>181</v>
      </c>
      <c r="AW11" s="6" t="s">
        <v>182</v>
      </c>
      <c r="AX11" s="6" t="s">
        <v>4595</v>
      </c>
      <c r="AY11" s="6" t="s">
        <v>4862</v>
      </c>
      <c r="AZ11" s="6" t="s">
        <v>4596</v>
      </c>
      <c r="BA11" s="6" t="s">
        <v>4597</v>
      </c>
      <c r="BB11" s="6" t="s">
        <v>163</v>
      </c>
      <c r="BD11" s="6" t="s">
        <v>168</v>
      </c>
      <c r="BE11" s="6" t="s">
        <v>4864</v>
      </c>
      <c r="BF11" s="6" t="s">
        <v>168</v>
      </c>
      <c r="BG11" s="6" t="s">
        <v>168</v>
      </c>
      <c r="BH11" s="6" t="s">
        <v>163</v>
      </c>
      <c r="BJ11" s="6" t="s">
        <v>163</v>
      </c>
      <c r="BK11" s="6" t="s">
        <v>162</v>
      </c>
      <c r="BL11" s="6" t="s">
        <v>162</v>
      </c>
      <c r="BN11" s="0" t="n">
        <v>0</v>
      </c>
      <c r="BO11" s="6" t="s">
        <v>168</v>
      </c>
      <c r="BP11" s="0" t="n">
        <v>3</v>
      </c>
      <c r="BQ11" s="6" t="s">
        <v>4670</v>
      </c>
      <c r="BR11" s="6" t="s">
        <v>4671</v>
      </c>
      <c r="BS11" s="6" t="s">
        <v>4865</v>
      </c>
      <c r="BT11" s="6" t="s">
        <v>4866</v>
      </c>
      <c r="BU11" s="6" t="s">
        <v>4695</v>
      </c>
      <c r="BV11" s="0" t="n">
        <v>241</v>
      </c>
      <c r="BX11" s="6" t="s">
        <v>4867</v>
      </c>
      <c r="BY11" s="6" t="s">
        <v>4868</v>
      </c>
      <c r="CA11" s="6" t="s">
        <v>4869</v>
      </c>
      <c r="CB11" s="6" t="s">
        <v>4870</v>
      </c>
      <c r="CC11" s="6" t="s">
        <v>4871</v>
      </c>
      <c r="CD11" s="6" t="s">
        <v>4872</v>
      </c>
      <c r="CE11" s="6" t="s">
        <v>4613</v>
      </c>
      <c r="CF11" s="6" t="s">
        <v>171</v>
      </c>
      <c r="CG11" s="6" t="s">
        <v>4873</v>
      </c>
      <c r="CK11" s="6" t="s">
        <v>158</v>
      </c>
      <c r="CL11" s="0" t="n">
        <v>70</v>
      </c>
      <c r="CM11" s="0" t="n">
        <v>25</v>
      </c>
      <c r="CN11" s="0" t="n">
        <v>20</v>
      </c>
      <c r="CO11" s="0" t="n">
        <v>4</v>
      </c>
      <c r="CP11" s="0" t="n">
        <v>5</v>
      </c>
      <c r="CQ11" s="0" t="n">
        <v>10</v>
      </c>
      <c r="CR11" s="0" t="n">
        <v>10</v>
      </c>
      <c r="CS11" s="6" t="n">
        <f aca="false">IF(R11="Y",10,0)</f>
        <v>0</v>
      </c>
      <c r="CT11" s="0" t="n">
        <v>-4</v>
      </c>
      <c r="CU11" s="6" t="s">
        <v>4874</v>
      </c>
      <c r="CV11" s="6" t="s">
        <v>4616</v>
      </c>
      <c r="CW11" s="6" t="s">
        <v>4875</v>
      </c>
      <c r="CX11" s="6" t="s">
        <v>4876</v>
      </c>
      <c r="CY11" s="6" t="s">
        <v>4877</v>
      </c>
      <c r="CZ11" s="6" t="s">
        <v>4878</v>
      </c>
      <c r="DA11" s="6" t="s">
        <v>4621</v>
      </c>
      <c r="DC11" s="6" t="s">
        <v>231</v>
      </c>
      <c r="DD11" s="6" t="s">
        <v>4768</v>
      </c>
      <c r="DY11" s="0" t="str">
        <f aca="false">IF(ISNUMBER(MATCH(U11,{"queued","contacted","replied","call_booked","call_done","yes_in_principle","materials_sent"},0)),"Y","N")</f>
        <v>N</v>
      </c>
      <c r="DZ11" s="0" t="str">
        <f aca="false">IF(COUNTIFS($AN$2:$AN$1000,AN11,$DY$2:$DY$1000,"Y")+COUNTIFS($AN$2:$AN$1000,AN11,$T$2:$T$1000,"Y")&gt;0,"Y","N")</f>
        <v>N</v>
      </c>
      <c r="EA11" s="0" t="str">
        <f aca="false">IF(AND(U11="new",T11="N",AR11="Y",AQ11="",DZ11="N"),"Y","N")</f>
        <v>Y</v>
      </c>
      <c r="EB11" s="0" t="str">
        <f aca="false">IF(EA11&lt;&gt;"Y","N",IF(COUNTIFS($AN$2:$AN$1000,AN11,$EA$2:$EA$1000,"Y",$J$2:$J$1000,"&gt;"&amp;J11)+COUNTIFS($AN$2:$AN$1000,AN11,$EA$2:$EA$1000,"Y",$J$2:$J$1000,J11,$ED$2:$ED$1000,"&lt;"&amp;ED11)=0,"Y","N"))</f>
        <v>Y</v>
      </c>
      <c r="EC11" s="0" t="str">
        <f aca="false">IF(Y11="","N",IF(Y11&lt;=10,"Y","N"))</f>
        <v>Y</v>
      </c>
      <c r="ED11" s="6" t="n">
        <f aca="false">ROW()-1</f>
        <v>10</v>
      </c>
    </row>
    <row r="12" customFormat="false" ht="15" hidden="false" customHeight="false" outlineLevel="0" collapsed="false">
      <c r="A12" s="0" t="s">
        <v>4879</v>
      </c>
      <c r="B12" s="0" t="s">
        <v>4880</v>
      </c>
      <c r="C12" s="0" t="s">
        <v>747</v>
      </c>
      <c r="D12" s="0" t="s">
        <v>4881</v>
      </c>
      <c r="E12" s="0" t="s">
        <v>4657</v>
      </c>
      <c r="F12" s="0" t="s">
        <v>4882</v>
      </c>
      <c r="H12" s="5" t="s">
        <v>158</v>
      </c>
      <c r="I12" s="5" t="s">
        <v>159</v>
      </c>
      <c r="J12" s="6" t="n">
        <f aca="false">IF(AU12="pass",CM12+CN12+CO12+CP12+CQ12+CR12+CS12+CT12,0)</f>
        <v>69</v>
      </c>
      <c r="K12" s="6" t="s">
        <v>4883</v>
      </c>
      <c r="M12" s="6" t="s">
        <v>4581</v>
      </c>
      <c r="N12" s="6" t="s">
        <v>4582</v>
      </c>
      <c r="O12" s="6" t="s">
        <v>4884</v>
      </c>
      <c r="P12" s="6" t="s">
        <v>4885</v>
      </c>
      <c r="Q12" s="6" t="s">
        <v>4886</v>
      </c>
      <c r="R12" s="5" t="s">
        <v>162</v>
      </c>
      <c r="S12" s="6" t="s">
        <v>168</v>
      </c>
      <c r="T12" s="5" t="s">
        <v>162</v>
      </c>
      <c r="U12" s="5" t="s">
        <v>228</v>
      </c>
      <c r="V12" s="6" t="s">
        <v>4887</v>
      </c>
      <c r="W12" s="6" t="s">
        <v>166</v>
      </c>
      <c r="X12" s="6" t="s">
        <v>4586</v>
      </c>
      <c r="Y12" s="6" t="n">
        <f aca="false">IF(EB12&lt;&gt;"Y","",COUNTIFS($EB$2:$EB$1000,"Y",$J$2:$J$1000,"&gt;"&amp;J12)+COUNTIFS($EB$2:$EB$1000,"Y",$J$2:$J$1000,J12,$ED$2:$ED$1000,"&lt;"&amp;ED12)+1)</f>
        <v>9</v>
      </c>
      <c r="Z12" s="0" t="n">
        <v>11</v>
      </c>
      <c r="AA12" s="6" t="s">
        <v>168</v>
      </c>
      <c r="AB12" s="6" t="s">
        <v>4888</v>
      </c>
      <c r="AC12" s="6" t="s">
        <v>4588</v>
      </c>
      <c r="AD12" s="6" t="s">
        <v>171</v>
      </c>
      <c r="AE12" s="6" t="s">
        <v>1190</v>
      </c>
      <c r="AF12" s="6" t="s">
        <v>4889</v>
      </c>
      <c r="AG12" s="6" t="s">
        <v>174</v>
      </c>
      <c r="AH12" s="6" t="s">
        <v>4890</v>
      </c>
      <c r="AI12" s="6" t="s">
        <v>4665</v>
      </c>
      <c r="AJ12" s="6" t="s">
        <v>192</v>
      </c>
      <c r="AK12" s="6" t="s">
        <v>4891</v>
      </c>
      <c r="AL12" s="6" t="s">
        <v>168</v>
      </c>
      <c r="AM12" s="6" t="s">
        <v>4892</v>
      </c>
      <c r="AN12" s="6" t="s">
        <v>4879</v>
      </c>
      <c r="AO12" s="5" t="s">
        <v>162</v>
      </c>
      <c r="AR12" s="0" t="str">
        <f aca="false">IF(AND(AU12="pass",AO12&lt;&gt;"Y",C12&lt;&gt;""),"Y","N")</f>
        <v>Y</v>
      </c>
      <c r="AS12" s="0" t="str">
        <f aca="false">_xlfn.TEXTJOIN("; ",TRUE(),IF(AU12&lt;&gt;"pass","gated out",""),IF(AO12="Y","on hold: "&amp;AP12,""),IF(C12="","no contact named on an opened page",""))</f>
        <v/>
      </c>
      <c r="AU12" s="6" t="s">
        <v>181</v>
      </c>
      <c r="AW12" s="6" t="s">
        <v>182</v>
      </c>
      <c r="AX12" s="6" t="s">
        <v>4893</v>
      </c>
      <c r="AY12" s="6" t="s">
        <v>4891</v>
      </c>
      <c r="AZ12" s="6" t="s">
        <v>4596</v>
      </c>
      <c r="BA12" s="6" t="s">
        <v>4597</v>
      </c>
      <c r="BB12" s="6" t="s">
        <v>4894</v>
      </c>
      <c r="BD12" s="6" t="s">
        <v>264</v>
      </c>
      <c r="BE12" s="6" t="s">
        <v>4895</v>
      </c>
      <c r="BF12" s="6" t="s">
        <v>168</v>
      </c>
      <c r="BG12" s="6" t="s">
        <v>168</v>
      </c>
      <c r="BH12" s="6" t="s">
        <v>163</v>
      </c>
      <c r="BJ12" s="6" t="s">
        <v>163</v>
      </c>
      <c r="BK12" s="6" t="s">
        <v>168</v>
      </c>
      <c r="BL12" s="6" t="s">
        <v>162</v>
      </c>
      <c r="BN12" s="0" t="n">
        <v>0</v>
      </c>
      <c r="BO12" s="6" t="s">
        <v>168</v>
      </c>
      <c r="BP12" s="0" t="n">
        <v>3</v>
      </c>
      <c r="BQ12" s="6" t="s">
        <v>4670</v>
      </c>
      <c r="BS12" s="6" t="s">
        <v>4896</v>
      </c>
      <c r="BT12" s="6" t="s">
        <v>4897</v>
      </c>
      <c r="BU12" s="6" t="s">
        <v>4605</v>
      </c>
      <c r="BV12" s="0" t="n">
        <v>163</v>
      </c>
      <c r="BW12" s="6" t="s">
        <v>4898</v>
      </c>
      <c r="BX12" s="6" t="s">
        <v>4899</v>
      </c>
      <c r="BY12" s="6" t="s">
        <v>4900</v>
      </c>
      <c r="BZ12" s="6" t="s">
        <v>4608</v>
      </c>
      <c r="CA12" s="6" t="s">
        <v>4901</v>
      </c>
      <c r="CE12" s="6" t="s">
        <v>4613</v>
      </c>
      <c r="CF12" s="6" t="s">
        <v>598</v>
      </c>
      <c r="CG12" s="6" t="s">
        <v>4902</v>
      </c>
      <c r="CK12" s="6" t="s">
        <v>158</v>
      </c>
      <c r="CL12" s="0" t="n">
        <v>69</v>
      </c>
      <c r="CM12" s="0" t="n">
        <v>25</v>
      </c>
      <c r="CN12" s="0" t="n">
        <v>20</v>
      </c>
      <c r="CO12" s="0" t="n">
        <v>15</v>
      </c>
      <c r="CP12" s="0" t="n">
        <v>5</v>
      </c>
      <c r="CQ12" s="0" t="n">
        <v>8</v>
      </c>
      <c r="CR12" s="0" t="n">
        <v>8</v>
      </c>
      <c r="CS12" s="6" t="n">
        <f aca="false">IF(R12="Y",10,0)</f>
        <v>0</v>
      </c>
      <c r="CT12" s="0" t="n">
        <v>-12</v>
      </c>
      <c r="CU12" s="6" t="s">
        <v>4903</v>
      </c>
      <c r="CV12" s="6" t="s">
        <v>4704</v>
      </c>
      <c r="CW12" s="6" t="s">
        <v>4904</v>
      </c>
      <c r="CX12" s="6" t="s">
        <v>4905</v>
      </c>
      <c r="CY12" s="6" t="s">
        <v>4906</v>
      </c>
      <c r="CZ12" s="6" t="s">
        <v>4907</v>
      </c>
      <c r="DA12" s="6" t="s">
        <v>4621</v>
      </c>
      <c r="DC12" s="6" t="s">
        <v>599</v>
      </c>
      <c r="DY12" s="0" t="str">
        <f aca="false">IF(ISNUMBER(MATCH(U12,{"queued","contacted","replied","call_booked","call_done","yes_in_principle","materials_sent"},0)),"Y","N")</f>
        <v>N</v>
      </c>
      <c r="DZ12" s="0" t="str">
        <f aca="false">IF(COUNTIFS($AN$2:$AN$1000,AN12,$DY$2:$DY$1000,"Y")+COUNTIFS($AN$2:$AN$1000,AN12,$T$2:$T$1000,"Y")&gt;0,"Y","N")</f>
        <v>N</v>
      </c>
      <c r="EA12" s="0" t="str">
        <f aca="false">IF(AND(U12="new",T12="N",AR12="Y",AQ12="",DZ12="N"),"Y","N")</f>
        <v>Y</v>
      </c>
      <c r="EB12" s="0" t="str">
        <f aca="false">IF(EA12&lt;&gt;"Y","N",IF(COUNTIFS($AN$2:$AN$1000,AN12,$EA$2:$EA$1000,"Y",$J$2:$J$1000,"&gt;"&amp;J12)+COUNTIFS($AN$2:$AN$1000,AN12,$EA$2:$EA$1000,"Y",$J$2:$J$1000,J12,$ED$2:$ED$1000,"&lt;"&amp;ED12)=0,"Y","N"))</f>
        <v>Y</v>
      </c>
      <c r="EC12" s="0" t="str">
        <f aca="false">IF(Y12="","N",IF(Y12&lt;=10,"Y","N"))</f>
        <v>Y</v>
      </c>
      <c r="ED12" s="6" t="n">
        <f aca="false">ROW()-1</f>
        <v>11</v>
      </c>
    </row>
    <row r="13" customFormat="false" ht="15" hidden="false" customHeight="false" outlineLevel="0" collapsed="false">
      <c r="A13" s="0" t="s">
        <v>4908</v>
      </c>
      <c r="B13" s="0" t="s">
        <v>4909</v>
      </c>
      <c r="C13" s="0" t="s">
        <v>4910</v>
      </c>
      <c r="D13" s="0" t="s">
        <v>4911</v>
      </c>
      <c r="E13" s="0" t="s">
        <v>4912</v>
      </c>
      <c r="F13" s="0" t="s">
        <v>4913</v>
      </c>
      <c r="H13" s="5" t="s">
        <v>158</v>
      </c>
      <c r="I13" s="5" t="s">
        <v>159</v>
      </c>
      <c r="J13" s="6" t="n">
        <f aca="false">IF(AU13="pass",CM13+CN13+CO13+CP13+CQ13+CR13+CS13+CT13,0)</f>
        <v>68</v>
      </c>
      <c r="K13" s="6" t="s">
        <v>4914</v>
      </c>
      <c r="M13" s="6" t="s">
        <v>4581</v>
      </c>
      <c r="N13" s="6" t="s">
        <v>4582</v>
      </c>
      <c r="O13" s="6" t="s">
        <v>4915</v>
      </c>
      <c r="P13" s="6" t="s">
        <v>4916</v>
      </c>
      <c r="Q13" s="6" t="s">
        <v>4120</v>
      </c>
      <c r="R13" s="5" t="s">
        <v>162</v>
      </c>
      <c r="S13" s="6" t="s">
        <v>163</v>
      </c>
      <c r="T13" s="5" t="s">
        <v>162</v>
      </c>
      <c r="U13" s="5" t="s">
        <v>228</v>
      </c>
      <c r="V13" s="6" t="s">
        <v>4917</v>
      </c>
      <c r="W13" s="6" t="s">
        <v>166</v>
      </c>
      <c r="X13" s="6" t="s">
        <v>4586</v>
      </c>
      <c r="Y13" s="0" t="str">
        <f aca="false">IF(EB13&lt;&gt;"Y","",COUNTIFS($EB$2:$EB$1000,"Y",$J$2:$J$1000,"&gt;"&amp;J13)+COUNTIFS($EB$2:$EB$1000,"Y",$J$2:$J$1000,J13,$ED$2:$ED$1000,"&lt;"&amp;ED13)+1)</f>
        <v/>
      </c>
      <c r="Z13" s="0" t="n">
        <v>12</v>
      </c>
      <c r="AA13" s="6" t="s">
        <v>168</v>
      </c>
      <c r="AB13" s="6" t="s">
        <v>4918</v>
      </c>
      <c r="AC13" s="6" t="s">
        <v>4588</v>
      </c>
      <c r="AD13" s="6" t="s">
        <v>171</v>
      </c>
      <c r="AE13" s="6" t="s">
        <v>172</v>
      </c>
      <c r="AF13" s="6" t="s">
        <v>4919</v>
      </c>
      <c r="AG13" s="6" t="s">
        <v>174</v>
      </c>
      <c r="AH13" s="6" t="s">
        <v>4920</v>
      </c>
      <c r="AI13" s="6" t="s">
        <v>4634</v>
      </c>
      <c r="AJ13" s="6" t="s">
        <v>4921</v>
      </c>
      <c r="AK13" s="6" t="s">
        <v>4917</v>
      </c>
      <c r="AL13" s="6" t="s">
        <v>168</v>
      </c>
      <c r="AM13" s="6" t="s">
        <v>4922</v>
      </c>
      <c r="AN13" s="6" t="s">
        <v>4923</v>
      </c>
      <c r="AO13" s="5" t="s">
        <v>162</v>
      </c>
      <c r="AR13" s="0" t="str">
        <f aca="false">IF(AND(AU13="pass",AO13&lt;&gt;"Y",C13&lt;&gt;""),"Y","N")</f>
        <v>Y</v>
      </c>
      <c r="AS13" s="0" t="str">
        <f aca="false">_xlfn.TEXTJOIN("; ",TRUE(),IF(AU13&lt;&gt;"pass","gated out",""),IF(AO13="Y","on hold: "&amp;AP13,""),IF(C13="","no contact named on an opened page",""))</f>
        <v/>
      </c>
      <c r="AU13" s="6" t="s">
        <v>181</v>
      </c>
      <c r="AW13" s="6" t="s">
        <v>182</v>
      </c>
      <c r="AY13" s="6" t="s">
        <v>4917</v>
      </c>
      <c r="AZ13" s="6" t="s">
        <v>4924</v>
      </c>
      <c r="BA13" s="6" t="s">
        <v>4925</v>
      </c>
      <c r="BB13" s="6" t="s">
        <v>4926</v>
      </c>
      <c r="BD13" s="6" t="s">
        <v>168</v>
      </c>
      <c r="BE13" s="6" t="s">
        <v>4927</v>
      </c>
      <c r="BF13" s="6" t="s">
        <v>168</v>
      </c>
      <c r="BG13" s="6" t="s">
        <v>162</v>
      </c>
      <c r="BH13" s="6" t="s">
        <v>163</v>
      </c>
      <c r="BJ13" s="6" t="s">
        <v>163</v>
      </c>
      <c r="BK13" s="6" t="s">
        <v>162</v>
      </c>
      <c r="BL13" s="6" t="s">
        <v>162</v>
      </c>
      <c r="BN13" s="0" t="n">
        <v>0</v>
      </c>
      <c r="BO13" s="6" t="s">
        <v>168</v>
      </c>
      <c r="BP13" s="0" t="n">
        <v>3</v>
      </c>
      <c r="BQ13" s="6" t="s">
        <v>4670</v>
      </c>
      <c r="BS13" s="6" t="s">
        <v>4928</v>
      </c>
      <c r="BT13" s="6" t="s">
        <v>4929</v>
      </c>
      <c r="BU13" s="6" t="s">
        <v>4605</v>
      </c>
      <c r="BV13" s="0" t="n">
        <v>80</v>
      </c>
      <c r="BX13" s="6" t="s">
        <v>4930</v>
      </c>
      <c r="BY13" s="6" t="s">
        <v>4931</v>
      </c>
      <c r="BZ13" s="6" t="s">
        <v>4608</v>
      </c>
      <c r="CA13" s="6" t="s">
        <v>4932</v>
      </c>
      <c r="CE13" s="6" t="s">
        <v>4613</v>
      </c>
      <c r="CF13" s="6" t="s">
        <v>598</v>
      </c>
      <c r="CG13" s="6" t="s">
        <v>4933</v>
      </c>
      <c r="CI13" s="6" t="s">
        <v>4934</v>
      </c>
      <c r="CK13" s="6" t="s">
        <v>158</v>
      </c>
      <c r="CL13" s="0" t="n">
        <v>68</v>
      </c>
      <c r="CM13" s="0" t="n">
        <v>25</v>
      </c>
      <c r="CN13" s="0" t="n">
        <v>8</v>
      </c>
      <c r="CO13" s="0" t="n">
        <v>15</v>
      </c>
      <c r="CP13" s="0" t="n">
        <v>5</v>
      </c>
      <c r="CQ13" s="0" t="n">
        <v>7</v>
      </c>
      <c r="CR13" s="0" t="n">
        <v>8</v>
      </c>
      <c r="CS13" s="6" t="n">
        <f aca="false">IF(R13="Y",10,0)</f>
        <v>0</v>
      </c>
      <c r="CT13" s="0" t="n">
        <v>0</v>
      </c>
      <c r="CU13" s="6" t="s">
        <v>163</v>
      </c>
      <c r="CV13" s="6" t="s">
        <v>4843</v>
      </c>
      <c r="CW13" s="6" t="s">
        <v>4935</v>
      </c>
      <c r="CX13" s="6" t="s">
        <v>4936</v>
      </c>
      <c r="CY13" s="6" t="s">
        <v>4937</v>
      </c>
      <c r="DA13" s="6" t="s">
        <v>4621</v>
      </c>
      <c r="DC13" s="6" t="s">
        <v>599</v>
      </c>
      <c r="DE13" s="6" t="s">
        <v>4938</v>
      </c>
      <c r="DF13" s="6" t="s">
        <v>4939</v>
      </c>
      <c r="DY13" s="0" t="str">
        <f aca="false">IF(ISNUMBER(MATCH(U13,{"queued","contacted","replied","call_booked","call_done","yes_in_principle","materials_sent"},0)),"Y","N")</f>
        <v>N</v>
      </c>
      <c r="DZ13" s="0" t="str">
        <f aca="false">IF(COUNTIFS($AN$2:$AN$1000,AN13,$DY$2:$DY$1000,"Y")+COUNTIFS($AN$2:$AN$1000,AN13,$T$2:$T$1000,"Y")&gt;0,"Y","N")</f>
        <v>Y</v>
      </c>
      <c r="EA13" s="0" t="str">
        <f aca="false">IF(AND(U13="new",T13="N",AR13="Y",AQ13="",DZ13="N"),"Y","N")</f>
        <v>N</v>
      </c>
      <c r="EB13" s="0" t="str">
        <f aca="false">IF(EA13&lt;&gt;"Y","N",IF(COUNTIFS($AN$2:$AN$1000,AN13,$EA$2:$EA$1000,"Y",$J$2:$J$1000,"&gt;"&amp;J13)+COUNTIFS($AN$2:$AN$1000,AN13,$EA$2:$EA$1000,"Y",$J$2:$J$1000,J13,$ED$2:$ED$1000,"&lt;"&amp;ED13)=0,"Y","N"))</f>
        <v>N</v>
      </c>
      <c r="EC13" s="0" t="str">
        <f aca="false">IF(Y13="","N",IF(Y13&lt;=10,"Y","N"))</f>
        <v>N</v>
      </c>
      <c r="ED13" s="6" t="n">
        <f aca="false">ROW()-1</f>
        <v>12</v>
      </c>
    </row>
    <row r="14" customFormat="false" ht="15" hidden="false" customHeight="false" outlineLevel="0" collapsed="false">
      <c r="A14" s="0" t="s">
        <v>4940</v>
      </c>
      <c r="B14" s="0" t="s">
        <v>4941</v>
      </c>
      <c r="C14" s="0" t="s">
        <v>4942</v>
      </c>
      <c r="D14" s="0" t="s">
        <v>4943</v>
      </c>
      <c r="E14" s="0" t="s">
        <v>4626</v>
      </c>
      <c r="H14" s="5" t="s">
        <v>158</v>
      </c>
      <c r="I14" s="5" t="s">
        <v>159</v>
      </c>
      <c r="J14" s="6" t="n">
        <f aca="false">IF(AU14="pass",CM14+CN14+CO14+CP14+CQ14+CR14+CS14+CT14,0)</f>
        <v>67</v>
      </c>
      <c r="K14" s="6" t="s">
        <v>4944</v>
      </c>
      <c r="M14" s="6" t="s">
        <v>4581</v>
      </c>
      <c r="N14" s="6" t="s">
        <v>4582</v>
      </c>
      <c r="O14" s="6" t="s">
        <v>4945</v>
      </c>
      <c r="P14" s="6" t="s">
        <v>4946</v>
      </c>
      <c r="Q14" s="6" t="s">
        <v>2651</v>
      </c>
      <c r="R14" s="5" t="s">
        <v>162</v>
      </c>
      <c r="S14" s="6" t="s">
        <v>163</v>
      </c>
      <c r="T14" s="5" t="s">
        <v>162</v>
      </c>
      <c r="U14" s="5" t="s">
        <v>228</v>
      </c>
      <c r="V14" s="6" t="s">
        <v>4947</v>
      </c>
      <c r="W14" s="6" t="s">
        <v>166</v>
      </c>
      <c r="X14" s="6" t="s">
        <v>4586</v>
      </c>
      <c r="Y14" s="6" t="n">
        <f aca="false">IF(EB14&lt;&gt;"Y","",COUNTIFS($EB$2:$EB$1000,"Y",$J$2:$J$1000,"&gt;"&amp;J14)+COUNTIFS($EB$2:$EB$1000,"Y",$J$2:$J$1000,J14,$ED$2:$ED$1000,"&lt;"&amp;ED14)+1)</f>
        <v>10</v>
      </c>
      <c r="Z14" s="0" t="n">
        <v>13</v>
      </c>
      <c r="AA14" s="6" t="s">
        <v>168</v>
      </c>
      <c r="AB14" s="6" t="s">
        <v>4948</v>
      </c>
      <c r="AC14" s="6" t="s">
        <v>4588</v>
      </c>
      <c r="AD14" s="6" t="s">
        <v>171</v>
      </c>
      <c r="AE14" s="6" t="s">
        <v>1190</v>
      </c>
      <c r="AF14" s="6" t="s">
        <v>4949</v>
      </c>
      <c r="AG14" s="6" t="s">
        <v>174</v>
      </c>
      <c r="AH14" s="6" t="s">
        <v>4950</v>
      </c>
      <c r="AI14" s="6" t="s">
        <v>4828</v>
      </c>
      <c r="AJ14" s="6" t="s">
        <v>4951</v>
      </c>
      <c r="AK14" s="6" t="s">
        <v>4952</v>
      </c>
      <c r="AL14" s="6" t="s">
        <v>162</v>
      </c>
      <c r="AN14" s="6" t="s">
        <v>4940</v>
      </c>
      <c r="AO14" s="5" t="s">
        <v>162</v>
      </c>
      <c r="AR14" s="0" t="str">
        <f aca="false">IF(AND(AU14="pass",AO14&lt;&gt;"Y",C14&lt;&gt;""),"Y","N")</f>
        <v>Y</v>
      </c>
      <c r="AS14" s="0" t="str">
        <f aca="false">_xlfn.TEXTJOIN("; ",TRUE(),IF(AU14&lt;&gt;"pass","gated out",""),IF(AO14="Y","on hold: "&amp;AP14,""),IF(C14="","no contact named on an opened page",""))</f>
        <v/>
      </c>
      <c r="AU14" s="6" t="s">
        <v>181</v>
      </c>
      <c r="AW14" s="6" t="s">
        <v>182</v>
      </c>
      <c r="AY14" s="6" t="s">
        <v>4952</v>
      </c>
      <c r="AZ14" s="6" t="s">
        <v>4596</v>
      </c>
      <c r="BA14" s="6" t="s">
        <v>4953</v>
      </c>
      <c r="BB14" s="6" t="s">
        <v>4954</v>
      </c>
      <c r="BC14" s="6" t="s">
        <v>4947</v>
      </c>
      <c r="BD14" s="6" t="s">
        <v>168</v>
      </c>
      <c r="BE14" s="6" t="s">
        <v>4955</v>
      </c>
      <c r="BF14" s="6" t="s">
        <v>168</v>
      </c>
      <c r="BG14" s="6" t="s">
        <v>168</v>
      </c>
      <c r="BH14" s="6" t="s">
        <v>163</v>
      </c>
      <c r="BJ14" s="6" t="s">
        <v>163</v>
      </c>
      <c r="BK14" s="6" t="s">
        <v>162</v>
      </c>
      <c r="BL14" s="6" t="s">
        <v>162</v>
      </c>
      <c r="BN14" s="0" t="n">
        <v>0</v>
      </c>
      <c r="BO14" s="6" t="s">
        <v>168</v>
      </c>
      <c r="BP14" s="0" t="n">
        <v>6</v>
      </c>
      <c r="BQ14" s="6" t="s">
        <v>4956</v>
      </c>
      <c r="BR14" s="6" t="s">
        <v>4957</v>
      </c>
      <c r="BS14" s="6" t="s">
        <v>4958</v>
      </c>
      <c r="BT14" s="6" t="s">
        <v>4959</v>
      </c>
      <c r="BU14" s="6" t="s">
        <v>4695</v>
      </c>
      <c r="BV14" s="0" t="n">
        <v>95</v>
      </c>
      <c r="BX14" s="6" t="s">
        <v>4960</v>
      </c>
      <c r="BY14" s="6" t="s">
        <v>4961</v>
      </c>
      <c r="CA14" s="6" t="s">
        <v>4962</v>
      </c>
      <c r="CB14" s="6" t="s">
        <v>1048</v>
      </c>
      <c r="CC14" s="6" t="s">
        <v>4943</v>
      </c>
      <c r="CD14" s="6" t="s">
        <v>4626</v>
      </c>
      <c r="CE14" s="6" t="s">
        <v>4810</v>
      </c>
      <c r="CF14" s="6" t="s">
        <v>171</v>
      </c>
      <c r="CG14" s="6" t="s">
        <v>4963</v>
      </c>
      <c r="CK14" s="6" t="s">
        <v>158</v>
      </c>
      <c r="CL14" s="0" t="n">
        <v>67</v>
      </c>
      <c r="CM14" s="0" t="n">
        <v>25</v>
      </c>
      <c r="CN14" s="0" t="n">
        <v>13</v>
      </c>
      <c r="CO14" s="0" t="n">
        <v>8</v>
      </c>
      <c r="CP14" s="0" t="n">
        <v>5</v>
      </c>
      <c r="CQ14" s="0" t="n">
        <v>10</v>
      </c>
      <c r="CR14" s="0" t="n">
        <v>6</v>
      </c>
      <c r="CS14" s="6" t="n">
        <f aca="false">IF(R14="Y",10,0)</f>
        <v>0</v>
      </c>
      <c r="CT14" s="0" t="n">
        <v>0</v>
      </c>
      <c r="CU14" s="6" t="s">
        <v>4964</v>
      </c>
      <c r="CV14" s="6" t="s">
        <v>4616</v>
      </c>
      <c r="CW14" s="6" t="s">
        <v>4965</v>
      </c>
      <c r="CX14" s="6" t="s">
        <v>4966</v>
      </c>
      <c r="CY14" s="6" t="s">
        <v>4967</v>
      </c>
      <c r="CZ14" s="6" t="s">
        <v>4949</v>
      </c>
      <c r="DA14" s="6" t="s">
        <v>4621</v>
      </c>
      <c r="DC14" s="6" t="s">
        <v>1190</v>
      </c>
      <c r="DY14" s="0" t="str">
        <f aca="false">IF(ISNUMBER(MATCH(U14,{"queued","contacted","replied","call_booked","call_done","yes_in_principle","materials_sent"},0)),"Y","N")</f>
        <v>N</v>
      </c>
      <c r="DZ14" s="0" t="str">
        <f aca="false">IF(COUNTIFS($AN$2:$AN$1000,AN14,$DY$2:$DY$1000,"Y")+COUNTIFS($AN$2:$AN$1000,AN14,$T$2:$T$1000,"Y")&gt;0,"Y","N")</f>
        <v>N</v>
      </c>
      <c r="EA14" s="0" t="str">
        <f aca="false">IF(AND(U14="new",T14="N",AR14="Y",AQ14="",DZ14="N"),"Y","N")</f>
        <v>Y</v>
      </c>
      <c r="EB14" s="0" t="str">
        <f aca="false">IF(EA14&lt;&gt;"Y","N",IF(COUNTIFS($AN$2:$AN$1000,AN14,$EA$2:$EA$1000,"Y",$J$2:$J$1000,"&gt;"&amp;J14)+COUNTIFS($AN$2:$AN$1000,AN14,$EA$2:$EA$1000,"Y",$J$2:$J$1000,J14,$ED$2:$ED$1000,"&lt;"&amp;ED14)=0,"Y","N"))</f>
        <v>Y</v>
      </c>
      <c r="EC14" s="0" t="str">
        <f aca="false">IF(Y14="","N",IF(Y14&lt;=10,"Y","N"))</f>
        <v>Y</v>
      </c>
      <c r="ED14" s="6" t="n">
        <f aca="false">ROW()-1</f>
        <v>13</v>
      </c>
    </row>
    <row r="15" customFormat="false" ht="15" hidden="false" customHeight="false" outlineLevel="0" collapsed="false">
      <c r="A15" s="0" t="s">
        <v>4968</v>
      </c>
      <c r="B15" s="0" t="s">
        <v>4969</v>
      </c>
      <c r="H15" s="5" t="s">
        <v>158</v>
      </c>
      <c r="I15" s="5"/>
      <c r="J15" s="6" t="n">
        <f aca="false">IF(AU15="pass",CM15+CN15+CO15+CP15+CQ15+CR15+CS15+CT15,0)</f>
        <v>66</v>
      </c>
      <c r="K15" s="6" t="s">
        <v>4970</v>
      </c>
      <c r="M15" s="6" t="s">
        <v>4581</v>
      </c>
      <c r="N15" s="6" t="s">
        <v>4582</v>
      </c>
      <c r="O15" s="6" t="s">
        <v>4971</v>
      </c>
      <c r="P15" s="6" t="s">
        <v>4972</v>
      </c>
      <c r="Q15" s="6" t="s">
        <v>4973</v>
      </c>
      <c r="R15" s="5" t="s">
        <v>162</v>
      </c>
      <c r="S15" s="6" t="s">
        <v>163</v>
      </c>
      <c r="T15" s="5" t="s">
        <v>162</v>
      </c>
      <c r="U15" s="5" t="s">
        <v>228</v>
      </c>
      <c r="V15" s="6" t="s">
        <v>4974</v>
      </c>
      <c r="W15" s="6" t="s">
        <v>166</v>
      </c>
      <c r="X15" s="6" t="s">
        <v>4586</v>
      </c>
      <c r="Y15" s="0" t="str">
        <f aca="false">IF(EB15&lt;&gt;"Y","",COUNTIFS($EB$2:$EB$1000,"Y",$J$2:$J$1000,"&gt;"&amp;J15)+COUNTIFS($EB$2:$EB$1000,"Y",$J$2:$J$1000,J15,$ED$2:$ED$1000,"&lt;"&amp;ED15)+1)</f>
        <v/>
      </c>
      <c r="Z15" s="0" t="n">
        <v>14</v>
      </c>
      <c r="AA15" s="6" t="s">
        <v>168</v>
      </c>
      <c r="AB15" s="6" t="s">
        <v>4975</v>
      </c>
      <c r="AD15" s="6" t="s">
        <v>158</v>
      </c>
      <c r="AH15" s="6" t="s">
        <v>4976</v>
      </c>
      <c r="AI15" s="6" t="s">
        <v>4977</v>
      </c>
      <c r="AJ15" s="6" t="s">
        <v>4978</v>
      </c>
      <c r="AK15" s="6" t="s">
        <v>4979</v>
      </c>
      <c r="AL15" s="6" t="s">
        <v>168</v>
      </c>
      <c r="AM15" s="6" t="s">
        <v>4980</v>
      </c>
      <c r="AN15" s="6" t="s">
        <v>4968</v>
      </c>
      <c r="AO15" s="5" t="s">
        <v>162</v>
      </c>
      <c r="AR15" s="0" t="str">
        <f aca="false">IF(AND(AU15="pass",AO15&lt;&gt;"Y",C15&lt;&gt;""),"Y","N")</f>
        <v>N</v>
      </c>
      <c r="AS15" s="0" t="str">
        <f aca="false">_xlfn.TEXTJOIN("; ",TRUE(),IF(AU15&lt;&gt;"pass","gated out",""),IF(AO15="Y","on hold: "&amp;AP15,""),IF(C15="","no contact named on an opened page",""))</f>
        <v>no contact named on an opened page</v>
      </c>
      <c r="AU15" s="6" t="s">
        <v>181</v>
      </c>
      <c r="AW15" s="6" t="s">
        <v>182</v>
      </c>
      <c r="AX15" s="6" t="s">
        <v>283</v>
      </c>
      <c r="AY15" s="6" t="s">
        <v>4979</v>
      </c>
      <c r="AZ15" s="6" t="s">
        <v>4596</v>
      </c>
      <c r="BA15" s="6" t="s">
        <v>4597</v>
      </c>
      <c r="BB15" s="6" t="s">
        <v>163</v>
      </c>
      <c r="BD15" s="6" t="s">
        <v>168</v>
      </c>
      <c r="BE15" s="6" t="s">
        <v>4981</v>
      </c>
      <c r="BF15" s="6" t="s">
        <v>168</v>
      </c>
      <c r="BG15" s="6" t="s">
        <v>168</v>
      </c>
      <c r="BH15" s="6" t="s">
        <v>163</v>
      </c>
      <c r="BJ15" s="6" t="s">
        <v>163</v>
      </c>
      <c r="BK15" s="6" t="s">
        <v>162</v>
      </c>
      <c r="BL15" s="6" t="s">
        <v>162</v>
      </c>
      <c r="BN15" s="0" t="n">
        <v>0</v>
      </c>
      <c r="BO15" s="6" t="s">
        <v>168</v>
      </c>
      <c r="BP15" s="0" t="n">
        <v>1</v>
      </c>
      <c r="BQ15" s="6" t="s">
        <v>4982</v>
      </c>
      <c r="BR15" s="6" t="s">
        <v>4671</v>
      </c>
      <c r="BS15" s="6" t="s">
        <v>4983</v>
      </c>
      <c r="BT15" s="6" t="s">
        <v>4984</v>
      </c>
      <c r="BU15" s="6" t="s">
        <v>4695</v>
      </c>
      <c r="BV15" s="0" t="n">
        <v>18</v>
      </c>
      <c r="CF15" s="6" t="s">
        <v>158</v>
      </c>
      <c r="CK15" s="6" t="s">
        <v>158</v>
      </c>
      <c r="CL15" s="0" t="n">
        <v>66</v>
      </c>
      <c r="CM15" s="0" t="n">
        <v>25</v>
      </c>
      <c r="CN15" s="0" t="n">
        <v>20</v>
      </c>
      <c r="CO15" s="0" t="n">
        <v>8</v>
      </c>
      <c r="CP15" s="0" t="n">
        <v>5</v>
      </c>
      <c r="CQ15" s="0" t="n">
        <v>10</v>
      </c>
      <c r="CR15" s="0" t="n">
        <v>0</v>
      </c>
      <c r="CS15" s="6" t="n">
        <f aca="false">IF(R15="Y",10,0)</f>
        <v>0</v>
      </c>
      <c r="CT15" s="0" t="n">
        <v>-2</v>
      </c>
      <c r="CV15" s="6" t="s">
        <v>4616</v>
      </c>
      <c r="CW15" s="6" t="s">
        <v>4985</v>
      </c>
      <c r="CX15" s="6" t="s">
        <v>4986</v>
      </c>
      <c r="CY15" s="6" t="s">
        <v>4987</v>
      </c>
      <c r="DA15" s="6" t="s">
        <v>4621</v>
      </c>
      <c r="DY15" s="0" t="str">
        <f aca="false">IF(ISNUMBER(MATCH(U15,{"queued","contacted","replied","call_booked","call_done","yes_in_principle","materials_sent"},0)),"Y","N")</f>
        <v>N</v>
      </c>
      <c r="DZ15" s="0" t="str">
        <f aca="false">IF(COUNTIFS($AN$2:$AN$1000,AN15,$DY$2:$DY$1000,"Y")+COUNTIFS($AN$2:$AN$1000,AN15,$T$2:$T$1000,"Y")&gt;0,"Y","N")</f>
        <v>N</v>
      </c>
      <c r="EA15" s="0" t="str">
        <f aca="false">IF(AND(U15="new",T15="N",AR15="Y",AQ15="",DZ15="N"),"Y","N")</f>
        <v>N</v>
      </c>
      <c r="EB15" s="0" t="str">
        <f aca="false">IF(EA15&lt;&gt;"Y","N",IF(COUNTIFS($AN$2:$AN$1000,AN15,$EA$2:$EA$1000,"Y",$J$2:$J$1000,"&gt;"&amp;J15)+COUNTIFS($AN$2:$AN$1000,AN15,$EA$2:$EA$1000,"Y",$J$2:$J$1000,J15,$ED$2:$ED$1000,"&lt;"&amp;ED15)=0,"Y","N"))</f>
        <v>N</v>
      </c>
      <c r="EC15" s="0" t="str">
        <f aca="false">IF(Y15="","N",IF(Y15&lt;=10,"Y","N"))</f>
        <v>N</v>
      </c>
      <c r="ED15" s="6" t="n">
        <f aca="false">ROW()-1</f>
        <v>14</v>
      </c>
    </row>
    <row r="16" customFormat="false" ht="15" hidden="false" customHeight="false" outlineLevel="0" collapsed="false">
      <c r="A16" s="0" t="s">
        <v>4988</v>
      </c>
      <c r="B16" s="0" t="s">
        <v>4989</v>
      </c>
      <c r="C16" s="0" t="s">
        <v>4990</v>
      </c>
      <c r="D16" s="0" t="s">
        <v>4991</v>
      </c>
      <c r="E16" s="0" t="s">
        <v>4773</v>
      </c>
      <c r="H16" s="5" t="s">
        <v>158</v>
      </c>
      <c r="I16" s="5" t="s">
        <v>159</v>
      </c>
      <c r="J16" s="6" t="n">
        <f aca="false">IF(AU16="pass",CM16+CN16+CO16+CP16+CQ16+CR16+CS16+CT16,0)</f>
        <v>65</v>
      </c>
      <c r="K16" s="6" t="s">
        <v>4992</v>
      </c>
      <c r="M16" s="6" t="s">
        <v>4581</v>
      </c>
      <c r="N16" s="6" t="s">
        <v>4582</v>
      </c>
      <c r="O16" s="6" t="s">
        <v>4993</v>
      </c>
      <c r="P16" s="6" t="s">
        <v>4994</v>
      </c>
      <c r="Q16" s="6" t="s">
        <v>4995</v>
      </c>
      <c r="R16" s="5" t="s">
        <v>162</v>
      </c>
      <c r="S16" s="6" t="s">
        <v>163</v>
      </c>
      <c r="T16" s="5" t="s">
        <v>162</v>
      </c>
      <c r="U16" s="5" t="s">
        <v>228</v>
      </c>
      <c r="V16" s="6" t="s">
        <v>4996</v>
      </c>
      <c r="W16" s="6" t="s">
        <v>166</v>
      </c>
      <c r="X16" s="6" t="s">
        <v>4586</v>
      </c>
      <c r="Y16" s="6" t="n">
        <f aca="false">IF(EB16&lt;&gt;"Y","",COUNTIFS($EB$2:$EB$1000,"Y",$J$2:$J$1000,"&gt;"&amp;J16)+COUNTIFS($EB$2:$EB$1000,"Y",$J$2:$J$1000,J16,$ED$2:$ED$1000,"&lt;"&amp;ED16)+1)</f>
        <v>11</v>
      </c>
      <c r="Z16" s="0" t="n">
        <v>15</v>
      </c>
      <c r="AA16" s="6" t="s">
        <v>168</v>
      </c>
      <c r="AB16" s="6" t="s">
        <v>4997</v>
      </c>
      <c r="AC16" s="6" t="s">
        <v>4588</v>
      </c>
      <c r="AD16" s="6" t="s">
        <v>171</v>
      </c>
      <c r="AE16" s="6" t="s">
        <v>172</v>
      </c>
      <c r="AF16" s="6" t="s">
        <v>4996</v>
      </c>
      <c r="AG16" s="6" t="s">
        <v>174</v>
      </c>
      <c r="AH16" s="6" t="s">
        <v>4998</v>
      </c>
      <c r="AI16" s="6" t="s">
        <v>4665</v>
      </c>
      <c r="AJ16" s="6" t="s">
        <v>4999</v>
      </c>
      <c r="AK16" s="6" t="s">
        <v>5000</v>
      </c>
      <c r="AL16" s="6" t="s">
        <v>168</v>
      </c>
      <c r="AM16" s="6" t="s">
        <v>4691</v>
      </c>
      <c r="AN16" s="6" t="s">
        <v>4988</v>
      </c>
      <c r="AO16" s="5" t="s">
        <v>162</v>
      </c>
      <c r="AR16" s="0" t="str">
        <f aca="false">IF(AND(AU16="pass",AO16&lt;&gt;"Y",C16&lt;&gt;""),"Y","N")</f>
        <v>Y</v>
      </c>
      <c r="AS16" s="0" t="str">
        <f aca="false">_xlfn.TEXTJOIN("; ",TRUE(),IF(AU16&lt;&gt;"pass","gated out",""),IF(AO16="Y","on hold: "&amp;AP16,""),IF(C16="","no contact named on an opened page",""))</f>
        <v/>
      </c>
      <c r="AU16" s="6" t="s">
        <v>181</v>
      </c>
      <c r="AW16" s="6" t="s">
        <v>182</v>
      </c>
      <c r="AY16" s="6" t="s">
        <v>5000</v>
      </c>
      <c r="AZ16" s="6" t="s">
        <v>4596</v>
      </c>
      <c r="BA16" s="6" t="s">
        <v>4953</v>
      </c>
      <c r="BB16" s="6" t="s">
        <v>163</v>
      </c>
      <c r="BD16" s="6" t="s">
        <v>264</v>
      </c>
      <c r="BE16" s="6" t="s">
        <v>5001</v>
      </c>
      <c r="BF16" s="6" t="s">
        <v>168</v>
      </c>
      <c r="BG16" s="6" t="s">
        <v>168</v>
      </c>
      <c r="BH16" s="6" t="s">
        <v>163</v>
      </c>
      <c r="BJ16" s="6" t="s">
        <v>163</v>
      </c>
      <c r="BK16" s="6" t="s">
        <v>162</v>
      </c>
      <c r="BL16" s="6" t="s">
        <v>162</v>
      </c>
      <c r="BN16" s="0" t="n">
        <v>0</v>
      </c>
      <c r="BO16" s="6" t="s">
        <v>168</v>
      </c>
      <c r="BP16" s="0" t="n">
        <v>3</v>
      </c>
      <c r="BQ16" s="6" t="s">
        <v>5002</v>
      </c>
      <c r="BR16" s="6" t="s">
        <v>5003</v>
      </c>
      <c r="BS16" s="6" t="s">
        <v>5004</v>
      </c>
      <c r="BT16" s="6" t="s">
        <v>5005</v>
      </c>
      <c r="BU16" s="6" t="s">
        <v>4605</v>
      </c>
      <c r="BV16" s="0" t="n">
        <v>242</v>
      </c>
      <c r="BX16" s="6" t="s">
        <v>5006</v>
      </c>
      <c r="BY16" s="6" t="s">
        <v>5007</v>
      </c>
      <c r="CA16" s="6" t="s">
        <v>5008</v>
      </c>
      <c r="CB16" s="6" t="s">
        <v>5008</v>
      </c>
      <c r="CC16" s="6" t="s">
        <v>163</v>
      </c>
      <c r="CD16" s="6" t="s">
        <v>5009</v>
      </c>
      <c r="CE16" s="6" t="s">
        <v>4810</v>
      </c>
      <c r="CF16" s="6" t="s">
        <v>5010</v>
      </c>
      <c r="CG16" s="6" t="s">
        <v>5011</v>
      </c>
      <c r="CK16" s="6" t="s">
        <v>158</v>
      </c>
      <c r="CL16" s="0" t="n">
        <v>65</v>
      </c>
      <c r="CM16" s="0" t="n">
        <v>25</v>
      </c>
      <c r="CN16" s="0" t="n">
        <v>13</v>
      </c>
      <c r="CO16" s="0" t="n">
        <v>8</v>
      </c>
      <c r="CP16" s="0" t="n">
        <v>5</v>
      </c>
      <c r="CQ16" s="0" t="n">
        <v>8</v>
      </c>
      <c r="CR16" s="0" t="n">
        <v>6</v>
      </c>
      <c r="CS16" s="6" t="n">
        <f aca="false">IF(R16="Y",10,0)</f>
        <v>0</v>
      </c>
      <c r="CT16" s="0" t="n">
        <v>0</v>
      </c>
      <c r="CU16" s="6" t="s">
        <v>5012</v>
      </c>
      <c r="CV16" s="6" t="s">
        <v>4704</v>
      </c>
      <c r="CW16" s="6" t="s">
        <v>5013</v>
      </c>
      <c r="CX16" s="6" t="s">
        <v>5014</v>
      </c>
      <c r="CY16" s="6" t="s">
        <v>5015</v>
      </c>
      <c r="CZ16" s="6" t="s">
        <v>4994</v>
      </c>
      <c r="DA16" s="6" t="s">
        <v>4621</v>
      </c>
      <c r="DB16" s="6" t="s">
        <v>4995</v>
      </c>
      <c r="DC16" s="6" t="s">
        <v>1190</v>
      </c>
      <c r="DY16" s="0" t="str">
        <f aca="false">IF(ISNUMBER(MATCH(U16,{"queued","contacted","replied","call_booked","call_done","yes_in_principle","materials_sent"},0)),"Y","N")</f>
        <v>N</v>
      </c>
      <c r="DZ16" s="0" t="str">
        <f aca="false">IF(COUNTIFS($AN$2:$AN$1000,AN16,$DY$2:$DY$1000,"Y")+COUNTIFS($AN$2:$AN$1000,AN16,$T$2:$T$1000,"Y")&gt;0,"Y","N")</f>
        <v>N</v>
      </c>
      <c r="EA16" s="0" t="str">
        <f aca="false">IF(AND(U16="new",T16="N",AR16="Y",AQ16="",DZ16="N"),"Y","N")</f>
        <v>Y</v>
      </c>
      <c r="EB16" s="0" t="str">
        <f aca="false">IF(EA16&lt;&gt;"Y","N",IF(COUNTIFS($AN$2:$AN$1000,AN16,$EA$2:$EA$1000,"Y",$J$2:$J$1000,"&gt;"&amp;J16)+COUNTIFS($AN$2:$AN$1000,AN16,$EA$2:$EA$1000,"Y",$J$2:$J$1000,J16,$ED$2:$ED$1000,"&lt;"&amp;ED16)=0,"Y","N"))</f>
        <v>Y</v>
      </c>
      <c r="EC16" s="0" t="str">
        <f aca="false">IF(Y16="","N",IF(Y16&lt;=10,"Y","N"))</f>
        <v>N</v>
      </c>
      <c r="ED16" s="6" t="n">
        <f aca="false">ROW()-1</f>
        <v>15</v>
      </c>
    </row>
    <row r="17" customFormat="false" ht="15" hidden="false" customHeight="false" outlineLevel="0" collapsed="false">
      <c r="A17" s="0" t="s">
        <v>5016</v>
      </c>
      <c r="B17" s="0" t="s">
        <v>5017</v>
      </c>
      <c r="C17" s="0" t="s">
        <v>5018</v>
      </c>
      <c r="D17" s="0" t="s">
        <v>5019</v>
      </c>
      <c r="E17" s="0" t="s">
        <v>4773</v>
      </c>
      <c r="F17" s="0" t="s">
        <v>5020</v>
      </c>
      <c r="H17" s="5" t="s">
        <v>158</v>
      </c>
      <c r="I17" s="5" t="s">
        <v>159</v>
      </c>
      <c r="J17" s="6" t="n">
        <f aca="false">IF(AU17="pass",CM17+CN17+CO17+CP17+CQ17+CR17+CS17+CT17,0)</f>
        <v>65</v>
      </c>
      <c r="K17" s="6" t="s">
        <v>5021</v>
      </c>
      <c r="M17" s="6" t="s">
        <v>5022</v>
      </c>
      <c r="N17" s="6" t="s">
        <v>5023</v>
      </c>
      <c r="O17" s="6" t="s">
        <v>5024</v>
      </c>
      <c r="P17" s="6" t="s">
        <v>5025</v>
      </c>
      <c r="Q17" s="6" t="s">
        <v>5026</v>
      </c>
      <c r="R17" s="5" t="s">
        <v>162</v>
      </c>
      <c r="S17" s="6" t="s">
        <v>168</v>
      </c>
      <c r="T17" s="5" t="s">
        <v>162</v>
      </c>
      <c r="U17" s="5" t="s">
        <v>228</v>
      </c>
      <c r="V17" s="6" t="s">
        <v>5027</v>
      </c>
      <c r="W17" s="6" t="s">
        <v>166</v>
      </c>
      <c r="X17" s="6" t="s">
        <v>4586</v>
      </c>
      <c r="Y17" s="6" t="n">
        <f aca="false">IF(EB17&lt;&gt;"Y","",COUNTIFS($EB$2:$EB$1000,"Y",$J$2:$J$1000,"&gt;"&amp;J17)+COUNTIFS($EB$2:$EB$1000,"Y",$J$2:$J$1000,J17,$ED$2:$ED$1000,"&lt;"&amp;ED17)+1)</f>
        <v>12</v>
      </c>
      <c r="Z17" s="0" t="n">
        <v>16</v>
      </c>
      <c r="AA17" s="6" t="s">
        <v>168</v>
      </c>
      <c r="AB17" s="6" t="s">
        <v>5028</v>
      </c>
      <c r="AC17" s="6" t="s">
        <v>4588</v>
      </c>
      <c r="AD17" s="6" t="s">
        <v>171</v>
      </c>
      <c r="AE17" s="6" t="s">
        <v>1190</v>
      </c>
      <c r="AF17" s="6" t="s">
        <v>5025</v>
      </c>
      <c r="AG17" s="6" t="s">
        <v>174</v>
      </c>
      <c r="AH17" s="6" t="s">
        <v>5029</v>
      </c>
      <c r="AI17" s="6" t="s">
        <v>5030</v>
      </c>
      <c r="AJ17" s="6" t="s">
        <v>5031</v>
      </c>
      <c r="AK17" s="6" t="s">
        <v>5032</v>
      </c>
      <c r="AL17" s="6" t="s">
        <v>168</v>
      </c>
      <c r="AM17" s="6" t="s">
        <v>5033</v>
      </c>
      <c r="AN17" s="6" t="s">
        <v>5016</v>
      </c>
      <c r="AO17" s="5" t="s">
        <v>162</v>
      </c>
      <c r="AR17" s="0" t="str">
        <f aca="false">IF(AND(AU17="pass",AO17&lt;&gt;"Y",C17&lt;&gt;""),"Y","N")</f>
        <v>Y</v>
      </c>
      <c r="AS17" s="0" t="str">
        <f aca="false">_xlfn.TEXTJOIN("; ",TRUE(),IF(AU17&lt;&gt;"pass","gated out",""),IF(AO17="Y","on hold: "&amp;AP17,""),IF(C17="","no contact named on an opened page",""))</f>
        <v/>
      </c>
      <c r="AU17" s="6" t="s">
        <v>181</v>
      </c>
      <c r="AW17" s="6" t="s">
        <v>182</v>
      </c>
      <c r="AX17" s="6" t="s">
        <v>4595</v>
      </c>
      <c r="AY17" s="6" t="s">
        <v>5032</v>
      </c>
      <c r="AZ17" s="6" t="s">
        <v>4596</v>
      </c>
      <c r="BA17" s="6" t="s">
        <v>4597</v>
      </c>
      <c r="BB17" s="6" t="s">
        <v>5034</v>
      </c>
      <c r="BC17" s="6" t="s">
        <v>5025</v>
      </c>
      <c r="BD17" s="6" t="s">
        <v>168</v>
      </c>
      <c r="BE17" s="6" t="s">
        <v>5035</v>
      </c>
      <c r="BF17" s="6" t="s">
        <v>168</v>
      </c>
      <c r="BG17" s="6" t="s">
        <v>168</v>
      </c>
      <c r="BH17" s="6" t="s">
        <v>163</v>
      </c>
      <c r="BJ17" s="6" t="s">
        <v>5036</v>
      </c>
      <c r="BK17" s="6" t="s">
        <v>162</v>
      </c>
      <c r="BL17" s="6" t="s">
        <v>162</v>
      </c>
      <c r="BN17" s="0" t="n">
        <v>1</v>
      </c>
      <c r="BO17" s="6" t="s">
        <v>162</v>
      </c>
      <c r="BP17" s="0" t="n">
        <v>8</v>
      </c>
      <c r="BQ17" s="6" t="s">
        <v>5037</v>
      </c>
      <c r="BR17" s="6" t="s">
        <v>5038</v>
      </c>
      <c r="BS17" s="6" t="s">
        <v>5039</v>
      </c>
      <c r="BT17" s="6" t="s">
        <v>5040</v>
      </c>
      <c r="BU17" s="6" t="s">
        <v>4605</v>
      </c>
      <c r="BV17" s="0" t="n">
        <v>158</v>
      </c>
      <c r="BW17" s="6" t="s">
        <v>5025</v>
      </c>
      <c r="BX17" s="6" t="s">
        <v>5041</v>
      </c>
      <c r="BY17" s="6" t="s">
        <v>5042</v>
      </c>
      <c r="BZ17" s="6" t="s">
        <v>4608</v>
      </c>
      <c r="CF17" s="6" t="s">
        <v>158</v>
      </c>
      <c r="CK17" s="6" t="s">
        <v>158</v>
      </c>
      <c r="CL17" s="0" t="n">
        <v>65</v>
      </c>
      <c r="CM17" s="0" t="n">
        <v>13</v>
      </c>
      <c r="CN17" s="0" t="n">
        <v>20</v>
      </c>
      <c r="CO17" s="0" t="n">
        <v>15</v>
      </c>
      <c r="CP17" s="0" t="n">
        <v>5</v>
      </c>
      <c r="CQ17" s="0" t="n">
        <v>10</v>
      </c>
      <c r="CR17" s="0" t="n">
        <v>6</v>
      </c>
      <c r="CS17" s="6" t="n">
        <f aca="false">IF(R17="Y",10,0)</f>
        <v>0</v>
      </c>
      <c r="CT17" s="0" t="n">
        <v>-4</v>
      </c>
      <c r="CV17" s="6" t="s">
        <v>4616</v>
      </c>
      <c r="CW17" s="6" t="s">
        <v>5043</v>
      </c>
      <c r="CX17" s="6" t="s">
        <v>5044</v>
      </c>
      <c r="CY17" s="6" t="s">
        <v>5045</v>
      </c>
      <c r="DA17" s="6" t="s">
        <v>4621</v>
      </c>
      <c r="DY17" s="0" t="str">
        <f aca="false">IF(ISNUMBER(MATCH(U17,{"queued","contacted","replied","call_booked","call_done","yes_in_principle","materials_sent"},0)),"Y","N")</f>
        <v>N</v>
      </c>
      <c r="DZ17" s="0" t="str">
        <f aca="false">IF(COUNTIFS($AN$2:$AN$1000,AN17,$DY$2:$DY$1000,"Y")+COUNTIFS($AN$2:$AN$1000,AN17,$T$2:$T$1000,"Y")&gt;0,"Y","N")</f>
        <v>N</v>
      </c>
      <c r="EA17" s="0" t="str">
        <f aca="false">IF(AND(U17="new",T17="N",AR17="Y",AQ17="",DZ17="N"),"Y","N")</f>
        <v>Y</v>
      </c>
      <c r="EB17" s="0" t="str">
        <f aca="false">IF(EA17&lt;&gt;"Y","N",IF(COUNTIFS($AN$2:$AN$1000,AN17,$EA$2:$EA$1000,"Y",$J$2:$J$1000,"&gt;"&amp;J17)+COUNTIFS($AN$2:$AN$1000,AN17,$EA$2:$EA$1000,"Y",$J$2:$J$1000,J17,$ED$2:$ED$1000,"&lt;"&amp;ED17)=0,"Y","N"))</f>
        <v>Y</v>
      </c>
      <c r="EC17" s="0" t="str">
        <f aca="false">IF(Y17="","N",IF(Y17&lt;=10,"Y","N"))</f>
        <v>N</v>
      </c>
      <c r="ED17" s="6" t="n">
        <f aca="false">ROW()-1</f>
        <v>16</v>
      </c>
    </row>
    <row r="18" customFormat="false" ht="15" hidden="false" customHeight="false" outlineLevel="0" collapsed="false">
      <c r="A18" s="0" t="s">
        <v>5046</v>
      </c>
      <c r="B18" s="0" t="s">
        <v>5047</v>
      </c>
      <c r="C18" s="0" t="s">
        <v>5048</v>
      </c>
      <c r="D18" s="0" t="s">
        <v>5049</v>
      </c>
      <c r="E18" s="0" t="s">
        <v>4773</v>
      </c>
      <c r="H18" s="5" t="s">
        <v>158</v>
      </c>
      <c r="I18" s="5" t="s">
        <v>159</v>
      </c>
      <c r="J18" s="6" t="n">
        <f aca="false">IF(AU18="pass",CM18+CN18+CO18+CP18+CQ18+CR18+CS18+CT18,0)</f>
        <v>64</v>
      </c>
      <c r="K18" s="6" t="s">
        <v>5050</v>
      </c>
      <c r="M18" s="6" t="s">
        <v>4581</v>
      </c>
      <c r="N18" s="6" t="s">
        <v>4582</v>
      </c>
      <c r="O18" s="6" t="s">
        <v>5051</v>
      </c>
      <c r="P18" s="6" t="s">
        <v>5052</v>
      </c>
      <c r="Q18" s="6" t="s">
        <v>549</v>
      </c>
      <c r="R18" s="5" t="s">
        <v>162</v>
      </c>
      <c r="S18" s="6" t="s">
        <v>163</v>
      </c>
      <c r="T18" s="5" t="s">
        <v>162</v>
      </c>
      <c r="U18" s="5" t="s">
        <v>228</v>
      </c>
      <c r="V18" s="6" t="s">
        <v>5053</v>
      </c>
      <c r="W18" s="6" t="s">
        <v>166</v>
      </c>
      <c r="X18" s="6" t="s">
        <v>4586</v>
      </c>
      <c r="Y18" s="6" t="n">
        <f aca="false">IF(EB18&lt;&gt;"Y","",COUNTIFS($EB$2:$EB$1000,"Y",$J$2:$J$1000,"&gt;"&amp;J18)+COUNTIFS($EB$2:$EB$1000,"Y",$J$2:$J$1000,J18,$ED$2:$ED$1000,"&lt;"&amp;ED18)+1)</f>
        <v>14</v>
      </c>
      <c r="Z18" s="0" t="n">
        <v>17</v>
      </c>
      <c r="AA18" s="6" t="s">
        <v>168</v>
      </c>
      <c r="AB18" s="6" t="s">
        <v>5054</v>
      </c>
      <c r="AC18" s="6" t="s">
        <v>4588</v>
      </c>
      <c r="AD18" s="6" t="s">
        <v>171</v>
      </c>
      <c r="AE18" s="6" t="s">
        <v>172</v>
      </c>
      <c r="AF18" s="6" t="s">
        <v>5055</v>
      </c>
      <c r="AG18" s="6" t="s">
        <v>174</v>
      </c>
      <c r="AH18" s="6" t="s">
        <v>5056</v>
      </c>
      <c r="AI18" s="6" t="s">
        <v>4634</v>
      </c>
      <c r="AJ18" s="6" t="s">
        <v>5057</v>
      </c>
      <c r="AK18" s="6" t="s">
        <v>5058</v>
      </c>
      <c r="AL18" s="6" t="s">
        <v>162</v>
      </c>
      <c r="AN18" s="6" t="s">
        <v>5046</v>
      </c>
      <c r="AO18" s="5" t="s">
        <v>162</v>
      </c>
      <c r="AR18" s="0" t="str">
        <f aca="false">IF(AND(AU18="pass",AO18&lt;&gt;"Y",C18&lt;&gt;""),"Y","N")</f>
        <v>Y</v>
      </c>
      <c r="AS18" s="0" t="str">
        <f aca="false">_xlfn.TEXTJOIN("; ",TRUE(),IF(AU18&lt;&gt;"pass","gated out",""),IF(AO18="Y","on hold: "&amp;AP18,""),IF(C18="","no contact named on an opened page",""))</f>
        <v/>
      </c>
      <c r="AU18" s="6" t="s">
        <v>181</v>
      </c>
      <c r="AW18" s="6" t="s">
        <v>182</v>
      </c>
      <c r="AY18" s="6" t="s">
        <v>5058</v>
      </c>
      <c r="AZ18" s="6" t="s">
        <v>5059</v>
      </c>
      <c r="BA18" s="6" t="s">
        <v>5060</v>
      </c>
      <c r="BB18" s="6" t="s">
        <v>163</v>
      </c>
      <c r="BD18" s="6" t="s">
        <v>168</v>
      </c>
      <c r="BE18" s="6" t="s">
        <v>5061</v>
      </c>
      <c r="BF18" s="6" t="s">
        <v>168</v>
      </c>
      <c r="BG18" s="6" t="s">
        <v>168</v>
      </c>
      <c r="BH18" s="6" t="s">
        <v>163</v>
      </c>
      <c r="BJ18" s="6" t="s">
        <v>163</v>
      </c>
      <c r="BK18" s="6" t="s">
        <v>162</v>
      </c>
      <c r="BL18" s="6" t="s">
        <v>162</v>
      </c>
      <c r="BN18" s="0" t="n">
        <v>0</v>
      </c>
      <c r="BO18" s="6" t="s">
        <v>168</v>
      </c>
      <c r="BP18" s="0" t="n">
        <v>2</v>
      </c>
      <c r="BQ18" s="6" t="s">
        <v>4783</v>
      </c>
      <c r="BS18" s="6" t="s">
        <v>5062</v>
      </c>
      <c r="BT18" s="6" t="s">
        <v>5063</v>
      </c>
      <c r="BU18" s="6" t="s">
        <v>4605</v>
      </c>
      <c r="BV18" s="0" t="n">
        <v>116</v>
      </c>
      <c r="BX18" s="6" t="s">
        <v>5064</v>
      </c>
      <c r="BY18" s="6" t="s">
        <v>5065</v>
      </c>
      <c r="CF18" s="6" t="s">
        <v>158</v>
      </c>
      <c r="CK18" s="6" t="s">
        <v>158</v>
      </c>
      <c r="CL18" s="0" t="n">
        <v>64</v>
      </c>
      <c r="CM18" s="0" t="n">
        <v>25</v>
      </c>
      <c r="CN18" s="0" t="n">
        <v>3</v>
      </c>
      <c r="CO18" s="0" t="n">
        <v>15</v>
      </c>
      <c r="CP18" s="0" t="n">
        <v>5</v>
      </c>
      <c r="CQ18" s="0" t="n">
        <v>10</v>
      </c>
      <c r="CR18" s="0" t="n">
        <v>6</v>
      </c>
      <c r="CS18" s="6" t="n">
        <f aca="false">IF(R18="Y",10,0)</f>
        <v>0</v>
      </c>
      <c r="CT18" s="0" t="n">
        <v>0</v>
      </c>
      <c r="CU18" s="6" t="s">
        <v>5066</v>
      </c>
      <c r="CV18" s="6" t="s">
        <v>4843</v>
      </c>
      <c r="CW18" s="6" t="s">
        <v>5067</v>
      </c>
      <c r="CX18" s="6" t="s">
        <v>5068</v>
      </c>
      <c r="CY18" s="6" t="s">
        <v>5069</v>
      </c>
      <c r="DA18" s="6" t="s">
        <v>4621</v>
      </c>
      <c r="DY18" s="0" t="str">
        <f aca="false">IF(ISNUMBER(MATCH(U18,{"queued","contacted","replied","call_booked","call_done","yes_in_principle","materials_sent"},0)),"Y","N")</f>
        <v>N</v>
      </c>
      <c r="DZ18" s="0" t="str">
        <f aca="false">IF(COUNTIFS($AN$2:$AN$1000,AN18,$DY$2:$DY$1000,"Y")+COUNTIFS($AN$2:$AN$1000,AN18,$T$2:$T$1000,"Y")&gt;0,"Y","N")</f>
        <v>N</v>
      </c>
      <c r="EA18" s="0" t="str">
        <f aca="false">IF(AND(U18="new",T18="N",AR18="Y",AQ18="",DZ18="N"),"Y","N")</f>
        <v>Y</v>
      </c>
      <c r="EB18" s="0" t="str">
        <f aca="false">IF(EA18&lt;&gt;"Y","N",IF(COUNTIFS($AN$2:$AN$1000,AN18,$EA$2:$EA$1000,"Y",$J$2:$J$1000,"&gt;"&amp;J18)+COUNTIFS($AN$2:$AN$1000,AN18,$EA$2:$EA$1000,"Y",$J$2:$J$1000,J18,$ED$2:$ED$1000,"&lt;"&amp;ED18)=0,"Y","N"))</f>
        <v>Y</v>
      </c>
      <c r="EC18" s="0" t="str">
        <f aca="false">IF(Y18="","N",IF(Y18&lt;=10,"Y","N"))</f>
        <v>N</v>
      </c>
      <c r="ED18" s="6" t="n">
        <f aca="false">ROW()-1</f>
        <v>17</v>
      </c>
    </row>
    <row r="19" customFormat="false" ht="15" hidden="false" customHeight="false" outlineLevel="0" collapsed="false">
      <c r="A19" s="0" t="s">
        <v>5070</v>
      </c>
      <c r="B19" s="0" t="s">
        <v>5071</v>
      </c>
      <c r="C19" s="0" t="s">
        <v>5072</v>
      </c>
      <c r="D19" s="0" t="s">
        <v>5073</v>
      </c>
      <c r="E19" s="0" t="s">
        <v>4912</v>
      </c>
      <c r="H19" s="5" t="s">
        <v>158</v>
      </c>
      <c r="I19" s="5" t="s">
        <v>159</v>
      </c>
      <c r="J19" s="6" t="n">
        <f aca="false">IF(AU19="pass",CM19+CN19+CO19+CP19+CQ19+CR19+CS19+CT19,0)</f>
        <v>64</v>
      </c>
      <c r="K19" s="6" t="s">
        <v>5074</v>
      </c>
      <c r="M19" s="6" t="s">
        <v>4581</v>
      </c>
      <c r="N19" s="6" t="s">
        <v>4582</v>
      </c>
      <c r="O19" s="6" t="s">
        <v>5075</v>
      </c>
      <c r="P19" s="6" t="s">
        <v>5076</v>
      </c>
      <c r="Q19" s="6" t="s">
        <v>2941</v>
      </c>
      <c r="R19" s="5" t="s">
        <v>162</v>
      </c>
      <c r="S19" s="6" t="s">
        <v>163</v>
      </c>
      <c r="T19" s="5" t="s">
        <v>162</v>
      </c>
      <c r="U19" s="5" t="s">
        <v>228</v>
      </c>
      <c r="V19" s="6" t="s">
        <v>5077</v>
      </c>
      <c r="W19" s="6" t="s">
        <v>166</v>
      </c>
      <c r="X19" s="6" t="s">
        <v>4586</v>
      </c>
      <c r="Y19" s="6" t="n">
        <f aca="false">IF(EB19&lt;&gt;"Y","",COUNTIFS($EB$2:$EB$1000,"Y",$J$2:$J$1000,"&gt;"&amp;J19)+COUNTIFS($EB$2:$EB$1000,"Y",$J$2:$J$1000,J19,$ED$2:$ED$1000,"&lt;"&amp;ED19)+1)</f>
        <v>15</v>
      </c>
      <c r="Z19" s="0" t="n">
        <v>18</v>
      </c>
      <c r="AA19" s="6" t="s">
        <v>168</v>
      </c>
      <c r="AB19" s="6" t="s">
        <v>5078</v>
      </c>
      <c r="AC19" s="6" t="s">
        <v>4588</v>
      </c>
      <c r="AD19" s="6" t="s">
        <v>171</v>
      </c>
      <c r="AE19" s="6" t="s">
        <v>231</v>
      </c>
      <c r="AF19" s="6" t="s">
        <v>5079</v>
      </c>
      <c r="AG19" s="6" t="s">
        <v>174</v>
      </c>
      <c r="AH19" s="6" t="s">
        <v>5080</v>
      </c>
      <c r="AI19" s="6" t="s">
        <v>5081</v>
      </c>
      <c r="AJ19" s="6" t="s">
        <v>192</v>
      </c>
      <c r="AK19" s="6" t="s">
        <v>5082</v>
      </c>
      <c r="AL19" s="6" t="s">
        <v>168</v>
      </c>
      <c r="AM19" s="6" t="s">
        <v>5083</v>
      </c>
      <c r="AN19" s="6" t="s">
        <v>5070</v>
      </c>
      <c r="AO19" s="5" t="s">
        <v>162</v>
      </c>
      <c r="AR19" s="0" t="str">
        <f aca="false">IF(AND(AU19="pass",AO19&lt;&gt;"Y",C19&lt;&gt;""),"Y","N")</f>
        <v>Y</v>
      </c>
      <c r="AS19" s="0" t="str">
        <f aca="false">_xlfn.TEXTJOIN("; ",TRUE(),IF(AU19&lt;&gt;"pass","gated out",""),IF(AO19="Y","on hold: "&amp;AP19,""),IF(C19="","no contact named on an opened page",""))</f>
        <v/>
      </c>
      <c r="AU19" s="6" t="s">
        <v>181</v>
      </c>
      <c r="AW19" s="6" t="s">
        <v>182</v>
      </c>
      <c r="AX19" s="6" t="s">
        <v>4893</v>
      </c>
      <c r="AY19" s="6" t="s">
        <v>5082</v>
      </c>
      <c r="AZ19" s="6" t="s">
        <v>4596</v>
      </c>
      <c r="BA19" s="6" t="s">
        <v>4597</v>
      </c>
      <c r="BB19" s="6" t="s">
        <v>5084</v>
      </c>
      <c r="BD19" s="6" t="s">
        <v>264</v>
      </c>
      <c r="BE19" s="6" t="s">
        <v>5085</v>
      </c>
      <c r="BF19" s="6" t="s">
        <v>168</v>
      </c>
      <c r="BG19" s="6" t="s">
        <v>168</v>
      </c>
      <c r="BH19" s="6" t="s">
        <v>163</v>
      </c>
      <c r="BJ19" s="6" t="s">
        <v>163</v>
      </c>
      <c r="BK19" s="6" t="s">
        <v>162</v>
      </c>
      <c r="BL19" s="6" t="s">
        <v>162</v>
      </c>
      <c r="BN19" s="0" t="n">
        <v>0</v>
      </c>
      <c r="BO19" s="6" t="s">
        <v>168</v>
      </c>
      <c r="BP19" s="0" t="n">
        <v>3</v>
      </c>
      <c r="BQ19" s="6" t="s">
        <v>4670</v>
      </c>
      <c r="BS19" s="6" t="s">
        <v>5086</v>
      </c>
      <c r="BT19" s="6" t="s">
        <v>5087</v>
      </c>
      <c r="BU19" s="6" t="s">
        <v>4605</v>
      </c>
      <c r="BV19" s="0" t="n">
        <v>233</v>
      </c>
      <c r="BX19" s="6" t="s">
        <v>5088</v>
      </c>
      <c r="BY19" s="6" t="s">
        <v>5089</v>
      </c>
      <c r="CA19" s="6" t="s">
        <v>5090</v>
      </c>
      <c r="CB19" s="6" t="s">
        <v>5091</v>
      </c>
      <c r="CC19" s="6" t="s">
        <v>5092</v>
      </c>
      <c r="CD19" s="6" t="s">
        <v>5093</v>
      </c>
      <c r="CE19" s="6" t="s">
        <v>4613</v>
      </c>
      <c r="CF19" s="6" t="s">
        <v>171</v>
      </c>
      <c r="CG19" s="6" t="s">
        <v>5094</v>
      </c>
      <c r="CK19" s="6" t="s">
        <v>158</v>
      </c>
      <c r="CL19" s="0" t="n">
        <v>64</v>
      </c>
      <c r="CM19" s="0" t="n">
        <v>25</v>
      </c>
      <c r="CN19" s="0" t="n">
        <v>20</v>
      </c>
      <c r="CO19" s="0" t="n">
        <v>8</v>
      </c>
      <c r="CP19" s="0" t="n">
        <v>5</v>
      </c>
      <c r="CQ19" s="0" t="n">
        <v>8</v>
      </c>
      <c r="CR19" s="0" t="n">
        <v>10</v>
      </c>
      <c r="CS19" s="6" t="n">
        <f aca="false">IF(R19="Y",10,0)</f>
        <v>0</v>
      </c>
      <c r="CT19" s="0" t="n">
        <v>-12</v>
      </c>
      <c r="CU19" s="6" t="s">
        <v>5095</v>
      </c>
      <c r="CV19" s="6" t="s">
        <v>4704</v>
      </c>
      <c r="CW19" s="6" t="s">
        <v>5096</v>
      </c>
      <c r="CX19" s="6" t="s">
        <v>5097</v>
      </c>
      <c r="CY19" s="6" t="s">
        <v>5098</v>
      </c>
      <c r="CZ19" s="6" t="s">
        <v>5099</v>
      </c>
      <c r="DA19" s="6" t="s">
        <v>4621</v>
      </c>
      <c r="DC19" s="6" t="s">
        <v>231</v>
      </c>
      <c r="DD19" s="6" t="s">
        <v>5100</v>
      </c>
      <c r="DY19" s="0" t="str">
        <f aca="false">IF(ISNUMBER(MATCH(U19,{"queued","contacted","replied","call_booked","call_done","yes_in_principle","materials_sent"},0)),"Y","N")</f>
        <v>N</v>
      </c>
      <c r="DZ19" s="0" t="str">
        <f aca="false">IF(COUNTIFS($AN$2:$AN$1000,AN19,$DY$2:$DY$1000,"Y")+COUNTIFS($AN$2:$AN$1000,AN19,$T$2:$T$1000,"Y")&gt;0,"Y","N")</f>
        <v>N</v>
      </c>
      <c r="EA19" s="0" t="str">
        <f aca="false">IF(AND(U19="new",T19="N",AR19="Y",AQ19="",DZ19="N"),"Y","N")</f>
        <v>Y</v>
      </c>
      <c r="EB19" s="0" t="str">
        <f aca="false">IF(EA19&lt;&gt;"Y","N",IF(COUNTIFS($AN$2:$AN$1000,AN19,$EA$2:$EA$1000,"Y",$J$2:$J$1000,"&gt;"&amp;J19)+COUNTIFS($AN$2:$AN$1000,AN19,$EA$2:$EA$1000,"Y",$J$2:$J$1000,J19,$ED$2:$ED$1000,"&lt;"&amp;ED19)=0,"Y","N"))</f>
        <v>Y</v>
      </c>
      <c r="EC19" s="0" t="str">
        <f aca="false">IF(Y19="","N",IF(Y19&lt;=10,"Y","N"))</f>
        <v>N</v>
      </c>
      <c r="ED19" s="6" t="n">
        <f aca="false">ROW()-1</f>
        <v>18</v>
      </c>
    </row>
    <row r="20" customFormat="false" ht="15" hidden="false" customHeight="false" outlineLevel="0" collapsed="false">
      <c r="A20" s="0" t="s">
        <v>5101</v>
      </c>
      <c r="B20" s="0" t="s">
        <v>5102</v>
      </c>
      <c r="C20" s="0" t="s">
        <v>5103</v>
      </c>
      <c r="D20" s="0" t="s">
        <v>5104</v>
      </c>
      <c r="E20" s="0" t="s">
        <v>5105</v>
      </c>
      <c r="H20" s="5" t="s">
        <v>158</v>
      </c>
      <c r="I20" s="5" t="s">
        <v>159</v>
      </c>
      <c r="J20" s="6" t="n">
        <f aca="false">IF(AU20="pass",CM20+CN20+CO20+CP20+CQ20+CR20+CS20+CT20,0)</f>
        <v>64</v>
      </c>
      <c r="K20" s="6" t="s">
        <v>5106</v>
      </c>
      <c r="M20" s="6" t="s">
        <v>4581</v>
      </c>
      <c r="N20" s="6" t="s">
        <v>4582</v>
      </c>
      <c r="R20" s="5" t="s">
        <v>162</v>
      </c>
      <c r="S20" s="6" t="s">
        <v>163</v>
      </c>
      <c r="T20" s="5" t="s">
        <v>162</v>
      </c>
      <c r="U20" s="5" t="s">
        <v>228</v>
      </c>
      <c r="V20" s="6" t="s">
        <v>5107</v>
      </c>
      <c r="W20" s="6" t="s">
        <v>166</v>
      </c>
      <c r="X20" s="6" t="s">
        <v>4586</v>
      </c>
      <c r="Y20" s="6" t="n">
        <f aca="false">IF(EB20&lt;&gt;"Y","",COUNTIFS($EB$2:$EB$1000,"Y",$J$2:$J$1000,"&gt;"&amp;J20)+COUNTIFS($EB$2:$EB$1000,"Y",$J$2:$J$1000,J20,$ED$2:$ED$1000,"&lt;"&amp;ED20)+1)</f>
        <v>16</v>
      </c>
      <c r="Z20" s="0" t="n">
        <v>19</v>
      </c>
      <c r="AA20" s="6" t="s">
        <v>168</v>
      </c>
      <c r="AB20" s="6" t="s">
        <v>5108</v>
      </c>
      <c r="AC20" s="6" t="s">
        <v>4588</v>
      </c>
      <c r="AD20" s="6" t="s">
        <v>171</v>
      </c>
      <c r="AE20" s="6" t="s">
        <v>1190</v>
      </c>
      <c r="AF20" s="6" t="s">
        <v>5109</v>
      </c>
      <c r="AG20" s="6" t="s">
        <v>174</v>
      </c>
      <c r="AH20" s="6" t="s">
        <v>5110</v>
      </c>
      <c r="AI20" s="6" t="s">
        <v>4724</v>
      </c>
      <c r="AJ20" s="6" t="s">
        <v>5111</v>
      </c>
      <c r="AK20" s="6" t="s">
        <v>5112</v>
      </c>
      <c r="AL20" s="6" t="s">
        <v>168</v>
      </c>
      <c r="AM20" s="6" t="s">
        <v>5113</v>
      </c>
      <c r="AN20" s="6" t="s">
        <v>5101</v>
      </c>
      <c r="AO20" s="5" t="s">
        <v>162</v>
      </c>
      <c r="AR20" s="0" t="str">
        <f aca="false">IF(AND(AU20="pass",AO20&lt;&gt;"Y",C20&lt;&gt;""),"Y","N")</f>
        <v>Y</v>
      </c>
      <c r="AS20" s="0" t="str">
        <f aca="false">_xlfn.TEXTJOIN("; ",TRUE(),IF(AU20&lt;&gt;"pass","gated out",""),IF(AO20="Y","on hold: "&amp;AP20,""),IF(C20="","no contact named on an opened page",""))</f>
        <v/>
      </c>
      <c r="AU20" s="6" t="s">
        <v>181</v>
      </c>
      <c r="AW20" s="6" t="s">
        <v>182</v>
      </c>
      <c r="AX20" s="6" t="s">
        <v>283</v>
      </c>
      <c r="AY20" s="6" t="s">
        <v>5114</v>
      </c>
      <c r="AZ20" s="6" t="s">
        <v>4596</v>
      </c>
      <c r="BA20" s="6" t="s">
        <v>4597</v>
      </c>
      <c r="BB20" s="6" t="s">
        <v>163</v>
      </c>
      <c r="BD20" s="6" t="s">
        <v>168</v>
      </c>
      <c r="BE20" s="6" t="s">
        <v>5115</v>
      </c>
      <c r="BF20" s="6" t="s">
        <v>168</v>
      </c>
      <c r="BG20" s="6" t="s">
        <v>168</v>
      </c>
      <c r="BH20" s="6" t="s">
        <v>163</v>
      </c>
      <c r="BJ20" s="6" t="s">
        <v>163</v>
      </c>
      <c r="BK20" s="6" t="s">
        <v>162</v>
      </c>
      <c r="BL20" s="6" t="s">
        <v>162</v>
      </c>
      <c r="BN20" s="0" t="n">
        <v>0</v>
      </c>
      <c r="BO20" s="6" t="s">
        <v>168</v>
      </c>
      <c r="BP20" s="0" t="n">
        <v>2</v>
      </c>
      <c r="BQ20" s="6" t="s">
        <v>5116</v>
      </c>
      <c r="BR20" s="6" t="s">
        <v>4671</v>
      </c>
      <c r="BS20" s="6" t="s">
        <v>5117</v>
      </c>
      <c r="BT20" s="6" t="s">
        <v>5118</v>
      </c>
      <c r="BU20" s="6" t="s">
        <v>158</v>
      </c>
      <c r="BX20" s="6" t="s">
        <v>5119</v>
      </c>
      <c r="BY20" s="6" t="s">
        <v>5120</v>
      </c>
      <c r="CA20" s="6" t="s">
        <v>5121</v>
      </c>
      <c r="CB20" s="6" t="s">
        <v>5122</v>
      </c>
      <c r="CC20" s="6" t="s">
        <v>5104</v>
      </c>
      <c r="CD20" s="6" t="s">
        <v>4626</v>
      </c>
      <c r="CE20" s="6" t="s">
        <v>4810</v>
      </c>
      <c r="CF20" s="6" t="s">
        <v>171</v>
      </c>
      <c r="CG20" s="6" t="s">
        <v>5123</v>
      </c>
      <c r="CK20" s="6" t="s">
        <v>158</v>
      </c>
      <c r="CL20" s="0" t="n">
        <v>64</v>
      </c>
      <c r="CM20" s="0" t="n">
        <v>25</v>
      </c>
      <c r="CN20" s="0" t="n">
        <v>20</v>
      </c>
      <c r="CO20" s="0" t="n">
        <v>0</v>
      </c>
      <c r="CP20" s="0" t="n">
        <v>5</v>
      </c>
      <c r="CQ20" s="0" t="n">
        <v>10</v>
      </c>
      <c r="CR20" s="0" t="n">
        <v>6</v>
      </c>
      <c r="CS20" s="6" t="n">
        <f aca="false">IF(R20="Y",10,0)</f>
        <v>0</v>
      </c>
      <c r="CT20" s="0" t="n">
        <v>-2</v>
      </c>
      <c r="CV20" s="6" t="s">
        <v>4616</v>
      </c>
      <c r="CW20" s="6" t="s">
        <v>5124</v>
      </c>
      <c r="CX20" s="6" t="s">
        <v>5125</v>
      </c>
      <c r="CY20" s="6" t="s">
        <v>5126</v>
      </c>
      <c r="CZ20" s="6" t="s">
        <v>5127</v>
      </c>
      <c r="DA20" s="6" t="s">
        <v>4621</v>
      </c>
      <c r="DB20" s="6" t="s">
        <v>5128</v>
      </c>
      <c r="DC20" s="6" t="s">
        <v>1190</v>
      </c>
      <c r="DY20" s="0" t="str">
        <f aca="false">IF(ISNUMBER(MATCH(U20,{"queued","contacted","replied","call_booked","call_done","yes_in_principle","materials_sent"},0)),"Y","N")</f>
        <v>N</v>
      </c>
      <c r="DZ20" s="0" t="str">
        <f aca="false">IF(COUNTIFS($AN$2:$AN$1000,AN20,$DY$2:$DY$1000,"Y")+COUNTIFS($AN$2:$AN$1000,AN20,$T$2:$T$1000,"Y")&gt;0,"Y","N")</f>
        <v>N</v>
      </c>
      <c r="EA20" s="0" t="str">
        <f aca="false">IF(AND(U20="new",T20="N",AR20="Y",AQ20="",DZ20="N"),"Y","N")</f>
        <v>Y</v>
      </c>
      <c r="EB20" s="0" t="str">
        <f aca="false">IF(EA20&lt;&gt;"Y","N",IF(COUNTIFS($AN$2:$AN$1000,AN20,$EA$2:$EA$1000,"Y",$J$2:$J$1000,"&gt;"&amp;J20)+COUNTIFS($AN$2:$AN$1000,AN20,$EA$2:$EA$1000,"Y",$J$2:$J$1000,J20,$ED$2:$ED$1000,"&lt;"&amp;ED20)=0,"Y","N"))</f>
        <v>Y</v>
      </c>
      <c r="EC20" s="0" t="str">
        <f aca="false">IF(Y20="","N",IF(Y20&lt;=10,"Y","N"))</f>
        <v>N</v>
      </c>
      <c r="ED20" s="6" t="n">
        <f aca="false">ROW()-1</f>
        <v>19</v>
      </c>
    </row>
    <row r="21" customFormat="false" ht="15" hidden="false" customHeight="false" outlineLevel="0" collapsed="false">
      <c r="A21" s="0" t="s">
        <v>5129</v>
      </c>
      <c r="B21" s="0" t="s">
        <v>5130</v>
      </c>
      <c r="C21" s="0" t="s">
        <v>5131</v>
      </c>
      <c r="D21" s="0" t="s">
        <v>5132</v>
      </c>
      <c r="E21" s="0" t="s">
        <v>4773</v>
      </c>
      <c r="H21" s="5" t="s">
        <v>158</v>
      </c>
      <c r="I21" s="5" t="s">
        <v>159</v>
      </c>
      <c r="J21" s="6" t="n">
        <f aca="false">IF(AU21="pass",CM21+CN21+CO21+CP21+CQ21+CR21+CS21+CT21,0)</f>
        <v>64</v>
      </c>
      <c r="K21" s="6" t="s">
        <v>5133</v>
      </c>
      <c r="M21" s="6" t="s">
        <v>5134</v>
      </c>
      <c r="N21" s="6" t="s">
        <v>5023</v>
      </c>
      <c r="O21" s="6" t="s">
        <v>5135</v>
      </c>
      <c r="P21" s="6" t="s">
        <v>5136</v>
      </c>
      <c r="Q21" s="6" t="s">
        <v>5137</v>
      </c>
      <c r="R21" s="5" t="s">
        <v>162</v>
      </c>
      <c r="S21" s="6" t="s">
        <v>168</v>
      </c>
      <c r="T21" s="5" t="s">
        <v>162</v>
      </c>
      <c r="U21" s="5" t="s">
        <v>228</v>
      </c>
      <c r="V21" s="6" t="s">
        <v>5138</v>
      </c>
      <c r="W21" s="6" t="s">
        <v>174</v>
      </c>
      <c r="X21" s="6" t="s">
        <v>4586</v>
      </c>
      <c r="Y21" s="6" t="n">
        <f aca="false">IF(EB21&lt;&gt;"Y","",COUNTIFS($EB$2:$EB$1000,"Y",$J$2:$J$1000,"&gt;"&amp;J21)+COUNTIFS($EB$2:$EB$1000,"Y",$J$2:$J$1000,J21,$ED$2:$ED$1000,"&lt;"&amp;ED21)+1)</f>
        <v>17</v>
      </c>
      <c r="Z21" s="0" t="n">
        <v>20</v>
      </c>
      <c r="AA21" s="6" t="s">
        <v>168</v>
      </c>
      <c r="AB21" s="6" t="s">
        <v>5139</v>
      </c>
      <c r="AC21" s="6" t="s">
        <v>4588</v>
      </c>
      <c r="AD21" s="6" t="s">
        <v>171</v>
      </c>
      <c r="AE21" s="6" t="s">
        <v>1190</v>
      </c>
      <c r="AF21" s="6" t="s">
        <v>5140</v>
      </c>
      <c r="AG21" s="6" t="s">
        <v>174</v>
      </c>
      <c r="AH21" s="6" t="s">
        <v>5141</v>
      </c>
      <c r="AI21" s="6" t="s">
        <v>4665</v>
      </c>
      <c r="AJ21" s="6" t="s">
        <v>163</v>
      </c>
      <c r="AK21" s="6" t="s">
        <v>5142</v>
      </c>
      <c r="AL21" s="6" t="s">
        <v>168</v>
      </c>
      <c r="AM21" s="6" t="s">
        <v>5143</v>
      </c>
      <c r="AN21" s="6" t="s">
        <v>5129</v>
      </c>
      <c r="AO21" s="5" t="s">
        <v>162</v>
      </c>
      <c r="AR21" s="0" t="str">
        <f aca="false">IF(AND(AU21="pass",AO21&lt;&gt;"Y",C21&lt;&gt;""),"Y","N")</f>
        <v>Y</v>
      </c>
      <c r="AS21" s="0" t="str">
        <f aca="false">_xlfn.TEXTJOIN("; ",TRUE(),IF(AU21&lt;&gt;"pass","gated out",""),IF(AO21="Y","on hold: "&amp;AP21,""),IF(C21="","no contact named on an opened page",""))</f>
        <v/>
      </c>
      <c r="AU21" s="6" t="s">
        <v>181</v>
      </c>
      <c r="AW21" s="6" t="s">
        <v>182</v>
      </c>
      <c r="AX21" s="6" t="s">
        <v>283</v>
      </c>
      <c r="AY21" s="6" t="s">
        <v>5142</v>
      </c>
      <c r="AZ21" s="6" t="s">
        <v>4596</v>
      </c>
      <c r="BA21" s="6" t="s">
        <v>4953</v>
      </c>
      <c r="BB21" s="6" t="s">
        <v>163</v>
      </c>
      <c r="BD21" s="6" t="s">
        <v>168</v>
      </c>
      <c r="BE21" s="6" t="s">
        <v>5144</v>
      </c>
      <c r="BF21" s="6" t="s">
        <v>168</v>
      </c>
      <c r="BG21" s="6" t="s">
        <v>168</v>
      </c>
      <c r="BH21" s="6" t="s">
        <v>163</v>
      </c>
      <c r="BJ21" s="6" t="s">
        <v>5145</v>
      </c>
      <c r="BK21" s="6" t="s">
        <v>162</v>
      </c>
      <c r="BL21" s="6" t="s">
        <v>162</v>
      </c>
      <c r="BN21" s="0" t="n">
        <v>0</v>
      </c>
      <c r="BO21" s="6" t="s">
        <v>168</v>
      </c>
      <c r="BP21" s="0" t="n">
        <v>3</v>
      </c>
      <c r="BQ21" s="6" t="s">
        <v>5146</v>
      </c>
      <c r="BS21" s="6" t="s">
        <v>5147</v>
      </c>
      <c r="BT21" s="6" t="s">
        <v>5148</v>
      </c>
      <c r="BU21" s="6" t="s">
        <v>4605</v>
      </c>
      <c r="BV21" s="0" t="n">
        <v>118</v>
      </c>
      <c r="BW21" s="6" t="s">
        <v>5136</v>
      </c>
      <c r="BX21" s="6" t="s">
        <v>5149</v>
      </c>
      <c r="BY21" s="6" t="s">
        <v>5150</v>
      </c>
      <c r="CF21" s="6" t="s">
        <v>158</v>
      </c>
      <c r="CK21" s="6" t="s">
        <v>158</v>
      </c>
      <c r="CL21" s="0" t="n">
        <v>64</v>
      </c>
      <c r="CM21" s="0" t="n">
        <v>17</v>
      </c>
      <c r="CN21" s="0" t="n">
        <v>13</v>
      </c>
      <c r="CO21" s="0" t="n">
        <v>15</v>
      </c>
      <c r="CP21" s="0" t="n">
        <v>5</v>
      </c>
      <c r="CQ21" s="0" t="n">
        <v>10</v>
      </c>
      <c r="CR21" s="0" t="n">
        <v>6</v>
      </c>
      <c r="CS21" s="6" t="n">
        <f aca="false">IF(R21="Y",10,0)</f>
        <v>0</v>
      </c>
      <c r="CT21" s="0" t="n">
        <v>-2</v>
      </c>
      <c r="CU21" s="6" t="s">
        <v>5151</v>
      </c>
      <c r="CV21" s="6" t="s">
        <v>5152</v>
      </c>
      <c r="CW21" s="6" t="s">
        <v>5153</v>
      </c>
      <c r="CX21" s="6" t="s">
        <v>5154</v>
      </c>
      <c r="DA21" s="6" t="s">
        <v>4621</v>
      </c>
      <c r="DY21" s="0" t="str">
        <f aca="false">IF(ISNUMBER(MATCH(U21,{"queued","contacted","replied","call_booked","call_done","yes_in_principle","materials_sent"},0)),"Y","N")</f>
        <v>N</v>
      </c>
      <c r="DZ21" s="0" t="str">
        <f aca="false">IF(COUNTIFS($AN$2:$AN$1000,AN21,$DY$2:$DY$1000,"Y")+COUNTIFS($AN$2:$AN$1000,AN21,$T$2:$T$1000,"Y")&gt;0,"Y","N")</f>
        <v>N</v>
      </c>
      <c r="EA21" s="0" t="str">
        <f aca="false">IF(AND(U21="new",T21="N",AR21="Y",AQ21="",DZ21="N"),"Y","N")</f>
        <v>Y</v>
      </c>
      <c r="EB21" s="0" t="str">
        <f aca="false">IF(EA21&lt;&gt;"Y","N",IF(COUNTIFS($AN$2:$AN$1000,AN21,$EA$2:$EA$1000,"Y",$J$2:$J$1000,"&gt;"&amp;J21)+COUNTIFS($AN$2:$AN$1000,AN21,$EA$2:$EA$1000,"Y",$J$2:$J$1000,J21,$ED$2:$ED$1000,"&lt;"&amp;ED21)=0,"Y","N"))</f>
        <v>Y</v>
      </c>
      <c r="EC21" s="0" t="str">
        <f aca="false">IF(Y21="","N",IF(Y21&lt;=10,"Y","N"))</f>
        <v>N</v>
      </c>
      <c r="ED21" s="6" t="n">
        <f aca="false">ROW()-1</f>
        <v>20</v>
      </c>
    </row>
    <row r="22" customFormat="false" ht="15" hidden="false" customHeight="false" outlineLevel="0" collapsed="false">
      <c r="A22" s="0" t="s">
        <v>5155</v>
      </c>
      <c r="B22" s="0" t="s">
        <v>5156</v>
      </c>
      <c r="C22" s="0" t="s">
        <v>5157</v>
      </c>
      <c r="D22" s="0" t="s">
        <v>5158</v>
      </c>
      <c r="E22" s="0" t="s">
        <v>4626</v>
      </c>
      <c r="H22" s="5" t="s">
        <v>158</v>
      </c>
      <c r="I22" s="5" t="s">
        <v>159</v>
      </c>
      <c r="J22" s="6" t="n">
        <f aca="false">IF(AU22="pass",CM22+CN22+CO22+CP22+CQ22+CR22+CS22+CT22,0)</f>
        <v>63</v>
      </c>
      <c r="K22" s="6" t="s">
        <v>5159</v>
      </c>
      <c r="M22" s="6" t="s">
        <v>4581</v>
      </c>
      <c r="N22" s="6" t="s">
        <v>4582</v>
      </c>
      <c r="O22" s="6" t="s">
        <v>5160</v>
      </c>
      <c r="P22" s="6" t="s">
        <v>5161</v>
      </c>
      <c r="Q22" s="6" t="s">
        <v>5162</v>
      </c>
      <c r="R22" s="5" t="s">
        <v>162</v>
      </c>
      <c r="S22" s="6" t="s">
        <v>163</v>
      </c>
      <c r="T22" s="5" t="s">
        <v>162</v>
      </c>
      <c r="U22" s="5" t="s">
        <v>228</v>
      </c>
      <c r="V22" s="6" t="s">
        <v>5163</v>
      </c>
      <c r="W22" s="6" t="s">
        <v>166</v>
      </c>
      <c r="X22" s="6" t="s">
        <v>4586</v>
      </c>
      <c r="Y22" s="6" t="n">
        <f aca="false">IF(EB22&lt;&gt;"Y","",COUNTIFS($EB$2:$EB$1000,"Y",$J$2:$J$1000,"&gt;"&amp;J22)+COUNTIFS($EB$2:$EB$1000,"Y",$J$2:$J$1000,J22,$ED$2:$ED$1000,"&lt;"&amp;ED22)+1)</f>
        <v>18</v>
      </c>
      <c r="Z22" s="0" t="n">
        <v>21</v>
      </c>
      <c r="AA22" s="6" t="s">
        <v>168</v>
      </c>
      <c r="AB22" s="6" t="s">
        <v>5164</v>
      </c>
      <c r="AC22" s="6" t="s">
        <v>4588</v>
      </c>
      <c r="AD22" s="6" t="s">
        <v>171</v>
      </c>
      <c r="AE22" s="6" t="s">
        <v>172</v>
      </c>
      <c r="AF22" s="6" t="s">
        <v>5163</v>
      </c>
      <c r="AG22" s="6" t="s">
        <v>174</v>
      </c>
      <c r="AH22" s="6" t="s">
        <v>5165</v>
      </c>
      <c r="AI22" s="6" t="s">
        <v>5030</v>
      </c>
      <c r="AJ22" s="6" t="s">
        <v>5166</v>
      </c>
      <c r="AK22" s="6" t="s">
        <v>5167</v>
      </c>
      <c r="AL22" s="6" t="s">
        <v>162</v>
      </c>
      <c r="AN22" s="6" t="s">
        <v>5155</v>
      </c>
      <c r="AO22" s="5" t="s">
        <v>162</v>
      </c>
      <c r="AR22" s="0" t="str">
        <f aca="false">IF(AND(AU22="pass",AO22&lt;&gt;"Y",C22&lt;&gt;""),"Y","N")</f>
        <v>Y</v>
      </c>
      <c r="AS22" s="0" t="str">
        <f aca="false">_xlfn.TEXTJOIN("; ",TRUE(),IF(AU22&lt;&gt;"pass","gated out",""),IF(AO22="Y","on hold: "&amp;AP22,""),IF(C22="","no contact named on an opened page",""))</f>
        <v/>
      </c>
      <c r="AU22" s="6" t="s">
        <v>181</v>
      </c>
      <c r="AW22" s="6" t="s">
        <v>182</v>
      </c>
      <c r="AY22" s="6" t="s">
        <v>5167</v>
      </c>
      <c r="AZ22" s="6" t="s">
        <v>4596</v>
      </c>
      <c r="BA22" s="6" t="s">
        <v>4953</v>
      </c>
      <c r="BB22" s="6" t="s">
        <v>163</v>
      </c>
      <c r="BD22" s="6" t="s">
        <v>168</v>
      </c>
      <c r="BE22" s="6" t="s">
        <v>5168</v>
      </c>
      <c r="BF22" s="6" t="s">
        <v>168</v>
      </c>
      <c r="BG22" s="6" t="s">
        <v>168</v>
      </c>
      <c r="BH22" s="6" t="s">
        <v>163</v>
      </c>
      <c r="BJ22" s="6" t="s">
        <v>163</v>
      </c>
      <c r="BK22" s="6" t="s">
        <v>162</v>
      </c>
      <c r="BL22" s="6" t="s">
        <v>162</v>
      </c>
      <c r="BN22" s="0" t="n">
        <v>0</v>
      </c>
      <c r="BO22" s="6" t="s">
        <v>168</v>
      </c>
      <c r="BP22" s="0" t="n">
        <v>3</v>
      </c>
      <c r="BQ22" s="6" t="s">
        <v>4670</v>
      </c>
      <c r="BS22" s="6" t="s">
        <v>5169</v>
      </c>
      <c r="BT22" s="6" t="s">
        <v>5170</v>
      </c>
      <c r="BU22" s="6" t="s">
        <v>4695</v>
      </c>
      <c r="BV22" s="0" t="n">
        <v>316</v>
      </c>
      <c r="BX22" s="6" t="s">
        <v>5171</v>
      </c>
      <c r="BY22" s="6" t="s">
        <v>5172</v>
      </c>
      <c r="CA22" s="6" t="s">
        <v>5173</v>
      </c>
      <c r="CB22" s="6" t="s">
        <v>5174</v>
      </c>
      <c r="CC22" s="6" t="s">
        <v>5175</v>
      </c>
      <c r="CD22" s="6" t="s">
        <v>4626</v>
      </c>
      <c r="CE22" s="6" t="s">
        <v>4810</v>
      </c>
      <c r="CF22" s="6" t="s">
        <v>171</v>
      </c>
      <c r="CG22" s="6" t="s">
        <v>5176</v>
      </c>
      <c r="CK22" s="6" t="s">
        <v>158</v>
      </c>
      <c r="CL22" s="0" t="n">
        <v>63</v>
      </c>
      <c r="CM22" s="0" t="n">
        <v>25</v>
      </c>
      <c r="CN22" s="0" t="n">
        <v>13</v>
      </c>
      <c r="CO22" s="0" t="n">
        <v>4</v>
      </c>
      <c r="CP22" s="0" t="n">
        <v>5</v>
      </c>
      <c r="CQ22" s="0" t="n">
        <v>10</v>
      </c>
      <c r="CR22" s="0" t="n">
        <v>6</v>
      </c>
      <c r="CS22" s="6" t="n">
        <f aca="false">IF(R22="Y",10,0)</f>
        <v>0</v>
      </c>
      <c r="CT22" s="0" t="n">
        <v>0</v>
      </c>
      <c r="CU22" s="6" t="s">
        <v>163</v>
      </c>
      <c r="CV22" s="6" t="s">
        <v>4843</v>
      </c>
      <c r="CW22" s="6" t="s">
        <v>5177</v>
      </c>
      <c r="CX22" s="6" t="s">
        <v>5178</v>
      </c>
      <c r="CZ22" s="6" t="s">
        <v>5163</v>
      </c>
      <c r="DA22" s="6" t="s">
        <v>4621</v>
      </c>
      <c r="DC22" s="6" t="s">
        <v>172</v>
      </c>
      <c r="DY22" s="0" t="str">
        <f aca="false">IF(ISNUMBER(MATCH(U22,{"queued","contacted","replied","call_booked","call_done","yes_in_principle","materials_sent"},0)),"Y","N")</f>
        <v>N</v>
      </c>
      <c r="DZ22" s="0" t="str">
        <f aca="false">IF(COUNTIFS($AN$2:$AN$1000,AN22,$DY$2:$DY$1000,"Y")+COUNTIFS($AN$2:$AN$1000,AN22,$T$2:$T$1000,"Y")&gt;0,"Y","N")</f>
        <v>N</v>
      </c>
      <c r="EA22" s="0" t="str">
        <f aca="false">IF(AND(U22="new",T22="N",AR22="Y",AQ22="",DZ22="N"),"Y","N")</f>
        <v>Y</v>
      </c>
      <c r="EB22" s="0" t="str">
        <f aca="false">IF(EA22&lt;&gt;"Y","N",IF(COUNTIFS($AN$2:$AN$1000,AN22,$EA$2:$EA$1000,"Y",$J$2:$J$1000,"&gt;"&amp;J22)+COUNTIFS($AN$2:$AN$1000,AN22,$EA$2:$EA$1000,"Y",$J$2:$J$1000,J22,$ED$2:$ED$1000,"&lt;"&amp;ED22)=0,"Y","N"))</f>
        <v>Y</v>
      </c>
      <c r="EC22" s="0" t="str">
        <f aca="false">IF(Y22="","N",IF(Y22&lt;=10,"Y","N"))</f>
        <v>N</v>
      </c>
      <c r="ED22" s="6" t="n">
        <f aca="false">ROW()-1</f>
        <v>21</v>
      </c>
    </row>
    <row r="23" customFormat="false" ht="15" hidden="false" customHeight="false" outlineLevel="0" collapsed="false">
      <c r="A23" s="0" t="s">
        <v>5179</v>
      </c>
      <c r="B23" s="0" t="s">
        <v>5180</v>
      </c>
      <c r="C23" s="0" t="s">
        <v>5181</v>
      </c>
      <c r="D23" s="0" t="s">
        <v>5182</v>
      </c>
      <c r="E23" s="0" t="s">
        <v>4657</v>
      </c>
      <c r="H23" s="5" t="s">
        <v>158</v>
      </c>
      <c r="I23" s="5" t="s">
        <v>159</v>
      </c>
      <c r="J23" s="6" t="n">
        <f aca="false">IF(AU23="pass",CM23+CN23+CO23+CP23+CQ23+CR23+CS23+CT23,0)</f>
        <v>62</v>
      </c>
      <c r="K23" s="6" t="s">
        <v>5183</v>
      </c>
      <c r="M23" s="6" t="s">
        <v>4581</v>
      </c>
      <c r="N23" s="6" t="s">
        <v>4582</v>
      </c>
      <c r="O23" s="6" t="s">
        <v>5184</v>
      </c>
      <c r="P23" s="6" t="s">
        <v>5185</v>
      </c>
      <c r="Q23" s="6" t="s">
        <v>2614</v>
      </c>
      <c r="R23" s="5" t="s">
        <v>162</v>
      </c>
      <c r="S23" s="6" t="s">
        <v>163</v>
      </c>
      <c r="T23" s="5" t="s">
        <v>162</v>
      </c>
      <c r="U23" s="5" t="s">
        <v>228</v>
      </c>
      <c r="V23" s="6" t="s">
        <v>5186</v>
      </c>
      <c r="W23" s="6" t="s">
        <v>166</v>
      </c>
      <c r="X23" s="6" t="s">
        <v>4586</v>
      </c>
      <c r="Y23" s="6" t="n">
        <f aca="false">IF(EB23&lt;&gt;"Y","",COUNTIFS($EB$2:$EB$1000,"Y",$J$2:$J$1000,"&gt;"&amp;J23)+COUNTIFS($EB$2:$EB$1000,"Y",$J$2:$J$1000,J23,$ED$2:$ED$1000,"&lt;"&amp;ED23)+1)</f>
        <v>19</v>
      </c>
      <c r="Z23" s="0" t="n">
        <v>22</v>
      </c>
      <c r="AA23" s="6" t="s">
        <v>168</v>
      </c>
      <c r="AB23" s="6" t="s">
        <v>5187</v>
      </c>
      <c r="AC23" s="6" t="s">
        <v>4588</v>
      </c>
      <c r="AD23" s="6" t="s">
        <v>171</v>
      </c>
      <c r="AE23" s="6" t="s">
        <v>172</v>
      </c>
      <c r="AF23" s="6" t="s">
        <v>5186</v>
      </c>
      <c r="AG23" s="6" t="s">
        <v>174</v>
      </c>
      <c r="AH23" s="6" t="s">
        <v>5188</v>
      </c>
      <c r="AI23" s="6" t="s">
        <v>4977</v>
      </c>
      <c r="AJ23" s="6" t="s">
        <v>5189</v>
      </c>
      <c r="AK23" s="6" t="s">
        <v>5190</v>
      </c>
      <c r="AL23" s="6" t="s">
        <v>168</v>
      </c>
      <c r="AM23" s="6" t="s">
        <v>5191</v>
      </c>
      <c r="AN23" s="6" t="s">
        <v>5179</v>
      </c>
      <c r="AO23" s="5" t="s">
        <v>162</v>
      </c>
      <c r="AR23" s="0" t="str">
        <f aca="false">IF(AND(AU23="pass",AO23&lt;&gt;"Y",C23&lt;&gt;""),"Y","N")</f>
        <v>Y</v>
      </c>
      <c r="AS23" s="0" t="str">
        <f aca="false">_xlfn.TEXTJOIN("; ",TRUE(),IF(AU23&lt;&gt;"pass","gated out",""),IF(AO23="Y","on hold: "&amp;AP23,""),IF(C23="","no contact named on an opened page",""))</f>
        <v/>
      </c>
      <c r="AU23" s="6" t="s">
        <v>181</v>
      </c>
      <c r="AW23" s="6" t="s">
        <v>182</v>
      </c>
      <c r="AX23" s="6" t="s">
        <v>4595</v>
      </c>
      <c r="AY23" s="6" t="s">
        <v>5190</v>
      </c>
      <c r="AZ23" s="6" t="s">
        <v>5192</v>
      </c>
      <c r="BA23" s="6" t="s">
        <v>5193</v>
      </c>
      <c r="BB23" s="6" t="s">
        <v>163</v>
      </c>
      <c r="BD23" s="6" t="s">
        <v>168</v>
      </c>
      <c r="BE23" s="6" t="s">
        <v>5194</v>
      </c>
      <c r="BF23" s="6" t="s">
        <v>168</v>
      </c>
      <c r="BG23" s="6" t="s">
        <v>168</v>
      </c>
      <c r="BH23" s="6" t="s">
        <v>163</v>
      </c>
      <c r="BJ23" s="6" t="s">
        <v>163</v>
      </c>
      <c r="BK23" s="6" t="s">
        <v>162</v>
      </c>
      <c r="BL23" s="6" t="s">
        <v>162</v>
      </c>
      <c r="BN23" s="0" t="n">
        <v>0</v>
      </c>
      <c r="BO23" s="6" t="s">
        <v>168</v>
      </c>
      <c r="BP23" s="0" t="n">
        <v>2</v>
      </c>
      <c r="BQ23" s="6" t="s">
        <v>4783</v>
      </c>
      <c r="BS23" s="6" t="s">
        <v>4983</v>
      </c>
      <c r="BT23" s="6" t="s">
        <v>5195</v>
      </c>
      <c r="BU23" s="6" t="s">
        <v>4695</v>
      </c>
      <c r="BV23" s="0" t="n">
        <v>5</v>
      </c>
      <c r="BX23" s="6" t="s">
        <v>5196</v>
      </c>
      <c r="BY23" s="6" t="s">
        <v>5197</v>
      </c>
      <c r="CA23" s="6" t="s">
        <v>5198</v>
      </c>
      <c r="CB23" s="6" t="s">
        <v>5199</v>
      </c>
      <c r="CC23" s="6" t="s">
        <v>5200</v>
      </c>
      <c r="CD23" s="6" t="s">
        <v>5201</v>
      </c>
      <c r="CE23" s="6" t="s">
        <v>4613</v>
      </c>
      <c r="CF23" s="6" t="s">
        <v>171</v>
      </c>
      <c r="CG23" s="6" t="s">
        <v>5202</v>
      </c>
      <c r="CK23" s="6" t="s">
        <v>158</v>
      </c>
      <c r="CL23" s="0" t="n">
        <v>62</v>
      </c>
      <c r="CM23" s="0" t="n">
        <v>25</v>
      </c>
      <c r="CN23" s="0" t="n">
        <v>8</v>
      </c>
      <c r="CO23" s="0" t="n">
        <v>8</v>
      </c>
      <c r="CP23" s="0" t="n">
        <v>5</v>
      </c>
      <c r="CQ23" s="0" t="n">
        <v>10</v>
      </c>
      <c r="CR23" s="0" t="n">
        <v>10</v>
      </c>
      <c r="CS23" s="6" t="n">
        <f aca="false">IF(R23="Y",10,0)</f>
        <v>0</v>
      </c>
      <c r="CT23" s="0" t="n">
        <v>-4</v>
      </c>
      <c r="CU23" s="6" t="s">
        <v>163</v>
      </c>
      <c r="CV23" s="6" t="s">
        <v>4843</v>
      </c>
      <c r="CW23" s="6" t="s">
        <v>5203</v>
      </c>
      <c r="CX23" s="6" t="s">
        <v>5204</v>
      </c>
      <c r="CY23" s="6" t="s">
        <v>5205</v>
      </c>
      <c r="CZ23" s="6" t="s">
        <v>5206</v>
      </c>
      <c r="DA23" s="6" t="s">
        <v>4621</v>
      </c>
      <c r="DC23" s="6" t="s">
        <v>231</v>
      </c>
      <c r="DD23" s="6" t="s">
        <v>5207</v>
      </c>
      <c r="DY23" s="0" t="str">
        <f aca="false">IF(ISNUMBER(MATCH(U23,{"queued","contacted","replied","call_booked","call_done","yes_in_principle","materials_sent"},0)),"Y","N")</f>
        <v>N</v>
      </c>
      <c r="DZ23" s="0" t="str">
        <f aca="false">IF(COUNTIFS($AN$2:$AN$1000,AN23,$DY$2:$DY$1000,"Y")+COUNTIFS($AN$2:$AN$1000,AN23,$T$2:$T$1000,"Y")&gt;0,"Y","N")</f>
        <v>N</v>
      </c>
      <c r="EA23" s="0" t="str">
        <f aca="false">IF(AND(U23="new",T23="N",AR23="Y",AQ23="",DZ23="N"),"Y","N")</f>
        <v>Y</v>
      </c>
      <c r="EB23" s="0" t="str">
        <f aca="false">IF(EA23&lt;&gt;"Y","N",IF(COUNTIFS($AN$2:$AN$1000,AN23,$EA$2:$EA$1000,"Y",$J$2:$J$1000,"&gt;"&amp;J23)+COUNTIFS($AN$2:$AN$1000,AN23,$EA$2:$EA$1000,"Y",$J$2:$J$1000,J23,$ED$2:$ED$1000,"&lt;"&amp;ED23)=0,"Y","N"))</f>
        <v>Y</v>
      </c>
      <c r="EC23" s="0" t="str">
        <f aca="false">IF(Y23="","N",IF(Y23&lt;=10,"Y","N"))</f>
        <v>N</v>
      </c>
      <c r="ED23" s="6" t="n">
        <f aca="false">ROW()-1</f>
        <v>22</v>
      </c>
    </row>
    <row r="24" customFormat="false" ht="15" hidden="false" customHeight="false" outlineLevel="0" collapsed="false">
      <c r="A24" s="0" t="s">
        <v>5208</v>
      </c>
      <c r="B24" s="0" t="s">
        <v>5209</v>
      </c>
      <c r="C24" s="0" t="s">
        <v>5210</v>
      </c>
      <c r="D24" s="0" t="s">
        <v>5211</v>
      </c>
      <c r="E24" s="0" t="s">
        <v>4626</v>
      </c>
      <c r="H24" s="5" t="s">
        <v>158</v>
      </c>
      <c r="I24" s="5" t="s">
        <v>159</v>
      </c>
      <c r="J24" s="6" t="n">
        <f aca="false">IF(AU24="pass",CM24+CN24+CO24+CP24+CQ24+CR24+CS24+CT24,0)</f>
        <v>62</v>
      </c>
      <c r="K24" s="6" t="s">
        <v>5212</v>
      </c>
      <c r="M24" s="6" t="s">
        <v>4581</v>
      </c>
      <c r="N24" s="6" t="s">
        <v>4582</v>
      </c>
      <c r="O24" s="6" t="s">
        <v>5213</v>
      </c>
      <c r="P24" s="6" t="s">
        <v>5214</v>
      </c>
      <c r="Q24" s="6" t="s">
        <v>5215</v>
      </c>
      <c r="R24" s="5" t="s">
        <v>162</v>
      </c>
      <c r="S24" s="6" t="s">
        <v>163</v>
      </c>
      <c r="T24" s="5" t="s">
        <v>162</v>
      </c>
      <c r="U24" s="5" t="s">
        <v>228</v>
      </c>
      <c r="V24" s="6" t="s">
        <v>5216</v>
      </c>
      <c r="W24" s="6" t="s">
        <v>166</v>
      </c>
      <c r="X24" s="6" t="s">
        <v>4586</v>
      </c>
      <c r="Y24" s="6" t="n">
        <f aca="false">IF(EB24&lt;&gt;"Y","",COUNTIFS($EB$2:$EB$1000,"Y",$J$2:$J$1000,"&gt;"&amp;J24)+COUNTIFS($EB$2:$EB$1000,"Y",$J$2:$J$1000,J24,$ED$2:$ED$1000,"&lt;"&amp;ED24)+1)</f>
        <v>20</v>
      </c>
      <c r="Z24" s="0" t="n">
        <v>23</v>
      </c>
      <c r="AA24" s="6" t="s">
        <v>168</v>
      </c>
      <c r="AB24" s="6" t="s">
        <v>5217</v>
      </c>
      <c r="AC24" s="6" t="s">
        <v>4588</v>
      </c>
      <c r="AD24" s="6" t="s">
        <v>171</v>
      </c>
      <c r="AE24" s="6" t="s">
        <v>1190</v>
      </c>
      <c r="AF24" s="6" t="s">
        <v>5218</v>
      </c>
      <c r="AG24" s="6" t="s">
        <v>174</v>
      </c>
      <c r="AH24" s="6" t="s">
        <v>5219</v>
      </c>
      <c r="AI24" s="6" t="s">
        <v>4591</v>
      </c>
      <c r="AJ24" s="6" t="s">
        <v>5220</v>
      </c>
      <c r="AK24" s="6" t="s">
        <v>5221</v>
      </c>
      <c r="AL24" s="6" t="s">
        <v>168</v>
      </c>
      <c r="AM24" s="6" t="s">
        <v>5222</v>
      </c>
      <c r="AN24" s="6" t="s">
        <v>5208</v>
      </c>
      <c r="AO24" s="5" t="s">
        <v>162</v>
      </c>
      <c r="AR24" s="0" t="str">
        <f aca="false">IF(AND(AU24="pass",AO24&lt;&gt;"Y",C24&lt;&gt;""),"Y","N")</f>
        <v>Y</v>
      </c>
      <c r="AS24" s="0" t="str">
        <f aca="false">_xlfn.TEXTJOIN("; ",TRUE(),IF(AU24&lt;&gt;"pass","gated out",""),IF(AO24="Y","on hold: "&amp;AP24,""),IF(C24="","no contact named on an opened page",""))</f>
        <v/>
      </c>
      <c r="AU24" s="6" t="s">
        <v>181</v>
      </c>
      <c r="AW24" s="6" t="s">
        <v>182</v>
      </c>
      <c r="AX24" s="6" t="s">
        <v>5223</v>
      </c>
      <c r="AY24" s="6" t="s">
        <v>5221</v>
      </c>
      <c r="AZ24" s="6" t="s">
        <v>4596</v>
      </c>
      <c r="BA24" s="6" t="s">
        <v>4597</v>
      </c>
      <c r="BB24" s="6" t="s">
        <v>163</v>
      </c>
      <c r="BD24" s="6" t="s">
        <v>168</v>
      </c>
      <c r="BE24" s="6" t="s">
        <v>5224</v>
      </c>
      <c r="BF24" s="6" t="s">
        <v>168</v>
      </c>
      <c r="BG24" s="6" t="s">
        <v>168</v>
      </c>
      <c r="BH24" s="6" t="s">
        <v>163</v>
      </c>
      <c r="BJ24" s="6" t="s">
        <v>163</v>
      </c>
      <c r="BK24" s="6" t="s">
        <v>162</v>
      </c>
      <c r="BL24" s="6" t="s">
        <v>162</v>
      </c>
      <c r="BN24" s="0" t="n">
        <v>0</v>
      </c>
      <c r="BO24" s="6" t="s">
        <v>168</v>
      </c>
      <c r="BP24" s="0" t="n">
        <v>10</v>
      </c>
      <c r="BQ24" s="6" t="s">
        <v>5225</v>
      </c>
      <c r="BR24" s="6" t="s">
        <v>4671</v>
      </c>
      <c r="BS24" s="6" t="s">
        <v>5226</v>
      </c>
      <c r="BT24" s="6" t="s">
        <v>5227</v>
      </c>
      <c r="BU24" s="6" t="s">
        <v>4605</v>
      </c>
      <c r="BV24" s="0" t="n">
        <v>208</v>
      </c>
      <c r="BX24" s="6" t="s">
        <v>5228</v>
      </c>
      <c r="BY24" s="6" t="s">
        <v>5229</v>
      </c>
      <c r="CF24" s="6" t="s">
        <v>158</v>
      </c>
      <c r="CK24" s="6" t="s">
        <v>158</v>
      </c>
      <c r="CL24" s="0" t="n">
        <v>62</v>
      </c>
      <c r="CM24" s="0" t="n">
        <v>25</v>
      </c>
      <c r="CN24" s="0" t="n">
        <v>20</v>
      </c>
      <c r="CO24" s="0" t="n">
        <v>8</v>
      </c>
      <c r="CP24" s="0" t="n">
        <v>5</v>
      </c>
      <c r="CQ24" s="0" t="n">
        <v>10</v>
      </c>
      <c r="CR24" s="0" t="n">
        <v>6</v>
      </c>
      <c r="CS24" s="6" t="n">
        <f aca="false">IF(R24="Y",10,0)</f>
        <v>0</v>
      </c>
      <c r="CT24" s="0" t="n">
        <v>-12</v>
      </c>
      <c r="CU24" s="6" t="s">
        <v>5230</v>
      </c>
      <c r="CV24" s="6" t="s">
        <v>4616</v>
      </c>
      <c r="CW24" s="6" t="s">
        <v>5231</v>
      </c>
      <c r="CX24" s="6" t="s">
        <v>5232</v>
      </c>
      <c r="CY24" s="6" t="s">
        <v>5233</v>
      </c>
      <c r="DA24" s="6" t="s">
        <v>4621</v>
      </c>
      <c r="DB24" s="6" t="s">
        <v>2093</v>
      </c>
      <c r="DE24" s="6" t="s">
        <v>5234</v>
      </c>
      <c r="DY24" s="0" t="str">
        <f aca="false">IF(ISNUMBER(MATCH(U24,{"queued","contacted","replied","call_booked","call_done","yes_in_principle","materials_sent"},0)),"Y","N")</f>
        <v>N</v>
      </c>
      <c r="DZ24" s="0" t="str">
        <f aca="false">IF(COUNTIFS($AN$2:$AN$1000,AN24,$DY$2:$DY$1000,"Y")+COUNTIFS($AN$2:$AN$1000,AN24,$T$2:$T$1000,"Y")&gt;0,"Y","N")</f>
        <v>N</v>
      </c>
      <c r="EA24" s="0" t="str">
        <f aca="false">IF(AND(U24="new",T24="N",AR24="Y",AQ24="",DZ24="N"),"Y","N")</f>
        <v>Y</v>
      </c>
      <c r="EB24" s="0" t="str">
        <f aca="false">IF(EA24&lt;&gt;"Y","N",IF(COUNTIFS($AN$2:$AN$1000,AN24,$EA$2:$EA$1000,"Y",$J$2:$J$1000,"&gt;"&amp;J24)+COUNTIFS($AN$2:$AN$1000,AN24,$EA$2:$EA$1000,"Y",$J$2:$J$1000,J24,$ED$2:$ED$1000,"&lt;"&amp;ED24)=0,"Y","N"))</f>
        <v>Y</v>
      </c>
      <c r="EC24" s="0" t="str">
        <f aca="false">IF(Y24="","N",IF(Y24&lt;=10,"Y","N"))</f>
        <v>N</v>
      </c>
      <c r="ED24" s="6" t="n">
        <f aca="false">ROW()-1</f>
        <v>23</v>
      </c>
    </row>
    <row r="25" customFormat="false" ht="15" hidden="false" customHeight="false" outlineLevel="0" collapsed="false">
      <c r="A25" s="0" t="s">
        <v>5235</v>
      </c>
      <c r="B25" s="0" t="s">
        <v>5236</v>
      </c>
      <c r="C25" s="0" t="s">
        <v>5210</v>
      </c>
      <c r="D25" s="0" t="s">
        <v>5237</v>
      </c>
      <c r="E25" s="0" t="s">
        <v>4657</v>
      </c>
      <c r="H25" s="5" t="s">
        <v>158</v>
      </c>
      <c r="I25" s="5" t="s">
        <v>159</v>
      </c>
      <c r="J25" s="6" t="n">
        <f aca="false">IF(AU25="pass",CM25+CN25+CO25+CP25+CQ25+CR25+CS25+CT25,0)</f>
        <v>62</v>
      </c>
      <c r="K25" s="6" t="s">
        <v>5238</v>
      </c>
      <c r="M25" s="6" t="s">
        <v>4581</v>
      </c>
      <c r="N25" s="6" t="s">
        <v>4582</v>
      </c>
      <c r="O25" s="6" t="s">
        <v>5239</v>
      </c>
      <c r="P25" s="6" t="s">
        <v>5240</v>
      </c>
      <c r="Q25" s="6" t="s">
        <v>5241</v>
      </c>
      <c r="R25" s="5" t="s">
        <v>162</v>
      </c>
      <c r="S25" s="6" t="s">
        <v>163</v>
      </c>
      <c r="T25" s="5" t="s">
        <v>162</v>
      </c>
      <c r="U25" s="5" t="s">
        <v>228</v>
      </c>
      <c r="V25" s="6" t="s">
        <v>5242</v>
      </c>
      <c r="W25" s="6" t="s">
        <v>166</v>
      </c>
      <c r="X25" s="6" t="s">
        <v>4586</v>
      </c>
      <c r="Y25" s="6" t="n">
        <f aca="false">IF(EB25&lt;&gt;"Y","",COUNTIFS($EB$2:$EB$1000,"Y",$J$2:$J$1000,"&gt;"&amp;J25)+COUNTIFS($EB$2:$EB$1000,"Y",$J$2:$J$1000,J25,$ED$2:$ED$1000,"&lt;"&amp;ED25)+1)</f>
        <v>21</v>
      </c>
      <c r="Z25" s="0" t="n">
        <v>24</v>
      </c>
      <c r="AA25" s="6" t="s">
        <v>168</v>
      </c>
      <c r="AB25" s="6" t="s">
        <v>5243</v>
      </c>
      <c r="AC25" s="6" t="s">
        <v>4588</v>
      </c>
      <c r="AD25" s="6" t="s">
        <v>171</v>
      </c>
      <c r="AE25" s="6" t="s">
        <v>172</v>
      </c>
      <c r="AF25" s="6" t="s">
        <v>5242</v>
      </c>
      <c r="AG25" s="6" t="s">
        <v>174</v>
      </c>
      <c r="AH25" s="6" t="s">
        <v>5244</v>
      </c>
      <c r="AI25" s="6" t="s">
        <v>4665</v>
      </c>
      <c r="AJ25" s="6" t="s">
        <v>5245</v>
      </c>
      <c r="AK25" s="6" t="s">
        <v>5246</v>
      </c>
      <c r="AL25" s="6" t="s">
        <v>168</v>
      </c>
      <c r="AM25" s="6" t="s">
        <v>4691</v>
      </c>
      <c r="AN25" s="6" t="s">
        <v>5235</v>
      </c>
      <c r="AO25" s="5" t="s">
        <v>162</v>
      </c>
      <c r="AR25" s="0" t="str">
        <f aca="false">IF(AND(AU25="pass",AO25&lt;&gt;"Y",C25&lt;&gt;""),"Y","N")</f>
        <v>Y</v>
      </c>
      <c r="AS25" s="0" t="str">
        <f aca="false">_xlfn.TEXTJOIN("; ",TRUE(),IF(AU25&lt;&gt;"pass","gated out",""),IF(AO25="Y","on hold: "&amp;AP25,""),IF(C25="","no contact named on an opened page",""))</f>
        <v/>
      </c>
      <c r="AU25" s="6" t="s">
        <v>181</v>
      </c>
      <c r="AW25" s="6" t="s">
        <v>182</v>
      </c>
      <c r="AY25" s="6" t="s">
        <v>5246</v>
      </c>
      <c r="AZ25" s="6" t="s">
        <v>5192</v>
      </c>
      <c r="BA25" s="6" t="s">
        <v>5193</v>
      </c>
      <c r="BB25" s="6" t="s">
        <v>163</v>
      </c>
      <c r="BD25" s="6" t="s">
        <v>264</v>
      </c>
      <c r="BE25" s="6" t="s">
        <v>5247</v>
      </c>
      <c r="BF25" s="6" t="s">
        <v>168</v>
      </c>
      <c r="BG25" s="6" t="s">
        <v>168</v>
      </c>
      <c r="BH25" s="6" t="s">
        <v>163</v>
      </c>
      <c r="BJ25" s="6" t="s">
        <v>163</v>
      </c>
      <c r="BK25" s="6" t="s">
        <v>162</v>
      </c>
      <c r="BL25" s="6" t="s">
        <v>162</v>
      </c>
      <c r="BN25" s="0" t="n">
        <v>0</v>
      </c>
      <c r="BO25" s="6" t="s">
        <v>168</v>
      </c>
      <c r="BP25" s="0" t="n">
        <v>3</v>
      </c>
      <c r="BQ25" s="6" t="s">
        <v>4670</v>
      </c>
      <c r="BS25" s="6" t="s">
        <v>5248</v>
      </c>
      <c r="BT25" s="6" t="s">
        <v>5249</v>
      </c>
      <c r="BU25" s="6" t="s">
        <v>4695</v>
      </c>
      <c r="BV25" s="0" t="n">
        <v>50</v>
      </c>
      <c r="BX25" s="6" t="s">
        <v>5250</v>
      </c>
      <c r="BY25" s="6" t="s">
        <v>5251</v>
      </c>
      <c r="CA25" s="6" t="s">
        <v>5252</v>
      </c>
      <c r="CE25" s="6" t="s">
        <v>4613</v>
      </c>
      <c r="CF25" s="6" t="s">
        <v>598</v>
      </c>
      <c r="CG25" s="6" t="s">
        <v>5253</v>
      </c>
      <c r="CH25" s="6" t="s">
        <v>5254</v>
      </c>
      <c r="CI25" s="6" t="s">
        <v>4934</v>
      </c>
      <c r="CK25" s="6" t="s">
        <v>158</v>
      </c>
      <c r="CL25" s="0" t="n">
        <v>62</v>
      </c>
      <c r="CM25" s="0" t="n">
        <v>25</v>
      </c>
      <c r="CN25" s="0" t="n">
        <v>8</v>
      </c>
      <c r="CO25" s="0" t="n">
        <v>8</v>
      </c>
      <c r="CP25" s="0" t="n">
        <v>5</v>
      </c>
      <c r="CQ25" s="0" t="n">
        <v>8</v>
      </c>
      <c r="CR25" s="0" t="n">
        <v>8</v>
      </c>
      <c r="CS25" s="6" t="n">
        <f aca="false">IF(R25="Y",10,0)</f>
        <v>0</v>
      </c>
      <c r="CT25" s="0" t="n">
        <v>0</v>
      </c>
      <c r="CU25" s="6" t="s">
        <v>5255</v>
      </c>
      <c r="CV25" s="6" t="s">
        <v>4704</v>
      </c>
      <c r="CW25" s="6" t="s">
        <v>5256</v>
      </c>
      <c r="CX25" s="6" t="s">
        <v>5257</v>
      </c>
      <c r="CY25" s="6" t="s">
        <v>5258</v>
      </c>
      <c r="CZ25" s="6" t="s">
        <v>5254</v>
      </c>
      <c r="DA25" s="6" t="s">
        <v>4621</v>
      </c>
      <c r="DC25" s="6" t="s">
        <v>599</v>
      </c>
      <c r="DY25" s="0" t="str">
        <f aca="false">IF(ISNUMBER(MATCH(U25,{"queued","contacted","replied","call_booked","call_done","yes_in_principle","materials_sent"},0)),"Y","N")</f>
        <v>N</v>
      </c>
      <c r="DZ25" s="0" t="str">
        <f aca="false">IF(COUNTIFS($AN$2:$AN$1000,AN25,$DY$2:$DY$1000,"Y")+COUNTIFS($AN$2:$AN$1000,AN25,$T$2:$T$1000,"Y")&gt;0,"Y","N")</f>
        <v>N</v>
      </c>
      <c r="EA25" s="0" t="str">
        <f aca="false">IF(AND(U25="new",T25="N",AR25="Y",AQ25="",DZ25="N"),"Y","N")</f>
        <v>Y</v>
      </c>
      <c r="EB25" s="0" t="str">
        <f aca="false">IF(EA25&lt;&gt;"Y","N",IF(COUNTIFS($AN$2:$AN$1000,AN25,$EA$2:$EA$1000,"Y",$J$2:$J$1000,"&gt;"&amp;J25)+COUNTIFS($AN$2:$AN$1000,AN25,$EA$2:$EA$1000,"Y",$J$2:$J$1000,J25,$ED$2:$ED$1000,"&lt;"&amp;ED25)=0,"Y","N"))</f>
        <v>Y</v>
      </c>
      <c r="EC25" s="0" t="str">
        <f aca="false">IF(Y25="","N",IF(Y25&lt;=10,"Y","N"))</f>
        <v>N</v>
      </c>
      <c r="ED25" s="6" t="n">
        <f aca="false">ROW()-1</f>
        <v>24</v>
      </c>
    </row>
    <row r="26" customFormat="false" ht="15" hidden="false" customHeight="false" outlineLevel="0" collapsed="false">
      <c r="A26" s="0" t="s">
        <v>5259</v>
      </c>
      <c r="B26" s="0" t="s">
        <v>5260</v>
      </c>
      <c r="C26" s="0" t="s">
        <v>5261</v>
      </c>
      <c r="D26" s="0" t="s">
        <v>5262</v>
      </c>
      <c r="E26" s="0" t="s">
        <v>5263</v>
      </c>
      <c r="H26" s="5" t="s">
        <v>158</v>
      </c>
      <c r="I26" s="5" t="s">
        <v>159</v>
      </c>
      <c r="J26" s="6" t="n">
        <f aca="false">IF(AU26="pass",CM26+CN26+CO26+CP26+CQ26+CR26+CS26+CT26,0)</f>
        <v>62</v>
      </c>
      <c r="K26" s="6" t="s">
        <v>5264</v>
      </c>
      <c r="M26" s="6" t="s">
        <v>4581</v>
      </c>
      <c r="N26" s="6" t="s">
        <v>4582</v>
      </c>
      <c r="R26" s="5" t="s">
        <v>162</v>
      </c>
      <c r="S26" s="6" t="s">
        <v>163</v>
      </c>
      <c r="T26" s="5" t="s">
        <v>162</v>
      </c>
      <c r="U26" s="5" t="s">
        <v>228</v>
      </c>
      <c r="V26" s="6" t="s">
        <v>5265</v>
      </c>
      <c r="W26" s="6" t="s">
        <v>166</v>
      </c>
      <c r="X26" s="6" t="s">
        <v>4586</v>
      </c>
      <c r="Y26" s="6" t="n">
        <f aca="false">IF(EB26&lt;&gt;"Y","",COUNTIFS($EB$2:$EB$1000,"Y",$J$2:$J$1000,"&gt;"&amp;J26)+COUNTIFS($EB$2:$EB$1000,"Y",$J$2:$J$1000,J26,$ED$2:$ED$1000,"&lt;"&amp;ED26)+1)</f>
        <v>22</v>
      </c>
      <c r="Z26" s="0" t="n">
        <v>25</v>
      </c>
      <c r="AA26" s="6" t="s">
        <v>168</v>
      </c>
      <c r="AB26" s="6" t="s">
        <v>5266</v>
      </c>
      <c r="AC26" s="6" t="s">
        <v>4588</v>
      </c>
      <c r="AD26" s="6" t="s">
        <v>171</v>
      </c>
      <c r="AE26" s="6" t="s">
        <v>172</v>
      </c>
      <c r="AF26" s="6" t="s">
        <v>5267</v>
      </c>
      <c r="AG26" s="6" t="s">
        <v>174</v>
      </c>
      <c r="AH26" s="6" t="s">
        <v>5268</v>
      </c>
      <c r="AI26" s="6" t="s">
        <v>4591</v>
      </c>
      <c r="AJ26" s="6" t="s">
        <v>5269</v>
      </c>
      <c r="AK26" s="6" t="s">
        <v>5270</v>
      </c>
      <c r="AL26" s="6" t="s">
        <v>168</v>
      </c>
      <c r="AM26" s="6" t="s">
        <v>5271</v>
      </c>
      <c r="AN26" s="6" t="s">
        <v>5259</v>
      </c>
      <c r="AO26" s="5" t="s">
        <v>162</v>
      </c>
      <c r="AR26" s="0" t="str">
        <f aca="false">IF(AND(AU26="pass",AO26&lt;&gt;"Y",C26&lt;&gt;""),"Y","N")</f>
        <v>Y</v>
      </c>
      <c r="AS26" s="0" t="str">
        <f aca="false">_xlfn.TEXTJOIN("; ",TRUE(),IF(AU26&lt;&gt;"pass","gated out",""),IF(AO26="Y","on hold: "&amp;AP26,""),IF(C26="","no contact named on an opened page",""))</f>
        <v/>
      </c>
      <c r="AU26" s="6" t="s">
        <v>181</v>
      </c>
      <c r="AW26" s="6" t="s">
        <v>182</v>
      </c>
      <c r="AX26" s="6" t="s">
        <v>5272</v>
      </c>
      <c r="AY26" s="6" t="s">
        <v>5270</v>
      </c>
      <c r="AZ26" s="6" t="s">
        <v>163</v>
      </c>
      <c r="BA26" s="6" t="s">
        <v>5273</v>
      </c>
      <c r="BB26" s="6" t="s">
        <v>163</v>
      </c>
      <c r="BD26" s="6" t="s">
        <v>168</v>
      </c>
      <c r="BE26" s="6" t="s">
        <v>5274</v>
      </c>
      <c r="BF26" s="6" t="s">
        <v>168</v>
      </c>
      <c r="BG26" s="6" t="s">
        <v>168</v>
      </c>
      <c r="BH26" s="6" t="s">
        <v>163</v>
      </c>
      <c r="BJ26" s="6" t="s">
        <v>163</v>
      </c>
      <c r="BK26" s="6" t="s">
        <v>162</v>
      </c>
      <c r="BL26" s="6" t="s">
        <v>162</v>
      </c>
      <c r="BN26" s="0" t="n">
        <v>0</v>
      </c>
      <c r="BO26" s="6" t="s">
        <v>168</v>
      </c>
      <c r="BP26" s="0" t="n">
        <v>3</v>
      </c>
      <c r="BQ26" s="6" t="s">
        <v>4670</v>
      </c>
      <c r="BR26" s="6" t="s">
        <v>4671</v>
      </c>
      <c r="BS26" s="6" t="s">
        <v>5275</v>
      </c>
      <c r="BT26" s="6" t="s">
        <v>5276</v>
      </c>
      <c r="BU26" s="6" t="s">
        <v>158</v>
      </c>
      <c r="BX26" s="6" t="s">
        <v>5277</v>
      </c>
      <c r="BY26" s="6" t="s">
        <v>5278</v>
      </c>
      <c r="CA26" s="6" t="s">
        <v>5279</v>
      </c>
      <c r="CB26" s="6" t="s">
        <v>5280</v>
      </c>
      <c r="CC26" s="6" t="s">
        <v>5281</v>
      </c>
      <c r="CD26" s="6" t="s">
        <v>5282</v>
      </c>
      <c r="CE26" s="6" t="s">
        <v>4613</v>
      </c>
      <c r="CF26" s="6" t="s">
        <v>171</v>
      </c>
      <c r="CG26" s="6" t="s">
        <v>5283</v>
      </c>
      <c r="CK26" s="6" t="s">
        <v>158</v>
      </c>
      <c r="CL26" s="0" t="n">
        <v>62</v>
      </c>
      <c r="CM26" s="0" t="n">
        <v>25</v>
      </c>
      <c r="CN26" s="0" t="n">
        <v>17</v>
      </c>
      <c r="CO26" s="0" t="n">
        <v>0</v>
      </c>
      <c r="CP26" s="0" t="n">
        <v>5</v>
      </c>
      <c r="CQ26" s="0" t="n">
        <v>10</v>
      </c>
      <c r="CR26" s="0" t="n">
        <v>10</v>
      </c>
      <c r="CS26" s="6" t="n">
        <f aca="false">IF(R26="Y",10,0)</f>
        <v>0</v>
      </c>
      <c r="CT26" s="0" t="n">
        <v>-5</v>
      </c>
      <c r="CU26" s="6" t="s">
        <v>5284</v>
      </c>
      <c r="CV26" s="6" t="s">
        <v>4616</v>
      </c>
      <c r="CW26" s="6" t="s">
        <v>5285</v>
      </c>
      <c r="CX26" s="6" t="s">
        <v>5286</v>
      </c>
      <c r="CY26" s="6" t="s">
        <v>5287</v>
      </c>
      <c r="CZ26" s="6" t="s">
        <v>5267</v>
      </c>
      <c r="DA26" s="6" t="s">
        <v>4621</v>
      </c>
      <c r="DC26" s="6" t="s">
        <v>172</v>
      </c>
      <c r="DY26" s="0" t="str">
        <f aca="false">IF(ISNUMBER(MATCH(U26,{"queued","contacted","replied","call_booked","call_done","yes_in_principle","materials_sent"},0)),"Y","N")</f>
        <v>N</v>
      </c>
      <c r="DZ26" s="0" t="str">
        <f aca="false">IF(COUNTIFS($AN$2:$AN$1000,AN26,$DY$2:$DY$1000,"Y")+COUNTIFS($AN$2:$AN$1000,AN26,$T$2:$T$1000,"Y")&gt;0,"Y","N")</f>
        <v>N</v>
      </c>
      <c r="EA26" s="0" t="str">
        <f aca="false">IF(AND(U26="new",T26="N",AR26="Y",AQ26="",DZ26="N"),"Y","N")</f>
        <v>Y</v>
      </c>
      <c r="EB26" s="0" t="str">
        <f aca="false">IF(EA26&lt;&gt;"Y","N",IF(COUNTIFS($AN$2:$AN$1000,AN26,$EA$2:$EA$1000,"Y",$J$2:$J$1000,"&gt;"&amp;J26)+COUNTIFS($AN$2:$AN$1000,AN26,$EA$2:$EA$1000,"Y",$J$2:$J$1000,J26,$ED$2:$ED$1000,"&lt;"&amp;ED26)=0,"Y","N"))</f>
        <v>Y</v>
      </c>
      <c r="EC26" s="0" t="str">
        <f aca="false">IF(Y26="","N",IF(Y26&lt;=10,"Y","N"))</f>
        <v>N</v>
      </c>
      <c r="ED26" s="6" t="n">
        <f aca="false">ROW()-1</f>
        <v>25</v>
      </c>
    </row>
    <row r="27" customFormat="false" ht="15" hidden="false" customHeight="false" outlineLevel="0" collapsed="false">
      <c r="A27" s="0" t="s">
        <v>5288</v>
      </c>
      <c r="B27" s="0" t="s">
        <v>5289</v>
      </c>
      <c r="C27" s="0" t="s">
        <v>1334</v>
      </c>
      <c r="D27" s="0" t="s">
        <v>5290</v>
      </c>
      <c r="E27" s="0" t="s">
        <v>4626</v>
      </c>
      <c r="F27" s="0" t="s">
        <v>5291</v>
      </c>
      <c r="H27" s="5" t="s">
        <v>158</v>
      </c>
      <c r="I27" s="5" t="s">
        <v>159</v>
      </c>
      <c r="J27" s="6" t="n">
        <f aca="false">IF(AU27="pass",CM27+CN27+CO27+CP27+CQ27+CR27+CS27+CT27,0)</f>
        <v>62</v>
      </c>
      <c r="K27" s="6" t="s">
        <v>5292</v>
      </c>
      <c r="M27" s="6" t="s">
        <v>5293</v>
      </c>
      <c r="N27" s="6" t="s">
        <v>598</v>
      </c>
      <c r="O27" s="6" t="s">
        <v>5294</v>
      </c>
      <c r="P27" s="6" t="s">
        <v>5295</v>
      </c>
      <c r="Q27" s="6" t="s">
        <v>1776</v>
      </c>
      <c r="R27" s="5" t="s">
        <v>162</v>
      </c>
      <c r="S27" s="6" t="s">
        <v>168</v>
      </c>
      <c r="T27" s="5" t="s">
        <v>162</v>
      </c>
      <c r="U27" s="5" t="s">
        <v>228</v>
      </c>
      <c r="V27" s="6" t="s">
        <v>5296</v>
      </c>
      <c r="W27" s="6" t="s">
        <v>174</v>
      </c>
      <c r="X27" s="6" t="s">
        <v>4586</v>
      </c>
      <c r="Y27" s="6" t="n">
        <f aca="false">IF(EB27&lt;&gt;"Y","",COUNTIFS($EB$2:$EB$1000,"Y",$J$2:$J$1000,"&gt;"&amp;J27)+COUNTIFS($EB$2:$EB$1000,"Y",$J$2:$J$1000,J27,$ED$2:$ED$1000,"&lt;"&amp;ED27)+1)</f>
        <v>23</v>
      </c>
      <c r="Z27" s="0" t="n">
        <v>26</v>
      </c>
      <c r="AA27" s="6" t="s">
        <v>168</v>
      </c>
      <c r="AC27" s="6" t="s">
        <v>4588</v>
      </c>
      <c r="AD27" s="6" t="s">
        <v>171</v>
      </c>
      <c r="AE27" s="6" t="s">
        <v>1190</v>
      </c>
      <c r="AF27" s="6" t="s">
        <v>5297</v>
      </c>
      <c r="AG27" s="6" t="s">
        <v>174</v>
      </c>
      <c r="AH27" s="6" t="s">
        <v>5298</v>
      </c>
      <c r="AI27" s="6" t="s">
        <v>4665</v>
      </c>
      <c r="AJ27" s="6" t="s">
        <v>5299</v>
      </c>
      <c r="AK27" s="6" t="s">
        <v>5300</v>
      </c>
      <c r="AL27" s="6" t="s">
        <v>162</v>
      </c>
      <c r="AN27" s="6" t="s">
        <v>5288</v>
      </c>
      <c r="AO27" s="5" t="s">
        <v>162</v>
      </c>
      <c r="AR27" s="0" t="str">
        <f aca="false">IF(AND(AU27="pass",AO27&lt;&gt;"Y",C27&lt;&gt;""),"Y","N")</f>
        <v>Y</v>
      </c>
      <c r="AS27" s="0" t="str">
        <f aca="false">_xlfn.TEXTJOIN("; ",TRUE(),IF(AU27&lt;&gt;"pass","gated out",""),IF(AO27="Y","on hold: "&amp;AP27,""),IF(C27="","no contact named on an opened page",""))</f>
        <v/>
      </c>
      <c r="AU27" s="6" t="s">
        <v>181</v>
      </c>
      <c r="AW27" s="6" t="s">
        <v>182</v>
      </c>
      <c r="AY27" s="6" t="s">
        <v>5300</v>
      </c>
      <c r="AZ27" s="6" t="s">
        <v>4596</v>
      </c>
      <c r="BA27" s="6" t="s">
        <v>4597</v>
      </c>
      <c r="BB27" s="6" t="s">
        <v>163</v>
      </c>
      <c r="BD27" s="6" t="s">
        <v>168</v>
      </c>
      <c r="BE27" s="6" t="s">
        <v>5301</v>
      </c>
      <c r="BF27" s="6" t="s">
        <v>168</v>
      </c>
      <c r="BG27" s="6" t="s">
        <v>168</v>
      </c>
      <c r="BH27" s="6" t="s">
        <v>163</v>
      </c>
      <c r="BJ27" s="6" t="s">
        <v>5145</v>
      </c>
      <c r="BK27" s="6" t="s">
        <v>162</v>
      </c>
      <c r="BL27" s="6" t="s">
        <v>162</v>
      </c>
      <c r="BO27" s="6" t="s">
        <v>162</v>
      </c>
      <c r="BP27" s="0" t="n">
        <v>0</v>
      </c>
      <c r="BR27" s="6" t="s">
        <v>5302</v>
      </c>
      <c r="BS27" s="6" t="s">
        <v>5303</v>
      </c>
      <c r="BT27" s="6" t="s">
        <v>5304</v>
      </c>
      <c r="BU27" s="6" t="s">
        <v>4605</v>
      </c>
      <c r="BV27" s="0" t="n">
        <v>144</v>
      </c>
      <c r="BW27" s="6" t="s">
        <v>5136</v>
      </c>
      <c r="BX27" s="6" t="s">
        <v>5305</v>
      </c>
      <c r="BY27" s="6" t="s">
        <v>5306</v>
      </c>
      <c r="BZ27" s="6" t="s">
        <v>4608</v>
      </c>
      <c r="CA27" s="6" t="s">
        <v>5307</v>
      </c>
      <c r="CB27" s="6" t="s">
        <v>5308</v>
      </c>
      <c r="CC27" s="6" t="s">
        <v>5309</v>
      </c>
      <c r="CD27" s="6" t="s">
        <v>4626</v>
      </c>
      <c r="CE27" s="6" t="s">
        <v>4810</v>
      </c>
      <c r="CF27" s="6" t="s">
        <v>171</v>
      </c>
      <c r="CG27" s="6" t="s">
        <v>5310</v>
      </c>
      <c r="CH27" s="6" t="s">
        <v>5311</v>
      </c>
      <c r="CK27" s="6" t="s">
        <v>158</v>
      </c>
      <c r="CL27" s="0" t="n">
        <v>62</v>
      </c>
      <c r="CM27" s="0" t="n">
        <v>6</v>
      </c>
      <c r="CN27" s="0" t="n">
        <v>20</v>
      </c>
      <c r="CO27" s="0" t="n">
        <v>15</v>
      </c>
      <c r="CP27" s="0" t="n">
        <v>5</v>
      </c>
      <c r="CQ27" s="0" t="n">
        <v>10</v>
      </c>
      <c r="CR27" s="0" t="n">
        <v>6</v>
      </c>
      <c r="CS27" s="6" t="n">
        <f aca="false">IF(R27="Y",10,0)</f>
        <v>0</v>
      </c>
      <c r="CT27" s="0" t="n">
        <v>0</v>
      </c>
      <c r="CU27" s="6" t="s">
        <v>5312</v>
      </c>
      <c r="CV27" s="6" t="s">
        <v>5152</v>
      </c>
      <c r="CW27" s="6" t="s">
        <v>5313</v>
      </c>
      <c r="CX27" s="6" t="s">
        <v>5314</v>
      </c>
      <c r="CZ27" s="6" t="s">
        <v>5297</v>
      </c>
      <c r="DA27" s="6" t="s">
        <v>4621</v>
      </c>
      <c r="DC27" s="6" t="s">
        <v>1190</v>
      </c>
      <c r="DY27" s="0" t="str">
        <f aca="false">IF(ISNUMBER(MATCH(U27,{"queued","contacted","replied","call_booked","call_done","yes_in_principle","materials_sent"},0)),"Y","N")</f>
        <v>N</v>
      </c>
      <c r="DZ27" s="0" t="str">
        <f aca="false">IF(COUNTIFS($AN$2:$AN$1000,AN27,$DY$2:$DY$1000,"Y")+COUNTIFS($AN$2:$AN$1000,AN27,$T$2:$T$1000,"Y")&gt;0,"Y","N")</f>
        <v>N</v>
      </c>
      <c r="EA27" s="0" t="str">
        <f aca="false">IF(AND(U27="new",T27="N",AR27="Y",AQ27="",DZ27="N"),"Y","N")</f>
        <v>Y</v>
      </c>
      <c r="EB27" s="0" t="str">
        <f aca="false">IF(EA27&lt;&gt;"Y","N",IF(COUNTIFS($AN$2:$AN$1000,AN27,$EA$2:$EA$1000,"Y",$J$2:$J$1000,"&gt;"&amp;J27)+COUNTIFS($AN$2:$AN$1000,AN27,$EA$2:$EA$1000,"Y",$J$2:$J$1000,J27,$ED$2:$ED$1000,"&lt;"&amp;ED27)=0,"Y","N"))</f>
        <v>Y</v>
      </c>
      <c r="EC27" s="0" t="str">
        <f aca="false">IF(Y27="","N",IF(Y27&lt;=10,"Y","N"))</f>
        <v>N</v>
      </c>
      <c r="ED27" s="6" t="n">
        <f aca="false">ROW()-1</f>
        <v>26</v>
      </c>
    </row>
    <row r="28" customFormat="false" ht="15" hidden="false" customHeight="false" outlineLevel="0" collapsed="false">
      <c r="A28" s="0" t="s">
        <v>5315</v>
      </c>
      <c r="B28" s="0" t="s">
        <v>5316</v>
      </c>
      <c r="C28" s="0" t="s">
        <v>487</v>
      </c>
      <c r="D28" s="0" t="s">
        <v>5317</v>
      </c>
      <c r="E28" s="0" t="s">
        <v>5318</v>
      </c>
      <c r="H28" s="5" t="s">
        <v>158</v>
      </c>
      <c r="I28" s="5" t="s">
        <v>159</v>
      </c>
      <c r="J28" s="6" t="n">
        <f aca="false">IF(AU28="pass",CM28+CN28+CO28+CP28+CQ28+CR28+CS28+CT28,0)</f>
        <v>61</v>
      </c>
      <c r="K28" s="6" t="s">
        <v>5319</v>
      </c>
      <c r="M28" s="6" t="s">
        <v>4581</v>
      </c>
      <c r="N28" s="6" t="s">
        <v>4582</v>
      </c>
      <c r="O28" s="6" t="s">
        <v>5320</v>
      </c>
      <c r="P28" s="6" t="s">
        <v>5321</v>
      </c>
      <c r="Q28" s="6" t="s">
        <v>5322</v>
      </c>
      <c r="R28" s="5" t="s">
        <v>162</v>
      </c>
      <c r="S28" s="6" t="s">
        <v>163</v>
      </c>
      <c r="T28" s="5" t="s">
        <v>162</v>
      </c>
      <c r="U28" s="5" t="s">
        <v>228</v>
      </c>
      <c r="V28" s="6" t="s">
        <v>5323</v>
      </c>
      <c r="W28" s="6" t="s">
        <v>166</v>
      </c>
      <c r="X28" s="6" t="s">
        <v>4586</v>
      </c>
      <c r="Y28" s="6" t="n">
        <f aca="false">IF(EB28&lt;&gt;"Y","",COUNTIFS($EB$2:$EB$1000,"Y",$J$2:$J$1000,"&gt;"&amp;J28)+COUNTIFS($EB$2:$EB$1000,"Y",$J$2:$J$1000,J28,$ED$2:$ED$1000,"&lt;"&amp;ED28)+1)</f>
        <v>24</v>
      </c>
      <c r="Z28" s="0" t="n">
        <v>27</v>
      </c>
      <c r="AA28" s="6" t="s">
        <v>168</v>
      </c>
      <c r="AB28" s="6" t="s">
        <v>5324</v>
      </c>
      <c r="AC28" s="6" t="s">
        <v>5325</v>
      </c>
      <c r="AD28" s="6" t="s">
        <v>171</v>
      </c>
      <c r="AE28" s="6" t="s">
        <v>1190</v>
      </c>
      <c r="AF28" s="6" t="s">
        <v>5321</v>
      </c>
      <c r="AG28" s="6" t="s">
        <v>174</v>
      </c>
      <c r="AH28" s="6" t="s">
        <v>5326</v>
      </c>
      <c r="AI28" s="6" t="s">
        <v>4634</v>
      </c>
      <c r="AJ28" s="6" t="s">
        <v>5327</v>
      </c>
      <c r="AL28" s="6" t="s">
        <v>168</v>
      </c>
      <c r="AM28" s="6" t="s">
        <v>5328</v>
      </c>
      <c r="AN28" s="6" t="s">
        <v>5315</v>
      </c>
      <c r="AO28" s="5" t="s">
        <v>162</v>
      </c>
      <c r="AR28" s="0" t="str">
        <f aca="false">IF(AND(AU28="pass",AO28&lt;&gt;"Y",C28&lt;&gt;""),"Y","N")</f>
        <v>Y</v>
      </c>
      <c r="AS28" s="0" t="str">
        <f aca="false">_xlfn.TEXTJOIN("; ",TRUE(),IF(AU28&lt;&gt;"pass","gated out",""),IF(AO28="Y","on hold: "&amp;AP28,""),IF(C28="","no contact named on an opened page",""))</f>
        <v/>
      </c>
      <c r="AU28" s="6" t="s">
        <v>181</v>
      </c>
      <c r="AW28" s="6" t="s">
        <v>182</v>
      </c>
      <c r="AX28" s="6" t="s">
        <v>283</v>
      </c>
      <c r="AY28" s="6" t="s">
        <v>5329</v>
      </c>
      <c r="AZ28" s="6" t="s">
        <v>5330</v>
      </c>
      <c r="BA28" s="6" t="s">
        <v>5331</v>
      </c>
      <c r="BB28" s="6" t="s">
        <v>163</v>
      </c>
      <c r="BD28" s="6" t="s">
        <v>168</v>
      </c>
      <c r="BE28" s="6" t="s">
        <v>5332</v>
      </c>
      <c r="BF28" s="6" t="s">
        <v>162</v>
      </c>
      <c r="BG28" s="6" t="s">
        <v>163</v>
      </c>
      <c r="BH28" s="6" t="s">
        <v>163</v>
      </c>
      <c r="BJ28" s="6" t="s">
        <v>163</v>
      </c>
      <c r="BK28" s="6" t="s">
        <v>162</v>
      </c>
      <c r="BL28" s="6" t="s">
        <v>162</v>
      </c>
      <c r="BN28" s="0" t="n">
        <v>0</v>
      </c>
      <c r="BO28" s="6" t="s">
        <v>168</v>
      </c>
      <c r="BP28" s="0" t="n">
        <v>3</v>
      </c>
      <c r="BQ28" s="6" t="s">
        <v>4670</v>
      </c>
      <c r="BS28" s="6" t="s">
        <v>4983</v>
      </c>
      <c r="BT28" s="6" t="s">
        <v>5333</v>
      </c>
      <c r="BU28" s="6" t="s">
        <v>4605</v>
      </c>
      <c r="BV28" s="0" t="n">
        <v>106</v>
      </c>
      <c r="BX28" s="6" t="s">
        <v>5334</v>
      </c>
      <c r="BY28" s="6" t="s">
        <v>5335</v>
      </c>
      <c r="CA28" s="6" t="s">
        <v>5336</v>
      </c>
      <c r="CB28" s="6" t="s">
        <v>5048</v>
      </c>
      <c r="CC28" s="6" t="s">
        <v>5337</v>
      </c>
      <c r="CD28" s="6" t="s">
        <v>5338</v>
      </c>
      <c r="CE28" s="6" t="s">
        <v>4613</v>
      </c>
      <c r="CF28" s="6" t="s">
        <v>171</v>
      </c>
      <c r="CG28" s="6" t="s">
        <v>5339</v>
      </c>
      <c r="CK28" s="6" t="s">
        <v>158</v>
      </c>
      <c r="CL28" s="0" t="n">
        <v>61</v>
      </c>
      <c r="CM28" s="0" t="n">
        <v>25</v>
      </c>
      <c r="CN28" s="0" t="n">
        <v>3</v>
      </c>
      <c r="CO28" s="0" t="n">
        <v>15</v>
      </c>
      <c r="CP28" s="0" t="n">
        <v>5</v>
      </c>
      <c r="CQ28" s="0" t="n">
        <v>5</v>
      </c>
      <c r="CR28" s="0" t="n">
        <v>10</v>
      </c>
      <c r="CS28" s="6" t="n">
        <f aca="false">IF(R28="Y",10,0)</f>
        <v>0</v>
      </c>
      <c r="CT28" s="0" t="n">
        <v>-2</v>
      </c>
      <c r="CU28" s="6" t="s">
        <v>163</v>
      </c>
      <c r="CV28" s="6" t="s">
        <v>4843</v>
      </c>
      <c r="CW28" s="6" t="s">
        <v>5340</v>
      </c>
      <c r="CX28" s="6" t="s">
        <v>5341</v>
      </c>
      <c r="CY28" s="6" t="s">
        <v>5342</v>
      </c>
      <c r="CZ28" s="6" t="s">
        <v>5343</v>
      </c>
      <c r="DA28" s="6" t="s">
        <v>4621</v>
      </c>
      <c r="DB28" s="6" t="s">
        <v>5344</v>
      </c>
      <c r="DC28" s="6" t="s">
        <v>1190</v>
      </c>
      <c r="DD28" s="6" t="s">
        <v>4768</v>
      </c>
      <c r="DY28" s="0" t="str">
        <f aca="false">IF(ISNUMBER(MATCH(U28,{"queued","contacted","replied","call_booked","call_done","yes_in_principle","materials_sent"},0)),"Y","N")</f>
        <v>N</v>
      </c>
      <c r="DZ28" s="0" t="str">
        <f aca="false">IF(COUNTIFS($AN$2:$AN$1000,AN28,$DY$2:$DY$1000,"Y")+COUNTIFS($AN$2:$AN$1000,AN28,$T$2:$T$1000,"Y")&gt;0,"Y","N")</f>
        <v>N</v>
      </c>
      <c r="EA28" s="0" t="str">
        <f aca="false">IF(AND(U28="new",T28="N",AR28="Y",AQ28="",DZ28="N"),"Y","N")</f>
        <v>Y</v>
      </c>
      <c r="EB28" s="0" t="str">
        <f aca="false">IF(EA28&lt;&gt;"Y","N",IF(COUNTIFS($AN$2:$AN$1000,AN28,$EA$2:$EA$1000,"Y",$J$2:$J$1000,"&gt;"&amp;J28)+COUNTIFS($AN$2:$AN$1000,AN28,$EA$2:$EA$1000,"Y",$J$2:$J$1000,J28,$ED$2:$ED$1000,"&lt;"&amp;ED28)=0,"Y","N"))</f>
        <v>Y</v>
      </c>
      <c r="EC28" s="0" t="str">
        <f aca="false">IF(Y28="","N",IF(Y28&lt;=10,"Y","N"))</f>
        <v>N</v>
      </c>
      <c r="ED28" s="6" t="n">
        <f aca="false">ROW()-1</f>
        <v>27</v>
      </c>
    </row>
    <row r="29" customFormat="false" ht="15" hidden="false" customHeight="false" outlineLevel="0" collapsed="false">
      <c r="A29" s="0" t="s">
        <v>5345</v>
      </c>
      <c r="B29" s="0" t="s">
        <v>5346</v>
      </c>
      <c r="C29" s="0" t="s">
        <v>5347</v>
      </c>
      <c r="D29" s="0" t="s">
        <v>5348</v>
      </c>
      <c r="E29" s="0" t="s">
        <v>5349</v>
      </c>
      <c r="H29" s="5" t="s">
        <v>158</v>
      </c>
      <c r="I29" s="5" t="s">
        <v>159</v>
      </c>
      <c r="J29" s="6" t="n">
        <f aca="false">IF(AU29="pass",CM29+CN29+CO29+CP29+CQ29+CR29+CS29+CT29,0)</f>
        <v>61</v>
      </c>
      <c r="K29" s="6" t="s">
        <v>5350</v>
      </c>
      <c r="M29" s="6" t="s">
        <v>4628</v>
      </c>
      <c r="N29" s="6" t="s">
        <v>4582</v>
      </c>
      <c r="O29" s="6" t="s">
        <v>5351</v>
      </c>
      <c r="P29" s="6" t="s">
        <v>5352</v>
      </c>
      <c r="Q29" s="6" t="s">
        <v>2159</v>
      </c>
      <c r="R29" s="5" t="s">
        <v>162</v>
      </c>
      <c r="S29" s="6" t="s">
        <v>163</v>
      </c>
      <c r="T29" s="5" t="s">
        <v>162</v>
      </c>
      <c r="U29" s="5" t="s">
        <v>228</v>
      </c>
      <c r="V29" s="6" t="s">
        <v>5353</v>
      </c>
      <c r="W29" s="6" t="s">
        <v>166</v>
      </c>
      <c r="X29" s="6" t="s">
        <v>4586</v>
      </c>
      <c r="Y29" s="6" t="n">
        <f aca="false">IF(EB29&lt;&gt;"Y","",COUNTIFS($EB$2:$EB$1000,"Y",$J$2:$J$1000,"&gt;"&amp;J29)+COUNTIFS($EB$2:$EB$1000,"Y",$J$2:$J$1000,J29,$ED$2:$ED$1000,"&lt;"&amp;ED29)+1)</f>
        <v>25</v>
      </c>
      <c r="Z29" s="0" t="n">
        <v>28</v>
      </c>
      <c r="AA29" s="6" t="s">
        <v>168</v>
      </c>
      <c r="AB29" s="6" t="s">
        <v>5354</v>
      </c>
      <c r="AC29" s="6" t="s">
        <v>4588</v>
      </c>
      <c r="AD29" s="6" t="s">
        <v>171</v>
      </c>
      <c r="AE29" s="6" t="s">
        <v>172</v>
      </c>
      <c r="AF29" s="6" t="s">
        <v>5353</v>
      </c>
      <c r="AG29" s="6" t="s">
        <v>174</v>
      </c>
      <c r="AH29" s="6" t="s">
        <v>5355</v>
      </c>
      <c r="AI29" s="6" t="s">
        <v>4634</v>
      </c>
      <c r="AJ29" s="6" t="s">
        <v>5356</v>
      </c>
      <c r="AK29" s="6" t="s">
        <v>5357</v>
      </c>
      <c r="AL29" s="6" t="s">
        <v>162</v>
      </c>
      <c r="AN29" s="6" t="s">
        <v>5345</v>
      </c>
      <c r="AO29" s="5" t="s">
        <v>162</v>
      </c>
      <c r="AR29" s="0" t="str">
        <f aca="false">IF(AND(AU29="pass",AO29&lt;&gt;"Y",C29&lt;&gt;""),"Y","N")</f>
        <v>Y</v>
      </c>
      <c r="AS29" s="0" t="str">
        <f aca="false">_xlfn.TEXTJOIN("; ",TRUE(),IF(AU29&lt;&gt;"pass","gated out",""),IF(AO29="Y","on hold: "&amp;AP29,""),IF(C29="","no contact named on an opened page",""))</f>
        <v/>
      </c>
      <c r="AU29" s="6" t="s">
        <v>181</v>
      </c>
      <c r="AW29" s="6" t="s">
        <v>182</v>
      </c>
      <c r="AY29" s="6" t="s">
        <v>5357</v>
      </c>
      <c r="AZ29" s="6" t="s">
        <v>5358</v>
      </c>
      <c r="BA29" s="6" t="s">
        <v>5331</v>
      </c>
      <c r="BB29" s="6" t="s">
        <v>163</v>
      </c>
      <c r="BD29" s="6" t="s">
        <v>168</v>
      </c>
      <c r="BE29" s="6" t="s">
        <v>5359</v>
      </c>
      <c r="BF29" s="6" t="s">
        <v>168</v>
      </c>
      <c r="BG29" s="6" t="s">
        <v>168</v>
      </c>
      <c r="BH29" s="6" t="s">
        <v>163</v>
      </c>
      <c r="BJ29" s="6" t="s">
        <v>163</v>
      </c>
      <c r="BK29" s="6" t="s">
        <v>162</v>
      </c>
      <c r="BL29" s="6" t="s">
        <v>162</v>
      </c>
      <c r="BN29" s="0" t="n">
        <v>0</v>
      </c>
      <c r="BO29" s="6" t="s">
        <v>168</v>
      </c>
      <c r="BP29" s="0" t="n">
        <v>1</v>
      </c>
      <c r="BQ29" s="6" t="s">
        <v>4638</v>
      </c>
      <c r="BS29" s="6" t="s">
        <v>5360</v>
      </c>
      <c r="BT29" s="6" t="s">
        <v>5361</v>
      </c>
      <c r="BU29" s="6" t="s">
        <v>4695</v>
      </c>
      <c r="BV29" s="0" t="n">
        <v>176</v>
      </c>
      <c r="BX29" s="6" t="s">
        <v>5362</v>
      </c>
      <c r="BY29" s="6" t="s">
        <v>5363</v>
      </c>
      <c r="CA29" s="6" t="s">
        <v>5364</v>
      </c>
      <c r="CB29" s="6" t="s">
        <v>5365</v>
      </c>
      <c r="CC29" s="6" t="s">
        <v>5366</v>
      </c>
      <c r="CD29" s="6" t="s">
        <v>5367</v>
      </c>
      <c r="CE29" s="6" t="s">
        <v>4613</v>
      </c>
      <c r="CF29" s="6" t="s">
        <v>171</v>
      </c>
      <c r="CG29" s="6" t="s">
        <v>5368</v>
      </c>
      <c r="CK29" s="6" t="s">
        <v>158</v>
      </c>
      <c r="CL29" s="0" t="n">
        <v>61</v>
      </c>
      <c r="CM29" s="0" t="n">
        <v>25</v>
      </c>
      <c r="CN29" s="0" t="n">
        <v>3</v>
      </c>
      <c r="CO29" s="0" t="n">
        <v>8</v>
      </c>
      <c r="CP29" s="0" t="n">
        <v>5</v>
      </c>
      <c r="CQ29" s="0" t="n">
        <v>10</v>
      </c>
      <c r="CR29" s="0" t="n">
        <v>10</v>
      </c>
      <c r="CS29" s="6" t="n">
        <f aca="false">IF(R29="Y",10,0)</f>
        <v>0</v>
      </c>
      <c r="CT29" s="0" t="n">
        <v>0</v>
      </c>
      <c r="CU29" s="6" t="s">
        <v>163</v>
      </c>
      <c r="CV29" s="6" t="s">
        <v>4843</v>
      </c>
      <c r="CW29" s="6" t="s">
        <v>5369</v>
      </c>
      <c r="CX29" s="6" t="s">
        <v>5370</v>
      </c>
      <c r="CY29" s="6" t="s">
        <v>5371</v>
      </c>
      <c r="CZ29" s="6" t="s">
        <v>5353</v>
      </c>
      <c r="DA29" s="6" t="s">
        <v>4621</v>
      </c>
      <c r="DC29" s="6" t="s">
        <v>172</v>
      </c>
      <c r="DD29" s="6" t="s">
        <v>5372</v>
      </c>
      <c r="DY29" s="0" t="str">
        <f aca="false">IF(ISNUMBER(MATCH(U29,{"queued","contacted","replied","call_booked","call_done","yes_in_principle","materials_sent"},0)),"Y","N")</f>
        <v>N</v>
      </c>
      <c r="DZ29" s="0" t="str">
        <f aca="false">IF(COUNTIFS($AN$2:$AN$1000,AN29,$DY$2:$DY$1000,"Y")+COUNTIFS($AN$2:$AN$1000,AN29,$T$2:$T$1000,"Y")&gt;0,"Y","N")</f>
        <v>N</v>
      </c>
      <c r="EA29" s="0" t="str">
        <f aca="false">IF(AND(U29="new",T29="N",AR29="Y",AQ29="",DZ29="N"),"Y","N")</f>
        <v>Y</v>
      </c>
      <c r="EB29" s="0" t="str">
        <f aca="false">IF(EA29&lt;&gt;"Y","N",IF(COUNTIFS($AN$2:$AN$1000,AN29,$EA$2:$EA$1000,"Y",$J$2:$J$1000,"&gt;"&amp;J29)+COUNTIFS($AN$2:$AN$1000,AN29,$EA$2:$EA$1000,"Y",$J$2:$J$1000,J29,$ED$2:$ED$1000,"&lt;"&amp;ED29)=0,"Y","N"))</f>
        <v>Y</v>
      </c>
      <c r="EC29" s="0" t="str">
        <f aca="false">IF(Y29="","N",IF(Y29&lt;=10,"Y","N"))</f>
        <v>N</v>
      </c>
      <c r="ED29" s="6" t="n">
        <f aca="false">ROW()-1</f>
        <v>28</v>
      </c>
    </row>
    <row r="30" customFormat="false" ht="15" hidden="false" customHeight="false" outlineLevel="0" collapsed="false">
      <c r="A30" s="0" t="s">
        <v>5373</v>
      </c>
      <c r="B30" s="0" t="s">
        <v>5374</v>
      </c>
      <c r="C30" s="0" t="s">
        <v>5375</v>
      </c>
      <c r="D30" s="0" t="s">
        <v>5376</v>
      </c>
      <c r="E30" s="0" t="s">
        <v>4912</v>
      </c>
      <c r="F30" s="0" t="s">
        <v>5377</v>
      </c>
      <c r="H30" s="5" t="s">
        <v>158</v>
      </c>
      <c r="I30" s="5" t="s">
        <v>159</v>
      </c>
      <c r="J30" s="6" t="n">
        <f aca="false">IF(AU30="pass",CM30+CN30+CO30+CP30+CQ30+CR30+CS30+CT30,0)</f>
        <v>60</v>
      </c>
      <c r="K30" s="6" t="s">
        <v>5378</v>
      </c>
      <c r="M30" s="6" t="s">
        <v>4581</v>
      </c>
      <c r="N30" s="6" t="s">
        <v>4582</v>
      </c>
      <c r="O30" s="6" t="s">
        <v>5379</v>
      </c>
      <c r="P30" s="6" t="s">
        <v>5380</v>
      </c>
      <c r="Q30" s="6" t="s">
        <v>2614</v>
      </c>
      <c r="R30" s="5" t="s">
        <v>162</v>
      </c>
      <c r="S30" s="6" t="s">
        <v>168</v>
      </c>
      <c r="T30" s="5" t="s">
        <v>162</v>
      </c>
      <c r="U30" s="5" t="s">
        <v>228</v>
      </c>
      <c r="V30" s="6" t="s">
        <v>5381</v>
      </c>
      <c r="W30" s="6" t="s">
        <v>166</v>
      </c>
      <c r="X30" s="6" t="s">
        <v>4586</v>
      </c>
      <c r="Y30" s="6" t="n">
        <f aca="false">IF(EB30&lt;&gt;"Y","",COUNTIFS($EB$2:$EB$1000,"Y",$J$2:$J$1000,"&gt;"&amp;J30)+COUNTIFS($EB$2:$EB$1000,"Y",$J$2:$J$1000,J30,$ED$2:$ED$1000,"&lt;"&amp;ED30)+1)</f>
        <v>26</v>
      </c>
      <c r="Z30" s="0" t="n">
        <v>29</v>
      </c>
      <c r="AA30" s="6" t="s">
        <v>168</v>
      </c>
      <c r="AB30" s="6" t="s">
        <v>5382</v>
      </c>
      <c r="AC30" s="6" t="s">
        <v>4588</v>
      </c>
      <c r="AD30" s="6" t="s">
        <v>171</v>
      </c>
      <c r="AE30" s="6" t="s">
        <v>231</v>
      </c>
      <c r="AF30" s="6" t="s">
        <v>5383</v>
      </c>
      <c r="AG30" s="6" t="s">
        <v>174</v>
      </c>
      <c r="AH30" s="6" t="s">
        <v>5384</v>
      </c>
      <c r="AI30" s="6" t="s">
        <v>5385</v>
      </c>
      <c r="AJ30" s="6" t="s">
        <v>5386</v>
      </c>
      <c r="AK30" s="6" t="s">
        <v>5381</v>
      </c>
      <c r="AL30" s="6" t="s">
        <v>168</v>
      </c>
      <c r="AM30" s="6" t="s">
        <v>5387</v>
      </c>
      <c r="AN30" s="6" t="s">
        <v>5373</v>
      </c>
      <c r="AO30" s="5" t="s">
        <v>162</v>
      </c>
      <c r="AR30" s="0" t="str">
        <f aca="false">IF(AND(AU30="pass",AO30&lt;&gt;"Y",C30&lt;&gt;""),"Y","N")</f>
        <v>Y</v>
      </c>
      <c r="AS30" s="0" t="str">
        <f aca="false">_xlfn.TEXTJOIN("; ",TRUE(),IF(AU30&lt;&gt;"pass","gated out",""),IF(AO30="Y","on hold: "&amp;AP30,""),IF(C30="","no contact named on an opened page",""))</f>
        <v/>
      </c>
      <c r="AU30" s="6" t="s">
        <v>181</v>
      </c>
      <c r="AW30" s="6" t="s">
        <v>182</v>
      </c>
      <c r="AX30" s="6" t="s">
        <v>4595</v>
      </c>
      <c r="AY30" s="6" t="s">
        <v>5381</v>
      </c>
      <c r="AZ30" s="6" t="s">
        <v>5388</v>
      </c>
      <c r="BA30" s="6" t="s">
        <v>5331</v>
      </c>
      <c r="BB30" s="6" t="s">
        <v>163</v>
      </c>
      <c r="BD30" s="6" t="s">
        <v>168</v>
      </c>
      <c r="BE30" s="6" t="s">
        <v>5389</v>
      </c>
      <c r="BF30" s="6" t="s">
        <v>168</v>
      </c>
      <c r="BG30" s="6" t="s">
        <v>168</v>
      </c>
      <c r="BH30" s="6" t="s">
        <v>163</v>
      </c>
      <c r="BJ30" s="6" t="s">
        <v>163</v>
      </c>
      <c r="BK30" s="6" t="s">
        <v>162</v>
      </c>
      <c r="BL30" s="6" t="s">
        <v>162</v>
      </c>
      <c r="BN30" s="0" t="n">
        <v>0</v>
      </c>
      <c r="BO30" s="6" t="s">
        <v>168</v>
      </c>
      <c r="BP30" s="0" t="n">
        <v>2</v>
      </c>
      <c r="BQ30" s="6" t="s">
        <v>4783</v>
      </c>
      <c r="BS30" s="6" t="s">
        <v>4983</v>
      </c>
      <c r="BT30" s="6" t="s">
        <v>5390</v>
      </c>
      <c r="BU30" s="6" t="s">
        <v>4605</v>
      </c>
      <c r="BV30" s="0" t="n">
        <v>5</v>
      </c>
      <c r="BW30" s="6" t="s">
        <v>5391</v>
      </c>
      <c r="BX30" s="6" t="s">
        <v>5392</v>
      </c>
      <c r="BY30" s="6" t="s">
        <v>5393</v>
      </c>
      <c r="BZ30" s="6" t="s">
        <v>4608</v>
      </c>
      <c r="CA30" s="6" t="s">
        <v>5394</v>
      </c>
      <c r="CB30" s="6" t="s">
        <v>5394</v>
      </c>
      <c r="CC30" s="6" t="s">
        <v>163</v>
      </c>
      <c r="CD30" s="6" t="s">
        <v>4626</v>
      </c>
      <c r="CE30" s="6" t="s">
        <v>4810</v>
      </c>
      <c r="CF30" s="6" t="s">
        <v>5010</v>
      </c>
      <c r="CG30" s="6" t="s">
        <v>5395</v>
      </c>
      <c r="CK30" s="6" t="s">
        <v>158</v>
      </c>
      <c r="CL30" s="0" t="n">
        <v>60</v>
      </c>
      <c r="CM30" s="0" t="n">
        <v>25</v>
      </c>
      <c r="CN30" s="0" t="n">
        <v>3</v>
      </c>
      <c r="CO30" s="0" t="n">
        <v>15</v>
      </c>
      <c r="CP30" s="0" t="n">
        <v>5</v>
      </c>
      <c r="CQ30" s="0" t="n">
        <v>10</v>
      </c>
      <c r="CR30" s="0" t="n">
        <v>6</v>
      </c>
      <c r="CS30" s="6" t="n">
        <f aca="false">IF(R30="Y",10,0)</f>
        <v>0</v>
      </c>
      <c r="CT30" s="0" t="n">
        <v>-4</v>
      </c>
      <c r="CU30" s="6" t="s">
        <v>163</v>
      </c>
      <c r="CV30" s="6" t="s">
        <v>4843</v>
      </c>
      <c r="CW30" s="6" t="s">
        <v>5396</v>
      </c>
      <c r="CX30" s="6" t="s">
        <v>5397</v>
      </c>
      <c r="CY30" s="6" t="s">
        <v>5398</v>
      </c>
      <c r="CZ30" s="6" t="s">
        <v>5399</v>
      </c>
      <c r="DA30" s="6" t="s">
        <v>4621</v>
      </c>
      <c r="DB30" s="6" t="s">
        <v>5400</v>
      </c>
      <c r="DC30" s="6" t="s">
        <v>172</v>
      </c>
      <c r="DY30" s="0" t="str">
        <f aca="false">IF(ISNUMBER(MATCH(U30,{"queued","contacted","replied","call_booked","call_done","yes_in_principle","materials_sent"},0)),"Y","N")</f>
        <v>N</v>
      </c>
      <c r="DZ30" s="0" t="str">
        <f aca="false">IF(COUNTIFS($AN$2:$AN$1000,AN30,$DY$2:$DY$1000,"Y")+COUNTIFS($AN$2:$AN$1000,AN30,$T$2:$T$1000,"Y")&gt;0,"Y","N")</f>
        <v>N</v>
      </c>
      <c r="EA30" s="0" t="str">
        <f aca="false">IF(AND(U30="new",T30="N",AR30="Y",AQ30="",DZ30="N"),"Y","N")</f>
        <v>Y</v>
      </c>
      <c r="EB30" s="0" t="str">
        <f aca="false">IF(EA30&lt;&gt;"Y","N",IF(COUNTIFS($AN$2:$AN$1000,AN30,$EA$2:$EA$1000,"Y",$J$2:$J$1000,"&gt;"&amp;J30)+COUNTIFS($AN$2:$AN$1000,AN30,$EA$2:$EA$1000,"Y",$J$2:$J$1000,J30,$ED$2:$ED$1000,"&lt;"&amp;ED30)=0,"Y","N"))</f>
        <v>Y</v>
      </c>
      <c r="EC30" s="0" t="str">
        <f aca="false">IF(Y30="","N",IF(Y30&lt;=10,"Y","N"))</f>
        <v>N</v>
      </c>
      <c r="ED30" s="6" t="n">
        <f aca="false">ROW()-1</f>
        <v>29</v>
      </c>
    </row>
    <row r="31" customFormat="false" ht="15" hidden="false" customHeight="false" outlineLevel="0" collapsed="false">
      <c r="A31" s="0" t="s">
        <v>5401</v>
      </c>
      <c r="B31" s="0" t="s">
        <v>5402</v>
      </c>
      <c r="C31" s="0" t="s">
        <v>5403</v>
      </c>
      <c r="D31" s="0" t="s">
        <v>5404</v>
      </c>
      <c r="E31" s="0" t="s">
        <v>4657</v>
      </c>
      <c r="H31" s="5" t="s">
        <v>158</v>
      </c>
      <c r="I31" s="5" t="s">
        <v>159</v>
      </c>
      <c r="J31" s="6" t="n">
        <f aca="false">IF(AU31="pass",CM31+CN31+CO31+CP31+CQ31+CR31+CS31+CT31,0)</f>
        <v>60</v>
      </c>
      <c r="K31" s="6" t="s">
        <v>5405</v>
      </c>
      <c r="M31" s="6" t="s">
        <v>4581</v>
      </c>
      <c r="N31" s="6" t="s">
        <v>4582</v>
      </c>
      <c r="O31" s="6" t="s">
        <v>5406</v>
      </c>
      <c r="P31" s="6" t="s">
        <v>5407</v>
      </c>
      <c r="Q31" s="6" t="s">
        <v>2390</v>
      </c>
      <c r="R31" s="5" t="s">
        <v>162</v>
      </c>
      <c r="S31" s="6" t="s">
        <v>163</v>
      </c>
      <c r="T31" s="5" t="s">
        <v>162</v>
      </c>
      <c r="U31" s="5" t="s">
        <v>228</v>
      </c>
      <c r="V31" s="6" t="s">
        <v>5408</v>
      </c>
      <c r="W31" s="6" t="s">
        <v>166</v>
      </c>
      <c r="X31" s="6" t="s">
        <v>4586</v>
      </c>
      <c r="Y31" s="6" t="n">
        <f aca="false">IF(EB31&lt;&gt;"Y","",COUNTIFS($EB$2:$EB$1000,"Y",$J$2:$J$1000,"&gt;"&amp;J31)+COUNTIFS($EB$2:$EB$1000,"Y",$J$2:$J$1000,J31,$ED$2:$ED$1000,"&lt;"&amp;ED31)+1)</f>
        <v>27</v>
      </c>
      <c r="Z31" s="0" t="n">
        <v>30</v>
      </c>
      <c r="AA31" s="6" t="s">
        <v>168</v>
      </c>
      <c r="AB31" s="6" t="s">
        <v>5409</v>
      </c>
      <c r="AC31" s="6" t="s">
        <v>4588</v>
      </c>
      <c r="AD31" s="6" t="s">
        <v>171</v>
      </c>
      <c r="AE31" s="6" t="s">
        <v>172</v>
      </c>
      <c r="AF31" s="6" t="s">
        <v>5408</v>
      </c>
      <c r="AG31" s="6" t="s">
        <v>174</v>
      </c>
      <c r="AH31" s="6" t="s">
        <v>5410</v>
      </c>
      <c r="AI31" s="6" t="s">
        <v>4665</v>
      </c>
      <c r="AJ31" s="6" t="s">
        <v>192</v>
      </c>
      <c r="AK31" s="6" t="s">
        <v>5411</v>
      </c>
      <c r="AL31" s="6" t="s">
        <v>168</v>
      </c>
      <c r="AM31" s="6" t="s">
        <v>5412</v>
      </c>
      <c r="AN31" s="6" t="s">
        <v>5401</v>
      </c>
      <c r="AO31" s="5" t="s">
        <v>162</v>
      </c>
      <c r="AR31" s="0" t="str">
        <f aca="false">IF(AND(AU31="pass",AO31&lt;&gt;"Y",C31&lt;&gt;""),"Y","N")</f>
        <v>Y</v>
      </c>
      <c r="AS31" s="0" t="str">
        <f aca="false">_xlfn.TEXTJOIN("; ",TRUE(),IF(AU31&lt;&gt;"pass","gated out",""),IF(AO31="Y","on hold: "&amp;AP31,""),IF(C31="","no contact named on an opened page",""))</f>
        <v/>
      </c>
      <c r="AU31" s="6" t="s">
        <v>181</v>
      </c>
      <c r="AW31" s="6" t="s">
        <v>182</v>
      </c>
      <c r="AX31" s="6" t="s">
        <v>5223</v>
      </c>
      <c r="AY31" s="6" t="s">
        <v>5411</v>
      </c>
      <c r="AZ31" s="6" t="s">
        <v>4596</v>
      </c>
      <c r="BA31" s="6" t="s">
        <v>4597</v>
      </c>
      <c r="BB31" s="6" t="s">
        <v>5413</v>
      </c>
      <c r="BC31" s="6" t="s">
        <v>5414</v>
      </c>
      <c r="BD31" s="6" t="s">
        <v>264</v>
      </c>
      <c r="BE31" s="6" t="s">
        <v>5415</v>
      </c>
      <c r="BF31" s="6" t="s">
        <v>168</v>
      </c>
      <c r="BG31" s="6" t="s">
        <v>168</v>
      </c>
      <c r="BH31" s="6" t="s">
        <v>163</v>
      </c>
      <c r="BJ31" s="6" t="s">
        <v>163</v>
      </c>
      <c r="BK31" s="6" t="s">
        <v>162</v>
      </c>
      <c r="BL31" s="6" t="s">
        <v>162</v>
      </c>
      <c r="BN31" s="0" t="n">
        <v>0</v>
      </c>
      <c r="BO31" s="6" t="s">
        <v>168</v>
      </c>
      <c r="BP31" s="0" t="n">
        <v>3</v>
      </c>
      <c r="BQ31" s="6" t="s">
        <v>4670</v>
      </c>
      <c r="BS31" s="6" t="s">
        <v>5416</v>
      </c>
      <c r="BT31" s="6" t="s">
        <v>5417</v>
      </c>
      <c r="BU31" s="6" t="s">
        <v>4605</v>
      </c>
      <c r="BV31" s="0" t="n">
        <v>288</v>
      </c>
      <c r="BX31" s="6" t="s">
        <v>5418</v>
      </c>
      <c r="BY31" s="6" t="s">
        <v>5419</v>
      </c>
      <c r="CA31" s="6" t="s">
        <v>5420</v>
      </c>
      <c r="CB31" s="6" t="s">
        <v>5421</v>
      </c>
      <c r="CC31" s="6" t="s">
        <v>5422</v>
      </c>
      <c r="CD31" s="6" t="s">
        <v>5263</v>
      </c>
      <c r="CE31" s="6" t="s">
        <v>4810</v>
      </c>
      <c r="CF31" s="6" t="s">
        <v>171</v>
      </c>
      <c r="CG31" s="6" t="s">
        <v>5423</v>
      </c>
      <c r="CK31" s="6" t="s">
        <v>158</v>
      </c>
      <c r="CL31" s="0" t="n">
        <v>60</v>
      </c>
      <c r="CM31" s="0" t="n">
        <v>25</v>
      </c>
      <c r="CN31" s="0" t="n">
        <v>20</v>
      </c>
      <c r="CO31" s="0" t="n">
        <v>8</v>
      </c>
      <c r="CP31" s="0" t="n">
        <v>5</v>
      </c>
      <c r="CQ31" s="0" t="n">
        <v>8</v>
      </c>
      <c r="CR31" s="0" t="n">
        <v>6</v>
      </c>
      <c r="CS31" s="6" t="n">
        <f aca="false">IF(R31="Y",10,0)</f>
        <v>0</v>
      </c>
      <c r="CT31" s="0" t="n">
        <v>-12</v>
      </c>
      <c r="CU31" s="6" t="s">
        <v>5424</v>
      </c>
      <c r="CV31" s="6" t="s">
        <v>4704</v>
      </c>
      <c r="CW31" s="6" t="s">
        <v>5425</v>
      </c>
      <c r="CX31" s="6" t="s">
        <v>5426</v>
      </c>
      <c r="CY31" s="6" t="s">
        <v>5427</v>
      </c>
      <c r="CZ31" s="6" t="s">
        <v>5428</v>
      </c>
      <c r="DA31" s="6" t="s">
        <v>4621</v>
      </c>
      <c r="DC31" s="6" t="s">
        <v>231</v>
      </c>
      <c r="DD31" s="6" t="s">
        <v>3156</v>
      </c>
      <c r="DY31" s="0" t="str">
        <f aca="false">IF(ISNUMBER(MATCH(U31,{"queued","contacted","replied","call_booked","call_done","yes_in_principle","materials_sent"},0)),"Y","N")</f>
        <v>N</v>
      </c>
      <c r="DZ31" s="0" t="str">
        <f aca="false">IF(COUNTIFS($AN$2:$AN$1000,AN31,$DY$2:$DY$1000,"Y")+COUNTIFS($AN$2:$AN$1000,AN31,$T$2:$T$1000,"Y")&gt;0,"Y","N")</f>
        <v>N</v>
      </c>
      <c r="EA31" s="0" t="str">
        <f aca="false">IF(AND(U31="new",T31="N",AR31="Y",AQ31="",DZ31="N"),"Y","N")</f>
        <v>Y</v>
      </c>
      <c r="EB31" s="0" t="str">
        <f aca="false">IF(EA31&lt;&gt;"Y","N",IF(COUNTIFS($AN$2:$AN$1000,AN31,$EA$2:$EA$1000,"Y",$J$2:$J$1000,"&gt;"&amp;J31)+COUNTIFS($AN$2:$AN$1000,AN31,$EA$2:$EA$1000,"Y",$J$2:$J$1000,J31,$ED$2:$ED$1000,"&lt;"&amp;ED31)=0,"Y","N"))</f>
        <v>Y</v>
      </c>
      <c r="EC31" s="0" t="str">
        <f aca="false">IF(Y31="","N",IF(Y31&lt;=10,"Y","N"))</f>
        <v>N</v>
      </c>
      <c r="ED31" s="6" t="n">
        <f aca="false">ROW()-1</f>
        <v>30</v>
      </c>
    </row>
    <row r="32" customFormat="false" ht="15" hidden="false" customHeight="false" outlineLevel="0" collapsed="false">
      <c r="A32" s="0" t="s">
        <v>5429</v>
      </c>
      <c r="B32" s="0" t="s">
        <v>5430</v>
      </c>
      <c r="C32" s="0" t="s">
        <v>5431</v>
      </c>
      <c r="D32" s="0" t="s">
        <v>5432</v>
      </c>
      <c r="E32" s="0" t="s">
        <v>4626</v>
      </c>
      <c r="F32" s="0" t="s">
        <v>5433</v>
      </c>
      <c r="H32" s="5" t="s">
        <v>158</v>
      </c>
      <c r="I32" s="5" t="s">
        <v>159</v>
      </c>
      <c r="J32" s="6" t="n">
        <f aca="false">IF(AU32="pass",CM32+CN32+CO32+CP32+CQ32+CR32+CS32+CT32,0)</f>
        <v>60</v>
      </c>
      <c r="K32" s="6" t="s">
        <v>5434</v>
      </c>
      <c r="M32" s="6" t="s">
        <v>4581</v>
      </c>
      <c r="N32" s="6" t="s">
        <v>4582</v>
      </c>
      <c r="O32" s="6" t="s">
        <v>5435</v>
      </c>
      <c r="P32" s="6" t="s">
        <v>5436</v>
      </c>
      <c r="Q32" s="6" t="s">
        <v>1492</v>
      </c>
      <c r="R32" s="5" t="s">
        <v>162</v>
      </c>
      <c r="S32" s="6" t="s">
        <v>163</v>
      </c>
      <c r="T32" s="5" t="s">
        <v>162</v>
      </c>
      <c r="U32" s="5" t="s">
        <v>228</v>
      </c>
      <c r="V32" s="6" t="s">
        <v>5437</v>
      </c>
      <c r="W32" s="6" t="s">
        <v>166</v>
      </c>
      <c r="X32" s="6" t="s">
        <v>4586</v>
      </c>
      <c r="Y32" s="6" t="n">
        <f aca="false">IF(EB32&lt;&gt;"Y","",COUNTIFS($EB$2:$EB$1000,"Y",$J$2:$J$1000,"&gt;"&amp;J32)+COUNTIFS($EB$2:$EB$1000,"Y",$J$2:$J$1000,J32,$ED$2:$ED$1000,"&lt;"&amp;ED32)+1)</f>
        <v>28</v>
      </c>
      <c r="Z32" s="0" t="n">
        <v>31</v>
      </c>
      <c r="AA32" s="6" t="s">
        <v>168</v>
      </c>
      <c r="AB32" s="6" t="s">
        <v>5438</v>
      </c>
      <c r="AC32" s="6" t="s">
        <v>4588</v>
      </c>
      <c r="AD32" s="6" t="s">
        <v>171</v>
      </c>
      <c r="AE32" s="6" t="s">
        <v>231</v>
      </c>
      <c r="AF32" s="6" t="s">
        <v>5439</v>
      </c>
      <c r="AG32" s="6" t="s">
        <v>174</v>
      </c>
      <c r="AH32" s="6" t="s">
        <v>5440</v>
      </c>
      <c r="AI32" s="6" t="s">
        <v>5081</v>
      </c>
      <c r="AJ32" s="6" t="s">
        <v>192</v>
      </c>
      <c r="AK32" s="6" t="s">
        <v>5441</v>
      </c>
      <c r="AL32" s="6" t="s">
        <v>168</v>
      </c>
      <c r="AM32" s="6" t="s">
        <v>5442</v>
      </c>
      <c r="AN32" s="6" t="s">
        <v>5429</v>
      </c>
      <c r="AO32" s="5" t="s">
        <v>162</v>
      </c>
      <c r="AR32" s="0" t="str">
        <f aca="false">IF(AND(AU32="pass",AO32&lt;&gt;"Y",C32&lt;&gt;""),"Y","N")</f>
        <v>Y</v>
      </c>
      <c r="AS32" s="0" t="str">
        <f aca="false">_xlfn.TEXTJOIN("; ",TRUE(),IF(AU32&lt;&gt;"pass","gated out",""),IF(AO32="Y","on hold: "&amp;AP32,""),IF(C32="","no contact named on an opened page",""))</f>
        <v/>
      </c>
      <c r="AU32" s="6" t="s">
        <v>181</v>
      </c>
      <c r="AW32" s="6" t="s">
        <v>182</v>
      </c>
      <c r="AX32" s="6" t="s">
        <v>5223</v>
      </c>
      <c r="AY32" s="6" t="s">
        <v>5441</v>
      </c>
      <c r="AZ32" s="6" t="s">
        <v>4596</v>
      </c>
      <c r="BA32" s="6" t="s">
        <v>4597</v>
      </c>
      <c r="BB32" s="6" t="s">
        <v>163</v>
      </c>
      <c r="BD32" s="6" t="s">
        <v>264</v>
      </c>
      <c r="BE32" s="6" t="s">
        <v>5443</v>
      </c>
      <c r="BF32" s="6" t="s">
        <v>163</v>
      </c>
      <c r="BG32" s="6" t="s">
        <v>168</v>
      </c>
      <c r="BH32" s="6" t="s">
        <v>163</v>
      </c>
      <c r="BJ32" s="6" t="s">
        <v>163</v>
      </c>
      <c r="BK32" s="6" t="s">
        <v>162</v>
      </c>
      <c r="BL32" s="6" t="s">
        <v>162</v>
      </c>
      <c r="BN32" s="0" t="n">
        <v>0</v>
      </c>
      <c r="BO32" s="6" t="s">
        <v>168</v>
      </c>
      <c r="BP32" s="0" t="n">
        <v>3</v>
      </c>
      <c r="BQ32" s="6" t="s">
        <v>4670</v>
      </c>
      <c r="BS32" s="6" t="s">
        <v>5444</v>
      </c>
      <c r="BT32" s="6" t="s">
        <v>5445</v>
      </c>
      <c r="BU32" s="6" t="s">
        <v>4695</v>
      </c>
      <c r="BV32" s="0" t="n">
        <v>59</v>
      </c>
      <c r="BX32" s="6" t="s">
        <v>5446</v>
      </c>
      <c r="BY32" s="6" t="s">
        <v>5447</v>
      </c>
      <c r="BZ32" s="6" t="s">
        <v>4608</v>
      </c>
      <c r="CA32" s="6" t="s">
        <v>5448</v>
      </c>
      <c r="CE32" s="6" t="s">
        <v>4613</v>
      </c>
      <c r="CF32" s="6" t="s">
        <v>598</v>
      </c>
      <c r="CG32" s="6" t="s">
        <v>5449</v>
      </c>
      <c r="CH32" s="6" t="s">
        <v>5450</v>
      </c>
      <c r="CI32" s="6" t="s">
        <v>4934</v>
      </c>
      <c r="CK32" s="6" t="s">
        <v>158</v>
      </c>
      <c r="CL32" s="0" t="n">
        <v>60</v>
      </c>
      <c r="CM32" s="0" t="n">
        <v>25</v>
      </c>
      <c r="CN32" s="0" t="n">
        <v>20</v>
      </c>
      <c r="CO32" s="0" t="n">
        <v>8</v>
      </c>
      <c r="CP32" s="0" t="n">
        <v>5</v>
      </c>
      <c r="CQ32" s="0" t="n">
        <v>6</v>
      </c>
      <c r="CR32" s="0" t="n">
        <v>8</v>
      </c>
      <c r="CS32" s="6" t="n">
        <f aca="false">IF(R32="Y",10,0)</f>
        <v>0</v>
      </c>
      <c r="CT32" s="0" t="n">
        <v>-12</v>
      </c>
      <c r="CU32" s="6" t="s">
        <v>5451</v>
      </c>
      <c r="CV32" s="6" t="s">
        <v>4704</v>
      </c>
      <c r="CW32" s="6" t="s">
        <v>5452</v>
      </c>
      <c r="CX32" s="6" t="s">
        <v>5453</v>
      </c>
      <c r="CY32" s="6" t="s">
        <v>5454</v>
      </c>
      <c r="CZ32" s="6" t="s">
        <v>5450</v>
      </c>
      <c r="DA32" s="6" t="s">
        <v>4621</v>
      </c>
      <c r="DB32" s="6" t="s">
        <v>418</v>
      </c>
      <c r="DC32" s="6" t="s">
        <v>599</v>
      </c>
      <c r="DY32" s="0" t="str">
        <f aca="false">IF(ISNUMBER(MATCH(U32,{"queued","contacted","replied","call_booked","call_done","yes_in_principle","materials_sent"},0)),"Y","N")</f>
        <v>N</v>
      </c>
      <c r="DZ32" s="0" t="str">
        <f aca="false">IF(COUNTIFS($AN$2:$AN$1000,AN32,$DY$2:$DY$1000,"Y")+COUNTIFS($AN$2:$AN$1000,AN32,$T$2:$T$1000,"Y")&gt;0,"Y","N")</f>
        <v>N</v>
      </c>
      <c r="EA32" s="0" t="str">
        <f aca="false">IF(AND(U32="new",T32="N",AR32="Y",AQ32="",DZ32="N"),"Y","N")</f>
        <v>Y</v>
      </c>
      <c r="EB32" s="0" t="str">
        <f aca="false">IF(EA32&lt;&gt;"Y","N",IF(COUNTIFS($AN$2:$AN$1000,AN32,$EA$2:$EA$1000,"Y",$J$2:$J$1000,"&gt;"&amp;J32)+COUNTIFS($AN$2:$AN$1000,AN32,$EA$2:$EA$1000,"Y",$J$2:$J$1000,J32,$ED$2:$ED$1000,"&lt;"&amp;ED32)=0,"Y","N"))</f>
        <v>Y</v>
      </c>
      <c r="EC32" s="0" t="str">
        <f aca="false">IF(Y32="","N",IF(Y32&lt;=10,"Y","N"))</f>
        <v>N</v>
      </c>
      <c r="ED32" s="6" t="n">
        <f aca="false">ROW()-1</f>
        <v>31</v>
      </c>
    </row>
    <row r="33" customFormat="false" ht="15" hidden="false" customHeight="false" outlineLevel="0" collapsed="false">
      <c r="A33" s="0" t="s">
        <v>5455</v>
      </c>
      <c r="B33" s="0" t="s">
        <v>5456</v>
      </c>
      <c r="C33" s="0" t="s">
        <v>806</v>
      </c>
      <c r="D33" s="0" t="s">
        <v>5457</v>
      </c>
      <c r="E33" s="0" t="s">
        <v>4657</v>
      </c>
      <c r="H33" s="5" t="s">
        <v>158</v>
      </c>
      <c r="I33" s="5" t="s">
        <v>159</v>
      </c>
      <c r="J33" s="6" t="n">
        <f aca="false">IF(AU33="pass",CM33+CN33+CO33+CP33+CQ33+CR33+CS33+CT33,0)</f>
        <v>60</v>
      </c>
      <c r="K33" s="6" t="s">
        <v>5458</v>
      </c>
      <c r="M33" s="6" t="s">
        <v>4581</v>
      </c>
      <c r="N33" s="6" t="s">
        <v>4582</v>
      </c>
      <c r="R33" s="5" t="s">
        <v>162</v>
      </c>
      <c r="S33" s="6" t="s">
        <v>163</v>
      </c>
      <c r="T33" s="5" t="s">
        <v>162</v>
      </c>
      <c r="U33" s="5" t="s">
        <v>228</v>
      </c>
      <c r="V33" s="6" t="s">
        <v>5459</v>
      </c>
      <c r="W33" s="6" t="s">
        <v>166</v>
      </c>
      <c r="X33" s="6" t="s">
        <v>4586</v>
      </c>
      <c r="Y33" s="6" t="n">
        <f aca="false">IF(EB33&lt;&gt;"Y","",COUNTIFS($EB$2:$EB$1000,"Y",$J$2:$J$1000,"&gt;"&amp;J33)+COUNTIFS($EB$2:$EB$1000,"Y",$J$2:$J$1000,J33,$ED$2:$ED$1000,"&lt;"&amp;ED33)+1)</f>
        <v>29</v>
      </c>
      <c r="Z33" s="0" t="n">
        <v>32</v>
      </c>
      <c r="AA33" s="6" t="s">
        <v>168</v>
      </c>
      <c r="AB33" s="6" t="s">
        <v>5460</v>
      </c>
      <c r="AC33" s="6" t="s">
        <v>4588</v>
      </c>
      <c r="AD33" s="6" t="s">
        <v>171</v>
      </c>
      <c r="AE33" s="6" t="s">
        <v>172</v>
      </c>
      <c r="AF33" s="6" t="s">
        <v>5461</v>
      </c>
      <c r="AG33" s="6" t="s">
        <v>174</v>
      </c>
      <c r="AH33" s="6" t="s">
        <v>5462</v>
      </c>
      <c r="AI33" s="6" t="s">
        <v>5463</v>
      </c>
      <c r="AJ33" s="6" t="s">
        <v>192</v>
      </c>
      <c r="AL33" s="6" t="s">
        <v>168</v>
      </c>
      <c r="AM33" s="6" t="s">
        <v>5464</v>
      </c>
      <c r="AN33" s="6" t="s">
        <v>5455</v>
      </c>
      <c r="AO33" s="5" t="s">
        <v>162</v>
      </c>
      <c r="AR33" s="0" t="str">
        <f aca="false">IF(AND(AU33="pass",AO33&lt;&gt;"Y",C33&lt;&gt;""),"Y","N")</f>
        <v>Y</v>
      </c>
      <c r="AS33" s="0" t="str">
        <f aca="false">_xlfn.TEXTJOIN("; ",TRUE(),IF(AU33&lt;&gt;"pass","gated out",""),IF(AO33="Y","on hold: "&amp;AP33,""),IF(C33="","no contact named on an opened page",""))</f>
        <v/>
      </c>
      <c r="AU33" s="6" t="s">
        <v>181</v>
      </c>
      <c r="AW33" s="6" t="s">
        <v>182</v>
      </c>
      <c r="AX33" s="6" t="s">
        <v>4595</v>
      </c>
      <c r="AY33" s="6" t="s">
        <v>5465</v>
      </c>
      <c r="AZ33" s="6" t="s">
        <v>4596</v>
      </c>
      <c r="BA33" s="6" t="s">
        <v>4597</v>
      </c>
      <c r="BB33" s="6" t="s">
        <v>163</v>
      </c>
      <c r="BD33" s="6" t="s">
        <v>168</v>
      </c>
      <c r="BE33" s="6" t="s">
        <v>5466</v>
      </c>
      <c r="BF33" s="6" t="s">
        <v>168</v>
      </c>
      <c r="BG33" s="6" t="s">
        <v>163</v>
      </c>
      <c r="BH33" s="6" t="s">
        <v>163</v>
      </c>
      <c r="BJ33" s="6" t="s">
        <v>163</v>
      </c>
      <c r="BK33" s="6" t="s">
        <v>162</v>
      </c>
      <c r="BL33" s="6" t="s">
        <v>162</v>
      </c>
      <c r="BN33" s="0" t="n">
        <v>0</v>
      </c>
      <c r="BO33" s="6" t="s">
        <v>168</v>
      </c>
      <c r="BP33" s="0" t="n">
        <v>2</v>
      </c>
      <c r="BQ33" s="6" t="s">
        <v>4783</v>
      </c>
      <c r="BS33" s="6" t="s">
        <v>4983</v>
      </c>
      <c r="BT33" s="6" t="s">
        <v>5467</v>
      </c>
      <c r="BU33" s="6" t="s">
        <v>158</v>
      </c>
      <c r="BX33" s="6" t="s">
        <v>5468</v>
      </c>
      <c r="BY33" s="6" t="s">
        <v>5469</v>
      </c>
      <c r="CF33" s="6" t="s">
        <v>158</v>
      </c>
      <c r="CK33" s="6" t="s">
        <v>158</v>
      </c>
      <c r="CL33" s="0" t="n">
        <v>60</v>
      </c>
      <c r="CM33" s="0" t="n">
        <v>25</v>
      </c>
      <c r="CN33" s="0" t="n">
        <v>20</v>
      </c>
      <c r="CO33" s="0" t="n">
        <v>0</v>
      </c>
      <c r="CP33" s="0" t="n">
        <v>5</v>
      </c>
      <c r="CQ33" s="0" t="n">
        <v>8</v>
      </c>
      <c r="CR33" s="0" t="n">
        <v>6</v>
      </c>
      <c r="CS33" s="6" t="n">
        <f aca="false">IF(R33="Y",10,0)</f>
        <v>0</v>
      </c>
      <c r="CT33" s="0" t="n">
        <v>-4</v>
      </c>
      <c r="CU33" s="6" t="s">
        <v>163</v>
      </c>
      <c r="CV33" s="6" t="s">
        <v>4843</v>
      </c>
      <c r="CW33" s="6" t="s">
        <v>5470</v>
      </c>
      <c r="CX33" s="6" t="s">
        <v>5471</v>
      </c>
      <c r="CY33" s="6" t="s">
        <v>5472</v>
      </c>
      <c r="DA33" s="6" t="s">
        <v>4621</v>
      </c>
      <c r="DB33" s="6" t="s">
        <v>5473</v>
      </c>
      <c r="DY33" s="0" t="str">
        <f aca="false">IF(ISNUMBER(MATCH(U33,{"queued","contacted","replied","call_booked","call_done","yes_in_principle","materials_sent"},0)),"Y","N")</f>
        <v>N</v>
      </c>
      <c r="DZ33" s="0" t="str">
        <f aca="false">IF(COUNTIFS($AN$2:$AN$1000,AN33,$DY$2:$DY$1000,"Y")+COUNTIFS($AN$2:$AN$1000,AN33,$T$2:$T$1000,"Y")&gt;0,"Y","N")</f>
        <v>N</v>
      </c>
      <c r="EA33" s="0" t="str">
        <f aca="false">IF(AND(U33="new",T33="N",AR33="Y",AQ33="",DZ33="N"),"Y","N")</f>
        <v>Y</v>
      </c>
      <c r="EB33" s="0" t="str">
        <f aca="false">IF(EA33&lt;&gt;"Y","N",IF(COUNTIFS($AN$2:$AN$1000,AN33,$EA$2:$EA$1000,"Y",$J$2:$J$1000,"&gt;"&amp;J33)+COUNTIFS($AN$2:$AN$1000,AN33,$EA$2:$EA$1000,"Y",$J$2:$J$1000,J33,$ED$2:$ED$1000,"&lt;"&amp;ED33)=0,"Y","N"))</f>
        <v>Y</v>
      </c>
      <c r="EC33" s="0" t="str">
        <f aca="false">IF(Y33="","N",IF(Y33&lt;=10,"Y","N"))</f>
        <v>N</v>
      </c>
      <c r="ED33" s="6" t="n">
        <f aca="false">ROW()-1</f>
        <v>32</v>
      </c>
    </row>
    <row r="34" customFormat="false" ht="15" hidden="false" customHeight="false" outlineLevel="0" collapsed="false">
      <c r="A34" s="0" t="s">
        <v>5474</v>
      </c>
      <c r="B34" s="0" t="s">
        <v>5475</v>
      </c>
      <c r="C34" s="0" t="s">
        <v>5476</v>
      </c>
      <c r="D34" s="0" t="s">
        <v>5477</v>
      </c>
      <c r="E34" s="0" t="s">
        <v>5478</v>
      </c>
      <c r="H34" s="5" t="s">
        <v>158</v>
      </c>
      <c r="I34" s="5" t="s">
        <v>159</v>
      </c>
      <c r="J34" s="6" t="n">
        <f aca="false">IF(AU34="pass",CM34+CN34+CO34+CP34+CQ34+CR34+CS34+CT34,0)</f>
        <v>59</v>
      </c>
      <c r="K34" s="6" t="s">
        <v>5479</v>
      </c>
      <c r="M34" s="6" t="s">
        <v>4581</v>
      </c>
      <c r="N34" s="6" t="s">
        <v>4582</v>
      </c>
      <c r="O34" s="6" t="s">
        <v>5480</v>
      </c>
      <c r="P34" s="6" t="s">
        <v>5481</v>
      </c>
      <c r="Q34" s="6" t="s">
        <v>5482</v>
      </c>
      <c r="R34" s="5" t="s">
        <v>162</v>
      </c>
      <c r="S34" s="6" t="s">
        <v>163</v>
      </c>
      <c r="T34" s="5" t="s">
        <v>162</v>
      </c>
      <c r="U34" s="5" t="s">
        <v>228</v>
      </c>
      <c r="V34" s="6" t="s">
        <v>5483</v>
      </c>
      <c r="W34" s="6" t="s">
        <v>166</v>
      </c>
      <c r="X34" s="6" t="s">
        <v>4586</v>
      </c>
      <c r="Y34" s="6" t="n">
        <f aca="false">IF(EB34&lt;&gt;"Y","",COUNTIFS($EB$2:$EB$1000,"Y",$J$2:$J$1000,"&gt;"&amp;J34)+COUNTIFS($EB$2:$EB$1000,"Y",$J$2:$J$1000,J34,$ED$2:$ED$1000,"&lt;"&amp;ED34)+1)</f>
        <v>30</v>
      </c>
      <c r="Z34" s="0" t="n">
        <v>33</v>
      </c>
      <c r="AA34" s="6" t="s">
        <v>168</v>
      </c>
      <c r="AB34" s="6" t="s">
        <v>5484</v>
      </c>
      <c r="AC34" s="6" t="s">
        <v>4588</v>
      </c>
      <c r="AD34" s="6" t="s">
        <v>171</v>
      </c>
      <c r="AE34" s="6" t="s">
        <v>231</v>
      </c>
      <c r="AF34" s="6" t="s">
        <v>5485</v>
      </c>
      <c r="AG34" s="6" t="s">
        <v>174</v>
      </c>
      <c r="AH34" s="6" t="s">
        <v>5486</v>
      </c>
      <c r="AI34" s="6" t="s">
        <v>5385</v>
      </c>
      <c r="AJ34" s="6" t="s">
        <v>5487</v>
      </c>
      <c r="AL34" s="6" t="s">
        <v>168</v>
      </c>
      <c r="AM34" s="6" t="s">
        <v>5488</v>
      </c>
      <c r="AN34" s="6" t="s">
        <v>5474</v>
      </c>
      <c r="AO34" s="5" t="s">
        <v>162</v>
      </c>
      <c r="AR34" s="0" t="str">
        <f aca="false">IF(AND(AU34="pass",AO34&lt;&gt;"Y",C34&lt;&gt;""),"Y","N")</f>
        <v>Y</v>
      </c>
      <c r="AS34" s="0" t="str">
        <f aca="false">_xlfn.TEXTJOIN("; ",TRUE(),IF(AU34&lt;&gt;"pass","gated out",""),IF(AO34="Y","on hold: "&amp;AP34,""),IF(C34="","no contact named on an opened page",""))</f>
        <v/>
      </c>
      <c r="AU34" s="6" t="s">
        <v>181</v>
      </c>
      <c r="AW34" s="6" t="s">
        <v>182</v>
      </c>
      <c r="AX34" s="6" t="s">
        <v>4595</v>
      </c>
      <c r="AY34" s="6" t="s">
        <v>5489</v>
      </c>
      <c r="AZ34" s="6" t="s">
        <v>5490</v>
      </c>
      <c r="BA34" s="6" t="s">
        <v>5331</v>
      </c>
      <c r="BB34" s="6" t="s">
        <v>163</v>
      </c>
      <c r="BD34" s="6" t="s">
        <v>168</v>
      </c>
      <c r="BE34" s="6" t="s">
        <v>5491</v>
      </c>
      <c r="BF34" s="6" t="s">
        <v>162</v>
      </c>
      <c r="BG34" s="6" t="s">
        <v>163</v>
      </c>
      <c r="BH34" s="6" t="s">
        <v>163</v>
      </c>
      <c r="BJ34" s="6" t="s">
        <v>163</v>
      </c>
      <c r="BK34" s="6" t="s">
        <v>162</v>
      </c>
      <c r="BL34" s="6" t="s">
        <v>162</v>
      </c>
      <c r="BN34" s="0" t="n">
        <v>0</v>
      </c>
      <c r="BO34" s="6" t="s">
        <v>168</v>
      </c>
      <c r="BP34" s="0" t="n">
        <v>3</v>
      </c>
      <c r="BQ34" s="6" t="s">
        <v>4670</v>
      </c>
      <c r="BS34" s="6" t="s">
        <v>4983</v>
      </c>
      <c r="BT34" s="6" t="s">
        <v>5492</v>
      </c>
      <c r="BU34" s="6" t="s">
        <v>4605</v>
      </c>
      <c r="BV34" s="0" t="n">
        <v>171</v>
      </c>
      <c r="BX34" s="6" t="s">
        <v>5493</v>
      </c>
      <c r="BY34" s="6" t="s">
        <v>5494</v>
      </c>
      <c r="CA34" s="6" t="s">
        <v>5495</v>
      </c>
      <c r="CB34" s="6" t="s">
        <v>5496</v>
      </c>
      <c r="CC34" s="6" t="s">
        <v>5497</v>
      </c>
      <c r="CD34" s="6" t="s">
        <v>5093</v>
      </c>
      <c r="CE34" s="6" t="s">
        <v>4613</v>
      </c>
      <c r="CF34" s="6" t="s">
        <v>171</v>
      </c>
      <c r="CG34" s="6" t="s">
        <v>5498</v>
      </c>
      <c r="CK34" s="6" t="s">
        <v>158</v>
      </c>
      <c r="CL34" s="0" t="n">
        <v>59</v>
      </c>
      <c r="CM34" s="0" t="n">
        <v>25</v>
      </c>
      <c r="CN34" s="0" t="n">
        <v>3</v>
      </c>
      <c r="CO34" s="0" t="n">
        <v>15</v>
      </c>
      <c r="CP34" s="0" t="n">
        <v>5</v>
      </c>
      <c r="CQ34" s="0" t="n">
        <v>5</v>
      </c>
      <c r="CR34" s="0" t="n">
        <v>10</v>
      </c>
      <c r="CS34" s="6" t="n">
        <f aca="false">IF(R34="Y",10,0)</f>
        <v>0</v>
      </c>
      <c r="CT34" s="0" t="n">
        <v>-4</v>
      </c>
      <c r="CU34" s="6" t="s">
        <v>163</v>
      </c>
      <c r="CV34" s="6" t="s">
        <v>4843</v>
      </c>
      <c r="CW34" s="6" t="s">
        <v>5499</v>
      </c>
      <c r="CX34" s="6" t="s">
        <v>5500</v>
      </c>
      <c r="CY34" s="6" t="s">
        <v>5501</v>
      </c>
      <c r="CZ34" s="6" t="s">
        <v>5502</v>
      </c>
      <c r="DA34" s="6" t="s">
        <v>4621</v>
      </c>
      <c r="DB34" s="6" t="s">
        <v>5503</v>
      </c>
      <c r="DC34" s="6" t="s">
        <v>231</v>
      </c>
      <c r="DD34" s="6" t="s">
        <v>5504</v>
      </c>
      <c r="DY34" s="0" t="str">
        <f aca="false">IF(ISNUMBER(MATCH(U34,{"queued","contacted","replied","call_booked","call_done","yes_in_principle","materials_sent"},0)),"Y","N")</f>
        <v>N</v>
      </c>
      <c r="DZ34" s="0" t="str">
        <f aca="false">IF(COUNTIFS($AN$2:$AN$1000,AN34,$DY$2:$DY$1000,"Y")+COUNTIFS($AN$2:$AN$1000,AN34,$T$2:$T$1000,"Y")&gt;0,"Y","N")</f>
        <v>N</v>
      </c>
      <c r="EA34" s="0" t="str">
        <f aca="false">IF(AND(U34="new",T34="N",AR34="Y",AQ34="",DZ34="N"),"Y","N")</f>
        <v>Y</v>
      </c>
      <c r="EB34" s="0" t="str">
        <f aca="false">IF(EA34&lt;&gt;"Y","N",IF(COUNTIFS($AN$2:$AN$1000,AN34,$EA$2:$EA$1000,"Y",$J$2:$J$1000,"&gt;"&amp;J34)+COUNTIFS($AN$2:$AN$1000,AN34,$EA$2:$EA$1000,"Y",$J$2:$J$1000,J34,$ED$2:$ED$1000,"&lt;"&amp;ED34)=0,"Y","N"))</f>
        <v>Y</v>
      </c>
      <c r="EC34" s="0" t="str">
        <f aca="false">IF(Y34="","N",IF(Y34&lt;=10,"Y","N"))</f>
        <v>N</v>
      </c>
      <c r="ED34" s="6" t="n">
        <f aca="false">ROW()-1</f>
        <v>33</v>
      </c>
    </row>
    <row r="35" customFormat="false" ht="15" hidden="false" customHeight="false" outlineLevel="0" collapsed="false">
      <c r="A35" s="0" t="s">
        <v>5505</v>
      </c>
      <c r="B35" s="0" t="s">
        <v>5506</v>
      </c>
      <c r="C35" s="0" t="s">
        <v>5507</v>
      </c>
      <c r="D35" s="0" t="s">
        <v>5508</v>
      </c>
      <c r="E35" s="0" t="s">
        <v>5509</v>
      </c>
      <c r="H35" s="5" t="s">
        <v>158</v>
      </c>
      <c r="I35" s="5" t="s">
        <v>159</v>
      </c>
      <c r="J35" s="6" t="n">
        <f aca="false">IF(AU35="pass",CM35+CN35+CO35+CP35+CQ35+CR35+CS35+CT35,0)</f>
        <v>59</v>
      </c>
      <c r="K35" s="6" t="s">
        <v>5510</v>
      </c>
      <c r="M35" s="6" t="s">
        <v>4581</v>
      </c>
      <c r="N35" s="6" t="s">
        <v>4582</v>
      </c>
      <c r="R35" s="5" t="s">
        <v>162</v>
      </c>
      <c r="S35" s="6" t="s">
        <v>163</v>
      </c>
      <c r="T35" s="5" t="s">
        <v>162</v>
      </c>
      <c r="U35" s="5" t="s">
        <v>228</v>
      </c>
      <c r="V35" s="6" t="s">
        <v>5511</v>
      </c>
      <c r="W35" s="6" t="s">
        <v>166</v>
      </c>
      <c r="X35" s="6" t="s">
        <v>4586</v>
      </c>
      <c r="Y35" s="6" t="n">
        <f aca="false">IF(EB35&lt;&gt;"Y","",COUNTIFS($EB$2:$EB$1000,"Y",$J$2:$J$1000,"&gt;"&amp;J35)+COUNTIFS($EB$2:$EB$1000,"Y",$J$2:$J$1000,J35,$ED$2:$ED$1000,"&lt;"&amp;ED35)+1)</f>
        <v>31</v>
      </c>
      <c r="Z35" s="0" t="n">
        <v>34</v>
      </c>
      <c r="AA35" s="6" t="s">
        <v>168</v>
      </c>
      <c r="AB35" s="6" t="s">
        <v>5512</v>
      </c>
      <c r="AC35" s="6" t="s">
        <v>4588</v>
      </c>
      <c r="AD35" s="6" t="s">
        <v>171</v>
      </c>
      <c r="AE35" s="6" t="s">
        <v>172</v>
      </c>
      <c r="AF35" s="6" t="s">
        <v>5513</v>
      </c>
      <c r="AG35" s="6" t="s">
        <v>174</v>
      </c>
      <c r="AH35" s="6" t="s">
        <v>5514</v>
      </c>
      <c r="AI35" s="6" t="s">
        <v>4665</v>
      </c>
      <c r="AJ35" s="6" t="s">
        <v>5515</v>
      </c>
      <c r="AK35" s="6" t="s">
        <v>5516</v>
      </c>
      <c r="AL35" s="6" t="s">
        <v>168</v>
      </c>
      <c r="AM35" s="6" t="s">
        <v>5517</v>
      </c>
      <c r="AN35" s="6" t="s">
        <v>5505</v>
      </c>
      <c r="AO35" s="5" t="s">
        <v>162</v>
      </c>
      <c r="AR35" s="0" t="str">
        <f aca="false">IF(AND(AU35="pass",AO35&lt;&gt;"Y",C35&lt;&gt;""),"Y","N")</f>
        <v>Y</v>
      </c>
      <c r="AS35" s="0" t="str">
        <f aca="false">_xlfn.TEXTJOIN("; ",TRUE(),IF(AU35&lt;&gt;"pass","gated out",""),IF(AO35="Y","on hold: "&amp;AP35,""),IF(C35="","no contact named on an opened page",""))</f>
        <v/>
      </c>
      <c r="AU35" s="6" t="s">
        <v>181</v>
      </c>
      <c r="AW35" s="6" t="s">
        <v>182</v>
      </c>
      <c r="AX35" s="6" t="s">
        <v>5518</v>
      </c>
      <c r="AY35" s="6" t="s">
        <v>5516</v>
      </c>
      <c r="AZ35" s="6" t="s">
        <v>4596</v>
      </c>
      <c r="BA35" s="6" t="s">
        <v>4597</v>
      </c>
      <c r="BB35" s="6" t="s">
        <v>163</v>
      </c>
      <c r="BD35" s="6" t="s">
        <v>168</v>
      </c>
      <c r="BE35" s="6" t="s">
        <v>5519</v>
      </c>
      <c r="BF35" s="6" t="s">
        <v>162</v>
      </c>
      <c r="BG35" s="6" t="s">
        <v>168</v>
      </c>
      <c r="BH35" s="6" t="s">
        <v>163</v>
      </c>
      <c r="BJ35" s="6" t="s">
        <v>163</v>
      </c>
      <c r="BK35" s="6" t="s">
        <v>168</v>
      </c>
      <c r="BL35" s="6" t="s">
        <v>162</v>
      </c>
      <c r="BN35" s="0" t="n">
        <v>0</v>
      </c>
      <c r="BO35" s="6" t="s">
        <v>168</v>
      </c>
      <c r="BP35" s="0" t="n">
        <v>6</v>
      </c>
      <c r="BQ35" s="6" t="s">
        <v>5520</v>
      </c>
      <c r="BR35" s="6" t="s">
        <v>5521</v>
      </c>
      <c r="BS35" s="6" t="s">
        <v>5522</v>
      </c>
      <c r="BT35" s="6" t="s">
        <v>5523</v>
      </c>
      <c r="BU35" s="6" t="s">
        <v>158</v>
      </c>
      <c r="BX35" s="6" t="s">
        <v>5524</v>
      </c>
      <c r="BY35" s="6" t="s">
        <v>5525</v>
      </c>
      <c r="CA35" s="6" t="s">
        <v>5526</v>
      </c>
      <c r="CB35" s="6" t="s">
        <v>5527</v>
      </c>
      <c r="CC35" s="6" t="s">
        <v>5528</v>
      </c>
      <c r="CD35" s="6" t="s">
        <v>4626</v>
      </c>
      <c r="CE35" s="6" t="s">
        <v>4810</v>
      </c>
      <c r="CF35" s="6" t="s">
        <v>171</v>
      </c>
      <c r="CG35" s="6" t="s">
        <v>5529</v>
      </c>
      <c r="CK35" s="6" t="s">
        <v>158</v>
      </c>
      <c r="CL35" s="0" t="n">
        <v>59</v>
      </c>
      <c r="CM35" s="0" t="n">
        <v>25</v>
      </c>
      <c r="CN35" s="0" t="n">
        <v>20</v>
      </c>
      <c r="CO35" s="0" t="n">
        <v>0</v>
      </c>
      <c r="CP35" s="0" t="n">
        <v>5</v>
      </c>
      <c r="CQ35" s="0" t="n">
        <v>7</v>
      </c>
      <c r="CR35" s="0" t="n">
        <v>6</v>
      </c>
      <c r="CS35" s="6" t="n">
        <f aca="false">IF(R35="Y",10,0)</f>
        <v>0</v>
      </c>
      <c r="CT35" s="0" t="n">
        <v>-4</v>
      </c>
      <c r="CU35" s="6" t="s">
        <v>5530</v>
      </c>
      <c r="CV35" s="6" t="s">
        <v>4704</v>
      </c>
      <c r="CW35" s="6" t="s">
        <v>5531</v>
      </c>
      <c r="CX35" s="6" t="s">
        <v>5532</v>
      </c>
      <c r="CY35" s="6" t="s">
        <v>5533</v>
      </c>
      <c r="CZ35" s="6" t="s">
        <v>5513</v>
      </c>
      <c r="DA35" s="6" t="s">
        <v>4621</v>
      </c>
      <c r="DC35" s="6" t="s">
        <v>172</v>
      </c>
      <c r="DY35" s="0" t="str">
        <f aca="false">IF(ISNUMBER(MATCH(U35,{"queued","contacted","replied","call_booked","call_done","yes_in_principle","materials_sent"},0)),"Y","N")</f>
        <v>N</v>
      </c>
      <c r="DZ35" s="0" t="str">
        <f aca="false">IF(COUNTIFS($AN$2:$AN$1000,AN35,$DY$2:$DY$1000,"Y")+COUNTIFS($AN$2:$AN$1000,AN35,$T$2:$T$1000,"Y")&gt;0,"Y","N")</f>
        <v>N</v>
      </c>
      <c r="EA35" s="0" t="str">
        <f aca="false">IF(AND(U35="new",T35="N",AR35="Y",AQ35="",DZ35="N"),"Y","N")</f>
        <v>Y</v>
      </c>
      <c r="EB35" s="0" t="str">
        <f aca="false">IF(EA35&lt;&gt;"Y","N",IF(COUNTIFS($AN$2:$AN$1000,AN35,$EA$2:$EA$1000,"Y",$J$2:$J$1000,"&gt;"&amp;J35)+COUNTIFS($AN$2:$AN$1000,AN35,$EA$2:$EA$1000,"Y",$J$2:$J$1000,J35,$ED$2:$ED$1000,"&lt;"&amp;ED35)=0,"Y","N"))</f>
        <v>Y</v>
      </c>
      <c r="EC35" s="0" t="str">
        <f aca="false">IF(Y35="","N",IF(Y35&lt;=10,"Y","N"))</f>
        <v>N</v>
      </c>
      <c r="ED35" s="6" t="n">
        <f aca="false">ROW()-1</f>
        <v>34</v>
      </c>
    </row>
    <row r="36" customFormat="false" ht="15" hidden="false" customHeight="false" outlineLevel="0" collapsed="false">
      <c r="A36" s="0" t="s">
        <v>5534</v>
      </c>
      <c r="B36" s="0" t="s">
        <v>5535</v>
      </c>
      <c r="C36" s="0" t="s">
        <v>5536</v>
      </c>
      <c r="D36" s="0" t="s">
        <v>5537</v>
      </c>
      <c r="E36" s="0" t="s">
        <v>4773</v>
      </c>
      <c r="H36" s="5" t="s">
        <v>158</v>
      </c>
      <c r="I36" s="5" t="s">
        <v>159</v>
      </c>
      <c r="J36" s="6" t="n">
        <f aca="false">IF(AU36="pass",CM36+CN36+CO36+CP36+CQ36+CR36+CS36+CT36,0)</f>
        <v>59</v>
      </c>
      <c r="K36" s="6" t="s">
        <v>5538</v>
      </c>
      <c r="M36" s="6" t="s">
        <v>5539</v>
      </c>
      <c r="N36" s="6" t="s">
        <v>5023</v>
      </c>
      <c r="O36" s="6" t="s">
        <v>5540</v>
      </c>
      <c r="P36" s="6" t="s">
        <v>5541</v>
      </c>
      <c r="Q36" s="6" t="s">
        <v>5542</v>
      </c>
      <c r="R36" s="5" t="s">
        <v>162</v>
      </c>
      <c r="S36" s="6" t="s">
        <v>163</v>
      </c>
      <c r="T36" s="5" t="s">
        <v>162</v>
      </c>
      <c r="U36" s="5" t="s">
        <v>228</v>
      </c>
      <c r="V36" s="6" t="s">
        <v>5543</v>
      </c>
      <c r="W36" s="6" t="s">
        <v>166</v>
      </c>
      <c r="X36" s="6" t="s">
        <v>4586</v>
      </c>
      <c r="Y36" s="0" t="str">
        <f aca="false">IF(EB36&lt;&gt;"Y","",COUNTIFS($EB$2:$EB$1000,"Y",$J$2:$J$1000,"&gt;"&amp;J36)+COUNTIFS($EB$2:$EB$1000,"Y",$J$2:$J$1000,J36,$ED$2:$ED$1000,"&lt;"&amp;ED36)+1)</f>
        <v/>
      </c>
      <c r="Z36" s="0" t="n">
        <v>35</v>
      </c>
      <c r="AA36" s="6" t="s">
        <v>168</v>
      </c>
      <c r="AB36" s="6" t="s">
        <v>5544</v>
      </c>
      <c r="AC36" s="6" t="s">
        <v>4588</v>
      </c>
      <c r="AD36" s="6" t="s">
        <v>171</v>
      </c>
      <c r="AE36" s="6" t="s">
        <v>1190</v>
      </c>
      <c r="AF36" s="6" t="s">
        <v>5545</v>
      </c>
      <c r="AG36" s="6" t="s">
        <v>174</v>
      </c>
      <c r="AH36" s="6" t="s">
        <v>5546</v>
      </c>
      <c r="AI36" s="6" t="s">
        <v>4591</v>
      </c>
      <c r="AJ36" s="6" t="s">
        <v>192</v>
      </c>
      <c r="AK36" s="6" t="s">
        <v>5547</v>
      </c>
      <c r="AL36" s="6" t="s">
        <v>168</v>
      </c>
      <c r="AM36" s="6" t="s">
        <v>5548</v>
      </c>
      <c r="AN36" s="6" t="s">
        <v>5549</v>
      </c>
      <c r="AO36" s="5" t="s">
        <v>162</v>
      </c>
      <c r="AR36" s="0" t="str">
        <f aca="false">IF(AND(AU36="pass",AO36&lt;&gt;"Y",C36&lt;&gt;""),"Y","N")</f>
        <v>Y</v>
      </c>
      <c r="AS36" s="0" t="str">
        <f aca="false">_xlfn.TEXTJOIN("; ",TRUE(),IF(AU36&lt;&gt;"pass","gated out",""),IF(AO36="Y","on hold: "&amp;AP36,""),IF(C36="","no contact named on an opened page",""))</f>
        <v/>
      </c>
      <c r="AU36" s="6" t="s">
        <v>181</v>
      </c>
      <c r="AW36" s="6" t="s">
        <v>182</v>
      </c>
      <c r="AX36" s="6" t="s">
        <v>4595</v>
      </c>
      <c r="AY36" s="6" t="s">
        <v>5547</v>
      </c>
      <c r="AZ36" s="6" t="s">
        <v>4596</v>
      </c>
      <c r="BA36" s="6" t="s">
        <v>4597</v>
      </c>
      <c r="BB36" s="6" t="s">
        <v>163</v>
      </c>
      <c r="BD36" s="6" t="s">
        <v>163</v>
      </c>
      <c r="BE36" s="6" t="s">
        <v>5550</v>
      </c>
      <c r="BF36" s="6" t="s">
        <v>168</v>
      </c>
      <c r="BG36" s="6" t="s">
        <v>168</v>
      </c>
      <c r="BH36" s="6" t="s">
        <v>163</v>
      </c>
      <c r="BJ36" s="6" t="s">
        <v>5551</v>
      </c>
      <c r="BK36" s="6" t="s">
        <v>162</v>
      </c>
      <c r="BL36" s="6" t="s">
        <v>162</v>
      </c>
      <c r="BN36" s="0" t="n">
        <v>0.9</v>
      </c>
      <c r="BO36" s="6" t="s">
        <v>162</v>
      </c>
      <c r="BP36" s="0" t="n">
        <v>6</v>
      </c>
      <c r="BQ36" s="6" t="s">
        <v>5552</v>
      </c>
      <c r="BR36" s="6" t="s">
        <v>5553</v>
      </c>
      <c r="BS36" s="6" t="s">
        <v>5554</v>
      </c>
      <c r="BT36" s="6" t="s">
        <v>5555</v>
      </c>
      <c r="BU36" s="6" t="s">
        <v>4695</v>
      </c>
      <c r="BV36" s="0" t="n">
        <v>43</v>
      </c>
      <c r="BX36" s="6" t="s">
        <v>5556</v>
      </c>
      <c r="BY36" s="6" t="s">
        <v>5557</v>
      </c>
      <c r="CA36" s="6" t="s">
        <v>5558</v>
      </c>
      <c r="CB36" s="6" t="s">
        <v>5559</v>
      </c>
      <c r="CC36" s="6" t="s">
        <v>5560</v>
      </c>
      <c r="CD36" s="6" t="s">
        <v>5561</v>
      </c>
      <c r="CE36" s="6" t="s">
        <v>4613</v>
      </c>
      <c r="CF36" s="6" t="s">
        <v>171</v>
      </c>
      <c r="CG36" s="6" t="s">
        <v>5562</v>
      </c>
      <c r="CK36" s="6" t="s">
        <v>158</v>
      </c>
      <c r="CL36" s="0" t="n">
        <v>59</v>
      </c>
      <c r="CM36" s="0" t="n">
        <v>13</v>
      </c>
      <c r="CN36" s="0" t="n">
        <v>20</v>
      </c>
      <c r="CO36" s="0" t="n">
        <v>8</v>
      </c>
      <c r="CP36" s="0" t="n">
        <v>5</v>
      </c>
      <c r="CQ36" s="0" t="n">
        <v>7</v>
      </c>
      <c r="CR36" s="0" t="n">
        <v>10</v>
      </c>
      <c r="CS36" s="6" t="n">
        <f aca="false">IF(R36="Y",10,0)</f>
        <v>0</v>
      </c>
      <c r="CT36" s="0" t="n">
        <v>-4</v>
      </c>
      <c r="CU36" s="6" t="s">
        <v>5563</v>
      </c>
      <c r="CV36" s="6" t="s">
        <v>5564</v>
      </c>
      <c r="CW36" s="6" t="s">
        <v>5565</v>
      </c>
      <c r="CX36" s="6" t="s">
        <v>5566</v>
      </c>
      <c r="CY36" s="6" t="s">
        <v>5567</v>
      </c>
      <c r="CZ36" s="6" t="s">
        <v>5545</v>
      </c>
      <c r="DA36" s="6" t="s">
        <v>4621</v>
      </c>
      <c r="DC36" s="6" t="s">
        <v>1190</v>
      </c>
      <c r="DF36" s="6" t="s">
        <v>5568</v>
      </c>
      <c r="DY36" s="0" t="str">
        <f aca="false">IF(ISNUMBER(MATCH(U36,{"queued","contacted","replied","call_booked","call_done","yes_in_principle","materials_sent"},0)),"Y","N")</f>
        <v>N</v>
      </c>
      <c r="DZ36" s="0" t="str">
        <f aca="false">IF(COUNTIFS($AN$2:$AN$1000,AN36,$DY$2:$DY$1000,"Y")+COUNTIFS($AN$2:$AN$1000,AN36,$T$2:$T$1000,"Y")&gt;0,"Y","N")</f>
        <v>Y</v>
      </c>
      <c r="EA36" s="0" t="str">
        <f aca="false">IF(AND(U36="new",T36="N",AR36="Y",AQ36="",DZ36="N"),"Y","N")</f>
        <v>N</v>
      </c>
      <c r="EB36" s="0" t="str">
        <f aca="false">IF(EA36&lt;&gt;"Y","N",IF(COUNTIFS($AN$2:$AN$1000,AN36,$EA$2:$EA$1000,"Y",$J$2:$J$1000,"&gt;"&amp;J36)+COUNTIFS($AN$2:$AN$1000,AN36,$EA$2:$EA$1000,"Y",$J$2:$J$1000,J36,$ED$2:$ED$1000,"&lt;"&amp;ED36)=0,"Y","N"))</f>
        <v>N</v>
      </c>
      <c r="EC36" s="0" t="str">
        <f aca="false">IF(Y36="","N",IF(Y36&lt;=10,"Y","N"))</f>
        <v>N</v>
      </c>
      <c r="ED36" s="6" t="n">
        <f aca="false">ROW()-1</f>
        <v>35</v>
      </c>
    </row>
    <row r="37" customFormat="false" ht="15" hidden="false" customHeight="false" outlineLevel="0" collapsed="false">
      <c r="A37" s="0" t="s">
        <v>5569</v>
      </c>
      <c r="B37" s="0" t="s">
        <v>5570</v>
      </c>
      <c r="C37" s="0" t="s">
        <v>5571</v>
      </c>
      <c r="D37" s="0" t="s">
        <v>5572</v>
      </c>
      <c r="E37" s="0" t="s">
        <v>4626</v>
      </c>
      <c r="H37" s="5" t="s">
        <v>158</v>
      </c>
      <c r="I37" s="5" t="s">
        <v>159</v>
      </c>
      <c r="J37" s="6" t="n">
        <f aca="false">IF(AU37="pass",CM37+CN37+CO37+CP37+CQ37+CR37+CS37+CT37,0)</f>
        <v>58</v>
      </c>
      <c r="K37" s="6" t="s">
        <v>5573</v>
      </c>
      <c r="M37" s="6" t="s">
        <v>4581</v>
      </c>
      <c r="N37" s="6" t="s">
        <v>4582</v>
      </c>
      <c r="O37" s="6" t="s">
        <v>5574</v>
      </c>
      <c r="P37" s="6" t="s">
        <v>5575</v>
      </c>
      <c r="Q37" s="6" t="s">
        <v>5576</v>
      </c>
      <c r="R37" s="5" t="s">
        <v>162</v>
      </c>
      <c r="S37" s="6" t="s">
        <v>163</v>
      </c>
      <c r="T37" s="5" t="s">
        <v>162</v>
      </c>
      <c r="U37" s="5" t="s">
        <v>228</v>
      </c>
      <c r="V37" s="6" t="s">
        <v>5577</v>
      </c>
      <c r="W37" s="6" t="s">
        <v>166</v>
      </c>
      <c r="X37" s="6" t="s">
        <v>4586</v>
      </c>
      <c r="Y37" s="6" t="n">
        <f aca="false">IF(EB37&lt;&gt;"Y","",COUNTIFS($EB$2:$EB$1000,"Y",$J$2:$J$1000,"&gt;"&amp;J37)+COUNTIFS($EB$2:$EB$1000,"Y",$J$2:$J$1000,J37,$ED$2:$ED$1000,"&lt;"&amp;ED37)+1)</f>
        <v>32</v>
      </c>
      <c r="Z37" s="0" t="n">
        <v>36</v>
      </c>
      <c r="AA37" s="6" t="s">
        <v>168</v>
      </c>
      <c r="AB37" s="6" t="s">
        <v>5578</v>
      </c>
      <c r="AC37" s="6" t="s">
        <v>4588</v>
      </c>
      <c r="AD37" s="6" t="s">
        <v>171</v>
      </c>
      <c r="AE37" s="6" t="s">
        <v>172</v>
      </c>
      <c r="AF37" s="6" t="s">
        <v>5577</v>
      </c>
      <c r="AG37" s="6" t="s">
        <v>174</v>
      </c>
      <c r="AH37" s="6" t="s">
        <v>5579</v>
      </c>
      <c r="AI37" s="6" t="s">
        <v>4665</v>
      </c>
      <c r="AJ37" s="6" t="s">
        <v>5580</v>
      </c>
      <c r="AK37" s="6" t="s">
        <v>5581</v>
      </c>
      <c r="AL37" s="6" t="s">
        <v>168</v>
      </c>
      <c r="AM37" s="6" t="s">
        <v>5582</v>
      </c>
      <c r="AN37" s="6" t="s">
        <v>5569</v>
      </c>
      <c r="AO37" s="5" t="s">
        <v>162</v>
      </c>
      <c r="AR37" s="0" t="str">
        <f aca="false">IF(AND(AU37="pass",AO37&lt;&gt;"Y",C37&lt;&gt;""),"Y","N")</f>
        <v>Y</v>
      </c>
      <c r="AS37" s="0" t="str">
        <f aca="false">_xlfn.TEXTJOIN("; ",TRUE(),IF(AU37&lt;&gt;"pass","gated out",""),IF(AO37="Y","on hold: "&amp;AP37,""),IF(C37="","no contact named on an opened page",""))</f>
        <v/>
      </c>
      <c r="AU37" s="6" t="s">
        <v>181</v>
      </c>
      <c r="AW37" s="6" t="s">
        <v>182</v>
      </c>
      <c r="AX37" s="6" t="s">
        <v>4595</v>
      </c>
      <c r="AY37" s="6" t="s">
        <v>5581</v>
      </c>
      <c r="AZ37" s="6" t="s">
        <v>4924</v>
      </c>
      <c r="BA37" s="6" t="s">
        <v>5193</v>
      </c>
      <c r="BB37" s="6" t="s">
        <v>163</v>
      </c>
      <c r="BD37" s="6" t="s">
        <v>168</v>
      </c>
      <c r="BE37" s="6" t="s">
        <v>5583</v>
      </c>
      <c r="BF37" s="6" t="s">
        <v>168</v>
      </c>
      <c r="BG37" s="6" t="s">
        <v>168</v>
      </c>
      <c r="BH37" s="6" t="s">
        <v>163</v>
      </c>
      <c r="BJ37" s="6" t="s">
        <v>163</v>
      </c>
      <c r="BK37" s="6" t="s">
        <v>162</v>
      </c>
      <c r="BL37" s="6" t="s">
        <v>162</v>
      </c>
      <c r="BN37" s="0" t="n">
        <v>0</v>
      </c>
      <c r="BO37" s="6" t="s">
        <v>168</v>
      </c>
      <c r="BP37" s="0" t="n">
        <v>3</v>
      </c>
      <c r="BQ37" s="6" t="s">
        <v>4670</v>
      </c>
      <c r="BS37" s="6" t="s">
        <v>4693</v>
      </c>
      <c r="BT37" s="6" t="s">
        <v>5584</v>
      </c>
      <c r="BU37" s="6" t="s">
        <v>4695</v>
      </c>
      <c r="BV37" s="0" t="n">
        <v>15</v>
      </c>
      <c r="BX37" s="6" t="s">
        <v>5585</v>
      </c>
      <c r="BY37" s="6" t="s">
        <v>5586</v>
      </c>
      <c r="CA37" s="6" t="s">
        <v>5587</v>
      </c>
      <c r="CB37" s="6" t="s">
        <v>5588</v>
      </c>
      <c r="CC37" s="6" t="s">
        <v>5589</v>
      </c>
      <c r="CD37" s="6" t="s">
        <v>4626</v>
      </c>
      <c r="CE37" s="6" t="s">
        <v>4810</v>
      </c>
      <c r="CF37" s="6" t="s">
        <v>171</v>
      </c>
      <c r="CG37" s="6" t="s">
        <v>5590</v>
      </c>
      <c r="CK37" s="6" t="s">
        <v>158</v>
      </c>
      <c r="CL37" s="0" t="n">
        <v>58</v>
      </c>
      <c r="CM37" s="0" t="n">
        <v>25</v>
      </c>
      <c r="CN37" s="0" t="n">
        <v>8</v>
      </c>
      <c r="CO37" s="0" t="n">
        <v>8</v>
      </c>
      <c r="CP37" s="0" t="n">
        <v>5</v>
      </c>
      <c r="CQ37" s="0" t="n">
        <v>10</v>
      </c>
      <c r="CR37" s="0" t="n">
        <v>6</v>
      </c>
      <c r="CS37" s="6" t="n">
        <f aca="false">IF(R37="Y",10,0)</f>
        <v>0</v>
      </c>
      <c r="CT37" s="0" t="n">
        <v>-4</v>
      </c>
      <c r="CU37" s="6" t="s">
        <v>5591</v>
      </c>
      <c r="CV37" s="6" t="s">
        <v>4704</v>
      </c>
      <c r="CW37" s="6" t="s">
        <v>5592</v>
      </c>
      <c r="CX37" s="6" t="s">
        <v>5593</v>
      </c>
      <c r="CY37" s="6" t="s">
        <v>5594</v>
      </c>
      <c r="CZ37" s="6" t="s">
        <v>5577</v>
      </c>
      <c r="DA37" s="6" t="s">
        <v>4621</v>
      </c>
      <c r="DC37" s="6" t="s">
        <v>172</v>
      </c>
      <c r="DY37" s="0" t="str">
        <f aca="false">IF(ISNUMBER(MATCH(U37,{"queued","contacted","replied","call_booked","call_done","yes_in_principle","materials_sent"},0)),"Y","N")</f>
        <v>N</v>
      </c>
      <c r="DZ37" s="0" t="str">
        <f aca="false">IF(COUNTIFS($AN$2:$AN$1000,AN37,$DY$2:$DY$1000,"Y")+COUNTIFS($AN$2:$AN$1000,AN37,$T$2:$T$1000,"Y")&gt;0,"Y","N")</f>
        <v>N</v>
      </c>
      <c r="EA37" s="0" t="str">
        <f aca="false">IF(AND(U37="new",T37="N",AR37="Y",AQ37="",DZ37="N"),"Y","N")</f>
        <v>Y</v>
      </c>
      <c r="EB37" s="0" t="str">
        <f aca="false">IF(EA37&lt;&gt;"Y","N",IF(COUNTIFS($AN$2:$AN$1000,AN37,$EA$2:$EA$1000,"Y",$J$2:$J$1000,"&gt;"&amp;J37)+COUNTIFS($AN$2:$AN$1000,AN37,$EA$2:$EA$1000,"Y",$J$2:$J$1000,J37,$ED$2:$ED$1000,"&lt;"&amp;ED37)=0,"Y","N"))</f>
        <v>Y</v>
      </c>
      <c r="EC37" s="0" t="str">
        <f aca="false">IF(Y37="","N",IF(Y37&lt;=10,"Y","N"))</f>
        <v>N</v>
      </c>
      <c r="ED37" s="6" t="n">
        <f aca="false">ROW()-1</f>
        <v>36</v>
      </c>
    </row>
    <row r="38" customFormat="false" ht="15" hidden="false" customHeight="false" outlineLevel="0" collapsed="false">
      <c r="A38" s="0" t="s">
        <v>5595</v>
      </c>
      <c r="B38" s="0" t="s">
        <v>5596</v>
      </c>
      <c r="C38" s="0" t="s">
        <v>155</v>
      </c>
      <c r="D38" s="0" t="s">
        <v>5597</v>
      </c>
      <c r="E38" s="0" t="s">
        <v>4626</v>
      </c>
      <c r="H38" s="5" t="s">
        <v>158</v>
      </c>
      <c r="I38" s="5" t="s">
        <v>159</v>
      </c>
      <c r="J38" s="6" t="n">
        <f aca="false">IF(AU38="pass",CM38+CN38+CO38+CP38+CQ38+CR38+CS38+CT38,0)</f>
        <v>57</v>
      </c>
      <c r="K38" s="6" t="s">
        <v>5598</v>
      </c>
      <c r="M38" s="6" t="s">
        <v>4581</v>
      </c>
      <c r="N38" s="6" t="s">
        <v>4582</v>
      </c>
      <c r="O38" s="6" t="s">
        <v>5599</v>
      </c>
      <c r="P38" s="6" t="s">
        <v>5600</v>
      </c>
      <c r="Q38" s="6" t="s">
        <v>2614</v>
      </c>
      <c r="R38" s="5" t="s">
        <v>162</v>
      </c>
      <c r="S38" s="6" t="s">
        <v>163</v>
      </c>
      <c r="T38" s="5" t="s">
        <v>162</v>
      </c>
      <c r="U38" s="5" t="s">
        <v>228</v>
      </c>
      <c r="V38" s="6" t="s">
        <v>5600</v>
      </c>
      <c r="W38" s="6" t="s">
        <v>174</v>
      </c>
      <c r="X38" s="6" t="s">
        <v>4586</v>
      </c>
      <c r="Y38" s="6" t="n">
        <f aca="false">IF(EB38&lt;&gt;"Y","",COUNTIFS($EB$2:$EB$1000,"Y",$J$2:$J$1000,"&gt;"&amp;J38)+COUNTIFS($EB$2:$EB$1000,"Y",$J$2:$J$1000,J38,$ED$2:$ED$1000,"&lt;"&amp;ED38)+1)</f>
        <v>33</v>
      </c>
      <c r="Z38" s="0" t="n">
        <v>37</v>
      </c>
      <c r="AA38" s="6" t="s">
        <v>168</v>
      </c>
      <c r="AB38" s="6" t="s">
        <v>5601</v>
      </c>
      <c r="AC38" s="6" t="s">
        <v>4588</v>
      </c>
      <c r="AD38" s="6" t="s">
        <v>171</v>
      </c>
      <c r="AE38" s="6" t="s">
        <v>1190</v>
      </c>
      <c r="AF38" s="6" t="s">
        <v>5602</v>
      </c>
      <c r="AG38" s="6" t="s">
        <v>174</v>
      </c>
      <c r="AH38" s="6" t="s">
        <v>5603</v>
      </c>
      <c r="AI38" s="6" t="s">
        <v>4634</v>
      </c>
      <c r="AJ38" s="6" t="s">
        <v>5604</v>
      </c>
      <c r="AK38" s="6" t="s">
        <v>5605</v>
      </c>
      <c r="AL38" s="6" t="s">
        <v>168</v>
      </c>
      <c r="AM38" s="6" t="s">
        <v>5606</v>
      </c>
      <c r="AN38" s="6" t="s">
        <v>5595</v>
      </c>
      <c r="AO38" s="5" t="s">
        <v>162</v>
      </c>
      <c r="AR38" s="0" t="str">
        <f aca="false">IF(AND(AU38="pass",AO38&lt;&gt;"Y",C38&lt;&gt;""),"Y","N")</f>
        <v>Y</v>
      </c>
      <c r="AS38" s="0" t="str">
        <f aca="false">_xlfn.TEXTJOIN("; ",TRUE(),IF(AU38&lt;&gt;"pass","gated out",""),IF(AO38="Y","on hold: "&amp;AP38,""),IF(C38="","no contact named on an opened page",""))</f>
        <v/>
      </c>
      <c r="AU38" s="6" t="s">
        <v>181</v>
      </c>
      <c r="AW38" s="6" t="s">
        <v>182</v>
      </c>
      <c r="AX38" s="6" t="s">
        <v>5607</v>
      </c>
      <c r="AY38" s="6" t="s">
        <v>5608</v>
      </c>
      <c r="AZ38" s="6" t="s">
        <v>5192</v>
      </c>
      <c r="BA38" s="6" t="s">
        <v>5193</v>
      </c>
      <c r="BB38" s="6" t="s">
        <v>163</v>
      </c>
      <c r="BD38" s="6" t="s">
        <v>168</v>
      </c>
      <c r="BE38" s="6" t="s">
        <v>5609</v>
      </c>
      <c r="BF38" s="6" t="s">
        <v>168</v>
      </c>
      <c r="BG38" s="6" t="s">
        <v>168</v>
      </c>
      <c r="BH38" s="6" t="s">
        <v>163</v>
      </c>
      <c r="BJ38" s="6" t="s">
        <v>5610</v>
      </c>
      <c r="BK38" s="6" t="s">
        <v>162</v>
      </c>
      <c r="BL38" s="6" t="s">
        <v>162</v>
      </c>
      <c r="BN38" s="0" t="n">
        <v>0</v>
      </c>
      <c r="BO38" s="6" t="s">
        <v>168</v>
      </c>
      <c r="BP38" s="0" t="n">
        <v>3</v>
      </c>
      <c r="BQ38" s="6" t="s">
        <v>4670</v>
      </c>
      <c r="BS38" s="6" t="s">
        <v>5611</v>
      </c>
      <c r="BT38" s="6" t="s">
        <v>5612</v>
      </c>
      <c r="BU38" s="6" t="s">
        <v>4605</v>
      </c>
      <c r="BV38" s="0" t="n">
        <v>5</v>
      </c>
      <c r="BX38" s="6" t="s">
        <v>5613</v>
      </c>
      <c r="BY38" s="6" t="s">
        <v>5614</v>
      </c>
      <c r="CA38" s="6" t="s">
        <v>5615</v>
      </c>
      <c r="CB38" s="6" t="s">
        <v>5616</v>
      </c>
      <c r="CC38" s="6" t="s">
        <v>5617</v>
      </c>
      <c r="CD38" s="6" t="s">
        <v>4626</v>
      </c>
      <c r="CE38" s="6" t="s">
        <v>4810</v>
      </c>
      <c r="CF38" s="6" t="s">
        <v>171</v>
      </c>
      <c r="CG38" s="6" t="s">
        <v>5618</v>
      </c>
      <c r="CK38" s="6" t="s">
        <v>158</v>
      </c>
      <c r="CL38" s="0" t="n">
        <v>57</v>
      </c>
      <c r="CM38" s="0" t="n">
        <v>25</v>
      </c>
      <c r="CN38" s="0" t="n">
        <v>8</v>
      </c>
      <c r="CO38" s="0" t="n">
        <v>15</v>
      </c>
      <c r="CP38" s="0" t="n">
        <v>5</v>
      </c>
      <c r="CQ38" s="0" t="n">
        <v>10</v>
      </c>
      <c r="CR38" s="0" t="n">
        <v>6</v>
      </c>
      <c r="CS38" s="6" t="n">
        <f aca="false">IF(R38="Y",10,0)</f>
        <v>0</v>
      </c>
      <c r="CT38" s="0" t="n">
        <v>-12</v>
      </c>
      <c r="CU38" s="6" t="s">
        <v>5619</v>
      </c>
      <c r="CV38" s="6" t="s">
        <v>5152</v>
      </c>
      <c r="CW38" s="6" t="s">
        <v>5620</v>
      </c>
      <c r="CX38" s="6" t="s">
        <v>5621</v>
      </c>
      <c r="CZ38" s="6" t="s">
        <v>5602</v>
      </c>
      <c r="DA38" s="6" t="s">
        <v>4621</v>
      </c>
      <c r="DC38" s="6" t="s">
        <v>1190</v>
      </c>
      <c r="DY38" s="0" t="str">
        <f aca="false">IF(ISNUMBER(MATCH(U38,{"queued","contacted","replied","call_booked","call_done","yes_in_principle","materials_sent"},0)),"Y","N")</f>
        <v>N</v>
      </c>
      <c r="DZ38" s="0" t="str">
        <f aca="false">IF(COUNTIFS($AN$2:$AN$1000,AN38,$DY$2:$DY$1000,"Y")+COUNTIFS($AN$2:$AN$1000,AN38,$T$2:$T$1000,"Y")&gt;0,"Y","N")</f>
        <v>N</v>
      </c>
      <c r="EA38" s="0" t="str">
        <f aca="false">IF(AND(U38="new",T38="N",AR38="Y",AQ38="",DZ38="N"),"Y","N")</f>
        <v>Y</v>
      </c>
      <c r="EB38" s="0" t="str">
        <f aca="false">IF(EA38&lt;&gt;"Y","N",IF(COUNTIFS($AN$2:$AN$1000,AN38,$EA$2:$EA$1000,"Y",$J$2:$J$1000,"&gt;"&amp;J38)+COUNTIFS($AN$2:$AN$1000,AN38,$EA$2:$EA$1000,"Y",$J$2:$J$1000,J38,$ED$2:$ED$1000,"&lt;"&amp;ED38)=0,"Y","N"))</f>
        <v>Y</v>
      </c>
      <c r="EC38" s="0" t="str">
        <f aca="false">IF(Y38="","N",IF(Y38&lt;=10,"Y","N"))</f>
        <v>N</v>
      </c>
      <c r="ED38" s="6" t="n">
        <f aca="false">ROW()-1</f>
        <v>37</v>
      </c>
    </row>
    <row r="39" customFormat="false" ht="15" hidden="false" customHeight="false" outlineLevel="0" collapsed="false">
      <c r="A39" s="0" t="s">
        <v>5622</v>
      </c>
      <c r="B39" s="0" t="s">
        <v>5623</v>
      </c>
      <c r="C39" s="0" t="s">
        <v>5624</v>
      </c>
      <c r="D39" s="0" t="s">
        <v>5625</v>
      </c>
      <c r="E39" s="0" t="s">
        <v>5626</v>
      </c>
      <c r="H39" s="5" t="s">
        <v>158</v>
      </c>
      <c r="I39" s="5" t="s">
        <v>159</v>
      </c>
      <c r="J39" s="6" t="n">
        <f aca="false">IF(AU39="pass",CM39+CN39+CO39+CP39+CQ39+CR39+CS39+CT39,0)</f>
        <v>57</v>
      </c>
      <c r="K39" s="6" t="s">
        <v>5627</v>
      </c>
      <c r="M39" s="6" t="s">
        <v>4581</v>
      </c>
      <c r="N39" s="6" t="s">
        <v>4582</v>
      </c>
      <c r="R39" s="5" t="s">
        <v>162</v>
      </c>
      <c r="S39" s="6" t="s">
        <v>163</v>
      </c>
      <c r="T39" s="5" t="s">
        <v>162</v>
      </c>
      <c r="U39" s="5" t="s">
        <v>228</v>
      </c>
      <c r="V39" s="6" t="s">
        <v>5628</v>
      </c>
      <c r="W39" s="6" t="s">
        <v>166</v>
      </c>
      <c r="X39" s="6" t="s">
        <v>4586</v>
      </c>
      <c r="Y39" s="6" t="n">
        <f aca="false">IF(EB39&lt;&gt;"Y","",COUNTIFS($EB$2:$EB$1000,"Y",$J$2:$J$1000,"&gt;"&amp;J39)+COUNTIFS($EB$2:$EB$1000,"Y",$J$2:$J$1000,J39,$ED$2:$ED$1000,"&lt;"&amp;ED39)+1)</f>
        <v>34</v>
      </c>
      <c r="Z39" s="0" t="n">
        <v>38</v>
      </c>
      <c r="AA39" s="6" t="s">
        <v>168</v>
      </c>
      <c r="AB39" s="6" t="s">
        <v>5629</v>
      </c>
      <c r="AC39" s="6" t="s">
        <v>4588</v>
      </c>
      <c r="AD39" s="6" t="s">
        <v>171</v>
      </c>
      <c r="AE39" s="6" t="s">
        <v>172</v>
      </c>
      <c r="AF39" s="6" t="s">
        <v>5628</v>
      </c>
      <c r="AG39" s="6" t="s">
        <v>174</v>
      </c>
      <c r="AH39" s="6" t="s">
        <v>5630</v>
      </c>
      <c r="AI39" s="6" t="s">
        <v>4634</v>
      </c>
      <c r="AJ39" s="6" t="s">
        <v>5631</v>
      </c>
      <c r="AL39" s="6" t="s">
        <v>168</v>
      </c>
      <c r="AM39" s="6" t="s">
        <v>5632</v>
      </c>
      <c r="AN39" s="6" t="s">
        <v>5622</v>
      </c>
      <c r="AO39" s="5" t="s">
        <v>162</v>
      </c>
      <c r="AR39" s="0" t="str">
        <f aca="false">IF(AND(AU39="pass",AO39&lt;&gt;"Y",C39&lt;&gt;""),"Y","N")</f>
        <v>Y</v>
      </c>
      <c r="AS39" s="0" t="str">
        <f aca="false">_xlfn.TEXTJOIN("; ",TRUE(),IF(AU39&lt;&gt;"pass","gated out",""),IF(AO39="Y","on hold: "&amp;AP39,""),IF(C39="","no contact named on an opened page",""))</f>
        <v/>
      </c>
      <c r="AU39" s="6" t="s">
        <v>181</v>
      </c>
      <c r="AW39" s="6" t="s">
        <v>182</v>
      </c>
      <c r="AX39" s="6" t="s">
        <v>4830</v>
      </c>
      <c r="AY39" s="6" t="s">
        <v>5633</v>
      </c>
      <c r="AZ39" s="6" t="s">
        <v>4596</v>
      </c>
      <c r="BA39" s="6" t="s">
        <v>4597</v>
      </c>
      <c r="BB39" s="6" t="s">
        <v>163</v>
      </c>
      <c r="BD39" s="6" t="s">
        <v>168</v>
      </c>
      <c r="BE39" s="6" t="s">
        <v>5634</v>
      </c>
      <c r="BF39" s="6" t="s">
        <v>162</v>
      </c>
      <c r="BG39" s="6" t="s">
        <v>163</v>
      </c>
      <c r="BH39" s="6" t="s">
        <v>163</v>
      </c>
      <c r="BJ39" s="6" t="s">
        <v>163</v>
      </c>
      <c r="BK39" s="6" t="s">
        <v>162</v>
      </c>
      <c r="BL39" s="6" t="s">
        <v>162</v>
      </c>
      <c r="BN39" s="0" t="n">
        <v>0</v>
      </c>
      <c r="BO39" s="6" t="s">
        <v>168</v>
      </c>
      <c r="BP39" s="0" t="n">
        <v>2</v>
      </c>
      <c r="BQ39" s="6" t="s">
        <v>4783</v>
      </c>
      <c r="BR39" s="6" t="s">
        <v>4671</v>
      </c>
      <c r="BS39" s="6" t="s">
        <v>5635</v>
      </c>
      <c r="BT39" s="6" t="s">
        <v>5636</v>
      </c>
      <c r="BU39" s="6" t="s">
        <v>158</v>
      </c>
      <c r="BX39" s="6" t="s">
        <v>5637</v>
      </c>
      <c r="BY39" s="6" t="s">
        <v>5638</v>
      </c>
      <c r="CA39" s="6" t="s">
        <v>5639</v>
      </c>
      <c r="CB39" s="6" t="s">
        <v>1078</v>
      </c>
      <c r="CC39" s="6" t="s">
        <v>5625</v>
      </c>
      <c r="CD39" s="6" t="s">
        <v>4626</v>
      </c>
      <c r="CE39" s="6" t="s">
        <v>4810</v>
      </c>
      <c r="CF39" s="6" t="s">
        <v>171</v>
      </c>
      <c r="CG39" s="6" t="s">
        <v>5618</v>
      </c>
      <c r="CK39" s="6" t="s">
        <v>158</v>
      </c>
      <c r="CL39" s="0" t="n">
        <v>57</v>
      </c>
      <c r="CM39" s="0" t="n">
        <v>25</v>
      </c>
      <c r="CN39" s="0" t="n">
        <v>20</v>
      </c>
      <c r="CO39" s="0" t="n">
        <v>0</v>
      </c>
      <c r="CP39" s="0" t="n">
        <v>5</v>
      </c>
      <c r="CQ39" s="0" t="n">
        <v>5</v>
      </c>
      <c r="CR39" s="0" t="n">
        <v>6</v>
      </c>
      <c r="CS39" s="6" t="n">
        <f aca="false">IF(R39="Y",10,0)</f>
        <v>0</v>
      </c>
      <c r="CT39" s="0" t="n">
        <v>-4</v>
      </c>
      <c r="CV39" s="6" t="s">
        <v>4616</v>
      </c>
      <c r="CW39" s="6" t="s">
        <v>5640</v>
      </c>
      <c r="CX39" s="6" t="s">
        <v>5641</v>
      </c>
      <c r="CY39" s="6" t="s">
        <v>5642</v>
      </c>
      <c r="CZ39" s="6" t="s">
        <v>5628</v>
      </c>
      <c r="DA39" s="6" t="s">
        <v>4621</v>
      </c>
      <c r="DC39" s="6" t="s">
        <v>172</v>
      </c>
      <c r="DY39" s="0" t="str">
        <f aca="false">IF(ISNUMBER(MATCH(U39,{"queued","contacted","replied","call_booked","call_done","yes_in_principle","materials_sent"},0)),"Y","N")</f>
        <v>N</v>
      </c>
      <c r="DZ39" s="0" t="str">
        <f aca="false">IF(COUNTIFS($AN$2:$AN$1000,AN39,$DY$2:$DY$1000,"Y")+COUNTIFS($AN$2:$AN$1000,AN39,$T$2:$T$1000,"Y")&gt;0,"Y","N")</f>
        <v>N</v>
      </c>
      <c r="EA39" s="0" t="str">
        <f aca="false">IF(AND(U39="new",T39="N",AR39="Y",AQ39="",DZ39="N"),"Y","N")</f>
        <v>Y</v>
      </c>
      <c r="EB39" s="0" t="str">
        <f aca="false">IF(EA39&lt;&gt;"Y","N",IF(COUNTIFS($AN$2:$AN$1000,AN39,$EA$2:$EA$1000,"Y",$J$2:$J$1000,"&gt;"&amp;J39)+COUNTIFS($AN$2:$AN$1000,AN39,$EA$2:$EA$1000,"Y",$J$2:$J$1000,J39,$ED$2:$ED$1000,"&lt;"&amp;ED39)=0,"Y","N"))</f>
        <v>Y</v>
      </c>
      <c r="EC39" s="0" t="str">
        <f aca="false">IF(Y39="","N",IF(Y39&lt;=10,"Y","N"))</f>
        <v>N</v>
      </c>
      <c r="ED39" s="6" t="n">
        <f aca="false">ROW()-1</f>
        <v>38</v>
      </c>
    </row>
    <row r="40" customFormat="false" ht="15" hidden="false" customHeight="false" outlineLevel="0" collapsed="false">
      <c r="A40" s="0" t="s">
        <v>5643</v>
      </c>
      <c r="B40" s="0" t="s">
        <v>5644</v>
      </c>
      <c r="C40" s="0" t="s">
        <v>5645</v>
      </c>
      <c r="D40" s="0" t="s">
        <v>5646</v>
      </c>
      <c r="E40" s="0" t="s">
        <v>4657</v>
      </c>
      <c r="H40" s="5" t="s">
        <v>158</v>
      </c>
      <c r="I40" s="5" t="s">
        <v>159</v>
      </c>
      <c r="J40" s="6" t="n">
        <f aca="false">IF(AU40="pass",CM40+CN40+CO40+CP40+CQ40+CR40+CS40+CT40,0)</f>
        <v>56</v>
      </c>
      <c r="K40" s="6" t="s">
        <v>5647</v>
      </c>
      <c r="M40" s="6" t="s">
        <v>4581</v>
      </c>
      <c r="N40" s="6" t="s">
        <v>4582</v>
      </c>
      <c r="O40" s="6" t="s">
        <v>5648</v>
      </c>
      <c r="P40" s="6" t="s">
        <v>5649</v>
      </c>
      <c r="Q40" s="6" t="s">
        <v>5650</v>
      </c>
      <c r="R40" s="5" t="s">
        <v>162</v>
      </c>
      <c r="S40" s="6" t="s">
        <v>163</v>
      </c>
      <c r="T40" s="5" t="s">
        <v>162</v>
      </c>
      <c r="U40" s="5" t="s">
        <v>228</v>
      </c>
      <c r="V40" s="6" t="s">
        <v>5651</v>
      </c>
      <c r="W40" s="6" t="s">
        <v>166</v>
      </c>
      <c r="X40" s="6" t="s">
        <v>4586</v>
      </c>
      <c r="Y40" s="6" t="n">
        <f aca="false">IF(EB40&lt;&gt;"Y","",COUNTIFS($EB$2:$EB$1000,"Y",$J$2:$J$1000,"&gt;"&amp;J40)+COUNTIFS($EB$2:$EB$1000,"Y",$J$2:$J$1000,J40,$ED$2:$ED$1000,"&lt;"&amp;ED40)+1)</f>
        <v>35</v>
      </c>
      <c r="Z40" s="0" t="n">
        <v>39</v>
      </c>
      <c r="AA40" s="6" t="s">
        <v>168</v>
      </c>
      <c r="AB40" s="6" t="s">
        <v>5652</v>
      </c>
      <c r="AC40" s="6" t="s">
        <v>4588</v>
      </c>
      <c r="AD40" s="6" t="s">
        <v>171</v>
      </c>
      <c r="AE40" s="6" t="s">
        <v>1190</v>
      </c>
      <c r="AF40" s="6" t="s">
        <v>5653</v>
      </c>
      <c r="AG40" s="6" t="s">
        <v>174</v>
      </c>
      <c r="AH40" s="6" t="s">
        <v>5654</v>
      </c>
      <c r="AI40" s="6" t="s">
        <v>5655</v>
      </c>
      <c r="AJ40" s="6" t="s">
        <v>5656</v>
      </c>
      <c r="AK40" s="6" t="s">
        <v>5657</v>
      </c>
      <c r="AL40" s="6" t="s">
        <v>168</v>
      </c>
      <c r="AM40" s="6" t="s">
        <v>5658</v>
      </c>
      <c r="AN40" s="6" t="s">
        <v>5643</v>
      </c>
      <c r="AO40" s="5" t="s">
        <v>162</v>
      </c>
      <c r="AR40" s="0" t="str">
        <f aca="false">IF(AND(AU40="pass",AO40&lt;&gt;"Y",C40&lt;&gt;""),"Y","N")</f>
        <v>Y</v>
      </c>
      <c r="AS40" s="0" t="str">
        <f aca="false">_xlfn.TEXTJOIN("; ",TRUE(),IF(AU40&lt;&gt;"pass","gated out",""),IF(AO40="Y","on hold: "&amp;AP40,""),IF(C40="","no contact named on an opened page",""))</f>
        <v/>
      </c>
      <c r="AU40" s="6" t="s">
        <v>181</v>
      </c>
      <c r="AW40" s="6" t="s">
        <v>182</v>
      </c>
      <c r="AX40" s="6" t="s">
        <v>5607</v>
      </c>
      <c r="AY40" s="6" t="s">
        <v>5657</v>
      </c>
      <c r="AZ40" s="6" t="s">
        <v>5659</v>
      </c>
      <c r="BA40" s="6" t="s">
        <v>5331</v>
      </c>
      <c r="BB40" s="6" t="s">
        <v>163</v>
      </c>
      <c r="BD40" s="6" t="s">
        <v>168</v>
      </c>
      <c r="BE40" s="6" t="s">
        <v>5660</v>
      </c>
      <c r="BF40" s="6" t="s">
        <v>168</v>
      </c>
      <c r="BG40" s="6" t="s">
        <v>168</v>
      </c>
      <c r="BH40" s="6" t="s">
        <v>163</v>
      </c>
      <c r="BJ40" s="6" t="s">
        <v>163</v>
      </c>
      <c r="BK40" s="6" t="s">
        <v>162</v>
      </c>
      <c r="BL40" s="6" t="s">
        <v>162</v>
      </c>
      <c r="BN40" s="0" t="n">
        <v>0</v>
      </c>
      <c r="BO40" s="6" t="s">
        <v>168</v>
      </c>
      <c r="BP40" s="0" t="n">
        <v>3</v>
      </c>
      <c r="BQ40" s="6" t="s">
        <v>4670</v>
      </c>
      <c r="BS40" s="6" t="s">
        <v>5661</v>
      </c>
      <c r="BT40" s="6" t="s">
        <v>5662</v>
      </c>
      <c r="BU40" s="6" t="s">
        <v>4605</v>
      </c>
      <c r="BV40" s="0" t="n">
        <v>66</v>
      </c>
      <c r="BX40" s="6" t="s">
        <v>5663</v>
      </c>
      <c r="BY40" s="6" t="s">
        <v>5664</v>
      </c>
      <c r="CA40" s="6" t="s">
        <v>5665</v>
      </c>
      <c r="CB40" s="6" t="s">
        <v>5666</v>
      </c>
      <c r="CC40" s="6" t="s">
        <v>5667</v>
      </c>
      <c r="CD40" s="6" t="s">
        <v>4701</v>
      </c>
      <c r="CE40" s="6" t="s">
        <v>4613</v>
      </c>
      <c r="CF40" s="6" t="s">
        <v>171</v>
      </c>
      <c r="CG40" s="6" t="s">
        <v>5668</v>
      </c>
      <c r="CK40" s="6" t="s">
        <v>158</v>
      </c>
      <c r="CL40" s="0" t="n">
        <v>56</v>
      </c>
      <c r="CM40" s="0" t="n">
        <v>25</v>
      </c>
      <c r="CN40" s="0" t="n">
        <v>3</v>
      </c>
      <c r="CO40" s="0" t="n">
        <v>15</v>
      </c>
      <c r="CP40" s="0" t="n">
        <v>5</v>
      </c>
      <c r="CQ40" s="0" t="n">
        <v>10</v>
      </c>
      <c r="CR40" s="0" t="n">
        <v>10</v>
      </c>
      <c r="CS40" s="6" t="n">
        <f aca="false">IF(R40="Y",10,0)</f>
        <v>0</v>
      </c>
      <c r="CT40" s="0" t="n">
        <v>-12</v>
      </c>
      <c r="CU40" s="6" t="s">
        <v>5669</v>
      </c>
      <c r="CV40" s="6" t="s">
        <v>4704</v>
      </c>
      <c r="CW40" s="6" t="s">
        <v>5670</v>
      </c>
      <c r="CX40" s="6" t="s">
        <v>5671</v>
      </c>
      <c r="CY40" s="6" t="s">
        <v>5672</v>
      </c>
      <c r="CZ40" s="6" t="s">
        <v>5673</v>
      </c>
      <c r="DA40" s="6" t="s">
        <v>4621</v>
      </c>
      <c r="DB40" s="6" t="s">
        <v>5344</v>
      </c>
      <c r="DC40" s="6" t="s">
        <v>231</v>
      </c>
      <c r="DD40" s="6" t="s">
        <v>3156</v>
      </c>
      <c r="DY40" s="0" t="str">
        <f aca="false">IF(ISNUMBER(MATCH(U40,{"queued","contacted","replied","call_booked","call_done","yes_in_principle","materials_sent"},0)),"Y","N")</f>
        <v>N</v>
      </c>
      <c r="DZ40" s="0" t="str">
        <f aca="false">IF(COUNTIFS($AN$2:$AN$1000,AN40,$DY$2:$DY$1000,"Y")+COUNTIFS($AN$2:$AN$1000,AN40,$T$2:$T$1000,"Y")&gt;0,"Y","N")</f>
        <v>N</v>
      </c>
      <c r="EA40" s="0" t="str">
        <f aca="false">IF(AND(U40="new",T40="N",AR40="Y",AQ40="",DZ40="N"),"Y","N")</f>
        <v>Y</v>
      </c>
      <c r="EB40" s="0" t="str">
        <f aca="false">IF(EA40&lt;&gt;"Y","N",IF(COUNTIFS($AN$2:$AN$1000,AN40,$EA$2:$EA$1000,"Y",$J$2:$J$1000,"&gt;"&amp;J40)+COUNTIFS($AN$2:$AN$1000,AN40,$EA$2:$EA$1000,"Y",$J$2:$J$1000,J40,$ED$2:$ED$1000,"&lt;"&amp;ED40)=0,"Y","N"))</f>
        <v>Y</v>
      </c>
      <c r="EC40" s="0" t="str">
        <f aca="false">IF(Y40="","N",IF(Y40&lt;=10,"Y","N"))</f>
        <v>N</v>
      </c>
      <c r="ED40" s="6" t="n">
        <f aca="false">ROW()-1</f>
        <v>39</v>
      </c>
    </row>
    <row r="41" customFormat="false" ht="15" hidden="false" customHeight="false" outlineLevel="0" collapsed="false">
      <c r="A41" s="0" t="s">
        <v>5674</v>
      </c>
      <c r="B41" s="0" t="s">
        <v>5675</v>
      </c>
      <c r="C41" s="0" t="s">
        <v>5676</v>
      </c>
      <c r="D41" s="0" t="s">
        <v>5677</v>
      </c>
      <c r="E41" s="0" t="s">
        <v>4773</v>
      </c>
      <c r="H41" s="5" t="s">
        <v>158</v>
      </c>
      <c r="I41" s="5" t="s">
        <v>159</v>
      </c>
      <c r="J41" s="6" t="n">
        <f aca="false">IF(AU41="pass",CM41+CN41+CO41+CP41+CQ41+CR41+CS41+CT41,0)</f>
        <v>65</v>
      </c>
      <c r="K41" s="6" t="s">
        <v>5678</v>
      </c>
      <c r="M41" s="6" t="s">
        <v>4581</v>
      </c>
      <c r="N41" s="6" t="s">
        <v>4582</v>
      </c>
      <c r="O41" s="6" t="s">
        <v>5679</v>
      </c>
      <c r="P41" s="6" t="s">
        <v>5680</v>
      </c>
      <c r="Q41" s="6" t="s">
        <v>5681</v>
      </c>
      <c r="R41" s="5" t="s">
        <v>168</v>
      </c>
      <c r="S41" s="6" t="s">
        <v>168</v>
      </c>
      <c r="T41" s="5" t="s">
        <v>162</v>
      </c>
      <c r="U41" s="5" t="s">
        <v>228</v>
      </c>
      <c r="V41" s="6" t="s">
        <v>5682</v>
      </c>
      <c r="W41" s="6" t="s">
        <v>166</v>
      </c>
      <c r="X41" s="6" t="s">
        <v>4586</v>
      </c>
      <c r="Y41" s="6" t="n">
        <f aca="false">IF(EB41&lt;&gt;"Y","",COUNTIFS($EB$2:$EB$1000,"Y",$J$2:$J$1000,"&gt;"&amp;J41)+COUNTIFS($EB$2:$EB$1000,"Y",$J$2:$J$1000,J41,$ED$2:$ED$1000,"&lt;"&amp;ED41)+1)</f>
        <v>13</v>
      </c>
      <c r="Z41" s="0" t="n">
        <v>40</v>
      </c>
      <c r="AA41" s="6" t="s">
        <v>168</v>
      </c>
      <c r="AB41" s="6" t="s">
        <v>5683</v>
      </c>
      <c r="AC41" s="6" t="s">
        <v>4588</v>
      </c>
      <c r="AD41" s="6" t="s">
        <v>171</v>
      </c>
      <c r="AE41" s="6" t="s">
        <v>1190</v>
      </c>
      <c r="AF41" s="6" t="s">
        <v>5684</v>
      </c>
      <c r="AG41" s="6" t="s">
        <v>174</v>
      </c>
      <c r="AH41" s="6" t="s">
        <v>5685</v>
      </c>
      <c r="AI41" s="6" t="s">
        <v>4724</v>
      </c>
      <c r="AJ41" s="6" t="s">
        <v>2550</v>
      </c>
      <c r="AK41" s="6" t="s">
        <v>5686</v>
      </c>
      <c r="AL41" s="6" t="s">
        <v>168</v>
      </c>
      <c r="AM41" s="6" t="s">
        <v>5687</v>
      </c>
      <c r="AN41" s="6" t="s">
        <v>5674</v>
      </c>
      <c r="AO41" s="5" t="s">
        <v>162</v>
      </c>
      <c r="AR41" s="0" t="str">
        <f aca="false">IF(AND(AU41="pass",AO41&lt;&gt;"Y",C41&lt;&gt;""),"Y","N")</f>
        <v>Y</v>
      </c>
      <c r="AS41" s="0" t="str">
        <f aca="false">_xlfn.TEXTJOIN("; ",TRUE(),IF(AU41&lt;&gt;"pass","gated out",""),IF(AO41="Y","on hold: "&amp;AP41,""),IF(C41="","no contact named on an opened page",""))</f>
        <v/>
      </c>
      <c r="AU41" s="6" t="s">
        <v>181</v>
      </c>
      <c r="AW41" s="6" t="s">
        <v>182</v>
      </c>
      <c r="AX41" s="6" t="s">
        <v>283</v>
      </c>
      <c r="AY41" s="6" t="s">
        <v>5686</v>
      </c>
      <c r="AZ41" s="6" t="s">
        <v>5659</v>
      </c>
      <c r="BA41" s="6" t="s">
        <v>5331</v>
      </c>
      <c r="BB41" s="6" t="s">
        <v>163</v>
      </c>
      <c r="BD41" s="6" t="s">
        <v>264</v>
      </c>
      <c r="BE41" s="6" t="s">
        <v>5688</v>
      </c>
      <c r="BF41" s="6" t="s">
        <v>168</v>
      </c>
      <c r="BG41" s="6" t="s">
        <v>168</v>
      </c>
      <c r="BH41" s="6" t="s">
        <v>163</v>
      </c>
      <c r="BJ41" s="6" t="s">
        <v>163</v>
      </c>
      <c r="BK41" s="6" t="s">
        <v>162</v>
      </c>
      <c r="BL41" s="6" t="s">
        <v>162</v>
      </c>
      <c r="BN41" s="0" t="n">
        <v>0</v>
      </c>
      <c r="BO41" s="6" t="s">
        <v>168</v>
      </c>
      <c r="BP41" s="0" t="n">
        <v>3</v>
      </c>
      <c r="BQ41" s="6" t="s">
        <v>4670</v>
      </c>
      <c r="BS41" s="6" t="s">
        <v>5689</v>
      </c>
      <c r="BT41" s="6" t="s">
        <v>5690</v>
      </c>
      <c r="BU41" s="6" t="s">
        <v>4605</v>
      </c>
      <c r="BV41" s="0" t="n">
        <v>211</v>
      </c>
      <c r="BW41" s="6" t="s">
        <v>5684</v>
      </c>
      <c r="BX41" s="6" t="s">
        <v>5691</v>
      </c>
      <c r="BY41" s="6" t="s">
        <v>5692</v>
      </c>
      <c r="CA41" s="6" t="s">
        <v>5693</v>
      </c>
      <c r="CE41" s="6" t="s">
        <v>4613</v>
      </c>
      <c r="CF41" s="6" t="s">
        <v>598</v>
      </c>
      <c r="CG41" s="6" t="s">
        <v>5694</v>
      </c>
      <c r="CK41" s="6" t="s">
        <v>158</v>
      </c>
      <c r="CL41" s="0" t="n">
        <v>55</v>
      </c>
      <c r="CM41" s="0" t="n">
        <v>25</v>
      </c>
      <c r="CN41" s="0" t="n">
        <v>3</v>
      </c>
      <c r="CO41" s="0" t="n">
        <v>8</v>
      </c>
      <c r="CP41" s="0" t="n">
        <v>5</v>
      </c>
      <c r="CQ41" s="0" t="n">
        <v>8</v>
      </c>
      <c r="CR41" s="0" t="n">
        <v>8</v>
      </c>
      <c r="CS41" s="6" t="n">
        <f aca="false">IF(R41="Y",10,0)</f>
        <v>10</v>
      </c>
      <c r="CT41" s="0" t="n">
        <v>-2</v>
      </c>
      <c r="CU41" s="6" t="s">
        <v>5695</v>
      </c>
      <c r="CV41" s="6" t="s">
        <v>4704</v>
      </c>
      <c r="CW41" s="6" t="s">
        <v>5696</v>
      </c>
      <c r="CX41" s="6" t="s">
        <v>5697</v>
      </c>
      <c r="CY41" s="6" t="s">
        <v>5698</v>
      </c>
      <c r="CZ41" s="6" t="s">
        <v>5699</v>
      </c>
      <c r="DA41" s="6" t="s">
        <v>4621</v>
      </c>
      <c r="DB41" s="6" t="s">
        <v>5700</v>
      </c>
      <c r="DC41" s="6" t="s">
        <v>599</v>
      </c>
      <c r="DY41" s="0" t="str">
        <f aca="false">IF(ISNUMBER(MATCH(U41,{"queued","contacted","replied","call_booked","call_done","yes_in_principle","materials_sent"},0)),"Y","N")</f>
        <v>N</v>
      </c>
      <c r="DZ41" s="0" t="str">
        <f aca="false">IF(COUNTIFS($AN$2:$AN$1000,AN41,$DY$2:$DY$1000,"Y")+COUNTIFS($AN$2:$AN$1000,AN41,$T$2:$T$1000,"Y")&gt;0,"Y","N")</f>
        <v>N</v>
      </c>
      <c r="EA41" s="0" t="str">
        <f aca="false">IF(AND(U41="new",T41="N",AR41="Y",AQ41="",DZ41="N"),"Y","N")</f>
        <v>Y</v>
      </c>
      <c r="EB41" s="0" t="str">
        <f aca="false">IF(EA41&lt;&gt;"Y","N",IF(COUNTIFS($AN$2:$AN$1000,AN41,$EA$2:$EA$1000,"Y",$J$2:$J$1000,"&gt;"&amp;J41)+COUNTIFS($AN$2:$AN$1000,AN41,$EA$2:$EA$1000,"Y",$J$2:$J$1000,J41,$ED$2:$ED$1000,"&lt;"&amp;ED41)=0,"Y","N"))</f>
        <v>Y</v>
      </c>
      <c r="EC41" s="0" t="str">
        <f aca="false">IF(Y41="","N",IF(Y41&lt;=10,"Y","N"))</f>
        <v>N</v>
      </c>
      <c r="ED41" s="6" t="n">
        <f aca="false">ROW()-1</f>
        <v>40</v>
      </c>
    </row>
    <row r="42" customFormat="false" ht="15" hidden="false" customHeight="false" outlineLevel="0" collapsed="false">
      <c r="A42" s="0" t="s">
        <v>5701</v>
      </c>
      <c r="B42" s="0" t="s">
        <v>5702</v>
      </c>
      <c r="C42" s="0" t="s">
        <v>4771</v>
      </c>
      <c r="D42" s="0" t="s">
        <v>5703</v>
      </c>
      <c r="E42" s="0" t="s">
        <v>5704</v>
      </c>
      <c r="H42" s="5" t="s">
        <v>158</v>
      </c>
      <c r="I42" s="5" t="s">
        <v>159</v>
      </c>
      <c r="J42" s="6" t="n">
        <f aca="false">IF(AU42="pass",CM42+CN42+CO42+CP42+CQ42+CR42+CS42+CT42,0)</f>
        <v>55</v>
      </c>
      <c r="K42" s="6" t="s">
        <v>5705</v>
      </c>
      <c r="M42" s="6" t="s">
        <v>4581</v>
      </c>
      <c r="N42" s="6" t="s">
        <v>4582</v>
      </c>
      <c r="O42" s="6" t="s">
        <v>5706</v>
      </c>
      <c r="P42" s="6" t="s">
        <v>5707</v>
      </c>
      <c r="Q42" s="6" t="s">
        <v>5708</v>
      </c>
      <c r="R42" s="5" t="s">
        <v>162</v>
      </c>
      <c r="S42" s="6" t="s">
        <v>163</v>
      </c>
      <c r="T42" s="5" t="s">
        <v>162</v>
      </c>
      <c r="U42" s="5" t="s">
        <v>228</v>
      </c>
      <c r="V42" s="6" t="s">
        <v>5709</v>
      </c>
      <c r="W42" s="6" t="s">
        <v>166</v>
      </c>
      <c r="X42" s="6" t="s">
        <v>4586</v>
      </c>
      <c r="Y42" s="6" t="n">
        <f aca="false">IF(EB42&lt;&gt;"Y","",COUNTIFS($EB$2:$EB$1000,"Y",$J$2:$J$1000,"&gt;"&amp;J42)+COUNTIFS($EB$2:$EB$1000,"Y",$J$2:$J$1000,J42,$ED$2:$ED$1000,"&lt;"&amp;ED42)+1)</f>
        <v>36</v>
      </c>
      <c r="Z42" s="0" t="n">
        <v>41</v>
      </c>
      <c r="AA42" s="6" t="s">
        <v>168</v>
      </c>
      <c r="AB42" s="6" t="s">
        <v>5710</v>
      </c>
      <c r="AC42" s="6" t="s">
        <v>4588</v>
      </c>
      <c r="AD42" s="6" t="s">
        <v>171</v>
      </c>
      <c r="AE42" s="6" t="s">
        <v>172</v>
      </c>
      <c r="AF42" s="6" t="s">
        <v>5709</v>
      </c>
      <c r="AG42" s="6" t="s">
        <v>174</v>
      </c>
      <c r="AH42" s="6" t="s">
        <v>5711</v>
      </c>
      <c r="AI42" s="6" t="s">
        <v>4665</v>
      </c>
      <c r="AJ42" s="6" t="s">
        <v>5712</v>
      </c>
      <c r="AK42" s="6" t="s">
        <v>5713</v>
      </c>
      <c r="AL42" s="6" t="s">
        <v>168</v>
      </c>
      <c r="AM42" s="6" t="s">
        <v>4691</v>
      </c>
      <c r="AN42" s="6" t="s">
        <v>5701</v>
      </c>
      <c r="AO42" s="5" t="s">
        <v>162</v>
      </c>
      <c r="AR42" s="0" t="str">
        <f aca="false">IF(AND(AU42="pass",AO42&lt;&gt;"Y",C42&lt;&gt;""),"Y","N")</f>
        <v>Y</v>
      </c>
      <c r="AS42" s="0" t="str">
        <f aca="false">_xlfn.TEXTJOIN("; ",TRUE(),IF(AU42&lt;&gt;"pass","gated out",""),IF(AO42="Y","on hold: "&amp;AP42,""),IF(C42="","no contact named on an opened page",""))</f>
        <v/>
      </c>
      <c r="AU42" s="6" t="s">
        <v>181</v>
      </c>
      <c r="AW42" s="6" t="s">
        <v>182</v>
      </c>
      <c r="AY42" s="6" t="s">
        <v>5713</v>
      </c>
      <c r="AZ42" s="6" t="s">
        <v>5714</v>
      </c>
      <c r="BA42" s="6" t="s">
        <v>5331</v>
      </c>
      <c r="BB42" s="6" t="s">
        <v>163</v>
      </c>
      <c r="BD42" s="6" t="s">
        <v>264</v>
      </c>
      <c r="BE42" s="6" t="s">
        <v>5715</v>
      </c>
      <c r="BF42" s="6" t="s">
        <v>168</v>
      </c>
      <c r="BG42" s="6" t="s">
        <v>168</v>
      </c>
      <c r="BH42" s="6" t="s">
        <v>163</v>
      </c>
      <c r="BJ42" s="6" t="s">
        <v>163</v>
      </c>
      <c r="BK42" s="6" t="s">
        <v>162</v>
      </c>
      <c r="BL42" s="6" t="s">
        <v>162</v>
      </c>
      <c r="BN42" s="0" t="n">
        <v>0</v>
      </c>
      <c r="BO42" s="6" t="s">
        <v>168</v>
      </c>
      <c r="BP42" s="0" t="n">
        <v>3</v>
      </c>
      <c r="BQ42" s="6" t="s">
        <v>4670</v>
      </c>
      <c r="BR42" s="6" t="s">
        <v>5716</v>
      </c>
      <c r="BS42" s="6" t="s">
        <v>5717</v>
      </c>
      <c r="BT42" s="6" t="s">
        <v>5718</v>
      </c>
      <c r="BU42" s="6" t="s">
        <v>4695</v>
      </c>
      <c r="BV42" s="0" t="n">
        <v>172</v>
      </c>
      <c r="BX42" s="6" t="s">
        <v>5719</v>
      </c>
      <c r="BY42" s="6" t="s">
        <v>5720</v>
      </c>
      <c r="CA42" s="6" t="s">
        <v>5721</v>
      </c>
      <c r="CB42" s="6" t="s">
        <v>5722</v>
      </c>
      <c r="CC42" s="6" t="s">
        <v>5703</v>
      </c>
      <c r="CD42" s="6" t="s">
        <v>5704</v>
      </c>
      <c r="CE42" s="6" t="s">
        <v>4810</v>
      </c>
      <c r="CF42" s="6" t="s">
        <v>171</v>
      </c>
      <c r="CG42" s="6" t="s">
        <v>5618</v>
      </c>
      <c r="CK42" s="6" t="s">
        <v>158</v>
      </c>
      <c r="CL42" s="0" t="n">
        <v>55</v>
      </c>
      <c r="CM42" s="0" t="n">
        <v>25</v>
      </c>
      <c r="CN42" s="0" t="n">
        <v>3</v>
      </c>
      <c r="CO42" s="0" t="n">
        <v>8</v>
      </c>
      <c r="CP42" s="0" t="n">
        <v>5</v>
      </c>
      <c r="CQ42" s="0" t="n">
        <v>8</v>
      </c>
      <c r="CR42" s="0" t="n">
        <v>6</v>
      </c>
      <c r="CS42" s="6" t="n">
        <f aca="false">IF(R42="Y",10,0)</f>
        <v>0</v>
      </c>
      <c r="CT42" s="0" t="n">
        <v>0</v>
      </c>
      <c r="CU42" s="6" t="s">
        <v>5723</v>
      </c>
      <c r="CV42" s="6" t="s">
        <v>4704</v>
      </c>
      <c r="CW42" s="6" t="s">
        <v>5724</v>
      </c>
      <c r="CX42" s="6" t="s">
        <v>5725</v>
      </c>
      <c r="CZ42" s="6" t="s">
        <v>5709</v>
      </c>
      <c r="DA42" s="6" t="s">
        <v>4621</v>
      </c>
      <c r="DB42" s="6" t="s">
        <v>5726</v>
      </c>
      <c r="DC42" s="6" t="s">
        <v>172</v>
      </c>
      <c r="DY42" s="0" t="str">
        <f aca="false">IF(ISNUMBER(MATCH(U42,{"queued","contacted","replied","call_booked","call_done","yes_in_principle","materials_sent"},0)),"Y","N")</f>
        <v>N</v>
      </c>
      <c r="DZ42" s="0" t="str">
        <f aca="false">IF(COUNTIFS($AN$2:$AN$1000,AN42,$DY$2:$DY$1000,"Y")+COUNTIFS($AN$2:$AN$1000,AN42,$T$2:$T$1000,"Y")&gt;0,"Y","N")</f>
        <v>N</v>
      </c>
      <c r="EA42" s="0" t="str">
        <f aca="false">IF(AND(U42="new",T42="N",AR42="Y",AQ42="",DZ42="N"),"Y","N")</f>
        <v>Y</v>
      </c>
      <c r="EB42" s="0" t="str">
        <f aca="false">IF(EA42&lt;&gt;"Y","N",IF(COUNTIFS($AN$2:$AN$1000,AN42,$EA$2:$EA$1000,"Y",$J$2:$J$1000,"&gt;"&amp;J42)+COUNTIFS($AN$2:$AN$1000,AN42,$EA$2:$EA$1000,"Y",$J$2:$J$1000,J42,$ED$2:$ED$1000,"&lt;"&amp;ED42)=0,"Y","N"))</f>
        <v>Y</v>
      </c>
      <c r="EC42" s="0" t="str">
        <f aca="false">IF(Y42="","N",IF(Y42&lt;=10,"Y","N"))</f>
        <v>N</v>
      </c>
      <c r="ED42" s="6" t="n">
        <f aca="false">ROW()-1</f>
        <v>41</v>
      </c>
    </row>
    <row r="43" customFormat="false" ht="15" hidden="false" customHeight="false" outlineLevel="0" collapsed="false">
      <c r="A43" s="0" t="s">
        <v>5727</v>
      </c>
      <c r="B43" s="0" t="s">
        <v>5728</v>
      </c>
      <c r="C43" s="0" t="s">
        <v>5729</v>
      </c>
      <c r="D43" s="0" t="s">
        <v>5730</v>
      </c>
      <c r="E43" s="0" t="s">
        <v>4657</v>
      </c>
      <c r="F43" s="0" t="s">
        <v>5731</v>
      </c>
      <c r="H43" s="5" t="s">
        <v>158</v>
      </c>
      <c r="I43" s="5" t="s">
        <v>159</v>
      </c>
      <c r="J43" s="6" t="n">
        <f aca="false">IF(AU43="pass",CM43+CN43+CO43+CP43+CQ43+CR43+CS43+CT43,0)</f>
        <v>55</v>
      </c>
      <c r="K43" s="6" t="s">
        <v>5732</v>
      </c>
      <c r="M43" s="6" t="s">
        <v>5293</v>
      </c>
      <c r="N43" s="6" t="s">
        <v>598</v>
      </c>
      <c r="O43" s="6" t="s">
        <v>5733</v>
      </c>
      <c r="P43" s="6" t="s">
        <v>5734</v>
      </c>
      <c r="Q43" s="6" t="s">
        <v>3103</v>
      </c>
      <c r="R43" s="5" t="s">
        <v>162</v>
      </c>
      <c r="S43" s="6" t="s">
        <v>168</v>
      </c>
      <c r="T43" s="5" t="s">
        <v>162</v>
      </c>
      <c r="U43" s="5" t="s">
        <v>228</v>
      </c>
      <c r="V43" s="6" t="s">
        <v>5735</v>
      </c>
      <c r="W43" s="6" t="s">
        <v>166</v>
      </c>
      <c r="X43" s="6" t="s">
        <v>4586</v>
      </c>
      <c r="Y43" s="6" t="n">
        <f aca="false">IF(EB43&lt;&gt;"Y","",COUNTIFS($EB$2:$EB$1000,"Y",$J$2:$J$1000,"&gt;"&amp;J43)+COUNTIFS($EB$2:$EB$1000,"Y",$J$2:$J$1000,J43,$ED$2:$ED$1000,"&lt;"&amp;ED43)+1)</f>
        <v>37</v>
      </c>
      <c r="Z43" s="0" t="n">
        <v>42</v>
      </c>
      <c r="AA43" s="6" t="s">
        <v>168</v>
      </c>
      <c r="AB43" s="6" t="s">
        <v>5736</v>
      </c>
      <c r="AC43" s="6" t="s">
        <v>4588</v>
      </c>
      <c r="AD43" s="6" t="s">
        <v>171</v>
      </c>
      <c r="AE43" s="6" t="s">
        <v>172</v>
      </c>
      <c r="AF43" s="6" t="s">
        <v>5735</v>
      </c>
      <c r="AG43" s="6" t="s">
        <v>174</v>
      </c>
      <c r="AH43" s="6" t="s">
        <v>5737</v>
      </c>
      <c r="AI43" s="6" t="s">
        <v>5738</v>
      </c>
      <c r="AJ43" s="6" t="s">
        <v>4635</v>
      </c>
      <c r="AK43" s="6" t="s">
        <v>5739</v>
      </c>
      <c r="AL43" s="6" t="s">
        <v>168</v>
      </c>
      <c r="AM43" s="6" t="s">
        <v>5740</v>
      </c>
      <c r="AN43" s="6" t="s">
        <v>5727</v>
      </c>
      <c r="AO43" s="5" t="s">
        <v>162</v>
      </c>
      <c r="AR43" s="0" t="str">
        <f aca="false">IF(AND(AU43="pass",AO43&lt;&gt;"Y",C43&lt;&gt;""),"Y","N")</f>
        <v>Y</v>
      </c>
      <c r="AS43" s="0" t="str">
        <f aca="false">_xlfn.TEXTJOIN("; ",TRUE(),IF(AU43&lt;&gt;"pass","gated out",""),IF(AO43="Y","on hold: "&amp;AP43,""),IF(C43="","no contact named on an opened page",""))</f>
        <v/>
      </c>
      <c r="AU43" s="6" t="s">
        <v>181</v>
      </c>
      <c r="AW43" s="6" t="s">
        <v>182</v>
      </c>
      <c r="AX43" s="6" t="s">
        <v>4830</v>
      </c>
      <c r="AY43" s="6" t="s">
        <v>5739</v>
      </c>
      <c r="AZ43" s="6" t="s">
        <v>4596</v>
      </c>
      <c r="BA43" s="6" t="s">
        <v>4597</v>
      </c>
      <c r="BB43" s="6" t="s">
        <v>163</v>
      </c>
      <c r="BD43" s="6" t="s">
        <v>163</v>
      </c>
      <c r="BE43" s="6" t="s">
        <v>5741</v>
      </c>
      <c r="BF43" s="6" t="s">
        <v>168</v>
      </c>
      <c r="BG43" s="6" t="s">
        <v>168</v>
      </c>
      <c r="BH43" s="6" t="s">
        <v>163</v>
      </c>
      <c r="BJ43" s="6" t="s">
        <v>5551</v>
      </c>
      <c r="BK43" s="6" t="s">
        <v>162</v>
      </c>
      <c r="BL43" s="6" t="s">
        <v>162</v>
      </c>
      <c r="BO43" s="6" t="s">
        <v>162</v>
      </c>
      <c r="BP43" s="0" t="n">
        <v>0</v>
      </c>
      <c r="BS43" s="6" t="s">
        <v>5742</v>
      </c>
      <c r="BU43" s="6" t="s">
        <v>4605</v>
      </c>
      <c r="BV43" s="0" t="n">
        <v>79</v>
      </c>
      <c r="BW43" s="6" t="s">
        <v>5734</v>
      </c>
      <c r="BX43" s="6" t="s">
        <v>5743</v>
      </c>
      <c r="BY43" s="6" t="s">
        <v>5744</v>
      </c>
      <c r="BZ43" s="6" t="s">
        <v>4608</v>
      </c>
      <c r="CA43" s="6" t="s">
        <v>5745</v>
      </c>
      <c r="CB43" s="6" t="s">
        <v>5746</v>
      </c>
      <c r="CC43" s="6" t="s">
        <v>5747</v>
      </c>
      <c r="CD43" s="6" t="s">
        <v>5748</v>
      </c>
      <c r="CE43" s="6" t="s">
        <v>4810</v>
      </c>
      <c r="CF43" s="6" t="s">
        <v>171</v>
      </c>
      <c r="CG43" s="6" t="s">
        <v>5749</v>
      </c>
      <c r="CK43" s="6" t="s">
        <v>158</v>
      </c>
      <c r="CL43" s="0" t="n">
        <v>55</v>
      </c>
      <c r="CM43" s="0" t="n">
        <v>6</v>
      </c>
      <c r="CN43" s="0" t="n">
        <v>20</v>
      </c>
      <c r="CO43" s="0" t="n">
        <v>15</v>
      </c>
      <c r="CP43" s="0" t="n">
        <v>5</v>
      </c>
      <c r="CQ43" s="0" t="n">
        <v>7</v>
      </c>
      <c r="CR43" s="0" t="n">
        <v>6</v>
      </c>
      <c r="CS43" s="6" t="n">
        <f aca="false">IF(R43="Y",10,0)</f>
        <v>0</v>
      </c>
      <c r="CT43" s="0" t="n">
        <v>-4</v>
      </c>
      <c r="CU43" s="6" t="s">
        <v>163</v>
      </c>
      <c r="CV43" s="6" t="s">
        <v>5564</v>
      </c>
      <c r="CW43" s="6" t="s">
        <v>5750</v>
      </c>
      <c r="CX43" s="6" t="s">
        <v>5751</v>
      </c>
      <c r="CY43" s="6" t="s">
        <v>5752</v>
      </c>
      <c r="CZ43" s="6" t="s">
        <v>5753</v>
      </c>
      <c r="DA43" s="6" t="s">
        <v>4621</v>
      </c>
      <c r="DC43" s="6" t="s">
        <v>231</v>
      </c>
      <c r="DD43" s="6" t="s">
        <v>5754</v>
      </c>
      <c r="DY43" s="0" t="str">
        <f aca="false">IF(ISNUMBER(MATCH(U43,{"queued","contacted","replied","call_booked","call_done","yes_in_principle","materials_sent"},0)),"Y","N")</f>
        <v>N</v>
      </c>
      <c r="DZ43" s="0" t="str">
        <f aca="false">IF(COUNTIFS($AN$2:$AN$1000,AN43,$DY$2:$DY$1000,"Y")+COUNTIFS($AN$2:$AN$1000,AN43,$T$2:$T$1000,"Y")&gt;0,"Y","N")</f>
        <v>N</v>
      </c>
      <c r="EA43" s="0" t="str">
        <f aca="false">IF(AND(U43="new",T43="N",AR43="Y",AQ43="",DZ43="N"),"Y","N")</f>
        <v>Y</v>
      </c>
      <c r="EB43" s="0" t="str">
        <f aca="false">IF(EA43&lt;&gt;"Y","N",IF(COUNTIFS($AN$2:$AN$1000,AN43,$EA$2:$EA$1000,"Y",$J$2:$J$1000,"&gt;"&amp;J43)+COUNTIFS($AN$2:$AN$1000,AN43,$EA$2:$EA$1000,"Y",$J$2:$J$1000,J43,$ED$2:$ED$1000,"&lt;"&amp;ED43)=0,"Y","N"))</f>
        <v>Y</v>
      </c>
      <c r="EC43" s="0" t="str">
        <f aca="false">IF(Y43="","N",IF(Y43&lt;=10,"Y","N"))</f>
        <v>N</v>
      </c>
      <c r="ED43" s="6" t="n">
        <f aca="false">ROW()-1</f>
        <v>42</v>
      </c>
    </row>
    <row r="44" customFormat="false" ht="15" hidden="false" customHeight="false" outlineLevel="0" collapsed="false">
      <c r="A44" s="0" t="s">
        <v>5755</v>
      </c>
      <c r="B44" s="0" t="s">
        <v>5756</v>
      </c>
      <c r="C44" s="0" t="s">
        <v>5757</v>
      </c>
      <c r="D44" s="0" t="s">
        <v>5758</v>
      </c>
      <c r="E44" s="0" t="s">
        <v>4626</v>
      </c>
      <c r="H44" s="5" t="s">
        <v>158</v>
      </c>
      <c r="I44" s="5" t="s">
        <v>159</v>
      </c>
      <c r="J44" s="6" t="n">
        <f aca="false">IF(AU44="pass",CM44+CN44+CO44+CP44+CQ44+CR44+CS44+CT44,0)</f>
        <v>55</v>
      </c>
      <c r="K44" s="6" t="s">
        <v>5759</v>
      </c>
      <c r="M44" s="6" t="s">
        <v>5293</v>
      </c>
      <c r="N44" s="6" t="s">
        <v>598</v>
      </c>
      <c r="O44" s="6" t="s">
        <v>5760</v>
      </c>
      <c r="P44" s="6" t="s">
        <v>5761</v>
      </c>
      <c r="Q44" s="6" t="s">
        <v>2159</v>
      </c>
      <c r="R44" s="5" t="s">
        <v>162</v>
      </c>
      <c r="S44" s="6" t="s">
        <v>168</v>
      </c>
      <c r="T44" s="5" t="s">
        <v>162</v>
      </c>
      <c r="U44" s="5" t="s">
        <v>228</v>
      </c>
      <c r="V44" s="6" t="s">
        <v>5762</v>
      </c>
      <c r="W44" s="6" t="s">
        <v>166</v>
      </c>
      <c r="X44" s="6" t="s">
        <v>4586</v>
      </c>
      <c r="Y44" s="6" t="n">
        <f aca="false">IF(EB44&lt;&gt;"Y","",COUNTIFS($EB$2:$EB$1000,"Y",$J$2:$J$1000,"&gt;"&amp;J44)+COUNTIFS($EB$2:$EB$1000,"Y",$J$2:$J$1000,J44,$ED$2:$ED$1000,"&lt;"&amp;ED44)+1)</f>
        <v>38</v>
      </c>
      <c r="Z44" s="0" t="n">
        <v>43</v>
      </c>
      <c r="AA44" s="6" t="s">
        <v>168</v>
      </c>
      <c r="AB44" s="6" t="s">
        <v>5763</v>
      </c>
      <c r="AC44" s="6" t="s">
        <v>4588</v>
      </c>
      <c r="AD44" s="6" t="s">
        <v>171</v>
      </c>
      <c r="AE44" s="6" t="s">
        <v>1190</v>
      </c>
      <c r="AF44" s="6" t="s">
        <v>5761</v>
      </c>
      <c r="AG44" s="6" t="s">
        <v>174</v>
      </c>
      <c r="AH44" s="6" t="s">
        <v>5764</v>
      </c>
      <c r="AI44" s="6" t="s">
        <v>5765</v>
      </c>
      <c r="AJ44" s="6" t="s">
        <v>5766</v>
      </c>
      <c r="AK44" s="6" t="s">
        <v>5767</v>
      </c>
      <c r="AL44" s="6" t="s">
        <v>168</v>
      </c>
      <c r="AM44" s="6" t="s">
        <v>5768</v>
      </c>
      <c r="AN44" s="6" t="s">
        <v>5755</v>
      </c>
      <c r="AO44" s="5" t="s">
        <v>162</v>
      </c>
      <c r="AR44" s="0" t="str">
        <f aca="false">IF(AND(AU44="pass",AO44&lt;&gt;"Y",C44&lt;&gt;""),"Y","N")</f>
        <v>Y</v>
      </c>
      <c r="AS44" s="0" t="str">
        <f aca="false">_xlfn.TEXTJOIN("; ",TRUE(),IF(AU44&lt;&gt;"pass","gated out",""),IF(AO44="Y","on hold: "&amp;AP44,""),IF(C44="","no contact named on an opened page",""))</f>
        <v/>
      </c>
      <c r="AU44" s="6" t="s">
        <v>181</v>
      </c>
      <c r="AW44" s="6" t="s">
        <v>182</v>
      </c>
      <c r="AX44" s="6" t="s">
        <v>4595</v>
      </c>
      <c r="AY44" s="6" t="s">
        <v>5767</v>
      </c>
      <c r="AZ44" s="6" t="s">
        <v>4596</v>
      </c>
      <c r="BA44" s="6" t="s">
        <v>4597</v>
      </c>
      <c r="BB44" s="6" t="s">
        <v>163</v>
      </c>
      <c r="BD44" s="6" t="s">
        <v>163</v>
      </c>
      <c r="BE44" s="6" t="s">
        <v>5769</v>
      </c>
      <c r="BF44" s="6" t="s">
        <v>168</v>
      </c>
      <c r="BG44" s="6" t="s">
        <v>168</v>
      </c>
      <c r="BH44" s="6" t="s">
        <v>163</v>
      </c>
      <c r="BJ44" s="6" t="s">
        <v>163</v>
      </c>
      <c r="BK44" s="6" t="s">
        <v>162</v>
      </c>
      <c r="BL44" s="6" t="s">
        <v>162</v>
      </c>
      <c r="BO44" s="6" t="s">
        <v>162</v>
      </c>
      <c r="BP44" s="0" t="n">
        <v>0</v>
      </c>
      <c r="BR44" s="6" t="s">
        <v>5770</v>
      </c>
      <c r="BS44" s="6" t="s">
        <v>5771</v>
      </c>
      <c r="BT44" s="6" t="s">
        <v>5761</v>
      </c>
      <c r="BU44" s="6" t="s">
        <v>4605</v>
      </c>
      <c r="BV44" s="0" t="n">
        <v>176</v>
      </c>
      <c r="BW44" s="6" t="s">
        <v>5734</v>
      </c>
      <c r="BX44" s="6" t="s">
        <v>5772</v>
      </c>
      <c r="BY44" s="6" t="s">
        <v>5773</v>
      </c>
      <c r="CF44" s="6" t="s">
        <v>158</v>
      </c>
      <c r="CK44" s="6" t="s">
        <v>158</v>
      </c>
      <c r="CL44" s="0" t="n">
        <v>55</v>
      </c>
      <c r="CM44" s="0" t="n">
        <v>6</v>
      </c>
      <c r="CN44" s="0" t="n">
        <v>20</v>
      </c>
      <c r="CO44" s="0" t="n">
        <v>15</v>
      </c>
      <c r="CP44" s="0" t="n">
        <v>5</v>
      </c>
      <c r="CQ44" s="0" t="n">
        <v>7</v>
      </c>
      <c r="CR44" s="0" t="n">
        <v>6</v>
      </c>
      <c r="CS44" s="6" t="n">
        <f aca="false">IF(R44="Y",10,0)</f>
        <v>0</v>
      </c>
      <c r="CT44" s="0" t="n">
        <v>-4</v>
      </c>
      <c r="CV44" s="6" t="s">
        <v>4616</v>
      </c>
      <c r="CW44" s="6" t="s">
        <v>5774</v>
      </c>
      <c r="CX44" s="6" t="s">
        <v>5775</v>
      </c>
      <c r="CY44" s="6" t="s">
        <v>5776</v>
      </c>
      <c r="DA44" s="6" t="s">
        <v>4621</v>
      </c>
      <c r="DY44" s="0" t="str">
        <f aca="false">IF(ISNUMBER(MATCH(U44,{"queued","contacted","replied","call_booked","call_done","yes_in_principle","materials_sent"},0)),"Y","N")</f>
        <v>N</v>
      </c>
      <c r="DZ44" s="0" t="str">
        <f aca="false">IF(COUNTIFS($AN$2:$AN$1000,AN44,$DY$2:$DY$1000,"Y")+COUNTIFS($AN$2:$AN$1000,AN44,$T$2:$T$1000,"Y")&gt;0,"Y","N")</f>
        <v>N</v>
      </c>
      <c r="EA44" s="0" t="str">
        <f aca="false">IF(AND(U44="new",T44="N",AR44="Y",AQ44="",DZ44="N"),"Y","N")</f>
        <v>Y</v>
      </c>
      <c r="EB44" s="0" t="str">
        <f aca="false">IF(EA44&lt;&gt;"Y","N",IF(COUNTIFS($AN$2:$AN$1000,AN44,$EA$2:$EA$1000,"Y",$J$2:$J$1000,"&gt;"&amp;J44)+COUNTIFS($AN$2:$AN$1000,AN44,$EA$2:$EA$1000,"Y",$J$2:$J$1000,J44,$ED$2:$ED$1000,"&lt;"&amp;ED44)=0,"Y","N"))</f>
        <v>Y</v>
      </c>
      <c r="EC44" s="0" t="str">
        <f aca="false">IF(Y44="","N",IF(Y44&lt;=10,"Y","N"))</f>
        <v>N</v>
      </c>
      <c r="ED44" s="6" t="n">
        <f aca="false">ROW()-1</f>
        <v>43</v>
      </c>
    </row>
    <row r="45" customFormat="false" ht="15" hidden="false" customHeight="false" outlineLevel="0" collapsed="false">
      <c r="A45" s="0" t="s">
        <v>5777</v>
      </c>
      <c r="B45" s="0" t="s">
        <v>5778</v>
      </c>
      <c r="C45" s="0" t="s">
        <v>5779</v>
      </c>
      <c r="D45" s="0" t="s">
        <v>5780</v>
      </c>
      <c r="E45" s="0" t="s">
        <v>4773</v>
      </c>
      <c r="F45" s="0" t="s">
        <v>5781</v>
      </c>
      <c r="H45" s="5" t="s">
        <v>158</v>
      </c>
      <c r="I45" s="5" t="s">
        <v>159</v>
      </c>
      <c r="J45" s="6" t="n">
        <f aca="false">IF(AU45="pass",CM45+CN45+CO45+CP45+CQ45+CR45+CS45+CT45,0)</f>
        <v>55</v>
      </c>
      <c r="K45" s="6" t="s">
        <v>5782</v>
      </c>
      <c r="M45" s="6" t="s">
        <v>5293</v>
      </c>
      <c r="N45" s="6" t="s">
        <v>598</v>
      </c>
      <c r="O45" s="6" t="s">
        <v>5783</v>
      </c>
      <c r="P45" s="6" t="s">
        <v>5784</v>
      </c>
      <c r="Q45" s="6" t="s">
        <v>5785</v>
      </c>
      <c r="R45" s="5" t="s">
        <v>162</v>
      </c>
      <c r="S45" s="6" t="s">
        <v>163</v>
      </c>
      <c r="T45" s="5" t="s">
        <v>162</v>
      </c>
      <c r="U45" s="5" t="s">
        <v>228</v>
      </c>
      <c r="V45" s="6" t="s">
        <v>5786</v>
      </c>
      <c r="W45" s="6" t="s">
        <v>174</v>
      </c>
      <c r="X45" s="6" t="s">
        <v>4586</v>
      </c>
      <c r="Y45" s="6" t="n">
        <f aca="false">IF(EB45&lt;&gt;"Y","",COUNTIFS($EB$2:$EB$1000,"Y",$J$2:$J$1000,"&gt;"&amp;J45)+COUNTIFS($EB$2:$EB$1000,"Y",$J$2:$J$1000,J45,$ED$2:$ED$1000,"&lt;"&amp;ED45)+1)</f>
        <v>39</v>
      </c>
      <c r="Z45" s="0" t="n">
        <v>44</v>
      </c>
      <c r="AA45" s="6" t="s">
        <v>168</v>
      </c>
      <c r="AC45" s="6" t="s">
        <v>4588</v>
      </c>
      <c r="AD45" s="6" t="s">
        <v>171</v>
      </c>
      <c r="AE45" s="6" t="s">
        <v>172</v>
      </c>
      <c r="AF45" s="6" t="s">
        <v>5787</v>
      </c>
      <c r="AG45" s="6" t="s">
        <v>174</v>
      </c>
      <c r="AH45" s="6" t="s">
        <v>5788</v>
      </c>
      <c r="AI45" s="6" t="s">
        <v>4977</v>
      </c>
      <c r="AJ45" s="6" t="s">
        <v>5789</v>
      </c>
      <c r="AK45" s="6" t="s">
        <v>5790</v>
      </c>
      <c r="AL45" s="6" t="s">
        <v>162</v>
      </c>
      <c r="AN45" s="6" t="s">
        <v>5777</v>
      </c>
      <c r="AO45" s="5" t="s">
        <v>162</v>
      </c>
      <c r="AR45" s="0" t="str">
        <f aca="false">IF(AND(AU45="pass",AO45&lt;&gt;"Y",C45&lt;&gt;""),"Y","N")</f>
        <v>Y</v>
      </c>
      <c r="AS45" s="0" t="str">
        <f aca="false">_xlfn.TEXTJOIN("; ",TRUE(),IF(AU45&lt;&gt;"pass","gated out",""),IF(AO45="Y","on hold: "&amp;AP45,""),IF(C45="","no contact named on an opened page",""))</f>
        <v/>
      </c>
      <c r="AU45" s="6" t="s">
        <v>181</v>
      </c>
      <c r="AW45" s="6" t="s">
        <v>182</v>
      </c>
      <c r="AY45" s="6" t="s">
        <v>5790</v>
      </c>
      <c r="AZ45" s="6" t="s">
        <v>4596</v>
      </c>
      <c r="BA45" s="6" t="s">
        <v>4597</v>
      </c>
      <c r="BB45" s="6" t="s">
        <v>163</v>
      </c>
      <c r="BD45" s="6" t="s">
        <v>168</v>
      </c>
      <c r="BE45" s="6" t="s">
        <v>5791</v>
      </c>
      <c r="BF45" s="6" t="s">
        <v>168</v>
      </c>
      <c r="BG45" s="6" t="s">
        <v>168</v>
      </c>
      <c r="BH45" s="6" t="s">
        <v>163</v>
      </c>
      <c r="BJ45" s="6" t="s">
        <v>5145</v>
      </c>
      <c r="BK45" s="6" t="s">
        <v>162</v>
      </c>
      <c r="BL45" s="6" t="s">
        <v>162</v>
      </c>
      <c r="BO45" s="6" t="s">
        <v>162</v>
      </c>
      <c r="BP45" s="0" t="n">
        <v>0</v>
      </c>
      <c r="BR45" s="6" t="s">
        <v>5792</v>
      </c>
      <c r="BS45" s="6" t="s">
        <v>5793</v>
      </c>
      <c r="BT45" s="6" t="s">
        <v>5794</v>
      </c>
      <c r="BU45" s="6" t="s">
        <v>4695</v>
      </c>
      <c r="BV45" s="0" t="n">
        <v>8</v>
      </c>
      <c r="BX45" s="6" t="s">
        <v>5795</v>
      </c>
      <c r="BY45" s="6" t="s">
        <v>5796</v>
      </c>
      <c r="BZ45" s="6" t="s">
        <v>4608</v>
      </c>
      <c r="CF45" s="6" t="s">
        <v>158</v>
      </c>
      <c r="CK45" s="6" t="s">
        <v>158</v>
      </c>
      <c r="CL45" s="0" t="n">
        <v>55</v>
      </c>
      <c r="CM45" s="0" t="n">
        <v>6</v>
      </c>
      <c r="CN45" s="0" t="n">
        <v>20</v>
      </c>
      <c r="CO45" s="0" t="n">
        <v>8</v>
      </c>
      <c r="CP45" s="0" t="n">
        <v>5</v>
      </c>
      <c r="CQ45" s="0" t="n">
        <v>10</v>
      </c>
      <c r="CR45" s="0" t="n">
        <v>6</v>
      </c>
      <c r="CS45" s="6" t="n">
        <f aca="false">IF(R45="Y",10,0)</f>
        <v>0</v>
      </c>
      <c r="CT45" s="0" t="n">
        <v>0</v>
      </c>
      <c r="CU45" s="6" t="s">
        <v>5797</v>
      </c>
      <c r="CV45" s="6" t="s">
        <v>5152</v>
      </c>
      <c r="CW45" s="6" t="s">
        <v>5798</v>
      </c>
      <c r="CX45" s="6" t="s">
        <v>5799</v>
      </c>
      <c r="DA45" s="6" t="s">
        <v>4621</v>
      </c>
      <c r="DY45" s="0" t="str">
        <f aca="false">IF(ISNUMBER(MATCH(U45,{"queued","contacted","replied","call_booked","call_done","yes_in_principle","materials_sent"},0)),"Y","N")</f>
        <v>N</v>
      </c>
      <c r="DZ45" s="0" t="str">
        <f aca="false">IF(COUNTIFS($AN$2:$AN$1000,AN45,$DY$2:$DY$1000,"Y")+COUNTIFS($AN$2:$AN$1000,AN45,$T$2:$T$1000,"Y")&gt;0,"Y","N")</f>
        <v>N</v>
      </c>
      <c r="EA45" s="0" t="str">
        <f aca="false">IF(AND(U45="new",T45="N",AR45="Y",AQ45="",DZ45="N"),"Y","N")</f>
        <v>Y</v>
      </c>
      <c r="EB45" s="0" t="str">
        <f aca="false">IF(EA45&lt;&gt;"Y","N",IF(COUNTIFS($AN$2:$AN$1000,AN45,$EA$2:$EA$1000,"Y",$J$2:$J$1000,"&gt;"&amp;J45)+COUNTIFS($AN$2:$AN$1000,AN45,$EA$2:$EA$1000,"Y",$J$2:$J$1000,J45,$ED$2:$ED$1000,"&lt;"&amp;ED45)=0,"Y","N"))</f>
        <v>Y</v>
      </c>
      <c r="EC45" s="0" t="str">
        <f aca="false">IF(Y45="","N",IF(Y45&lt;=10,"Y","N"))</f>
        <v>N</v>
      </c>
      <c r="ED45" s="6" t="n">
        <f aca="false">ROW()-1</f>
        <v>44</v>
      </c>
    </row>
    <row r="46" customFormat="false" ht="15" hidden="false" customHeight="false" outlineLevel="0" collapsed="false">
      <c r="A46" s="0" t="s">
        <v>5800</v>
      </c>
      <c r="B46" s="0" t="s">
        <v>5801</v>
      </c>
      <c r="C46" s="0" t="s">
        <v>5802</v>
      </c>
      <c r="D46" s="0" t="s">
        <v>5803</v>
      </c>
      <c r="E46" s="0" t="s">
        <v>5509</v>
      </c>
      <c r="F46" s="0" t="s">
        <v>5804</v>
      </c>
      <c r="H46" s="5" t="s">
        <v>158</v>
      </c>
      <c r="I46" s="5" t="s">
        <v>159</v>
      </c>
      <c r="J46" s="6" t="n">
        <f aca="false">IF(AU46="pass",CM46+CN46+CO46+CP46+CQ46+CR46+CS46+CT46,0)</f>
        <v>55</v>
      </c>
      <c r="K46" s="6" t="s">
        <v>5805</v>
      </c>
      <c r="M46" s="6" t="s">
        <v>5293</v>
      </c>
      <c r="N46" s="6" t="s">
        <v>598</v>
      </c>
      <c r="O46" s="6" t="s">
        <v>5806</v>
      </c>
      <c r="P46" s="6" t="s">
        <v>5807</v>
      </c>
      <c r="Q46" s="6" t="s">
        <v>3529</v>
      </c>
      <c r="R46" s="5" t="s">
        <v>162</v>
      </c>
      <c r="S46" s="6" t="s">
        <v>168</v>
      </c>
      <c r="T46" s="5" t="s">
        <v>162</v>
      </c>
      <c r="U46" s="5" t="s">
        <v>228</v>
      </c>
      <c r="V46" s="6" t="s">
        <v>5808</v>
      </c>
      <c r="W46" s="6" t="s">
        <v>166</v>
      </c>
      <c r="X46" s="6" t="s">
        <v>4586</v>
      </c>
      <c r="Y46" s="6" t="n">
        <f aca="false">IF(EB46&lt;&gt;"Y","",COUNTIFS($EB$2:$EB$1000,"Y",$J$2:$J$1000,"&gt;"&amp;J46)+COUNTIFS($EB$2:$EB$1000,"Y",$J$2:$J$1000,J46,$ED$2:$ED$1000,"&lt;"&amp;ED46)+1)</f>
        <v>40</v>
      </c>
      <c r="Z46" s="0" t="n">
        <v>45</v>
      </c>
      <c r="AA46" s="6" t="s">
        <v>168</v>
      </c>
      <c r="AB46" s="6" t="s">
        <v>5809</v>
      </c>
      <c r="AC46" s="6" t="s">
        <v>4588</v>
      </c>
      <c r="AD46" s="6" t="s">
        <v>171</v>
      </c>
      <c r="AE46" s="6" t="s">
        <v>231</v>
      </c>
      <c r="AF46" s="6" t="s">
        <v>5810</v>
      </c>
      <c r="AG46" s="6" t="s">
        <v>174</v>
      </c>
      <c r="AH46" s="6" t="s">
        <v>5811</v>
      </c>
      <c r="AI46" s="6" t="s">
        <v>5765</v>
      </c>
      <c r="AJ46" s="6" t="s">
        <v>4635</v>
      </c>
      <c r="AK46" s="6" t="s">
        <v>5812</v>
      </c>
      <c r="AL46" s="6" t="s">
        <v>168</v>
      </c>
      <c r="AM46" s="6" t="s">
        <v>5813</v>
      </c>
      <c r="AN46" s="6" t="s">
        <v>5800</v>
      </c>
      <c r="AO46" s="5" t="s">
        <v>162</v>
      </c>
      <c r="AR46" s="0" t="str">
        <f aca="false">IF(AND(AU46="pass",AO46&lt;&gt;"Y",C46&lt;&gt;""),"Y","N")</f>
        <v>Y</v>
      </c>
      <c r="AS46" s="0" t="str">
        <f aca="false">_xlfn.TEXTJOIN("; ",TRUE(),IF(AU46&lt;&gt;"pass","gated out",""),IF(AO46="Y","on hold: "&amp;AP46,""),IF(C46="","no contact named on an opened page",""))</f>
        <v/>
      </c>
      <c r="AU46" s="6" t="s">
        <v>181</v>
      </c>
      <c r="AW46" s="6" t="s">
        <v>182</v>
      </c>
      <c r="AX46" s="6" t="s">
        <v>4595</v>
      </c>
      <c r="AY46" s="6" t="s">
        <v>5812</v>
      </c>
      <c r="AZ46" s="6" t="s">
        <v>4596</v>
      </c>
      <c r="BA46" s="6" t="s">
        <v>4597</v>
      </c>
      <c r="BB46" s="6" t="s">
        <v>163</v>
      </c>
      <c r="BD46" s="6" t="s">
        <v>168</v>
      </c>
      <c r="BE46" s="6" t="s">
        <v>5814</v>
      </c>
      <c r="BF46" s="6" t="s">
        <v>168</v>
      </c>
      <c r="BG46" s="6" t="s">
        <v>168</v>
      </c>
      <c r="BH46" s="6" t="s">
        <v>163</v>
      </c>
      <c r="BJ46" s="6" t="s">
        <v>5551</v>
      </c>
      <c r="BK46" s="6" t="s">
        <v>162</v>
      </c>
      <c r="BL46" s="6" t="s">
        <v>162</v>
      </c>
      <c r="BO46" s="6" t="s">
        <v>162</v>
      </c>
      <c r="BP46" s="0" t="n">
        <v>0</v>
      </c>
      <c r="BS46" s="6" t="s">
        <v>5815</v>
      </c>
      <c r="BT46" s="6" t="s">
        <v>5816</v>
      </c>
      <c r="BU46" s="6" t="s">
        <v>4695</v>
      </c>
      <c r="BV46" s="0" t="n">
        <v>37</v>
      </c>
      <c r="BW46" s="6" t="s">
        <v>5817</v>
      </c>
      <c r="BX46" s="6" t="s">
        <v>5818</v>
      </c>
      <c r="BY46" s="6" t="s">
        <v>5819</v>
      </c>
      <c r="BZ46" s="6" t="s">
        <v>4608</v>
      </c>
      <c r="CA46" s="6" t="s">
        <v>5820</v>
      </c>
      <c r="CB46" s="6" t="s">
        <v>1024</v>
      </c>
      <c r="CC46" s="6" t="s">
        <v>5821</v>
      </c>
      <c r="CD46" s="6" t="s">
        <v>5822</v>
      </c>
      <c r="CE46" s="6" t="s">
        <v>4613</v>
      </c>
      <c r="CF46" s="6" t="s">
        <v>171</v>
      </c>
      <c r="CG46" s="6" t="s">
        <v>5823</v>
      </c>
      <c r="CH46" s="6" t="s">
        <v>5824</v>
      </c>
      <c r="CK46" s="6" t="s">
        <v>158</v>
      </c>
      <c r="CL46" s="0" t="n">
        <v>55</v>
      </c>
      <c r="CM46" s="0" t="n">
        <v>6</v>
      </c>
      <c r="CN46" s="0" t="n">
        <v>20</v>
      </c>
      <c r="CO46" s="0" t="n">
        <v>8</v>
      </c>
      <c r="CP46" s="0" t="n">
        <v>5</v>
      </c>
      <c r="CQ46" s="0" t="n">
        <v>10</v>
      </c>
      <c r="CR46" s="0" t="n">
        <v>10</v>
      </c>
      <c r="CS46" s="6" t="n">
        <f aca="false">IF(R46="Y",10,0)</f>
        <v>0</v>
      </c>
      <c r="CT46" s="0" t="n">
        <v>-4</v>
      </c>
      <c r="CU46" s="6" t="s">
        <v>5825</v>
      </c>
      <c r="CV46" s="6" t="s">
        <v>5564</v>
      </c>
      <c r="CW46" s="6" t="s">
        <v>5826</v>
      </c>
      <c r="CX46" s="6" t="s">
        <v>5827</v>
      </c>
      <c r="CY46" s="6" t="s">
        <v>5828</v>
      </c>
      <c r="CZ46" s="6" t="s">
        <v>5829</v>
      </c>
      <c r="DA46" s="6" t="s">
        <v>4621</v>
      </c>
      <c r="DB46" s="6" t="s">
        <v>5830</v>
      </c>
      <c r="DC46" s="6" t="s">
        <v>172</v>
      </c>
      <c r="DY46" s="0" t="str">
        <f aca="false">IF(ISNUMBER(MATCH(U46,{"queued","contacted","replied","call_booked","call_done","yes_in_principle","materials_sent"},0)),"Y","N")</f>
        <v>N</v>
      </c>
      <c r="DZ46" s="0" t="str">
        <f aca="false">IF(COUNTIFS($AN$2:$AN$1000,AN46,$DY$2:$DY$1000,"Y")+COUNTIFS($AN$2:$AN$1000,AN46,$T$2:$T$1000,"Y")&gt;0,"Y","N")</f>
        <v>N</v>
      </c>
      <c r="EA46" s="0" t="str">
        <f aca="false">IF(AND(U46="new",T46="N",AR46="Y",AQ46="",DZ46="N"),"Y","N")</f>
        <v>Y</v>
      </c>
      <c r="EB46" s="0" t="str">
        <f aca="false">IF(EA46&lt;&gt;"Y","N",IF(COUNTIFS($AN$2:$AN$1000,AN46,$EA$2:$EA$1000,"Y",$J$2:$J$1000,"&gt;"&amp;J46)+COUNTIFS($AN$2:$AN$1000,AN46,$EA$2:$EA$1000,"Y",$J$2:$J$1000,J46,$ED$2:$ED$1000,"&lt;"&amp;ED46)=0,"Y","N"))</f>
        <v>Y</v>
      </c>
      <c r="EC46" s="0" t="str">
        <f aca="false">IF(Y46="","N",IF(Y46&lt;=10,"Y","N"))</f>
        <v>N</v>
      </c>
      <c r="ED46" s="6" t="n">
        <f aca="false">ROW()-1</f>
        <v>45</v>
      </c>
    </row>
    <row r="47" customFormat="false" ht="15" hidden="false" customHeight="false" outlineLevel="0" collapsed="false">
      <c r="A47" s="0" t="s">
        <v>5831</v>
      </c>
      <c r="B47" s="0" t="s">
        <v>5832</v>
      </c>
      <c r="C47" s="0" t="s">
        <v>5833</v>
      </c>
      <c r="D47" s="0" t="s">
        <v>5834</v>
      </c>
      <c r="E47" s="0" t="s">
        <v>5509</v>
      </c>
      <c r="H47" s="5" t="s">
        <v>158</v>
      </c>
      <c r="I47" s="5" t="s">
        <v>159</v>
      </c>
      <c r="J47" s="6" t="n">
        <f aca="false">IF(AU47="pass",CM47+CN47+CO47+CP47+CQ47+CR47+CS47+CT47,0)</f>
        <v>54</v>
      </c>
      <c r="K47" s="6" t="s">
        <v>5835</v>
      </c>
      <c r="M47" s="6" t="s">
        <v>4581</v>
      </c>
      <c r="N47" s="6" t="s">
        <v>4582</v>
      </c>
      <c r="O47" s="6" t="s">
        <v>5836</v>
      </c>
      <c r="P47" s="6" t="s">
        <v>5837</v>
      </c>
      <c r="Q47" s="6" t="s">
        <v>3388</v>
      </c>
      <c r="R47" s="5" t="s">
        <v>162</v>
      </c>
      <c r="S47" s="6" t="s">
        <v>163</v>
      </c>
      <c r="T47" s="5" t="s">
        <v>162</v>
      </c>
      <c r="U47" s="5" t="s">
        <v>228</v>
      </c>
      <c r="V47" s="6" t="s">
        <v>5838</v>
      </c>
      <c r="W47" s="6" t="s">
        <v>166</v>
      </c>
      <c r="X47" s="6" t="s">
        <v>4586</v>
      </c>
      <c r="Y47" s="6" t="n">
        <f aca="false">IF(EB47&lt;&gt;"Y","",COUNTIFS($EB$2:$EB$1000,"Y",$J$2:$J$1000,"&gt;"&amp;J47)+COUNTIFS($EB$2:$EB$1000,"Y",$J$2:$J$1000,J47,$ED$2:$ED$1000,"&lt;"&amp;ED47)+1)</f>
        <v>41</v>
      </c>
      <c r="Z47" s="0" t="n">
        <v>46</v>
      </c>
      <c r="AA47" s="6" t="s">
        <v>168</v>
      </c>
      <c r="AB47" s="6" t="s">
        <v>5839</v>
      </c>
      <c r="AC47" s="6" t="s">
        <v>4588</v>
      </c>
      <c r="AD47" s="6" t="s">
        <v>171</v>
      </c>
      <c r="AE47" s="6" t="s">
        <v>231</v>
      </c>
      <c r="AF47" s="6" t="s">
        <v>5840</v>
      </c>
      <c r="AG47" s="6" t="s">
        <v>174</v>
      </c>
      <c r="AH47" s="6" t="s">
        <v>5841</v>
      </c>
      <c r="AI47" s="6" t="s">
        <v>5081</v>
      </c>
      <c r="AJ47" s="6" t="s">
        <v>5842</v>
      </c>
      <c r="AK47" s="6" t="s">
        <v>5843</v>
      </c>
      <c r="AL47" s="6" t="s">
        <v>168</v>
      </c>
      <c r="AM47" s="6" t="s">
        <v>5844</v>
      </c>
      <c r="AN47" s="6" t="s">
        <v>5831</v>
      </c>
      <c r="AO47" s="5" t="s">
        <v>162</v>
      </c>
      <c r="AR47" s="0" t="str">
        <f aca="false">IF(AND(AU47="pass",AO47&lt;&gt;"Y",C47&lt;&gt;""),"Y","N")</f>
        <v>Y</v>
      </c>
      <c r="AS47" s="0" t="str">
        <f aca="false">_xlfn.TEXTJOIN("; ",TRUE(),IF(AU47&lt;&gt;"pass","gated out",""),IF(AO47="Y","on hold: "&amp;AP47,""),IF(C47="","no contact named on an opened page",""))</f>
        <v/>
      </c>
      <c r="AU47" s="6" t="s">
        <v>181</v>
      </c>
      <c r="AW47" s="6" t="s">
        <v>182</v>
      </c>
      <c r="AX47" s="6" t="s">
        <v>5223</v>
      </c>
      <c r="AY47" s="6" t="s">
        <v>5843</v>
      </c>
      <c r="AZ47" s="6" t="s">
        <v>5714</v>
      </c>
      <c r="BA47" s="6" t="s">
        <v>5331</v>
      </c>
      <c r="BB47" s="6" t="s">
        <v>163</v>
      </c>
      <c r="BD47" s="6" t="s">
        <v>264</v>
      </c>
      <c r="BE47" s="6" t="s">
        <v>5845</v>
      </c>
      <c r="BF47" s="6" t="s">
        <v>168</v>
      </c>
      <c r="BG47" s="6" t="s">
        <v>168</v>
      </c>
      <c r="BH47" s="6" t="s">
        <v>163</v>
      </c>
      <c r="BJ47" s="6" t="s">
        <v>163</v>
      </c>
      <c r="BK47" s="6" t="s">
        <v>162</v>
      </c>
      <c r="BL47" s="6" t="s">
        <v>162</v>
      </c>
      <c r="BN47" s="0" t="n">
        <v>0</v>
      </c>
      <c r="BO47" s="6" t="s">
        <v>168</v>
      </c>
      <c r="BP47" s="0" t="n">
        <v>3</v>
      </c>
      <c r="BQ47" s="6" t="s">
        <v>4670</v>
      </c>
      <c r="BS47" s="6" t="s">
        <v>5846</v>
      </c>
      <c r="BT47" s="6" t="s">
        <v>5847</v>
      </c>
      <c r="BU47" s="6" t="s">
        <v>4605</v>
      </c>
      <c r="BV47" s="0" t="n">
        <v>137</v>
      </c>
      <c r="BX47" s="6" t="s">
        <v>5848</v>
      </c>
      <c r="BY47" s="6" t="s">
        <v>5849</v>
      </c>
      <c r="CA47" s="6" t="s">
        <v>5850</v>
      </c>
      <c r="CB47" s="6" t="s">
        <v>5851</v>
      </c>
      <c r="CC47" s="6" t="s">
        <v>5852</v>
      </c>
      <c r="CD47" s="6" t="s">
        <v>5853</v>
      </c>
      <c r="CE47" s="6" t="s">
        <v>4613</v>
      </c>
      <c r="CF47" s="6" t="s">
        <v>171</v>
      </c>
      <c r="CG47" s="6" t="s">
        <v>5854</v>
      </c>
      <c r="CK47" s="6" t="s">
        <v>158</v>
      </c>
      <c r="CL47" s="0" t="n">
        <v>54</v>
      </c>
      <c r="CM47" s="0" t="n">
        <v>25</v>
      </c>
      <c r="CN47" s="0" t="n">
        <v>3</v>
      </c>
      <c r="CO47" s="0" t="n">
        <v>15</v>
      </c>
      <c r="CP47" s="0" t="n">
        <v>5</v>
      </c>
      <c r="CQ47" s="0" t="n">
        <v>8</v>
      </c>
      <c r="CR47" s="0" t="n">
        <v>10</v>
      </c>
      <c r="CS47" s="6" t="n">
        <f aca="false">IF(R47="Y",10,0)</f>
        <v>0</v>
      </c>
      <c r="CT47" s="0" t="n">
        <v>-12</v>
      </c>
      <c r="CU47" s="6" t="s">
        <v>5855</v>
      </c>
      <c r="CV47" s="6" t="s">
        <v>4704</v>
      </c>
      <c r="CW47" s="6" t="s">
        <v>5856</v>
      </c>
      <c r="CX47" s="6" t="s">
        <v>5857</v>
      </c>
      <c r="CY47" s="6" t="s">
        <v>5858</v>
      </c>
      <c r="CZ47" s="6" t="s">
        <v>5859</v>
      </c>
      <c r="DA47" s="6" t="s">
        <v>4621</v>
      </c>
      <c r="DB47" s="6" t="s">
        <v>5860</v>
      </c>
      <c r="DC47" s="6" t="s">
        <v>231</v>
      </c>
      <c r="DD47" s="6" t="s">
        <v>5861</v>
      </c>
      <c r="DY47" s="0" t="str">
        <f aca="false">IF(ISNUMBER(MATCH(U47,{"queued","contacted","replied","call_booked","call_done","yes_in_principle","materials_sent"},0)),"Y","N")</f>
        <v>N</v>
      </c>
      <c r="DZ47" s="0" t="str">
        <f aca="false">IF(COUNTIFS($AN$2:$AN$1000,AN47,$DY$2:$DY$1000,"Y")+COUNTIFS($AN$2:$AN$1000,AN47,$T$2:$T$1000,"Y")&gt;0,"Y","N")</f>
        <v>N</v>
      </c>
      <c r="EA47" s="0" t="str">
        <f aca="false">IF(AND(U47="new",T47="N",AR47="Y",AQ47="",DZ47="N"),"Y","N")</f>
        <v>Y</v>
      </c>
      <c r="EB47" s="0" t="str">
        <f aca="false">IF(EA47&lt;&gt;"Y","N",IF(COUNTIFS($AN$2:$AN$1000,AN47,$EA$2:$EA$1000,"Y",$J$2:$J$1000,"&gt;"&amp;J47)+COUNTIFS($AN$2:$AN$1000,AN47,$EA$2:$EA$1000,"Y",$J$2:$J$1000,J47,$ED$2:$ED$1000,"&lt;"&amp;ED47)=0,"Y","N"))</f>
        <v>Y</v>
      </c>
      <c r="EC47" s="0" t="str">
        <f aca="false">IF(Y47="","N",IF(Y47&lt;=10,"Y","N"))</f>
        <v>N</v>
      </c>
      <c r="ED47" s="6" t="n">
        <f aca="false">ROW()-1</f>
        <v>46</v>
      </c>
    </row>
    <row r="48" customFormat="false" ht="15" hidden="false" customHeight="false" outlineLevel="0" collapsed="false">
      <c r="A48" s="0" t="s">
        <v>5862</v>
      </c>
      <c r="B48" s="0" t="s">
        <v>5863</v>
      </c>
      <c r="C48" s="0" t="s">
        <v>5864</v>
      </c>
      <c r="D48" s="0" t="s">
        <v>5865</v>
      </c>
      <c r="E48" s="0" t="s">
        <v>5367</v>
      </c>
      <c r="H48" s="5" t="s">
        <v>158</v>
      </c>
      <c r="I48" s="5" t="s">
        <v>159</v>
      </c>
      <c r="J48" s="6" t="n">
        <f aca="false">IF(AU48="pass",CM48+CN48+CO48+CP48+CQ48+CR48+CS48+CT48,0)</f>
        <v>54</v>
      </c>
      <c r="K48" s="6" t="s">
        <v>5866</v>
      </c>
      <c r="M48" s="6" t="s">
        <v>4581</v>
      </c>
      <c r="N48" s="6" t="s">
        <v>4582</v>
      </c>
      <c r="O48" s="6" t="s">
        <v>5867</v>
      </c>
      <c r="P48" s="6" t="s">
        <v>5868</v>
      </c>
      <c r="Q48" s="6" t="s">
        <v>1043</v>
      </c>
      <c r="R48" s="5" t="s">
        <v>162</v>
      </c>
      <c r="S48" s="6" t="s">
        <v>163</v>
      </c>
      <c r="T48" s="5" t="s">
        <v>162</v>
      </c>
      <c r="U48" s="5" t="s">
        <v>228</v>
      </c>
      <c r="V48" s="6" t="s">
        <v>5869</v>
      </c>
      <c r="W48" s="6" t="s">
        <v>166</v>
      </c>
      <c r="X48" s="6" t="s">
        <v>4586</v>
      </c>
      <c r="Y48" s="6" t="n">
        <f aca="false">IF(EB48&lt;&gt;"Y","",COUNTIFS($EB$2:$EB$1000,"Y",$J$2:$J$1000,"&gt;"&amp;J48)+COUNTIFS($EB$2:$EB$1000,"Y",$J$2:$J$1000,J48,$ED$2:$ED$1000,"&lt;"&amp;ED48)+1)</f>
        <v>42</v>
      </c>
      <c r="Z48" s="0" t="n">
        <v>47</v>
      </c>
      <c r="AA48" s="6" t="s">
        <v>168</v>
      </c>
      <c r="AB48" s="6" t="s">
        <v>5870</v>
      </c>
      <c r="AC48" s="6" t="s">
        <v>4613</v>
      </c>
      <c r="AD48" s="6" t="s">
        <v>171</v>
      </c>
      <c r="AE48" s="6" t="s">
        <v>1190</v>
      </c>
      <c r="AF48" s="6" t="s">
        <v>5871</v>
      </c>
      <c r="AG48" s="6" t="s">
        <v>174</v>
      </c>
      <c r="AH48" s="6" t="s">
        <v>5872</v>
      </c>
      <c r="AI48" s="6" t="s">
        <v>4828</v>
      </c>
      <c r="AJ48" s="6" t="s">
        <v>5873</v>
      </c>
      <c r="AK48" s="6" t="s">
        <v>5874</v>
      </c>
      <c r="AL48" s="6" t="s">
        <v>162</v>
      </c>
      <c r="AN48" s="6" t="s">
        <v>5862</v>
      </c>
      <c r="AO48" s="5" t="s">
        <v>162</v>
      </c>
      <c r="AR48" s="0" t="str">
        <f aca="false">IF(AND(AU48="pass",AO48&lt;&gt;"Y",C48&lt;&gt;""),"Y","N")</f>
        <v>Y</v>
      </c>
      <c r="AS48" s="0" t="str">
        <f aca="false">_xlfn.TEXTJOIN("; ",TRUE(),IF(AU48&lt;&gt;"pass","gated out",""),IF(AO48="Y","on hold: "&amp;AP48,""),IF(C48="","no contact named on an opened page",""))</f>
        <v/>
      </c>
      <c r="AU48" s="6" t="s">
        <v>181</v>
      </c>
      <c r="AW48" s="6" t="s">
        <v>182</v>
      </c>
      <c r="AY48" s="6" t="s">
        <v>5874</v>
      </c>
      <c r="AZ48" s="6" t="s">
        <v>5875</v>
      </c>
      <c r="BA48" s="6" t="s">
        <v>5331</v>
      </c>
      <c r="BB48" s="6" t="s">
        <v>163</v>
      </c>
      <c r="BD48" s="6" t="s">
        <v>168</v>
      </c>
      <c r="BE48" s="6" t="s">
        <v>5876</v>
      </c>
      <c r="BF48" s="6" t="s">
        <v>168</v>
      </c>
      <c r="BG48" s="6" t="s">
        <v>168</v>
      </c>
      <c r="BH48" s="6" t="s">
        <v>163</v>
      </c>
      <c r="BJ48" s="6" t="s">
        <v>163</v>
      </c>
      <c r="BK48" s="6" t="s">
        <v>162</v>
      </c>
      <c r="BL48" s="6" t="s">
        <v>162</v>
      </c>
      <c r="BN48" s="0" t="n">
        <v>0</v>
      </c>
      <c r="BO48" s="6" t="s">
        <v>168</v>
      </c>
      <c r="BP48" s="0" t="n">
        <v>3</v>
      </c>
      <c r="BQ48" s="6" t="s">
        <v>4670</v>
      </c>
      <c r="BS48" s="6" t="s">
        <v>4983</v>
      </c>
      <c r="BT48" s="6" t="s">
        <v>5877</v>
      </c>
      <c r="BU48" s="6" t="s">
        <v>4695</v>
      </c>
      <c r="BV48" s="0" t="n">
        <v>213</v>
      </c>
      <c r="BX48" s="6" t="s">
        <v>5878</v>
      </c>
      <c r="BY48" s="6" t="s">
        <v>5879</v>
      </c>
      <c r="CA48" s="6" t="s">
        <v>5880</v>
      </c>
      <c r="CB48" s="6" t="s">
        <v>5881</v>
      </c>
      <c r="CC48" s="6" t="s">
        <v>5865</v>
      </c>
      <c r="CD48" s="6" t="s">
        <v>5882</v>
      </c>
      <c r="CE48" s="6" t="s">
        <v>4810</v>
      </c>
      <c r="CF48" s="6" t="s">
        <v>171</v>
      </c>
      <c r="CG48" s="6" t="s">
        <v>5883</v>
      </c>
      <c r="CK48" s="6" t="s">
        <v>158</v>
      </c>
      <c r="CL48" s="0" t="n">
        <v>54</v>
      </c>
      <c r="CM48" s="0" t="n">
        <v>25</v>
      </c>
      <c r="CN48" s="0" t="n">
        <v>3</v>
      </c>
      <c r="CO48" s="0" t="n">
        <v>4</v>
      </c>
      <c r="CP48" s="0" t="n">
        <v>5</v>
      </c>
      <c r="CQ48" s="0" t="n">
        <v>10</v>
      </c>
      <c r="CR48" s="0" t="n">
        <v>7</v>
      </c>
      <c r="CS48" s="6" t="n">
        <f aca="false">IF(R48="Y",10,0)</f>
        <v>0</v>
      </c>
      <c r="CT48" s="0" t="n">
        <v>0</v>
      </c>
      <c r="CU48" s="6" t="s">
        <v>163</v>
      </c>
      <c r="CV48" s="6" t="s">
        <v>4843</v>
      </c>
      <c r="CW48" s="6" t="s">
        <v>5884</v>
      </c>
      <c r="CX48" s="6" t="s">
        <v>5885</v>
      </c>
      <c r="CY48" s="6" t="s">
        <v>5886</v>
      </c>
      <c r="CZ48" s="6" t="s">
        <v>5871</v>
      </c>
      <c r="DA48" s="6" t="s">
        <v>4621</v>
      </c>
      <c r="DB48" s="6" t="s">
        <v>5887</v>
      </c>
      <c r="DC48" s="6" t="s">
        <v>1190</v>
      </c>
      <c r="DY48" s="0" t="str">
        <f aca="false">IF(ISNUMBER(MATCH(U48,{"queued","contacted","replied","call_booked","call_done","yes_in_principle","materials_sent"},0)),"Y","N")</f>
        <v>N</v>
      </c>
      <c r="DZ48" s="0" t="str">
        <f aca="false">IF(COUNTIFS($AN$2:$AN$1000,AN48,$DY$2:$DY$1000,"Y")+COUNTIFS($AN$2:$AN$1000,AN48,$T$2:$T$1000,"Y")&gt;0,"Y","N")</f>
        <v>N</v>
      </c>
      <c r="EA48" s="0" t="str">
        <f aca="false">IF(AND(U48="new",T48="N",AR48="Y",AQ48="",DZ48="N"),"Y","N")</f>
        <v>Y</v>
      </c>
      <c r="EB48" s="0" t="str">
        <f aca="false">IF(EA48&lt;&gt;"Y","N",IF(COUNTIFS($AN$2:$AN$1000,AN48,$EA$2:$EA$1000,"Y",$J$2:$J$1000,"&gt;"&amp;J48)+COUNTIFS($AN$2:$AN$1000,AN48,$EA$2:$EA$1000,"Y",$J$2:$J$1000,J48,$ED$2:$ED$1000,"&lt;"&amp;ED48)=0,"Y","N"))</f>
        <v>Y</v>
      </c>
      <c r="EC48" s="0" t="str">
        <f aca="false">IF(Y48="","N",IF(Y48&lt;=10,"Y","N"))</f>
        <v>N</v>
      </c>
      <c r="ED48" s="6" t="n">
        <f aca="false">ROW()-1</f>
        <v>47</v>
      </c>
    </row>
    <row r="49" customFormat="false" ht="15" hidden="false" customHeight="false" outlineLevel="0" collapsed="false">
      <c r="A49" s="0" t="s">
        <v>5888</v>
      </c>
      <c r="B49" s="0" t="s">
        <v>5889</v>
      </c>
      <c r="C49" s="0" t="s">
        <v>5890</v>
      </c>
      <c r="D49" s="0" t="s">
        <v>5891</v>
      </c>
      <c r="E49" s="0" t="s">
        <v>4912</v>
      </c>
      <c r="H49" s="5" t="s">
        <v>158</v>
      </c>
      <c r="I49" s="5" t="s">
        <v>159</v>
      </c>
      <c r="J49" s="6" t="n">
        <f aca="false">IF(AU49="pass",CM49+CN49+CO49+CP49+CQ49+CR49+CS49+CT49,0)</f>
        <v>54</v>
      </c>
      <c r="K49" s="6" t="s">
        <v>5892</v>
      </c>
      <c r="M49" s="6" t="s">
        <v>4581</v>
      </c>
      <c r="N49" s="6" t="s">
        <v>4582</v>
      </c>
      <c r="R49" s="5" t="s">
        <v>162</v>
      </c>
      <c r="S49" s="6" t="s">
        <v>163</v>
      </c>
      <c r="T49" s="5" t="s">
        <v>162</v>
      </c>
      <c r="U49" s="5" t="s">
        <v>228</v>
      </c>
      <c r="V49" s="6" t="s">
        <v>5893</v>
      </c>
      <c r="W49" s="6" t="s">
        <v>166</v>
      </c>
      <c r="X49" s="6" t="s">
        <v>4586</v>
      </c>
      <c r="Y49" s="6" t="n">
        <f aca="false">IF(EB49&lt;&gt;"Y","",COUNTIFS($EB$2:$EB$1000,"Y",$J$2:$J$1000,"&gt;"&amp;J49)+COUNTIFS($EB$2:$EB$1000,"Y",$J$2:$J$1000,J49,$ED$2:$ED$1000,"&lt;"&amp;ED49)+1)</f>
        <v>43</v>
      </c>
      <c r="Z49" s="0" t="n">
        <v>48</v>
      </c>
      <c r="AA49" s="6" t="s">
        <v>168</v>
      </c>
      <c r="AB49" s="6" t="s">
        <v>5894</v>
      </c>
      <c r="AC49" s="6" t="s">
        <v>4588</v>
      </c>
      <c r="AD49" s="6" t="s">
        <v>171</v>
      </c>
      <c r="AE49" s="6" t="s">
        <v>172</v>
      </c>
      <c r="AF49" s="6" t="s">
        <v>5893</v>
      </c>
      <c r="AG49" s="6" t="s">
        <v>174</v>
      </c>
      <c r="AH49" s="6" t="s">
        <v>5895</v>
      </c>
      <c r="AI49" s="6" t="s">
        <v>5081</v>
      </c>
      <c r="AJ49" s="6" t="s">
        <v>5896</v>
      </c>
      <c r="AK49" s="6" t="s">
        <v>5897</v>
      </c>
      <c r="AL49" s="6" t="s">
        <v>168</v>
      </c>
      <c r="AM49" s="6" t="s">
        <v>5898</v>
      </c>
      <c r="AN49" s="6" t="s">
        <v>5888</v>
      </c>
      <c r="AO49" s="5" t="s">
        <v>162</v>
      </c>
      <c r="AR49" s="0" t="str">
        <f aca="false">IF(AND(AU49="pass",AO49&lt;&gt;"Y",C49&lt;&gt;""),"Y","N")</f>
        <v>Y</v>
      </c>
      <c r="AS49" s="0" t="str">
        <f aca="false">_xlfn.TEXTJOIN("; ",TRUE(),IF(AU49&lt;&gt;"pass","gated out",""),IF(AO49="Y","on hold: "&amp;AP49,""),IF(C49="","no contact named on an opened page",""))</f>
        <v/>
      </c>
      <c r="AU49" s="6" t="s">
        <v>181</v>
      </c>
      <c r="AW49" s="6" t="s">
        <v>182</v>
      </c>
      <c r="AX49" s="6" t="s">
        <v>4595</v>
      </c>
      <c r="AY49" s="6" t="s">
        <v>5897</v>
      </c>
      <c r="AZ49" s="6" t="s">
        <v>5192</v>
      </c>
      <c r="BA49" s="6" t="s">
        <v>5193</v>
      </c>
      <c r="BB49" s="6" t="s">
        <v>163</v>
      </c>
      <c r="BD49" s="6" t="s">
        <v>168</v>
      </c>
      <c r="BE49" s="6" t="s">
        <v>5899</v>
      </c>
      <c r="BF49" s="6" t="s">
        <v>168</v>
      </c>
      <c r="BG49" s="6" t="s">
        <v>168</v>
      </c>
      <c r="BH49" s="6" t="s">
        <v>163</v>
      </c>
      <c r="BJ49" s="6" t="s">
        <v>163</v>
      </c>
      <c r="BK49" s="6" t="s">
        <v>162</v>
      </c>
      <c r="BL49" s="6" t="s">
        <v>162</v>
      </c>
      <c r="BN49" s="0" t="n">
        <v>0</v>
      </c>
      <c r="BO49" s="6" t="s">
        <v>168</v>
      </c>
      <c r="BP49" s="0" t="n">
        <v>3</v>
      </c>
      <c r="BQ49" s="6" t="s">
        <v>4670</v>
      </c>
      <c r="BS49" s="6" t="s">
        <v>5900</v>
      </c>
      <c r="BT49" s="6" t="s">
        <v>5901</v>
      </c>
      <c r="BU49" s="6" t="s">
        <v>158</v>
      </c>
      <c r="BX49" s="6" t="s">
        <v>5902</v>
      </c>
      <c r="BY49" s="6" t="s">
        <v>5903</v>
      </c>
      <c r="CA49" s="6" t="s">
        <v>5904</v>
      </c>
      <c r="CB49" s="6" t="s">
        <v>5905</v>
      </c>
      <c r="CC49" s="6" t="s">
        <v>5906</v>
      </c>
      <c r="CD49" s="6" t="s">
        <v>5907</v>
      </c>
      <c r="CE49" s="6" t="s">
        <v>4613</v>
      </c>
      <c r="CF49" s="6" t="s">
        <v>171</v>
      </c>
      <c r="CG49" s="6" t="s">
        <v>5908</v>
      </c>
      <c r="CK49" s="6" t="s">
        <v>158</v>
      </c>
      <c r="CL49" s="0" t="n">
        <v>54</v>
      </c>
      <c r="CM49" s="0" t="n">
        <v>25</v>
      </c>
      <c r="CN49" s="0" t="n">
        <v>8</v>
      </c>
      <c r="CO49" s="0" t="n">
        <v>0</v>
      </c>
      <c r="CP49" s="0" t="n">
        <v>5</v>
      </c>
      <c r="CQ49" s="0" t="n">
        <v>10</v>
      </c>
      <c r="CR49" s="0" t="n">
        <v>10</v>
      </c>
      <c r="CS49" s="6" t="n">
        <f aca="false">IF(R49="Y",10,0)</f>
        <v>0</v>
      </c>
      <c r="CT49" s="0" t="n">
        <v>-4</v>
      </c>
      <c r="CU49" s="6" t="s">
        <v>5909</v>
      </c>
      <c r="CV49" s="6" t="s">
        <v>4704</v>
      </c>
      <c r="CW49" s="6" t="s">
        <v>5910</v>
      </c>
      <c r="CX49" s="6" t="s">
        <v>5911</v>
      </c>
      <c r="CY49" s="6" t="s">
        <v>5912</v>
      </c>
      <c r="CZ49" s="6" t="s">
        <v>5913</v>
      </c>
      <c r="DA49" s="6" t="s">
        <v>5914</v>
      </c>
      <c r="DB49" s="6" t="s">
        <v>5915</v>
      </c>
      <c r="DC49" s="6" t="s">
        <v>231</v>
      </c>
      <c r="DD49" s="6" t="s">
        <v>5915</v>
      </c>
      <c r="DY49" s="0" t="str">
        <f aca="false">IF(ISNUMBER(MATCH(U49,{"queued","contacted","replied","call_booked","call_done","yes_in_principle","materials_sent"},0)),"Y","N")</f>
        <v>N</v>
      </c>
      <c r="DZ49" s="0" t="str">
        <f aca="false">IF(COUNTIFS($AN$2:$AN$1000,AN49,$DY$2:$DY$1000,"Y")+COUNTIFS($AN$2:$AN$1000,AN49,$T$2:$T$1000,"Y")&gt;0,"Y","N")</f>
        <v>N</v>
      </c>
      <c r="EA49" s="0" t="str">
        <f aca="false">IF(AND(U49="new",T49="N",AR49="Y",AQ49="",DZ49="N"),"Y","N")</f>
        <v>Y</v>
      </c>
      <c r="EB49" s="0" t="str">
        <f aca="false">IF(EA49&lt;&gt;"Y","N",IF(COUNTIFS($AN$2:$AN$1000,AN49,$EA$2:$EA$1000,"Y",$J$2:$J$1000,"&gt;"&amp;J49)+COUNTIFS($AN$2:$AN$1000,AN49,$EA$2:$EA$1000,"Y",$J$2:$J$1000,J49,$ED$2:$ED$1000,"&lt;"&amp;ED49)=0,"Y","N"))</f>
        <v>Y</v>
      </c>
      <c r="EC49" s="0" t="str">
        <f aca="false">IF(Y49="","N",IF(Y49&lt;=10,"Y","N"))</f>
        <v>N</v>
      </c>
      <c r="ED49" s="6" t="n">
        <f aca="false">ROW()-1</f>
        <v>48</v>
      </c>
    </row>
    <row r="50" customFormat="false" ht="15" hidden="false" customHeight="false" outlineLevel="0" collapsed="false">
      <c r="A50" s="0" t="s">
        <v>5916</v>
      </c>
      <c r="B50" s="0" t="s">
        <v>5917</v>
      </c>
      <c r="C50" s="0" t="s">
        <v>5918</v>
      </c>
      <c r="D50" s="0" t="s">
        <v>5919</v>
      </c>
      <c r="E50" s="0" t="s">
        <v>4773</v>
      </c>
      <c r="H50" s="5" t="s">
        <v>158</v>
      </c>
      <c r="I50" s="5" t="s">
        <v>159</v>
      </c>
      <c r="J50" s="6" t="n">
        <f aca="false">IF(AU50="pass",CM50+CN50+CO50+CP50+CQ50+CR50+CS50+CT50,0)</f>
        <v>54</v>
      </c>
      <c r="K50" s="6" t="s">
        <v>5920</v>
      </c>
      <c r="M50" s="6" t="s">
        <v>5293</v>
      </c>
      <c r="N50" s="6" t="s">
        <v>598</v>
      </c>
      <c r="O50" s="6" t="s">
        <v>5921</v>
      </c>
      <c r="P50" s="6" t="s">
        <v>5734</v>
      </c>
      <c r="Q50" s="6" t="s">
        <v>3103</v>
      </c>
      <c r="R50" s="5" t="s">
        <v>162</v>
      </c>
      <c r="S50" s="6" t="s">
        <v>168</v>
      </c>
      <c r="T50" s="5" t="s">
        <v>162</v>
      </c>
      <c r="U50" s="5" t="s">
        <v>228</v>
      </c>
      <c r="V50" s="6" t="s">
        <v>5922</v>
      </c>
      <c r="W50" s="6" t="s">
        <v>166</v>
      </c>
      <c r="X50" s="6" t="s">
        <v>4586</v>
      </c>
      <c r="Y50" s="6" t="n">
        <f aca="false">IF(EB50&lt;&gt;"Y","",COUNTIFS($EB$2:$EB$1000,"Y",$J$2:$J$1000,"&gt;"&amp;J50)+COUNTIFS($EB$2:$EB$1000,"Y",$J$2:$J$1000,J50,$ED$2:$ED$1000,"&lt;"&amp;ED50)+1)</f>
        <v>44</v>
      </c>
      <c r="Z50" s="0" t="n">
        <v>49</v>
      </c>
      <c r="AA50" s="6" t="s">
        <v>168</v>
      </c>
      <c r="AB50" s="6" t="s">
        <v>5923</v>
      </c>
      <c r="AC50" s="6" t="s">
        <v>4588</v>
      </c>
      <c r="AD50" s="6" t="s">
        <v>171</v>
      </c>
      <c r="AE50" s="6" t="s">
        <v>1190</v>
      </c>
      <c r="AF50" s="6" t="s">
        <v>5924</v>
      </c>
      <c r="AG50" s="6" t="s">
        <v>174</v>
      </c>
      <c r="AH50" s="6" t="s">
        <v>5925</v>
      </c>
      <c r="AI50" s="6" t="s">
        <v>5926</v>
      </c>
      <c r="AJ50" s="6" t="s">
        <v>4635</v>
      </c>
      <c r="AK50" s="6" t="s">
        <v>5927</v>
      </c>
      <c r="AL50" s="6" t="s">
        <v>168</v>
      </c>
      <c r="AM50" s="6" t="s">
        <v>5928</v>
      </c>
      <c r="AN50" s="6" t="s">
        <v>5916</v>
      </c>
      <c r="AO50" s="5" t="s">
        <v>162</v>
      </c>
      <c r="AR50" s="0" t="str">
        <f aca="false">IF(AND(AU50="pass",AO50&lt;&gt;"Y",C50&lt;&gt;""),"Y","N")</f>
        <v>Y</v>
      </c>
      <c r="AS50" s="0" t="str">
        <f aca="false">_xlfn.TEXTJOIN("; ",TRUE(),IF(AU50&lt;&gt;"pass","gated out",""),IF(AO50="Y","on hold: "&amp;AP50,""),IF(C50="","no contact named on an opened page",""))</f>
        <v/>
      </c>
      <c r="AU50" s="6" t="s">
        <v>181</v>
      </c>
      <c r="AW50" s="6" t="s">
        <v>182</v>
      </c>
      <c r="AX50" s="6" t="s">
        <v>5272</v>
      </c>
      <c r="AY50" s="6" t="s">
        <v>5927</v>
      </c>
      <c r="AZ50" s="6" t="s">
        <v>4596</v>
      </c>
      <c r="BA50" s="6" t="s">
        <v>4597</v>
      </c>
      <c r="BB50" s="6" t="s">
        <v>163</v>
      </c>
      <c r="BD50" s="6" t="s">
        <v>163</v>
      </c>
      <c r="BE50" s="6" t="s">
        <v>5929</v>
      </c>
      <c r="BF50" s="6" t="s">
        <v>168</v>
      </c>
      <c r="BG50" s="6" t="s">
        <v>168</v>
      </c>
      <c r="BH50" s="6" t="s">
        <v>163</v>
      </c>
      <c r="BJ50" s="6" t="s">
        <v>5551</v>
      </c>
      <c r="BK50" s="6" t="s">
        <v>162</v>
      </c>
      <c r="BL50" s="6" t="s">
        <v>162</v>
      </c>
      <c r="BO50" s="6" t="s">
        <v>162</v>
      </c>
      <c r="BP50" s="0" t="n">
        <v>0</v>
      </c>
      <c r="BR50" s="6" t="s">
        <v>5930</v>
      </c>
      <c r="BS50" s="6" t="s">
        <v>5931</v>
      </c>
      <c r="BT50" s="6" t="s">
        <v>5932</v>
      </c>
      <c r="BU50" s="6" t="s">
        <v>4605</v>
      </c>
      <c r="BV50" s="0" t="n">
        <v>79</v>
      </c>
      <c r="BW50" s="6" t="s">
        <v>5734</v>
      </c>
      <c r="BX50" s="6" t="s">
        <v>5933</v>
      </c>
      <c r="BY50" s="6" t="s">
        <v>5934</v>
      </c>
      <c r="CF50" s="6" t="s">
        <v>158</v>
      </c>
      <c r="CK50" s="6" t="s">
        <v>158</v>
      </c>
      <c r="CL50" s="0" t="n">
        <v>54</v>
      </c>
      <c r="CM50" s="0" t="n">
        <v>6</v>
      </c>
      <c r="CN50" s="0" t="n">
        <v>20</v>
      </c>
      <c r="CO50" s="0" t="n">
        <v>15</v>
      </c>
      <c r="CP50" s="0" t="n">
        <v>5</v>
      </c>
      <c r="CQ50" s="0" t="n">
        <v>7</v>
      </c>
      <c r="CR50" s="0" t="n">
        <v>6</v>
      </c>
      <c r="CS50" s="6" t="n">
        <f aca="false">IF(R50="Y",10,0)</f>
        <v>0</v>
      </c>
      <c r="CT50" s="0" t="n">
        <v>-5</v>
      </c>
      <c r="CU50" s="6" t="s">
        <v>163</v>
      </c>
      <c r="CV50" s="6" t="s">
        <v>5564</v>
      </c>
      <c r="CW50" s="6" t="s">
        <v>5935</v>
      </c>
      <c r="CX50" s="6" t="s">
        <v>5936</v>
      </c>
      <c r="CY50" s="6" t="s">
        <v>5937</v>
      </c>
      <c r="DA50" s="6" t="s">
        <v>4621</v>
      </c>
      <c r="DY50" s="0" t="str">
        <f aca="false">IF(ISNUMBER(MATCH(U50,{"queued","contacted","replied","call_booked","call_done","yes_in_principle","materials_sent"},0)),"Y","N")</f>
        <v>N</v>
      </c>
      <c r="DZ50" s="0" t="str">
        <f aca="false">IF(COUNTIFS($AN$2:$AN$1000,AN50,$DY$2:$DY$1000,"Y")+COUNTIFS($AN$2:$AN$1000,AN50,$T$2:$T$1000,"Y")&gt;0,"Y","N")</f>
        <v>N</v>
      </c>
      <c r="EA50" s="0" t="str">
        <f aca="false">IF(AND(U50="new",T50="N",AR50="Y",AQ50="",DZ50="N"),"Y","N")</f>
        <v>Y</v>
      </c>
      <c r="EB50" s="0" t="str">
        <f aca="false">IF(EA50&lt;&gt;"Y","N",IF(COUNTIFS($AN$2:$AN$1000,AN50,$EA$2:$EA$1000,"Y",$J$2:$J$1000,"&gt;"&amp;J50)+COUNTIFS($AN$2:$AN$1000,AN50,$EA$2:$EA$1000,"Y",$J$2:$J$1000,J50,$ED$2:$ED$1000,"&lt;"&amp;ED50)=0,"Y","N"))</f>
        <v>Y</v>
      </c>
      <c r="EC50" s="0" t="str">
        <f aca="false">IF(Y50="","N",IF(Y50&lt;=10,"Y","N"))</f>
        <v>N</v>
      </c>
      <c r="ED50" s="6" t="n">
        <f aca="false">ROW()-1</f>
        <v>49</v>
      </c>
    </row>
    <row r="51" customFormat="false" ht="15" hidden="false" customHeight="false" outlineLevel="0" collapsed="false">
      <c r="A51" s="0" t="s">
        <v>5938</v>
      </c>
      <c r="B51" s="0" t="s">
        <v>5939</v>
      </c>
      <c r="C51" s="0" t="s">
        <v>5940</v>
      </c>
      <c r="D51" s="0" t="s">
        <v>5941</v>
      </c>
      <c r="E51" s="0" t="s">
        <v>4773</v>
      </c>
      <c r="H51" s="5" t="s">
        <v>158</v>
      </c>
      <c r="I51" s="5" t="s">
        <v>159</v>
      </c>
      <c r="J51" s="6" t="n">
        <f aca="false">IF(AU51="pass",CM51+CN51+CO51+CP51+CQ51+CR51+CS51+CT51,0)</f>
        <v>54</v>
      </c>
      <c r="K51" s="6" t="s">
        <v>5942</v>
      </c>
      <c r="M51" s="6" t="s">
        <v>5293</v>
      </c>
      <c r="N51" s="6" t="s">
        <v>598</v>
      </c>
      <c r="O51" s="6" t="s">
        <v>5943</v>
      </c>
      <c r="P51" s="6" t="s">
        <v>5944</v>
      </c>
      <c r="Q51" s="6" t="s">
        <v>5945</v>
      </c>
      <c r="R51" s="5" t="s">
        <v>162</v>
      </c>
      <c r="S51" s="6" t="s">
        <v>168</v>
      </c>
      <c r="T51" s="5" t="s">
        <v>162</v>
      </c>
      <c r="U51" s="5" t="s">
        <v>228</v>
      </c>
      <c r="V51" s="6" t="s">
        <v>5944</v>
      </c>
      <c r="W51" s="6" t="s">
        <v>166</v>
      </c>
      <c r="X51" s="6" t="s">
        <v>4586</v>
      </c>
      <c r="Y51" s="6" t="n">
        <f aca="false">IF(EB51&lt;&gt;"Y","",COUNTIFS($EB$2:$EB$1000,"Y",$J$2:$J$1000,"&gt;"&amp;J51)+COUNTIFS($EB$2:$EB$1000,"Y",$J$2:$J$1000,J51,$ED$2:$ED$1000,"&lt;"&amp;ED51)+1)</f>
        <v>45</v>
      </c>
      <c r="Z51" s="0" t="n">
        <v>50</v>
      </c>
      <c r="AA51" s="6" t="s">
        <v>168</v>
      </c>
      <c r="AB51" s="6" t="s">
        <v>5946</v>
      </c>
      <c r="AC51" s="6" t="s">
        <v>4588</v>
      </c>
      <c r="AD51" s="6" t="s">
        <v>171</v>
      </c>
      <c r="AE51" s="6" t="s">
        <v>1190</v>
      </c>
      <c r="AF51" s="6" t="s">
        <v>5944</v>
      </c>
      <c r="AG51" s="6" t="s">
        <v>174</v>
      </c>
      <c r="AH51" s="6" t="s">
        <v>5947</v>
      </c>
      <c r="AI51" s="6" t="s">
        <v>4977</v>
      </c>
      <c r="AJ51" s="6" t="s">
        <v>5948</v>
      </c>
      <c r="AK51" s="6" t="s">
        <v>5949</v>
      </c>
      <c r="AL51" s="6" t="s">
        <v>168</v>
      </c>
      <c r="AM51" s="6" t="s">
        <v>5950</v>
      </c>
      <c r="AN51" s="6" t="s">
        <v>5938</v>
      </c>
      <c r="AO51" s="5" t="s">
        <v>162</v>
      </c>
      <c r="AR51" s="0" t="str">
        <f aca="false">IF(AND(AU51="pass",AO51&lt;&gt;"Y",C51&lt;&gt;""),"Y","N")</f>
        <v>Y</v>
      </c>
      <c r="AS51" s="0" t="str">
        <f aca="false">_xlfn.TEXTJOIN("; ",TRUE(),IF(AU51&lt;&gt;"pass","gated out",""),IF(AO51="Y","on hold: "&amp;AP51,""),IF(C51="","no contact named on an opened page",""))</f>
        <v/>
      </c>
      <c r="AU51" s="6" t="s">
        <v>181</v>
      </c>
      <c r="AW51" s="6" t="s">
        <v>182</v>
      </c>
      <c r="AX51" s="6" t="s">
        <v>5951</v>
      </c>
      <c r="AY51" s="6" t="s">
        <v>5949</v>
      </c>
      <c r="AZ51" s="6" t="s">
        <v>4596</v>
      </c>
      <c r="BA51" s="6" t="s">
        <v>4597</v>
      </c>
      <c r="BB51" s="6" t="s">
        <v>163</v>
      </c>
      <c r="BD51" s="6" t="s">
        <v>168</v>
      </c>
      <c r="BE51" s="6" t="s">
        <v>5952</v>
      </c>
      <c r="BF51" s="6" t="s">
        <v>162</v>
      </c>
      <c r="BG51" s="6" t="s">
        <v>168</v>
      </c>
      <c r="BH51" s="6" t="s">
        <v>163</v>
      </c>
      <c r="BJ51" s="6" t="s">
        <v>5953</v>
      </c>
      <c r="BK51" s="6" t="s">
        <v>162</v>
      </c>
      <c r="BL51" s="6" t="s">
        <v>162</v>
      </c>
      <c r="BO51" s="6" t="s">
        <v>162</v>
      </c>
      <c r="BP51" s="0" t="n">
        <v>0</v>
      </c>
      <c r="BR51" s="6" t="s">
        <v>5954</v>
      </c>
      <c r="BS51" s="6" t="s">
        <v>5955</v>
      </c>
      <c r="BT51" s="6" t="s">
        <v>5944</v>
      </c>
      <c r="BU51" s="6" t="s">
        <v>4605</v>
      </c>
      <c r="BV51" s="0" t="n">
        <v>65</v>
      </c>
      <c r="BW51" s="6" t="s">
        <v>5944</v>
      </c>
      <c r="BX51" s="6" t="s">
        <v>5956</v>
      </c>
      <c r="BY51" s="6" t="s">
        <v>5957</v>
      </c>
      <c r="CF51" s="6" t="s">
        <v>158</v>
      </c>
      <c r="CK51" s="6" t="s">
        <v>158</v>
      </c>
      <c r="CL51" s="0" t="n">
        <v>54</v>
      </c>
      <c r="CM51" s="0" t="n">
        <v>6</v>
      </c>
      <c r="CN51" s="0" t="n">
        <v>20</v>
      </c>
      <c r="CO51" s="0" t="n">
        <v>15</v>
      </c>
      <c r="CP51" s="0" t="n">
        <v>5</v>
      </c>
      <c r="CQ51" s="0" t="n">
        <v>7</v>
      </c>
      <c r="CR51" s="0" t="n">
        <v>6</v>
      </c>
      <c r="CS51" s="6" t="n">
        <f aca="false">IF(R51="Y",10,0)</f>
        <v>0</v>
      </c>
      <c r="CT51" s="0" t="n">
        <v>-5</v>
      </c>
      <c r="CV51" s="6" t="s">
        <v>4616</v>
      </c>
      <c r="CW51" s="6" t="s">
        <v>5958</v>
      </c>
      <c r="CX51" s="6" t="s">
        <v>5959</v>
      </c>
      <c r="CY51" s="6" t="s">
        <v>5960</v>
      </c>
      <c r="DA51" s="6" t="s">
        <v>4621</v>
      </c>
      <c r="DY51" s="0" t="str">
        <f aca="false">IF(ISNUMBER(MATCH(U51,{"queued","contacted","replied","call_booked","call_done","yes_in_principle","materials_sent"},0)),"Y","N")</f>
        <v>N</v>
      </c>
      <c r="DZ51" s="0" t="str">
        <f aca="false">IF(COUNTIFS($AN$2:$AN$1000,AN51,$DY$2:$DY$1000,"Y")+COUNTIFS($AN$2:$AN$1000,AN51,$T$2:$T$1000,"Y")&gt;0,"Y","N")</f>
        <v>N</v>
      </c>
      <c r="EA51" s="0" t="str">
        <f aca="false">IF(AND(U51="new",T51="N",AR51="Y",AQ51="",DZ51="N"),"Y","N")</f>
        <v>Y</v>
      </c>
      <c r="EB51" s="0" t="str">
        <f aca="false">IF(EA51&lt;&gt;"Y","N",IF(COUNTIFS($AN$2:$AN$1000,AN51,$EA$2:$EA$1000,"Y",$J$2:$J$1000,"&gt;"&amp;J51)+COUNTIFS($AN$2:$AN$1000,AN51,$EA$2:$EA$1000,"Y",$J$2:$J$1000,J51,$ED$2:$ED$1000,"&lt;"&amp;ED51)=0,"Y","N"))</f>
        <v>Y</v>
      </c>
      <c r="EC51" s="0" t="str">
        <f aca="false">IF(Y51="","N",IF(Y51&lt;=10,"Y","N"))</f>
        <v>N</v>
      </c>
      <c r="ED51" s="6" t="n">
        <f aca="false">ROW()-1</f>
        <v>50</v>
      </c>
    </row>
    <row r="52" customFormat="false" ht="15" hidden="false" customHeight="false" outlineLevel="0" collapsed="false">
      <c r="A52" s="0" t="s">
        <v>5961</v>
      </c>
      <c r="B52" s="0" t="s">
        <v>5962</v>
      </c>
      <c r="C52" s="0" t="s">
        <v>5963</v>
      </c>
      <c r="D52" s="0" t="s">
        <v>5964</v>
      </c>
      <c r="E52" s="0" t="s">
        <v>5509</v>
      </c>
      <c r="H52" s="5" t="s">
        <v>158</v>
      </c>
      <c r="I52" s="5" t="s">
        <v>159</v>
      </c>
      <c r="J52" s="6" t="n">
        <f aca="false">IF(AU52="pass",CM52+CN52+CO52+CP52+CQ52+CR52+CS52+CT52,0)</f>
        <v>54</v>
      </c>
      <c r="K52" s="6" t="s">
        <v>5965</v>
      </c>
      <c r="M52" s="6" t="s">
        <v>5293</v>
      </c>
      <c r="N52" s="6" t="s">
        <v>598</v>
      </c>
      <c r="O52" s="6" t="s">
        <v>5966</v>
      </c>
      <c r="P52" s="6" t="s">
        <v>5967</v>
      </c>
      <c r="Q52" s="6" t="s">
        <v>3147</v>
      </c>
      <c r="R52" s="5" t="s">
        <v>162</v>
      </c>
      <c r="S52" s="6" t="s">
        <v>163</v>
      </c>
      <c r="T52" s="5" t="s">
        <v>162</v>
      </c>
      <c r="U52" s="5" t="s">
        <v>228</v>
      </c>
      <c r="V52" s="6" t="s">
        <v>5968</v>
      </c>
      <c r="W52" s="6" t="s">
        <v>166</v>
      </c>
      <c r="X52" s="6" t="s">
        <v>4586</v>
      </c>
      <c r="Y52" s="6" t="n">
        <f aca="false">IF(EB52&lt;&gt;"Y","",COUNTIFS($EB$2:$EB$1000,"Y",$J$2:$J$1000,"&gt;"&amp;J52)+COUNTIFS($EB$2:$EB$1000,"Y",$J$2:$J$1000,J52,$ED$2:$ED$1000,"&lt;"&amp;ED52)+1)</f>
        <v>46</v>
      </c>
      <c r="Z52" s="0" t="n">
        <v>51</v>
      </c>
      <c r="AA52" s="6" t="s">
        <v>168</v>
      </c>
      <c r="AB52" s="6" t="s">
        <v>5969</v>
      </c>
      <c r="AC52" s="6" t="s">
        <v>4588</v>
      </c>
      <c r="AD52" s="6" t="s">
        <v>171</v>
      </c>
      <c r="AE52" s="6" t="s">
        <v>1190</v>
      </c>
      <c r="AF52" s="6" t="s">
        <v>5970</v>
      </c>
      <c r="AG52" s="6" t="s">
        <v>174</v>
      </c>
      <c r="AH52" s="6" t="s">
        <v>5971</v>
      </c>
      <c r="AI52" s="6" t="s">
        <v>5738</v>
      </c>
      <c r="AJ52" s="6" t="s">
        <v>192</v>
      </c>
      <c r="AK52" s="6" t="s">
        <v>5972</v>
      </c>
      <c r="AL52" s="6" t="s">
        <v>168</v>
      </c>
      <c r="AM52" s="6" t="s">
        <v>5973</v>
      </c>
      <c r="AN52" s="6" t="s">
        <v>5961</v>
      </c>
      <c r="AO52" s="5" t="s">
        <v>162</v>
      </c>
      <c r="AR52" s="0" t="str">
        <f aca="false">IF(AND(AU52="pass",AO52&lt;&gt;"Y",C52&lt;&gt;""),"Y","N")</f>
        <v>Y</v>
      </c>
      <c r="AS52" s="0" t="str">
        <f aca="false">_xlfn.TEXTJOIN("; ",TRUE(),IF(AU52&lt;&gt;"pass","gated out",""),IF(AO52="Y","on hold: "&amp;AP52,""),IF(C52="","no contact named on an opened page",""))</f>
        <v/>
      </c>
      <c r="AU52" s="6" t="s">
        <v>181</v>
      </c>
      <c r="AW52" s="6" t="s">
        <v>182</v>
      </c>
      <c r="AX52" s="6" t="s">
        <v>5974</v>
      </c>
      <c r="AY52" s="6" t="s">
        <v>5975</v>
      </c>
      <c r="AZ52" s="6" t="s">
        <v>4596</v>
      </c>
      <c r="BA52" s="6" t="s">
        <v>4597</v>
      </c>
      <c r="BB52" s="6" t="s">
        <v>5976</v>
      </c>
      <c r="BC52" s="6" t="s">
        <v>5977</v>
      </c>
      <c r="BD52" s="6" t="s">
        <v>168</v>
      </c>
      <c r="BE52" s="6" t="s">
        <v>5978</v>
      </c>
      <c r="BF52" s="6" t="s">
        <v>168</v>
      </c>
      <c r="BG52" s="6" t="s">
        <v>168</v>
      </c>
      <c r="BH52" s="6" t="s">
        <v>163</v>
      </c>
      <c r="BJ52" s="6" t="s">
        <v>5979</v>
      </c>
      <c r="BK52" s="6" t="s">
        <v>162</v>
      </c>
      <c r="BL52" s="6" t="s">
        <v>162</v>
      </c>
      <c r="BO52" s="6" t="s">
        <v>162</v>
      </c>
      <c r="BP52" s="0" t="n">
        <v>0</v>
      </c>
      <c r="BS52" s="6" t="s">
        <v>5980</v>
      </c>
      <c r="BT52" s="6" t="s">
        <v>5981</v>
      </c>
      <c r="BU52" s="6" t="s">
        <v>4605</v>
      </c>
      <c r="BV52" s="0" t="n">
        <v>74</v>
      </c>
      <c r="BX52" s="6" t="s">
        <v>5982</v>
      </c>
      <c r="BY52" s="6" t="s">
        <v>5983</v>
      </c>
      <c r="CA52" s="6" t="s">
        <v>5984</v>
      </c>
      <c r="CB52" s="6" t="s">
        <v>253</v>
      </c>
      <c r="CC52" s="6" t="s">
        <v>5985</v>
      </c>
      <c r="CD52" s="6" t="s">
        <v>5986</v>
      </c>
      <c r="CE52" s="6" t="s">
        <v>4613</v>
      </c>
      <c r="CF52" s="6" t="s">
        <v>171</v>
      </c>
      <c r="CG52" s="6" t="s">
        <v>5987</v>
      </c>
      <c r="CK52" s="6" t="s">
        <v>158</v>
      </c>
      <c r="CL52" s="0" t="n">
        <v>54</v>
      </c>
      <c r="CM52" s="0" t="n">
        <v>6</v>
      </c>
      <c r="CN52" s="0" t="n">
        <v>20</v>
      </c>
      <c r="CO52" s="0" t="n">
        <v>15</v>
      </c>
      <c r="CP52" s="0" t="n">
        <v>5</v>
      </c>
      <c r="CQ52" s="0" t="n">
        <v>10</v>
      </c>
      <c r="CR52" s="0" t="n">
        <v>10</v>
      </c>
      <c r="CS52" s="6" t="n">
        <f aca="false">IF(R52="Y",10,0)</f>
        <v>0</v>
      </c>
      <c r="CT52" s="0" t="n">
        <v>-12</v>
      </c>
      <c r="CU52" s="6" t="s">
        <v>163</v>
      </c>
      <c r="CV52" s="6" t="s">
        <v>5564</v>
      </c>
      <c r="CW52" s="6" t="s">
        <v>5988</v>
      </c>
      <c r="CX52" s="6" t="s">
        <v>5989</v>
      </c>
      <c r="CY52" s="6" t="s">
        <v>5990</v>
      </c>
      <c r="CZ52" s="6" t="s">
        <v>5991</v>
      </c>
      <c r="DA52" s="6" t="s">
        <v>5914</v>
      </c>
      <c r="DC52" s="6" t="s">
        <v>231</v>
      </c>
      <c r="DD52" s="6" t="s">
        <v>5992</v>
      </c>
      <c r="DY52" s="0" t="str">
        <f aca="false">IF(ISNUMBER(MATCH(U52,{"queued","contacted","replied","call_booked","call_done","yes_in_principle","materials_sent"},0)),"Y","N")</f>
        <v>N</v>
      </c>
      <c r="DZ52" s="0" t="str">
        <f aca="false">IF(COUNTIFS($AN$2:$AN$1000,AN52,$DY$2:$DY$1000,"Y")+COUNTIFS($AN$2:$AN$1000,AN52,$T$2:$T$1000,"Y")&gt;0,"Y","N")</f>
        <v>N</v>
      </c>
      <c r="EA52" s="0" t="str">
        <f aca="false">IF(AND(U52="new",T52="N",AR52="Y",AQ52="",DZ52="N"),"Y","N")</f>
        <v>Y</v>
      </c>
      <c r="EB52" s="0" t="str">
        <f aca="false">IF(EA52&lt;&gt;"Y","N",IF(COUNTIFS($AN$2:$AN$1000,AN52,$EA$2:$EA$1000,"Y",$J$2:$J$1000,"&gt;"&amp;J52)+COUNTIFS($AN$2:$AN$1000,AN52,$EA$2:$EA$1000,"Y",$J$2:$J$1000,J52,$ED$2:$ED$1000,"&lt;"&amp;ED52)=0,"Y","N"))</f>
        <v>Y</v>
      </c>
      <c r="EC52" s="0" t="str">
        <f aca="false">IF(Y52="","N",IF(Y52&lt;=10,"Y","N"))</f>
        <v>N</v>
      </c>
      <c r="ED52" s="6" t="n">
        <f aca="false">ROW()-1</f>
        <v>51</v>
      </c>
    </row>
    <row r="53" customFormat="false" ht="15" hidden="false" customHeight="false" outlineLevel="0" collapsed="false">
      <c r="A53" s="0" t="s">
        <v>5993</v>
      </c>
      <c r="B53" s="0" t="s">
        <v>5994</v>
      </c>
      <c r="C53" s="0" t="s">
        <v>5995</v>
      </c>
      <c r="D53" s="0" t="s">
        <v>5996</v>
      </c>
      <c r="E53" s="0" t="s">
        <v>4773</v>
      </c>
      <c r="H53" s="5" t="s">
        <v>158</v>
      </c>
      <c r="I53" s="5" t="s">
        <v>159</v>
      </c>
      <c r="J53" s="6" t="n">
        <f aca="false">IF(AU53="pass",CM53+CN53+CO53+CP53+CQ53+CR53+CS53+CT53,0)</f>
        <v>52</v>
      </c>
      <c r="K53" s="6" t="s">
        <v>5997</v>
      </c>
      <c r="M53" s="6" t="s">
        <v>4581</v>
      </c>
      <c r="N53" s="6" t="s">
        <v>4582</v>
      </c>
      <c r="O53" s="6" t="s">
        <v>5998</v>
      </c>
      <c r="P53" s="6" t="s">
        <v>5999</v>
      </c>
      <c r="Q53" s="6" t="s">
        <v>4797</v>
      </c>
      <c r="R53" s="5" t="s">
        <v>162</v>
      </c>
      <c r="S53" s="6" t="s">
        <v>163</v>
      </c>
      <c r="T53" s="5" t="s">
        <v>162</v>
      </c>
      <c r="U53" s="5" t="s">
        <v>228</v>
      </c>
      <c r="V53" s="6" t="s">
        <v>6000</v>
      </c>
      <c r="W53" s="6" t="s">
        <v>166</v>
      </c>
      <c r="X53" s="6" t="s">
        <v>4586</v>
      </c>
      <c r="Y53" s="6" t="n">
        <f aca="false">IF(EB53&lt;&gt;"Y","",COUNTIFS($EB$2:$EB$1000,"Y",$J$2:$J$1000,"&gt;"&amp;J53)+COUNTIFS($EB$2:$EB$1000,"Y",$J$2:$J$1000,J53,$ED$2:$ED$1000,"&lt;"&amp;ED53)+1)</f>
        <v>47</v>
      </c>
      <c r="Z53" s="0" t="n">
        <v>52</v>
      </c>
      <c r="AA53" s="6" t="s">
        <v>168</v>
      </c>
      <c r="AB53" s="6" t="s">
        <v>6001</v>
      </c>
      <c r="AC53" s="6" t="s">
        <v>4588</v>
      </c>
      <c r="AD53" s="6" t="s">
        <v>171</v>
      </c>
      <c r="AE53" s="6" t="s">
        <v>172</v>
      </c>
      <c r="AF53" s="6" t="s">
        <v>6000</v>
      </c>
      <c r="AG53" s="6" t="s">
        <v>174</v>
      </c>
      <c r="AH53" s="6" t="s">
        <v>6002</v>
      </c>
      <c r="AI53" s="6" t="s">
        <v>4665</v>
      </c>
      <c r="AJ53" s="6" t="s">
        <v>5356</v>
      </c>
      <c r="AK53" s="6" t="s">
        <v>6003</v>
      </c>
      <c r="AL53" s="6" t="s">
        <v>168</v>
      </c>
      <c r="AM53" s="6" t="s">
        <v>6004</v>
      </c>
      <c r="AN53" s="6" t="s">
        <v>5993</v>
      </c>
      <c r="AO53" s="5" t="s">
        <v>162</v>
      </c>
      <c r="AR53" s="0" t="str">
        <f aca="false">IF(AND(AU53="pass",AO53&lt;&gt;"Y",C53&lt;&gt;""),"Y","N")</f>
        <v>Y</v>
      </c>
      <c r="AS53" s="0" t="str">
        <f aca="false">_xlfn.TEXTJOIN("; ",TRUE(),IF(AU53&lt;&gt;"pass","gated out",""),IF(AO53="Y","on hold: "&amp;AP53,""),IF(C53="","no contact named on an opened page",""))</f>
        <v/>
      </c>
      <c r="AU53" s="6" t="s">
        <v>181</v>
      </c>
      <c r="AW53" s="6" t="s">
        <v>182</v>
      </c>
      <c r="AX53" s="6" t="s">
        <v>5223</v>
      </c>
      <c r="AY53" s="6" t="s">
        <v>6003</v>
      </c>
      <c r="AZ53" s="6" t="s">
        <v>5358</v>
      </c>
      <c r="BA53" s="6" t="s">
        <v>5331</v>
      </c>
      <c r="BB53" s="6" t="s">
        <v>163</v>
      </c>
      <c r="BD53" s="6" t="s">
        <v>264</v>
      </c>
      <c r="BE53" s="6" t="s">
        <v>6005</v>
      </c>
      <c r="BF53" s="6" t="s">
        <v>163</v>
      </c>
      <c r="BG53" s="6" t="s">
        <v>168</v>
      </c>
      <c r="BH53" s="6" t="s">
        <v>163</v>
      </c>
      <c r="BJ53" s="6" t="s">
        <v>163</v>
      </c>
      <c r="BK53" s="6" t="s">
        <v>162</v>
      </c>
      <c r="BL53" s="6" t="s">
        <v>162</v>
      </c>
      <c r="BN53" s="0" t="n">
        <v>0</v>
      </c>
      <c r="BO53" s="6" t="s">
        <v>168</v>
      </c>
      <c r="BP53" s="0" t="n">
        <v>3</v>
      </c>
      <c r="BQ53" s="6" t="s">
        <v>4670</v>
      </c>
      <c r="BS53" s="6" t="s">
        <v>4693</v>
      </c>
      <c r="BT53" s="6" t="s">
        <v>6006</v>
      </c>
      <c r="BU53" s="6" t="s">
        <v>4605</v>
      </c>
      <c r="BV53" s="0" t="n">
        <v>36</v>
      </c>
      <c r="BX53" s="6" t="s">
        <v>6007</v>
      </c>
      <c r="BY53" s="6" t="s">
        <v>6008</v>
      </c>
      <c r="CA53" s="6" t="s">
        <v>6009</v>
      </c>
      <c r="CB53" s="6" t="s">
        <v>6010</v>
      </c>
      <c r="CC53" s="6" t="s">
        <v>6011</v>
      </c>
      <c r="CD53" s="6" t="s">
        <v>6012</v>
      </c>
      <c r="CE53" s="6" t="s">
        <v>4613</v>
      </c>
      <c r="CF53" s="6" t="s">
        <v>171</v>
      </c>
      <c r="CG53" s="6" t="s">
        <v>6013</v>
      </c>
      <c r="CK53" s="6" t="s">
        <v>158</v>
      </c>
      <c r="CL53" s="0" t="n">
        <v>52</v>
      </c>
      <c r="CM53" s="0" t="n">
        <v>25</v>
      </c>
      <c r="CN53" s="0" t="n">
        <v>3</v>
      </c>
      <c r="CO53" s="0" t="n">
        <v>15</v>
      </c>
      <c r="CP53" s="0" t="n">
        <v>5</v>
      </c>
      <c r="CQ53" s="0" t="n">
        <v>6</v>
      </c>
      <c r="CR53" s="0" t="n">
        <v>10</v>
      </c>
      <c r="CS53" s="6" t="n">
        <f aca="false">IF(R53="Y",10,0)</f>
        <v>0</v>
      </c>
      <c r="CT53" s="0" t="n">
        <v>-12</v>
      </c>
      <c r="CU53" s="6" t="s">
        <v>6014</v>
      </c>
      <c r="CV53" s="6" t="s">
        <v>4704</v>
      </c>
      <c r="CW53" s="6" t="s">
        <v>6015</v>
      </c>
      <c r="CX53" s="6" t="s">
        <v>6016</v>
      </c>
      <c r="CY53" s="6" t="s">
        <v>6017</v>
      </c>
      <c r="CZ53" s="6" t="s">
        <v>6018</v>
      </c>
      <c r="DA53" s="6" t="s">
        <v>4621</v>
      </c>
      <c r="DC53" s="6" t="s">
        <v>1190</v>
      </c>
      <c r="DY53" s="0" t="str">
        <f aca="false">IF(ISNUMBER(MATCH(U53,{"queued","contacted","replied","call_booked","call_done","yes_in_principle","materials_sent"},0)),"Y","N")</f>
        <v>N</v>
      </c>
      <c r="DZ53" s="0" t="str">
        <f aca="false">IF(COUNTIFS($AN$2:$AN$1000,AN53,$DY$2:$DY$1000,"Y")+COUNTIFS($AN$2:$AN$1000,AN53,$T$2:$T$1000,"Y")&gt;0,"Y","N")</f>
        <v>N</v>
      </c>
      <c r="EA53" s="0" t="str">
        <f aca="false">IF(AND(U53="new",T53="N",AR53="Y",AQ53="",DZ53="N"),"Y","N")</f>
        <v>Y</v>
      </c>
      <c r="EB53" s="0" t="str">
        <f aca="false">IF(EA53&lt;&gt;"Y","N",IF(COUNTIFS($AN$2:$AN$1000,AN53,$EA$2:$EA$1000,"Y",$J$2:$J$1000,"&gt;"&amp;J53)+COUNTIFS($AN$2:$AN$1000,AN53,$EA$2:$EA$1000,"Y",$J$2:$J$1000,J53,$ED$2:$ED$1000,"&lt;"&amp;ED53)=0,"Y","N"))</f>
        <v>Y</v>
      </c>
      <c r="EC53" s="0" t="str">
        <f aca="false">IF(Y53="","N",IF(Y53&lt;=10,"Y","N"))</f>
        <v>N</v>
      </c>
      <c r="ED53" s="6" t="n">
        <f aca="false">ROW()-1</f>
        <v>52</v>
      </c>
    </row>
    <row r="54" customFormat="false" ht="15" hidden="false" customHeight="false" outlineLevel="0" collapsed="false">
      <c r="A54" s="0" t="s">
        <v>6019</v>
      </c>
      <c r="B54" s="0" t="s">
        <v>6020</v>
      </c>
      <c r="C54" s="0" t="s">
        <v>6021</v>
      </c>
      <c r="D54" s="0" t="s">
        <v>6022</v>
      </c>
      <c r="E54" s="0" t="s">
        <v>4626</v>
      </c>
      <c r="H54" s="5" t="s">
        <v>158</v>
      </c>
      <c r="I54" s="5" t="s">
        <v>159</v>
      </c>
      <c r="J54" s="6" t="n">
        <f aca="false">IF(AU54="pass",CM54+CN54+CO54+CP54+CQ54+CR54+CS54+CT54,0)</f>
        <v>52</v>
      </c>
      <c r="K54" s="6" t="s">
        <v>6023</v>
      </c>
      <c r="M54" s="6" t="s">
        <v>4628</v>
      </c>
      <c r="N54" s="6" t="s">
        <v>4582</v>
      </c>
      <c r="O54" s="6" t="s">
        <v>6024</v>
      </c>
      <c r="P54" s="6" t="s">
        <v>6025</v>
      </c>
      <c r="Q54" s="6" t="s">
        <v>5542</v>
      </c>
      <c r="R54" s="5" t="s">
        <v>162</v>
      </c>
      <c r="S54" s="6" t="s">
        <v>163</v>
      </c>
      <c r="T54" s="5" t="s">
        <v>162</v>
      </c>
      <c r="U54" s="5" t="s">
        <v>228</v>
      </c>
      <c r="V54" s="6" t="s">
        <v>6026</v>
      </c>
      <c r="W54" s="6" t="s">
        <v>174</v>
      </c>
      <c r="X54" s="6" t="s">
        <v>4586</v>
      </c>
      <c r="Y54" s="6" t="n">
        <f aca="false">IF(EB54&lt;&gt;"Y","",COUNTIFS($EB$2:$EB$1000,"Y",$J$2:$J$1000,"&gt;"&amp;J54)+COUNTIFS($EB$2:$EB$1000,"Y",$J$2:$J$1000,J54,$ED$2:$ED$1000,"&lt;"&amp;ED54)+1)</f>
        <v>48</v>
      </c>
      <c r="Z54" s="0" t="n">
        <v>53</v>
      </c>
      <c r="AA54" s="6" t="s">
        <v>168</v>
      </c>
      <c r="AB54" s="6" t="s">
        <v>6027</v>
      </c>
      <c r="AC54" s="6" t="s">
        <v>4588</v>
      </c>
      <c r="AD54" s="6" t="s">
        <v>171</v>
      </c>
      <c r="AE54" s="6" t="s">
        <v>172</v>
      </c>
      <c r="AF54" s="6" t="s">
        <v>6028</v>
      </c>
      <c r="AG54" s="6" t="s">
        <v>174</v>
      </c>
      <c r="AH54" s="6" t="s">
        <v>6029</v>
      </c>
      <c r="AI54" s="6" t="s">
        <v>4665</v>
      </c>
      <c r="AJ54" s="6" t="s">
        <v>6030</v>
      </c>
      <c r="AK54" s="6" t="s">
        <v>6031</v>
      </c>
      <c r="AL54" s="6" t="s">
        <v>168</v>
      </c>
      <c r="AM54" s="6" t="s">
        <v>6032</v>
      </c>
      <c r="AN54" s="6" t="s">
        <v>6019</v>
      </c>
      <c r="AO54" s="5" t="s">
        <v>162</v>
      </c>
      <c r="AR54" s="0" t="str">
        <f aca="false">IF(AND(AU54="pass",AO54&lt;&gt;"Y",C54&lt;&gt;""),"Y","N")</f>
        <v>Y</v>
      </c>
      <c r="AS54" s="0" t="str">
        <f aca="false">_xlfn.TEXTJOIN("; ",TRUE(),IF(AU54&lt;&gt;"pass","gated out",""),IF(AO54="Y","on hold: "&amp;AP54,""),IF(C54="","no contact named on an opened page",""))</f>
        <v/>
      </c>
      <c r="AU54" s="6" t="s">
        <v>181</v>
      </c>
      <c r="AW54" s="6" t="s">
        <v>182</v>
      </c>
      <c r="AX54" s="6" t="s">
        <v>6033</v>
      </c>
      <c r="AY54" s="6" t="s">
        <v>6031</v>
      </c>
      <c r="AZ54" s="6" t="s">
        <v>6034</v>
      </c>
      <c r="BA54" s="6" t="s">
        <v>5193</v>
      </c>
      <c r="BB54" s="6" t="s">
        <v>163</v>
      </c>
      <c r="BD54" s="6" t="s">
        <v>168</v>
      </c>
      <c r="BE54" s="6" t="s">
        <v>6035</v>
      </c>
      <c r="BF54" s="6" t="s">
        <v>168</v>
      </c>
      <c r="BG54" s="6" t="s">
        <v>168</v>
      </c>
      <c r="BH54" s="6" t="s">
        <v>163</v>
      </c>
      <c r="BJ54" s="6" t="s">
        <v>5145</v>
      </c>
      <c r="BK54" s="6" t="s">
        <v>162</v>
      </c>
      <c r="BL54" s="6" t="s">
        <v>162</v>
      </c>
      <c r="BN54" s="0" t="n">
        <v>0</v>
      </c>
      <c r="BO54" s="6" t="s">
        <v>168</v>
      </c>
      <c r="BP54" s="0" t="n">
        <v>2</v>
      </c>
      <c r="BQ54" s="6" t="s">
        <v>6036</v>
      </c>
      <c r="BR54" s="6" t="s">
        <v>4671</v>
      </c>
      <c r="BS54" s="6" t="s">
        <v>6037</v>
      </c>
      <c r="BT54" s="6" t="s">
        <v>6038</v>
      </c>
      <c r="BU54" s="6" t="s">
        <v>4695</v>
      </c>
      <c r="BV54" s="0" t="n">
        <v>43</v>
      </c>
      <c r="BX54" s="6" t="s">
        <v>6039</v>
      </c>
      <c r="BY54" s="6" t="s">
        <v>6040</v>
      </c>
      <c r="CA54" s="6" t="s">
        <v>6041</v>
      </c>
      <c r="CB54" s="6" t="s">
        <v>6042</v>
      </c>
      <c r="CC54" s="6" t="s">
        <v>6022</v>
      </c>
      <c r="CD54" s="6" t="s">
        <v>4626</v>
      </c>
      <c r="CE54" s="6" t="s">
        <v>4810</v>
      </c>
      <c r="CF54" s="6" t="s">
        <v>171</v>
      </c>
      <c r="CG54" s="6" t="s">
        <v>6043</v>
      </c>
      <c r="CK54" s="6" t="s">
        <v>158</v>
      </c>
      <c r="CL54" s="0" t="n">
        <v>52</v>
      </c>
      <c r="CM54" s="0" t="n">
        <v>25</v>
      </c>
      <c r="CN54" s="0" t="n">
        <v>8</v>
      </c>
      <c r="CO54" s="0" t="n">
        <v>8</v>
      </c>
      <c r="CP54" s="0" t="n">
        <v>5</v>
      </c>
      <c r="CQ54" s="0" t="n">
        <v>10</v>
      </c>
      <c r="CR54" s="0" t="n">
        <v>6</v>
      </c>
      <c r="CS54" s="6" t="n">
        <f aca="false">IF(R54="Y",10,0)</f>
        <v>0</v>
      </c>
      <c r="CT54" s="0" t="n">
        <v>-10</v>
      </c>
      <c r="CU54" s="6" t="s">
        <v>6044</v>
      </c>
      <c r="CV54" s="6" t="s">
        <v>5152</v>
      </c>
      <c r="CW54" s="6" t="s">
        <v>6045</v>
      </c>
      <c r="CX54" s="6" t="s">
        <v>6046</v>
      </c>
      <c r="CZ54" s="6" t="s">
        <v>6028</v>
      </c>
      <c r="DA54" s="6" t="s">
        <v>5914</v>
      </c>
      <c r="DC54" s="6" t="s">
        <v>172</v>
      </c>
      <c r="DY54" s="0" t="str">
        <f aca="false">IF(ISNUMBER(MATCH(U54,{"queued","contacted","replied","call_booked","call_done","yes_in_principle","materials_sent"},0)),"Y","N")</f>
        <v>N</v>
      </c>
      <c r="DZ54" s="0" t="str">
        <f aca="false">IF(COUNTIFS($AN$2:$AN$1000,AN54,$DY$2:$DY$1000,"Y")+COUNTIFS($AN$2:$AN$1000,AN54,$T$2:$T$1000,"Y")&gt;0,"Y","N")</f>
        <v>N</v>
      </c>
      <c r="EA54" s="0" t="str">
        <f aca="false">IF(AND(U54="new",T54="N",AR54="Y",AQ54="",DZ54="N"),"Y","N")</f>
        <v>Y</v>
      </c>
      <c r="EB54" s="0" t="str">
        <f aca="false">IF(EA54&lt;&gt;"Y","N",IF(COUNTIFS($AN$2:$AN$1000,AN54,$EA$2:$EA$1000,"Y",$J$2:$J$1000,"&gt;"&amp;J54)+COUNTIFS($AN$2:$AN$1000,AN54,$EA$2:$EA$1000,"Y",$J$2:$J$1000,J54,$ED$2:$ED$1000,"&lt;"&amp;ED54)=0,"Y","N"))</f>
        <v>Y</v>
      </c>
      <c r="EC54" s="0" t="str">
        <f aca="false">IF(Y54="","N",IF(Y54&lt;=10,"Y","N"))</f>
        <v>N</v>
      </c>
      <c r="ED54" s="6" t="n">
        <f aca="false">ROW()-1</f>
        <v>53</v>
      </c>
    </row>
    <row r="55" customFormat="false" ht="15" hidden="false" customHeight="false" outlineLevel="0" collapsed="false">
      <c r="A55" s="0" t="s">
        <v>6047</v>
      </c>
      <c r="B55" s="0" t="s">
        <v>6048</v>
      </c>
      <c r="C55" s="0" t="s">
        <v>6049</v>
      </c>
      <c r="D55" s="0" t="s">
        <v>643</v>
      </c>
      <c r="E55" s="0" t="s">
        <v>4657</v>
      </c>
      <c r="H55" s="5" t="s">
        <v>158</v>
      </c>
      <c r="I55" s="5" t="s">
        <v>159</v>
      </c>
      <c r="J55" s="6" t="n">
        <f aca="false">IF(AU55="pass",CM55+CN55+CO55+CP55+CQ55+CR55+CS55+CT55,0)</f>
        <v>52</v>
      </c>
      <c r="K55" s="6" t="s">
        <v>6050</v>
      </c>
      <c r="M55" s="6" t="s">
        <v>4581</v>
      </c>
      <c r="N55" s="6" t="s">
        <v>4582</v>
      </c>
      <c r="R55" s="5" t="s">
        <v>162</v>
      </c>
      <c r="S55" s="6" t="s">
        <v>163</v>
      </c>
      <c r="T55" s="5" t="s">
        <v>162</v>
      </c>
      <c r="U55" s="5" t="s">
        <v>228</v>
      </c>
      <c r="V55" s="6" t="s">
        <v>6051</v>
      </c>
      <c r="W55" s="6" t="s">
        <v>166</v>
      </c>
      <c r="X55" s="6" t="s">
        <v>4586</v>
      </c>
      <c r="Y55" s="6" t="n">
        <f aca="false">IF(EB55&lt;&gt;"Y","",COUNTIFS($EB$2:$EB$1000,"Y",$J$2:$J$1000,"&gt;"&amp;J55)+COUNTIFS($EB$2:$EB$1000,"Y",$J$2:$J$1000,J55,$ED$2:$ED$1000,"&lt;"&amp;ED55)+1)</f>
        <v>49</v>
      </c>
      <c r="Z55" s="0" t="n">
        <v>54</v>
      </c>
      <c r="AA55" s="6" t="s">
        <v>168</v>
      </c>
      <c r="AB55" s="6" t="s">
        <v>6052</v>
      </c>
      <c r="AC55" s="6" t="s">
        <v>4588</v>
      </c>
      <c r="AD55" s="6" t="s">
        <v>171</v>
      </c>
      <c r="AE55" s="6" t="s">
        <v>172</v>
      </c>
      <c r="AF55" s="6" t="s">
        <v>6051</v>
      </c>
      <c r="AG55" s="6" t="s">
        <v>174</v>
      </c>
      <c r="AH55" s="6" t="s">
        <v>6053</v>
      </c>
      <c r="AI55" s="6" t="s">
        <v>5081</v>
      </c>
      <c r="AJ55" s="6" t="s">
        <v>6054</v>
      </c>
      <c r="AK55" s="6" t="s">
        <v>6055</v>
      </c>
      <c r="AL55" s="6" t="s">
        <v>168</v>
      </c>
      <c r="AM55" s="6" t="s">
        <v>4691</v>
      </c>
      <c r="AN55" s="6" t="s">
        <v>6047</v>
      </c>
      <c r="AO55" s="5" t="s">
        <v>162</v>
      </c>
      <c r="AR55" s="0" t="str">
        <f aca="false">IF(AND(AU55="pass",AO55&lt;&gt;"Y",C55&lt;&gt;""),"Y","N")</f>
        <v>Y</v>
      </c>
      <c r="AS55" s="0" t="str">
        <f aca="false">_xlfn.TEXTJOIN("; ",TRUE(),IF(AU55&lt;&gt;"pass","gated out",""),IF(AO55="Y","on hold: "&amp;AP55,""),IF(C55="","no contact named on an opened page",""))</f>
        <v/>
      </c>
      <c r="AU55" s="6" t="s">
        <v>181</v>
      </c>
      <c r="AW55" s="6" t="s">
        <v>182</v>
      </c>
      <c r="AY55" s="6" t="s">
        <v>6055</v>
      </c>
      <c r="AZ55" s="6" t="s">
        <v>4924</v>
      </c>
      <c r="BA55" s="6" t="s">
        <v>5193</v>
      </c>
      <c r="BB55" s="6" t="s">
        <v>163</v>
      </c>
      <c r="BD55" s="6" t="s">
        <v>264</v>
      </c>
      <c r="BE55" s="6" t="s">
        <v>6056</v>
      </c>
      <c r="BF55" s="6" t="s">
        <v>168</v>
      </c>
      <c r="BG55" s="6" t="s">
        <v>168</v>
      </c>
      <c r="BH55" s="6" t="s">
        <v>163</v>
      </c>
      <c r="BJ55" s="6" t="s">
        <v>163</v>
      </c>
      <c r="BK55" s="6" t="s">
        <v>162</v>
      </c>
      <c r="BL55" s="6" t="s">
        <v>162</v>
      </c>
      <c r="BN55" s="0" t="n">
        <v>0</v>
      </c>
      <c r="BO55" s="6" t="s">
        <v>168</v>
      </c>
      <c r="BP55" s="0" t="n">
        <v>3</v>
      </c>
      <c r="BQ55" s="6" t="s">
        <v>4670</v>
      </c>
      <c r="BS55" s="6" t="s">
        <v>6057</v>
      </c>
      <c r="BT55" s="6" t="s">
        <v>6058</v>
      </c>
      <c r="BU55" s="6" t="s">
        <v>158</v>
      </c>
      <c r="BX55" s="6" t="s">
        <v>6059</v>
      </c>
      <c r="BY55" s="6" t="s">
        <v>6060</v>
      </c>
      <c r="CF55" s="6" t="s">
        <v>158</v>
      </c>
      <c r="CK55" s="6" t="s">
        <v>158</v>
      </c>
      <c r="CL55" s="0" t="n">
        <v>52</v>
      </c>
      <c r="CM55" s="0" t="n">
        <v>25</v>
      </c>
      <c r="CN55" s="0" t="n">
        <v>8</v>
      </c>
      <c r="CO55" s="0" t="n">
        <v>0</v>
      </c>
      <c r="CP55" s="0" t="n">
        <v>5</v>
      </c>
      <c r="CQ55" s="0" t="n">
        <v>8</v>
      </c>
      <c r="CR55" s="0" t="n">
        <v>6</v>
      </c>
      <c r="CS55" s="6" t="n">
        <f aca="false">IF(R55="Y",10,0)</f>
        <v>0</v>
      </c>
      <c r="CT55" s="0" t="n">
        <v>0</v>
      </c>
      <c r="CU55" s="6" t="s">
        <v>6061</v>
      </c>
      <c r="CV55" s="6" t="s">
        <v>4704</v>
      </c>
      <c r="CW55" s="6" t="s">
        <v>6062</v>
      </c>
      <c r="CX55" s="6" t="s">
        <v>6063</v>
      </c>
      <c r="CY55" s="6" t="s">
        <v>6064</v>
      </c>
      <c r="DA55" s="6" t="s">
        <v>4621</v>
      </c>
      <c r="DY55" s="0" t="str">
        <f aca="false">IF(ISNUMBER(MATCH(U55,{"queued","contacted","replied","call_booked","call_done","yes_in_principle","materials_sent"},0)),"Y","N")</f>
        <v>N</v>
      </c>
      <c r="DZ55" s="0" t="str">
        <f aca="false">IF(COUNTIFS($AN$2:$AN$1000,AN55,$DY$2:$DY$1000,"Y")+COUNTIFS($AN$2:$AN$1000,AN55,$T$2:$T$1000,"Y")&gt;0,"Y","N")</f>
        <v>N</v>
      </c>
      <c r="EA55" s="0" t="str">
        <f aca="false">IF(AND(U55="new",T55="N",AR55="Y",AQ55="",DZ55="N"),"Y","N")</f>
        <v>Y</v>
      </c>
      <c r="EB55" s="0" t="str">
        <f aca="false">IF(EA55&lt;&gt;"Y","N",IF(COUNTIFS($AN$2:$AN$1000,AN55,$EA$2:$EA$1000,"Y",$J$2:$J$1000,"&gt;"&amp;J55)+COUNTIFS($AN$2:$AN$1000,AN55,$EA$2:$EA$1000,"Y",$J$2:$J$1000,J55,$ED$2:$ED$1000,"&lt;"&amp;ED55)=0,"Y","N"))</f>
        <v>Y</v>
      </c>
      <c r="EC55" s="0" t="str">
        <f aca="false">IF(Y55="","N",IF(Y55&lt;=10,"Y","N"))</f>
        <v>N</v>
      </c>
      <c r="ED55" s="6" t="n">
        <f aca="false">ROW()-1</f>
        <v>54</v>
      </c>
    </row>
    <row r="56" customFormat="false" ht="15" hidden="false" customHeight="false" outlineLevel="0" collapsed="false">
      <c r="A56" s="0" t="s">
        <v>6065</v>
      </c>
      <c r="B56" s="0" t="s">
        <v>6066</v>
      </c>
      <c r="C56" s="0" t="s">
        <v>6067</v>
      </c>
      <c r="D56" s="0" t="s">
        <v>6068</v>
      </c>
      <c r="E56" s="0" t="s">
        <v>6069</v>
      </c>
      <c r="H56" s="5" t="s">
        <v>158</v>
      </c>
      <c r="I56" s="5" t="s">
        <v>159</v>
      </c>
      <c r="J56" s="6" t="n">
        <f aca="false">IF(AU56="pass",CM56+CN56+CO56+CP56+CQ56+CR56+CS56+CT56,0)</f>
        <v>51</v>
      </c>
      <c r="K56" s="6" t="s">
        <v>6070</v>
      </c>
      <c r="M56" s="6" t="s">
        <v>4581</v>
      </c>
      <c r="N56" s="6" t="s">
        <v>4582</v>
      </c>
      <c r="O56" s="6" t="s">
        <v>6071</v>
      </c>
      <c r="P56" s="6" t="s">
        <v>6072</v>
      </c>
      <c r="Q56" s="6" t="s">
        <v>5542</v>
      </c>
      <c r="R56" s="5" t="s">
        <v>162</v>
      </c>
      <c r="S56" s="6" t="s">
        <v>163</v>
      </c>
      <c r="T56" s="5" t="s">
        <v>162</v>
      </c>
      <c r="U56" s="5" t="s">
        <v>228</v>
      </c>
      <c r="V56" s="6" t="s">
        <v>6073</v>
      </c>
      <c r="W56" s="6" t="s">
        <v>166</v>
      </c>
      <c r="X56" s="6" t="s">
        <v>4586</v>
      </c>
      <c r="Y56" s="6" t="n">
        <f aca="false">IF(EB56&lt;&gt;"Y","",COUNTIFS($EB$2:$EB$1000,"Y",$J$2:$J$1000,"&gt;"&amp;J56)+COUNTIFS($EB$2:$EB$1000,"Y",$J$2:$J$1000,J56,$ED$2:$ED$1000,"&lt;"&amp;ED56)+1)</f>
        <v>50</v>
      </c>
      <c r="Z56" s="0" t="n">
        <v>55</v>
      </c>
      <c r="AA56" s="6" t="s">
        <v>168</v>
      </c>
      <c r="AB56" s="6" t="s">
        <v>6074</v>
      </c>
      <c r="AC56" s="6" t="s">
        <v>4588</v>
      </c>
      <c r="AD56" s="6" t="s">
        <v>171</v>
      </c>
      <c r="AE56" s="6" t="s">
        <v>172</v>
      </c>
      <c r="AF56" s="6" t="s">
        <v>6073</v>
      </c>
      <c r="AG56" s="6" t="s">
        <v>174</v>
      </c>
      <c r="AH56" s="6" t="s">
        <v>6075</v>
      </c>
      <c r="AI56" s="6" t="s">
        <v>4665</v>
      </c>
      <c r="AJ56" s="6" t="s">
        <v>6076</v>
      </c>
      <c r="AK56" s="6" t="s">
        <v>6077</v>
      </c>
      <c r="AL56" s="6" t="s">
        <v>168</v>
      </c>
      <c r="AM56" s="6" t="s">
        <v>6078</v>
      </c>
      <c r="AN56" s="6" t="s">
        <v>6065</v>
      </c>
      <c r="AO56" s="5" t="s">
        <v>162</v>
      </c>
      <c r="AR56" s="0" t="str">
        <f aca="false">IF(AND(AU56="pass",AO56&lt;&gt;"Y",C56&lt;&gt;""),"Y","N")</f>
        <v>Y</v>
      </c>
      <c r="AS56" s="0" t="str">
        <f aca="false">_xlfn.TEXTJOIN("; ",TRUE(),IF(AU56&lt;&gt;"pass","gated out",""),IF(AO56="Y","on hold: "&amp;AP56,""),IF(C56="","no contact named on an opened page",""))</f>
        <v/>
      </c>
      <c r="AU56" s="6" t="s">
        <v>181</v>
      </c>
      <c r="AW56" s="6" t="s">
        <v>182</v>
      </c>
      <c r="AX56" s="6" t="s">
        <v>4595</v>
      </c>
      <c r="AY56" s="6" t="s">
        <v>6077</v>
      </c>
      <c r="AZ56" s="6" t="s">
        <v>6079</v>
      </c>
      <c r="BA56" s="6" t="s">
        <v>5331</v>
      </c>
      <c r="BB56" s="6" t="s">
        <v>163</v>
      </c>
      <c r="BD56" s="6" t="s">
        <v>264</v>
      </c>
      <c r="BE56" s="6" t="s">
        <v>4692</v>
      </c>
      <c r="BF56" s="6" t="s">
        <v>168</v>
      </c>
      <c r="BG56" s="6" t="s">
        <v>168</v>
      </c>
      <c r="BH56" s="6" t="s">
        <v>163</v>
      </c>
      <c r="BJ56" s="6" t="s">
        <v>163</v>
      </c>
      <c r="BK56" s="6" t="s">
        <v>162</v>
      </c>
      <c r="BL56" s="6" t="s">
        <v>162</v>
      </c>
      <c r="BN56" s="0" t="n">
        <v>0</v>
      </c>
      <c r="BO56" s="6" t="s">
        <v>168</v>
      </c>
      <c r="BP56" s="0" t="n">
        <v>2</v>
      </c>
      <c r="BQ56" s="6" t="s">
        <v>4783</v>
      </c>
      <c r="BS56" s="6" t="s">
        <v>4693</v>
      </c>
      <c r="BT56" s="6" t="s">
        <v>6080</v>
      </c>
      <c r="BU56" s="6" t="s">
        <v>4695</v>
      </c>
      <c r="BV56" s="0" t="n">
        <v>43</v>
      </c>
      <c r="BX56" s="6" t="s">
        <v>6081</v>
      </c>
      <c r="BY56" s="6" t="s">
        <v>6082</v>
      </c>
      <c r="CA56" s="6" t="s">
        <v>6083</v>
      </c>
      <c r="CB56" s="6" t="s">
        <v>6084</v>
      </c>
      <c r="CC56" s="6" t="s">
        <v>6085</v>
      </c>
      <c r="CD56" s="6" t="s">
        <v>6086</v>
      </c>
      <c r="CE56" s="6" t="s">
        <v>4810</v>
      </c>
      <c r="CF56" s="6" t="s">
        <v>171</v>
      </c>
      <c r="CG56" s="6" t="s">
        <v>6087</v>
      </c>
      <c r="CK56" s="6" t="s">
        <v>158</v>
      </c>
      <c r="CL56" s="0" t="n">
        <v>51</v>
      </c>
      <c r="CM56" s="0" t="n">
        <v>25</v>
      </c>
      <c r="CN56" s="0" t="n">
        <v>3</v>
      </c>
      <c r="CO56" s="0" t="n">
        <v>8</v>
      </c>
      <c r="CP56" s="0" t="n">
        <v>5</v>
      </c>
      <c r="CQ56" s="0" t="n">
        <v>8</v>
      </c>
      <c r="CR56" s="0" t="n">
        <v>6</v>
      </c>
      <c r="CS56" s="6" t="n">
        <f aca="false">IF(R56="Y",10,0)</f>
        <v>0</v>
      </c>
      <c r="CT56" s="0" t="n">
        <v>-4</v>
      </c>
      <c r="CU56" s="6" t="s">
        <v>6088</v>
      </c>
      <c r="CV56" s="6" t="s">
        <v>4704</v>
      </c>
      <c r="CW56" s="6" t="s">
        <v>6089</v>
      </c>
      <c r="CX56" s="6" t="s">
        <v>6090</v>
      </c>
      <c r="CZ56" s="6" t="s">
        <v>6091</v>
      </c>
      <c r="DA56" s="6" t="s">
        <v>4621</v>
      </c>
      <c r="DC56" s="6" t="s">
        <v>231</v>
      </c>
      <c r="DD56" s="6" t="s">
        <v>6092</v>
      </c>
      <c r="DY56" s="0" t="str">
        <f aca="false">IF(ISNUMBER(MATCH(U56,{"queued","contacted","replied","call_booked","call_done","yes_in_principle","materials_sent"},0)),"Y","N")</f>
        <v>N</v>
      </c>
      <c r="DZ56" s="0" t="str">
        <f aca="false">IF(COUNTIFS($AN$2:$AN$1000,AN56,$DY$2:$DY$1000,"Y")+COUNTIFS($AN$2:$AN$1000,AN56,$T$2:$T$1000,"Y")&gt;0,"Y","N")</f>
        <v>N</v>
      </c>
      <c r="EA56" s="0" t="str">
        <f aca="false">IF(AND(U56="new",T56="N",AR56="Y",AQ56="",DZ56="N"),"Y","N")</f>
        <v>Y</v>
      </c>
      <c r="EB56" s="0" t="str">
        <f aca="false">IF(EA56&lt;&gt;"Y","N",IF(COUNTIFS($AN$2:$AN$1000,AN56,$EA$2:$EA$1000,"Y",$J$2:$J$1000,"&gt;"&amp;J56)+COUNTIFS($AN$2:$AN$1000,AN56,$EA$2:$EA$1000,"Y",$J$2:$J$1000,J56,$ED$2:$ED$1000,"&lt;"&amp;ED56)=0,"Y","N"))</f>
        <v>Y</v>
      </c>
      <c r="EC56" s="0" t="str">
        <f aca="false">IF(Y56="","N",IF(Y56&lt;=10,"Y","N"))</f>
        <v>N</v>
      </c>
      <c r="ED56" s="6" t="n">
        <f aca="false">ROW()-1</f>
        <v>55</v>
      </c>
    </row>
    <row r="57" customFormat="false" ht="15" hidden="false" customHeight="false" outlineLevel="0" collapsed="false">
      <c r="A57" s="0" t="s">
        <v>6093</v>
      </c>
      <c r="B57" s="0" t="s">
        <v>6094</v>
      </c>
      <c r="C57" s="0" t="s">
        <v>5476</v>
      </c>
      <c r="D57" s="0" t="s">
        <v>6095</v>
      </c>
      <c r="E57" s="0" t="s">
        <v>4912</v>
      </c>
      <c r="H57" s="5" t="s">
        <v>158</v>
      </c>
      <c r="I57" s="5" t="s">
        <v>159</v>
      </c>
      <c r="J57" s="6" t="n">
        <f aca="false">IF(AU57="pass",CM57+CN57+CO57+CP57+CQ57+CR57+CS57+CT57,0)</f>
        <v>51</v>
      </c>
      <c r="K57" s="6" t="s">
        <v>6096</v>
      </c>
      <c r="M57" s="6" t="s">
        <v>4581</v>
      </c>
      <c r="N57" s="6" t="s">
        <v>4582</v>
      </c>
      <c r="O57" s="6" t="s">
        <v>6097</v>
      </c>
      <c r="P57" s="6" t="s">
        <v>6098</v>
      </c>
      <c r="Q57" s="6" t="s">
        <v>6099</v>
      </c>
      <c r="R57" s="5" t="s">
        <v>162</v>
      </c>
      <c r="S57" s="6" t="s">
        <v>163</v>
      </c>
      <c r="T57" s="5" t="s">
        <v>162</v>
      </c>
      <c r="U57" s="5" t="s">
        <v>228</v>
      </c>
      <c r="V57" s="6" t="s">
        <v>6100</v>
      </c>
      <c r="W57" s="6" t="s">
        <v>166</v>
      </c>
      <c r="X57" s="6" t="s">
        <v>4586</v>
      </c>
      <c r="Y57" s="6" t="n">
        <f aca="false">IF(EB57&lt;&gt;"Y","",COUNTIFS($EB$2:$EB$1000,"Y",$J$2:$J$1000,"&gt;"&amp;J57)+COUNTIFS($EB$2:$EB$1000,"Y",$J$2:$J$1000,J57,$ED$2:$ED$1000,"&lt;"&amp;ED57)+1)</f>
        <v>51</v>
      </c>
      <c r="Z57" s="0" t="n">
        <v>56</v>
      </c>
      <c r="AA57" s="6" t="s">
        <v>168</v>
      </c>
      <c r="AB57" s="6" t="s">
        <v>6101</v>
      </c>
      <c r="AC57" s="6" t="s">
        <v>4588</v>
      </c>
      <c r="AD57" s="6" t="s">
        <v>171</v>
      </c>
      <c r="AE57" s="6" t="s">
        <v>172</v>
      </c>
      <c r="AF57" s="6" t="s">
        <v>6102</v>
      </c>
      <c r="AG57" s="6" t="s">
        <v>174</v>
      </c>
      <c r="AH57" s="6" t="s">
        <v>6103</v>
      </c>
      <c r="AI57" s="6" t="s">
        <v>4724</v>
      </c>
      <c r="AJ57" s="6" t="s">
        <v>2955</v>
      </c>
      <c r="AK57" s="6" t="s">
        <v>6104</v>
      </c>
      <c r="AL57" s="6" t="s">
        <v>168</v>
      </c>
      <c r="AM57" s="6" t="s">
        <v>6105</v>
      </c>
      <c r="AN57" s="6" t="s">
        <v>6093</v>
      </c>
      <c r="AO57" s="5" t="s">
        <v>162</v>
      </c>
      <c r="AR57" s="0" t="str">
        <f aca="false">IF(AND(AU57="pass",AO57&lt;&gt;"Y",C57&lt;&gt;""),"Y","N")</f>
        <v>Y</v>
      </c>
      <c r="AS57" s="0" t="str">
        <f aca="false">_xlfn.TEXTJOIN("; ",TRUE(),IF(AU57&lt;&gt;"pass","gated out",""),IF(AO57="Y","on hold: "&amp;AP57,""),IF(C57="","no contact named on an opened page",""))</f>
        <v/>
      </c>
      <c r="AU57" s="6" t="s">
        <v>181</v>
      </c>
      <c r="AW57" s="6" t="s">
        <v>182</v>
      </c>
      <c r="AX57" s="6" t="s">
        <v>4595</v>
      </c>
      <c r="AY57" s="6" t="s">
        <v>6104</v>
      </c>
      <c r="AZ57" s="6" t="s">
        <v>5659</v>
      </c>
      <c r="BA57" s="6" t="s">
        <v>5331</v>
      </c>
      <c r="BB57" s="6" t="s">
        <v>163</v>
      </c>
      <c r="BD57" s="6" t="s">
        <v>168</v>
      </c>
      <c r="BE57" s="6" t="s">
        <v>6106</v>
      </c>
      <c r="BF57" s="6" t="s">
        <v>163</v>
      </c>
      <c r="BG57" s="6" t="s">
        <v>168</v>
      </c>
      <c r="BH57" s="6" t="s">
        <v>163</v>
      </c>
      <c r="BJ57" s="6" t="s">
        <v>163</v>
      </c>
      <c r="BK57" s="6" t="s">
        <v>162</v>
      </c>
      <c r="BL57" s="6" t="s">
        <v>162</v>
      </c>
      <c r="BN57" s="0" t="n">
        <v>0</v>
      </c>
      <c r="BO57" s="6" t="s">
        <v>168</v>
      </c>
      <c r="BP57" s="0" t="n">
        <v>3</v>
      </c>
      <c r="BQ57" s="6" t="s">
        <v>4670</v>
      </c>
      <c r="BS57" s="6" t="s">
        <v>6107</v>
      </c>
      <c r="BT57" s="6" t="s">
        <v>6108</v>
      </c>
      <c r="BU57" s="6" t="s">
        <v>4695</v>
      </c>
      <c r="BV57" s="0" t="n">
        <v>11</v>
      </c>
      <c r="BX57" s="6" t="s">
        <v>6109</v>
      </c>
      <c r="BY57" s="6" t="s">
        <v>6110</v>
      </c>
      <c r="CF57" s="6" t="s">
        <v>158</v>
      </c>
      <c r="CK57" s="6" t="s">
        <v>158</v>
      </c>
      <c r="CL57" s="0" t="n">
        <v>51</v>
      </c>
      <c r="CM57" s="0" t="n">
        <v>25</v>
      </c>
      <c r="CN57" s="0" t="n">
        <v>3</v>
      </c>
      <c r="CO57" s="0" t="n">
        <v>8</v>
      </c>
      <c r="CP57" s="0" t="n">
        <v>5</v>
      </c>
      <c r="CQ57" s="0" t="n">
        <v>8</v>
      </c>
      <c r="CR57" s="0" t="n">
        <v>6</v>
      </c>
      <c r="CS57" s="6" t="n">
        <f aca="false">IF(R57="Y",10,0)</f>
        <v>0</v>
      </c>
      <c r="CT57" s="0" t="n">
        <v>-4</v>
      </c>
      <c r="CU57" s="6" t="s">
        <v>6111</v>
      </c>
      <c r="CV57" s="6" t="s">
        <v>4704</v>
      </c>
      <c r="CW57" s="6" t="s">
        <v>6112</v>
      </c>
      <c r="CX57" s="6" t="s">
        <v>6113</v>
      </c>
      <c r="CY57" s="6" t="s">
        <v>6114</v>
      </c>
      <c r="DA57" s="6" t="s">
        <v>4621</v>
      </c>
      <c r="DB57" s="6" t="s">
        <v>6115</v>
      </c>
      <c r="DY57" s="0" t="str">
        <f aca="false">IF(ISNUMBER(MATCH(U57,{"queued","contacted","replied","call_booked","call_done","yes_in_principle","materials_sent"},0)),"Y","N")</f>
        <v>N</v>
      </c>
      <c r="DZ57" s="0" t="str">
        <f aca="false">IF(COUNTIFS($AN$2:$AN$1000,AN57,$DY$2:$DY$1000,"Y")+COUNTIFS($AN$2:$AN$1000,AN57,$T$2:$T$1000,"Y")&gt;0,"Y","N")</f>
        <v>N</v>
      </c>
      <c r="EA57" s="0" t="str">
        <f aca="false">IF(AND(U57="new",T57="N",AR57="Y",AQ57="",DZ57="N"),"Y","N")</f>
        <v>Y</v>
      </c>
      <c r="EB57" s="0" t="str">
        <f aca="false">IF(EA57&lt;&gt;"Y","N",IF(COUNTIFS($AN$2:$AN$1000,AN57,$EA$2:$EA$1000,"Y",$J$2:$J$1000,"&gt;"&amp;J57)+COUNTIFS($AN$2:$AN$1000,AN57,$EA$2:$EA$1000,"Y",$J$2:$J$1000,J57,$ED$2:$ED$1000,"&lt;"&amp;ED57)=0,"Y","N"))</f>
        <v>Y</v>
      </c>
      <c r="EC57" s="0" t="str">
        <f aca="false">IF(Y57="","N",IF(Y57&lt;=10,"Y","N"))</f>
        <v>N</v>
      </c>
      <c r="ED57" s="6" t="n">
        <f aca="false">ROW()-1</f>
        <v>56</v>
      </c>
    </row>
    <row r="58" customFormat="false" ht="15" hidden="false" customHeight="false" outlineLevel="0" collapsed="false">
      <c r="A58" s="0" t="s">
        <v>6116</v>
      </c>
      <c r="B58" s="0" t="s">
        <v>6117</v>
      </c>
      <c r="C58" s="0" t="s">
        <v>6118</v>
      </c>
      <c r="D58" s="0" t="s">
        <v>6119</v>
      </c>
      <c r="E58" s="0" t="s">
        <v>4626</v>
      </c>
      <c r="H58" s="5" t="s">
        <v>158</v>
      </c>
      <c r="I58" s="5" t="s">
        <v>159</v>
      </c>
      <c r="J58" s="6" t="n">
        <f aca="false">IF(AU58="pass",CM58+CN58+CO58+CP58+CQ58+CR58+CS58+CT58,0)</f>
        <v>51</v>
      </c>
      <c r="K58" s="6" t="s">
        <v>6120</v>
      </c>
      <c r="M58" s="6" t="s">
        <v>5293</v>
      </c>
      <c r="N58" s="6" t="s">
        <v>598</v>
      </c>
      <c r="O58" s="6" t="s">
        <v>6121</v>
      </c>
      <c r="P58" s="6" t="s">
        <v>6122</v>
      </c>
      <c r="Q58" s="6" t="s">
        <v>5576</v>
      </c>
      <c r="R58" s="5" t="s">
        <v>162</v>
      </c>
      <c r="S58" s="6" t="s">
        <v>168</v>
      </c>
      <c r="T58" s="5" t="s">
        <v>162</v>
      </c>
      <c r="U58" s="5" t="s">
        <v>228</v>
      </c>
      <c r="V58" s="6" t="s">
        <v>6123</v>
      </c>
      <c r="W58" s="6" t="s">
        <v>166</v>
      </c>
      <c r="X58" s="6" t="s">
        <v>4586</v>
      </c>
      <c r="Y58" s="6" t="n">
        <f aca="false">IF(EB58&lt;&gt;"Y","",COUNTIFS($EB$2:$EB$1000,"Y",$J$2:$J$1000,"&gt;"&amp;J58)+COUNTIFS($EB$2:$EB$1000,"Y",$J$2:$J$1000,J58,$ED$2:$ED$1000,"&lt;"&amp;ED58)+1)</f>
        <v>52</v>
      </c>
      <c r="Z58" s="0" t="n">
        <v>57</v>
      </c>
      <c r="AA58" s="6" t="s">
        <v>168</v>
      </c>
      <c r="AB58" s="6" t="s">
        <v>6124</v>
      </c>
      <c r="AC58" s="6" t="s">
        <v>4588</v>
      </c>
      <c r="AD58" s="6" t="s">
        <v>171</v>
      </c>
      <c r="AE58" s="6" t="s">
        <v>1190</v>
      </c>
      <c r="AF58" s="6" t="s">
        <v>6122</v>
      </c>
      <c r="AG58" s="6" t="s">
        <v>174</v>
      </c>
      <c r="AH58" s="6" t="s">
        <v>6125</v>
      </c>
      <c r="AI58" s="6" t="s">
        <v>5081</v>
      </c>
      <c r="AJ58" s="6" t="s">
        <v>6126</v>
      </c>
      <c r="AK58" s="6" t="s">
        <v>6127</v>
      </c>
      <c r="AL58" s="6" t="s">
        <v>168</v>
      </c>
      <c r="AM58" s="6" t="s">
        <v>6128</v>
      </c>
      <c r="AN58" s="6" t="s">
        <v>6116</v>
      </c>
      <c r="AO58" s="5" t="s">
        <v>162</v>
      </c>
      <c r="AR58" s="0" t="str">
        <f aca="false">IF(AND(AU58="pass",AO58&lt;&gt;"Y",C58&lt;&gt;""),"Y","N")</f>
        <v>Y</v>
      </c>
      <c r="AS58" s="0" t="str">
        <f aca="false">_xlfn.TEXTJOIN("; ",TRUE(),IF(AU58&lt;&gt;"pass","gated out",""),IF(AO58="Y","on hold: "&amp;AP58,""),IF(C58="","no contact named on an opened page",""))</f>
        <v/>
      </c>
      <c r="AU58" s="6" t="s">
        <v>181</v>
      </c>
      <c r="AW58" s="6" t="s">
        <v>182</v>
      </c>
      <c r="AX58" s="6" t="s">
        <v>6129</v>
      </c>
      <c r="AY58" s="6" t="s">
        <v>6127</v>
      </c>
      <c r="AZ58" s="6" t="s">
        <v>4596</v>
      </c>
      <c r="BA58" s="6" t="s">
        <v>5273</v>
      </c>
      <c r="BB58" s="6" t="s">
        <v>6130</v>
      </c>
      <c r="BC58" s="6" t="s">
        <v>6122</v>
      </c>
      <c r="BD58" s="6" t="s">
        <v>163</v>
      </c>
      <c r="BE58" s="6" t="s">
        <v>6131</v>
      </c>
      <c r="BF58" s="6" t="s">
        <v>168</v>
      </c>
      <c r="BG58" s="6" t="s">
        <v>168</v>
      </c>
      <c r="BH58" s="6" t="s">
        <v>163</v>
      </c>
      <c r="BJ58" s="6" t="s">
        <v>6132</v>
      </c>
      <c r="BK58" s="6" t="s">
        <v>162</v>
      </c>
      <c r="BL58" s="6" t="s">
        <v>162</v>
      </c>
      <c r="BO58" s="6" t="s">
        <v>162</v>
      </c>
      <c r="BP58" s="0" t="n">
        <v>0</v>
      </c>
      <c r="BS58" s="6" t="s">
        <v>6133</v>
      </c>
      <c r="BT58" s="6" t="s">
        <v>6134</v>
      </c>
      <c r="BU58" s="6" t="s">
        <v>4605</v>
      </c>
      <c r="BV58" s="0" t="n">
        <v>15</v>
      </c>
      <c r="BW58" s="6" t="s">
        <v>6122</v>
      </c>
      <c r="BX58" s="6" t="s">
        <v>6135</v>
      </c>
      <c r="BY58" s="6" t="s">
        <v>6136</v>
      </c>
      <c r="CA58" s="6" t="s">
        <v>6137</v>
      </c>
      <c r="CE58" s="6" t="s">
        <v>4810</v>
      </c>
      <c r="CF58" s="6" t="s">
        <v>598</v>
      </c>
      <c r="CG58" s="6" t="s">
        <v>6138</v>
      </c>
      <c r="CK58" s="6" t="s">
        <v>158</v>
      </c>
      <c r="CL58" s="0" t="n">
        <v>51</v>
      </c>
      <c r="CM58" s="0" t="n">
        <v>6</v>
      </c>
      <c r="CN58" s="0" t="n">
        <v>17</v>
      </c>
      <c r="CO58" s="0" t="n">
        <v>15</v>
      </c>
      <c r="CP58" s="0" t="n">
        <v>5</v>
      </c>
      <c r="CQ58" s="0" t="n">
        <v>7</v>
      </c>
      <c r="CR58" s="0" t="n">
        <v>6</v>
      </c>
      <c r="CS58" s="6" t="n">
        <f aca="false">IF(R58="Y",10,0)</f>
        <v>0</v>
      </c>
      <c r="CT58" s="0" t="n">
        <v>-5</v>
      </c>
      <c r="CU58" s="6" t="s">
        <v>6139</v>
      </c>
      <c r="CV58" s="6" t="s">
        <v>4616</v>
      </c>
      <c r="CW58" s="6" t="s">
        <v>6140</v>
      </c>
      <c r="CX58" s="6" t="s">
        <v>6141</v>
      </c>
      <c r="CY58" s="6" t="s">
        <v>6142</v>
      </c>
      <c r="CZ58" s="6" t="s">
        <v>6143</v>
      </c>
      <c r="DA58" s="6" t="s">
        <v>4621</v>
      </c>
      <c r="DC58" s="6" t="s">
        <v>599</v>
      </c>
      <c r="DY58" s="0" t="str">
        <f aca="false">IF(ISNUMBER(MATCH(U58,{"queued","contacted","replied","call_booked","call_done","yes_in_principle","materials_sent"},0)),"Y","N")</f>
        <v>N</v>
      </c>
      <c r="DZ58" s="0" t="str">
        <f aca="false">IF(COUNTIFS($AN$2:$AN$1000,AN58,$DY$2:$DY$1000,"Y")+COUNTIFS($AN$2:$AN$1000,AN58,$T$2:$T$1000,"Y")&gt;0,"Y","N")</f>
        <v>N</v>
      </c>
      <c r="EA58" s="0" t="str">
        <f aca="false">IF(AND(U58="new",T58="N",AR58="Y",AQ58="",DZ58="N"),"Y","N")</f>
        <v>Y</v>
      </c>
      <c r="EB58" s="0" t="str">
        <f aca="false">IF(EA58&lt;&gt;"Y","N",IF(COUNTIFS($AN$2:$AN$1000,AN58,$EA$2:$EA$1000,"Y",$J$2:$J$1000,"&gt;"&amp;J58)+COUNTIFS($AN$2:$AN$1000,AN58,$EA$2:$EA$1000,"Y",$J$2:$J$1000,J58,$ED$2:$ED$1000,"&lt;"&amp;ED58)=0,"Y","N"))</f>
        <v>Y</v>
      </c>
      <c r="EC58" s="0" t="str">
        <f aca="false">IF(Y58="","N",IF(Y58&lt;=10,"Y","N"))</f>
        <v>N</v>
      </c>
      <c r="ED58" s="6" t="n">
        <f aca="false">ROW()-1</f>
        <v>57</v>
      </c>
    </row>
    <row r="59" customFormat="false" ht="15" hidden="false" customHeight="false" outlineLevel="0" collapsed="false">
      <c r="A59" s="0" t="s">
        <v>6144</v>
      </c>
      <c r="B59" s="0" t="s">
        <v>6145</v>
      </c>
      <c r="C59" s="0" t="s">
        <v>6146</v>
      </c>
      <c r="D59" s="0" t="s">
        <v>6147</v>
      </c>
      <c r="E59" s="0" t="s">
        <v>4657</v>
      </c>
      <c r="H59" s="5" t="s">
        <v>158</v>
      </c>
      <c r="I59" s="5" t="s">
        <v>159</v>
      </c>
      <c r="J59" s="6" t="n">
        <f aca="false">IF(AU59="pass",CM59+CN59+CO59+CP59+CQ59+CR59+CS59+CT59,0)</f>
        <v>50</v>
      </c>
      <c r="K59" s="6" t="s">
        <v>6148</v>
      </c>
      <c r="M59" s="6" t="s">
        <v>4581</v>
      </c>
      <c r="N59" s="6" t="s">
        <v>4582</v>
      </c>
      <c r="O59" s="6" t="s">
        <v>6149</v>
      </c>
      <c r="P59" s="6" t="s">
        <v>6150</v>
      </c>
      <c r="Q59" s="6" t="s">
        <v>4886</v>
      </c>
      <c r="R59" s="5" t="s">
        <v>162</v>
      </c>
      <c r="S59" s="6" t="s">
        <v>163</v>
      </c>
      <c r="T59" s="5" t="s">
        <v>162</v>
      </c>
      <c r="U59" s="5" t="s">
        <v>228</v>
      </c>
      <c r="V59" s="6" t="s">
        <v>6151</v>
      </c>
      <c r="W59" s="6" t="s">
        <v>166</v>
      </c>
      <c r="X59" s="6" t="s">
        <v>4586</v>
      </c>
      <c r="Y59" s="6" t="n">
        <f aca="false">IF(EB59&lt;&gt;"Y","",COUNTIFS($EB$2:$EB$1000,"Y",$J$2:$J$1000,"&gt;"&amp;J59)+COUNTIFS($EB$2:$EB$1000,"Y",$J$2:$J$1000,J59,$ED$2:$ED$1000,"&lt;"&amp;ED59)+1)</f>
        <v>53</v>
      </c>
      <c r="Z59" s="0" t="n">
        <v>58</v>
      </c>
      <c r="AA59" s="6" t="s">
        <v>168</v>
      </c>
      <c r="AB59" s="6" t="s">
        <v>6152</v>
      </c>
      <c r="AC59" s="6" t="s">
        <v>4588</v>
      </c>
      <c r="AD59" s="6" t="s">
        <v>171</v>
      </c>
      <c r="AE59" s="6" t="s">
        <v>172</v>
      </c>
      <c r="AF59" s="6" t="s">
        <v>6151</v>
      </c>
      <c r="AG59" s="6" t="s">
        <v>174</v>
      </c>
      <c r="AH59" s="6" t="s">
        <v>6153</v>
      </c>
      <c r="AI59" s="6" t="s">
        <v>4724</v>
      </c>
      <c r="AJ59" s="6" t="s">
        <v>6154</v>
      </c>
      <c r="AK59" s="6" t="s">
        <v>6155</v>
      </c>
      <c r="AL59" s="6" t="s">
        <v>168</v>
      </c>
      <c r="AM59" s="6" t="s">
        <v>6156</v>
      </c>
      <c r="AN59" s="6" t="s">
        <v>6144</v>
      </c>
      <c r="AO59" s="5" t="s">
        <v>162</v>
      </c>
      <c r="AR59" s="0" t="str">
        <f aca="false">IF(AND(AU59="pass",AO59&lt;&gt;"Y",C59&lt;&gt;""),"Y","N")</f>
        <v>Y</v>
      </c>
      <c r="AS59" s="0" t="str">
        <f aca="false">_xlfn.TEXTJOIN("; ",TRUE(),IF(AU59&lt;&gt;"pass","gated out",""),IF(AO59="Y","on hold: "&amp;AP59,""),IF(C59="","no contact named on an opened page",""))</f>
        <v/>
      </c>
      <c r="AU59" s="6" t="s">
        <v>181</v>
      </c>
      <c r="AW59" s="6" t="s">
        <v>182</v>
      </c>
      <c r="AX59" s="6" t="s">
        <v>5607</v>
      </c>
      <c r="AY59" s="6" t="s">
        <v>6155</v>
      </c>
      <c r="AZ59" s="6" t="s">
        <v>6157</v>
      </c>
      <c r="BA59" s="6" t="s">
        <v>4925</v>
      </c>
      <c r="BB59" s="6" t="s">
        <v>163</v>
      </c>
      <c r="BD59" s="6" t="s">
        <v>168</v>
      </c>
      <c r="BE59" s="6" t="s">
        <v>6158</v>
      </c>
      <c r="BF59" s="6" t="s">
        <v>168</v>
      </c>
      <c r="BG59" s="6" t="s">
        <v>168</v>
      </c>
      <c r="BH59" s="6" t="s">
        <v>163</v>
      </c>
      <c r="BJ59" s="6" t="s">
        <v>163</v>
      </c>
      <c r="BK59" s="6" t="s">
        <v>162</v>
      </c>
      <c r="BL59" s="6" t="s">
        <v>162</v>
      </c>
      <c r="BN59" s="0" t="n">
        <v>0</v>
      </c>
      <c r="BO59" s="6" t="s">
        <v>168</v>
      </c>
      <c r="BP59" s="0" t="n">
        <v>3</v>
      </c>
      <c r="BQ59" s="6" t="s">
        <v>4670</v>
      </c>
      <c r="BS59" s="6" t="s">
        <v>6159</v>
      </c>
      <c r="BT59" s="6" t="s">
        <v>6160</v>
      </c>
      <c r="BU59" s="6" t="s">
        <v>4695</v>
      </c>
      <c r="BV59" s="0" t="n">
        <v>163</v>
      </c>
      <c r="BX59" s="6" t="s">
        <v>6161</v>
      </c>
      <c r="BY59" s="6" t="s">
        <v>5197</v>
      </c>
      <c r="CF59" s="6" t="s">
        <v>158</v>
      </c>
      <c r="CK59" s="6" t="s">
        <v>158</v>
      </c>
      <c r="CL59" s="0" t="n">
        <v>50</v>
      </c>
      <c r="CM59" s="0" t="n">
        <v>25</v>
      </c>
      <c r="CN59" s="0" t="n">
        <v>8</v>
      </c>
      <c r="CO59" s="0" t="n">
        <v>8</v>
      </c>
      <c r="CP59" s="0" t="n">
        <v>5</v>
      </c>
      <c r="CQ59" s="0" t="n">
        <v>10</v>
      </c>
      <c r="CR59" s="0" t="n">
        <v>6</v>
      </c>
      <c r="CS59" s="6" t="n">
        <f aca="false">IF(R59="Y",10,0)</f>
        <v>0</v>
      </c>
      <c r="CT59" s="0" t="n">
        <v>-12</v>
      </c>
      <c r="CU59" s="6" t="s">
        <v>6162</v>
      </c>
      <c r="CV59" s="6" t="s">
        <v>4704</v>
      </c>
      <c r="CW59" s="6" t="s">
        <v>6163</v>
      </c>
      <c r="CX59" s="6" t="s">
        <v>6164</v>
      </c>
      <c r="CY59" s="6" t="s">
        <v>6165</v>
      </c>
      <c r="DA59" s="6" t="s">
        <v>4621</v>
      </c>
      <c r="DY59" s="0" t="str">
        <f aca="false">IF(ISNUMBER(MATCH(U59,{"queued","contacted","replied","call_booked","call_done","yes_in_principle","materials_sent"},0)),"Y","N")</f>
        <v>N</v>
      </c>
      <c r="DZ59" s="0" t="str">
        <f aca="false">IF(COUNTIFS($AN$2:$AN$1000,AN59,$DY$2:$DY$1000,"Y")+COUNTIFS($AN$2:$AN$1000,AN59,$T$2:$T$1000,"Y")&gt;0,"Y","N")</f>
        <v>N</v>
      </c>
      <c r="EA59" s="0" t="str">
        <f aca="false">IF(AND(U59="new",T59="N",AR59="Y",AQ59="",DZ59="N"),"Y","N")</f>
        <v>Y</v>
      </c>
      <c r="EB59" s="0" t="str">
        <f aca="false">IF(EA59&lt;&gt;"Y","N",IF(COUNTIFS($AN$2:$AN$1000,AN59,$EA$2:$EA$1000,"Y",$J$2:$J$1000,"&gt;"&amp;J59)+COUNTIFS($AN$2:$AN$1000,AN59,$EA$2:$EA$1000,"Y",$J$2:$J$1000,J59,$ED$2:$ED$1000,"&lt;"&amp;ED59)=0,"Y","N"))</f>
        <v>Y</v>
      </c>
      <c r="EC59" s="0" t="str">
        <f aca="false">IF(Y59="","N",IF(Y59&lt;=10,"Y","N"))</f>
        <v>N</v>
      </c>
      <c r="ED59" s="6" t="n">
        <f aca="false">ROW()-1</f>
        <v>58</v>
      </c>
    </row>
    <row r="60" customFormat="false" ht="15" hidden="false" customHeight="false" outlineLevel="0" collapsed="false">
      <c r="A60" s="0" t="s">
        <v>6166</v>
      </c>
      <c r="B60" s="0" t="s">
        <v>6167</v>
      </c>
      <c r="C60" s="0" t="s">
        <v>5746</v>
      </c>
      <c r="D60" s="0" t="s">
        <v>6168</v>
      </c>
      <c r="E60" s="0" t="s">
        <v>4626</v>
      </c>
      <c r="H60" s="5" t="s">
        <v>158</v>
      </c>
      <c r="I60" s="5" t="s">
        <v>159</v>
      </c>
      <c r="J60" s="6" t="n">
        <f aca="false">IF(AU60="pass",CM60+CN60+CO60+CP60+CQ60+CR60+CS60+CT60,0)</f>
        <v>50</v>
      </c>
      <c r="K60" s="6" t="s">
        <v>6169</v>
      </c>
      <c r="M60" s="6" t="s">
        <v>4581</v>
      </c>
      <c r="N60" s="6" t="s">
        <v>4582</v>
      </c>
      <c r="O60" s="6" t="s">
        <v>6170</v>
      </c>
      <c r="P60" s="6" t="s">
        <v>6171</v>
      </c>
      <c r="Q60" s="6" t="s">
        <v>6172</v>
      </c>
      <c r="R60" s="5" t="s">
        <v>162</v>
      </c>
      <c r="S60" s="6" t="s">
        <v>163</v>
      </c>
      <c r="T60" s="5" t="s">
        <v>162</v>
      </c>
      <c r="U60" s="5" t="s">
        <v>228</v>
      </c>
      <c r="V60" s="6" t="s">
        <v>6173</v>
      </c>
      <c r="W60" s="6" t="s">
        <v>166</v>
      </c>
      <c r="X60" s="6" t="s">
        <v>4586</v>
      </c>
      <c r="Y60" s="6" t="n">
        <f aca="false">IF(EB60&lt;&gt;"Y","",COUNTIFS($EB$2:$EB$1000,"Y",$J$2:$J$1000,"&gt;"&amp;J60)+COUNTIFS($EB$2:$EB$1000,"Y",$J$2:$J$1000,J60,$ED$2:$ED$1000,"&lt;"&amp;ED60)+1)</f>
        <v>54</v>
      </c>
      <c r="Z60" s="0" t="n">
        <v>59</v>
      </c>
      <c r="AA60" s="6" t="s">
        <v>168</v>
      </c>
      <c r="AB60" s="6" t="s">
        <v>6174</v>
      </c>
      <c r="AC60" s="6" t="s">
        <v>4588</v>
      </c>
      <c r="AD60" s="6" t="s">
        <v>171</v>
      </c>
      <c r="AE60" s="6" t="s">
        <v>1190</v>
      </c>
      <c r="AF60" s="6" t="s">
        <v>6175</v>
      </c>
      <c r="AG60" s="6" t="s">
        <v>174</v>
      </c>
      <c r="AH60" s="6" t="s">
        <v>6176</v>
      </c>
      <c r="AI60" s="6" t="s">
        <v>4665</v>
      </c>
      <c r="AJ60" s="6" t="s">
        <v>5189</v>
      </c>
      <c r="AK60" s="6" t="s">
        <v>6177</v>
      </c>
      <c r="AL60" s="6" t="s">
        <v>168</v>
      </c>
      <c r="AM60" s="6" t="s">
        <v>6178</v>
      </c>
      <c r="AN60" s="6" t="s">
        <v>6166</v>
      </c>
      <c r="AO60" s="5" t="s">
        <v>162</v>
      </c>
      <c r="AR60" s="0" t="str">
        <f aca="false">IF(AND(AU60="pass",AO60&lt;&gt;"Y",C60&lt;&gt;""),"Y","N")</f>
        <v>Y</v>
      </c>
      <c r="AS60" s="0" t="str">
        <f aca="false">_xlfn.TEXTJOIN("; ",TRUE(),IF(AU60&lt;&gt;"pass","gated out",""),IF(AO60="Y","on hold: "&amp;AP60,""),IF(C60="","no contact named on an opened page",""))</f>
        <v/>
      </c>
      <c r="AU60" s="6" t="s">
        <v>181</v>
      </c>
      <c r="AW60" s="6" t="s">
        <v>182</v>
      </c>
      <c r="AX60" s="6" t="s">
        <v>5607</v>
      </c>
      <c r="AY60" s="6" t="s">
        <v>6177</v>
      </c>
      <c r="AZ60" s="6" t="s">
        <v>5192</v>
      </c>
      <c r="BA60" s="6" t="s">
        <v>5193</v>
      </c>
      <c r="BB60" s="6" t="s">
        <v>163</v>
      </c>
      <c r="BD60" s="6" t="s">
        <v>168</v>
      </c>
      <c r="BE60" s="6" t="s">
        <v>6179</v>
      </c>
      <c r="BF60" s="6" t="s">
        <v>168</v>
      </c>
      <c r="BG60" s="6" t="s">
        <v>168</v>
      </c>
      <c r="BH60" s="6" t="s">
        <v>163</v>
      </c>
      <c r="BJ60" s="6" t="s">
        <v>163</v>
      </c>
      <c r="BK60" s="6" t="s">
        <v>162</v>
      </c>
      <c r="BL60" s="6" t="s">
        <v>162</v>
      </c>
      <c r="BN60" s="0" t="n">
        <v>0</v>
      </c>
      <c r="BO60" s="6" t="s">
        <v>168</v>
      </c>
      <c r="BP60" s="0" t="n">
        <v>3</v>
      </c>
      <c r="BQ60" s="6" t="s">
        <v>4670</v>
      </c>
      <c r="BS60" s="6" t="s">
        <v>6180</v>
      </c>
      <c r="BT60" s="6" t="s">
        <v>6181</v>
      </c>
      <c r="BU60" s="6" t="s">
        <v>4605</v>
      </c>
      <c r="BV60" s="0" t="n">
        <v>220</v>
      </c>
      <c r="BX60" s="6" t="s">
        <v>6182</v>
      </c>
      <c r="BY60" s="6" t="s">
        <v>6183</v>
      </c>
      <c r="CA60" s="6" t="s">
        <v>6184</v>
      </c>
      <c r="CB60" s="6" t="s">
        <v>4624</v>
      </c>
      <c r="CC60" s="6" t="s">
        <v>1359</v>
      </c>
      <c r="CD60" s="6" t="s">
        <v>5318</v>
      </c>
      <c r="CE60" s="6" t="s">
        <v>4810</v>
      </c>
      <c r="CF60" s="6" t="s">
        <v>171</v>
      </c>
      <c r="CG60" s="6" t="s">
        <v>6185</v>
      </c>
      <c r="CK60" s="6" t="s">
        <v>158</v>
      </c>
      <c r="CL60" s="0" t="n">
        <v>50</v>
      </c>
      <c r="CM60" s="0" t="n">
        <v>25</v>
      </c>
      <c r="CN60" s="0" t="n">
        <v>8</v>
      </c>
      <c r="CO60" s="0" t="n">
        <v>8</v>
      </c>
      <c r="CP60" s="0" t="n">
        <v>5</v>
      </c>
      <c r="CQ60" s="0" t="n">
        <v>10</v>
      </c>
      <c r="CR60" s="0" t="n">
        <v>6</v>
      </c>
      <c r="CS60" s="6" t="n">
        <f aca="false">IF(R60="Y",10,0)</f>
        <v>0</v>
      </c>
      <c r="CT60" s="0" t="n">
        <v>-12</v>
      </c>
      <c r="CU60" s="6" t="s">
        <v>6186</v>
      </c>
      <c r="CV60" s="6" t="s">
        <v>4704</v>
      </c>
      <c r="CW60" s="6" t="s">
        <v>6187</v>
      </c>
      <c r="CX60" s="6" t="s">
        <v>6188</v>
      </c>
      <c r="CY60" s="6" t="s">
        <v>6189</v>
      </c>
      <c r="CZ60" s="6" t="s">
        <v>6175</v>
      </c>
      <c r="DA60" s="6" t="s">
        <v>5914</v>
      </c>
      <c r="DC60" s="6" t="s">
        <v>1190</v>
      </c>
      <c r="DY60" s="0" t="str">
        <f aca="false">IF(ISNUMBER(MATCH(U60,{"queued","contacted","replied","call_booked","call_done","yes_in_principle","materials_sent"},0)),"Y","N")</f>
        <v>N</v>
      </c>
      <c r="DZ60" s="0" t="str">
        <f aca="false">IF(COUNTIFS($AN$2:$AN$1000,AN60,$DY$2:$DY$1000,"Y")+COUNTIFS($AN$2:$AN$1000,AN60,$T$2:$T$1000,"Y")&gt;0,"Y","N")</f>
        <v>N</v>
      </c>
      <c r="EA60" s="0" t="str">
        <f aca="false">IF(AND(U60="new",T60="N",AR60="Y",AQ60="",DZ60="N"),"Y","N")</f>
        <v>Y</v>
      </c>
      <c r="EB60" s="0" t="str">
        <f aca="false">IF(EA60&lt;&gt;"Y","N",IF(COUNTIFS($AN$2:$AN$1000,AN60,$EA$2:$EA$1000,"Y",$J$2:$J$1000,"&gt;"&amp;J60)+COUNTIFS($AN$2:$AN$1000,AN60,$EA$2:$EA$1000,"Y",$J$2:$J$1000,J60,$ED$2:$ED$1000,"&lt;"&amp;ED60)=0,"Y","N"))</f>
        <v>Y</v>
      </c>
      <c r="EC60" s="0" t="str">
        <f aca="false">IF(Y60="","N",IF(Y60&lt;=10,"Y","N"))</f>
        <v>N</v>
      </c>
      <c r="ED60" s="6" t="n">
        <f aca="false">ROW()-1</f>
        <v>59</v>
      </c>
    </row>
    <row r="61" customFormat="false" ht="15" hidden="false" customHeight="false" outlineLevel="0" collapsed="false">
      <c r="A61" s="0" t="s">
        <v>6190</v>
      </c>
      <c r="B61" s="0" t="s">
        <v>6191</v>
      </c>
      <c r="C61" s="0" t="s">
        <v>6192</v>
      </c>
      <c r="D61" s="0" t="s">
        <v>6193</v>
      </c>
      <c r="E61" s="0" t="s">
        <v>4626</v>
      </c>
      <c r="F61" s="0" t="s">
        <v>6194</v>
      </c>
      <c r="H61" s="5" t="s">
        <v>158</v>
      </c>
      <c r="I61" s="5" t="s">
        <v>159</v>
      </c>
      <c r="J61" s="6" t="n">
        <f aca="false">IF(AU61="pass",CM61+CN61+CO61+CP61+CQ61+CR61+CS61+CT61,0)</f>
        <v>50</v>
      </c>
      <c r="K61" s="6" t="s">
        <v>6195</v>
      </c>
      <c r="M61" s="6" t="s">
        <v>5293</v>
      </c>
      <c r="N61" s="6" t="s">
        <v>598</v>
      </c>
      <c r="O61" s="6" t="s">
        <v>6196</v>
      </c>
      <c r="P61" s="6" t="s">
        <v>6197</v>
      </c>
      <c r="Q61" s="6" t="s">
        <v>5322</v>
      </c>
      <c r="R61" s="5" t="s">
        <v>162</v>
      </c>
      <c r="S61" s="6" t="s">
        <v>168</v>
      </c>
      <c r="T61" s="5" t="s">
        <v>162</v>
      </c>
      <c r="U61" s="5" t="s">
        <v>228</v>
      </c>
      <c r="V61" s="6" t="s">
        <v>6198</v>
      </c>
      <c r="W61" s="6" t="s">
        <v>166</v>
      </c>
      <c r="X61" s="6" t="s">
        <v>4586</v>
      </c>
      <c r="Y61" s="6" t="n">
        <f aca="false">IF(EB61&lt;&gt;"Y","",COUNTIFS($EB$2:$EB$1000,"Y",$J$2:$J$1000,"&gt;"&amp;J61)+COUNTIFS($EB$2:$EB$1000,"Y",$J$2:$J$1000,J61,$ED$2:$ED$1000,"&lt;"&amp;ED61)+1)</f>
        <v>55</v>
      </c>
      <c r="Z61" s="0" t="n">
        <v>60</v>
      </c>
      <c r="AA61" s="6" t="s">
        <v>168</v>
      </c>
      <c r="AC61" s="6" t="s">
        <v>4588</v>
      </c>
      <c r="AD61" s="6" t="s">
        <v>171</v>
      </c>
      <c r="AE61" s="6" t="s">
        <v>1190</v>
      </c>
      <c r="AF61" s="6" t="s">
        <v>6199</v>
      </c>
      <c r="AG61" s="6" t="s">
        <v>174</v>
      </c>
      <c r="AH61" s="6" t="s">
        <v>6200</v>
      </c>
      <c r="AI61" s="6" t="s">
        <v>4828</v>
      </c>
      <c r="AJ61" s="6" t="s">
        <v>6201</v>
      </c>
      <c r="AK61" s="6" t="s">
        <v>6202</v>
      </c>
      <c r="AL61" s="6" t="s">
        <v>162</v>
      </c>
      <c r="AN61" s="6" t="s">
        <v>6190</v>
      </c>
      <c r="AO61" s="5" t="s">
        <v>162</v>
      </c>
      <c r="AR61" s="0" t="str">
        <f aca="false">IF(AND(AU61="pass",AO61&lt;&gt;"Y",C61&lt;&gt;""),"Y","N")</f>
        <v>Y</v>
      </c>
      <c r="AS61" s="0" t="str">
        <f aca="false">_xlfn.TEXTJOIN("; ",TRUE(),IF(AU61&lt;&gt;"pass","gated out",""),IF(AO61="Y","on hold: "&amp;AP61,""),IF(C61="","no contact named on an opened page",""))</f>
        <v/>
      </c>
      <c r="AU61" s="6" t="s">
        <v>181</v>
      </c>
      <c r="AW61" s="6" t="s">
        <v>182</v>
      </c>
      <c r="AY61" s="6" t="s">
        <v>6202</v>
      </c>
      <c r="AZ61" s="6" t="s">
        <v>5192</v>
      </c>
      <c r="BA61" s="6" t="s">
        <v>4925</v>
      </c>
      <c r="BB61" s="6" t="s">
        <v>163</v>
      </c>
      <c r="BD61" s="6" t="s">
        <v>168</v>
      </c>
      <c r="BE61" s="6" t="s">
        <v>6203</v>
      </c>
      <c r="BF61" s="6" t="s">
        <v>168</v>
      </c>
      <c r="BG61" s="6" t="s">
        <v>168</v>
      </c>
      <c r="BH61" s="6" t="s">
        <v>163</v>
      </c>
      <c r="BJ61" s="6" t="s">
        <v>163</v>
      </c>
      <c r="BK61" s="6" t="s">
        <v>162</v>
      </c>
      <c r="BL61" s="6" t="s">
        <v>162</v>
      </c>
      <c r="BO61" s="6" t="s">
        <v>162</v>
      </c>
      <c r="BP61" s="0" t="n">
        <v>0</v>
      </c>
      <c r="BS61" s="6" t="s">
        <v>6204</v>
      </c>
      <c r="BT61" s="6" t="s">
        <v>6205</v>
      </c>
      <c r="BU61" s="6" t="s">
        <v>4605</v>
      </c>
      <c r="BV61" s="0" t="n">
        <v>106</v>
      </c>
      <c r="BW61" s="6" t="s">
        <v>6199</v>
      </c>
      <c r="BX61" s="6" t="s">
        <v>6206</v>
      </c>
      <c r="BY61" s="6" t="s">
        <v>6207</v>
      </c>
      <c r="BZ61" s="6" t="s">
        <v>4608</v>
      </c>
      <c r="CA61" s="6" t="s">
        <v>6208</v>
      </c>
      <c r="CB61" s="6" t="s">
        <v>543</v>
      </c>
      <c r="CC61" s="6" t="s">
        <v>6209</v>
      </c>
      <c r="CD61" s="6" t="s">
        <v>5318</v>
      </c>
      <c r="CE61" s="6" t="s">
        <v>4810</v>
      </c>
      <c r="CF61" s="6" t="s">
        <v>171</v>
      </c>
      <c r="CG61" s="6" t="s">
        <v>6210</v>
      </c>
      <c r="CK61" s="6" t="s">
        <v>158</v>
      </c>
      <c r="CL61" s="0" t="n">
        <v>50</v>
      </c>
      <c r="CM61" s="0" t="n">
        <v>6</v>
      </c>
      <c r="CN61" s="0" t="n">
        <v>8</v>
      </c>
      <c r="CO61" s="0" t="n">
        <v>15</v>
      </c>
      <c r="CP61" s="0" t="n">
        <v>5</v>
      </c>
      <c r="CQ61" s="0" t="n">
        <v>10</v>
      </c>
      <c r="CR61" s="0" t="n">
        <v>6</v>
      </c>
      <c r="CS61" s="6" t="n">
        <f aca="false">IF(R61="Y",10,0)</f>
        <v>0</v>
      </c>
      <c r="CT61" s="0" t="n">
        <v>0</v>
      </c>
      <c r="CU61" s="6" t="s">
        <v>163</v>
      </c>
      <c r="CV61" s="6" t="s">
        <v>4843</v>
      </c>
      <c r="CW61" s="6" t="s">
        <v>6211</v>
      </c>
      <c r="CX61" s="6" t="s">
        <v>6212</v>
      </c>
      <c r="CY61" s="6" t="s">
        <v>6213</v>
      </c>
      <c r="CZ61" s="6" t="s">
        <v>6214</v>
      </c>
      <c r="DA61" s="6" t="s">
        <v>4621</v>
      </c>
      <c r="DB61" s="6" t="s">
        <v>6215</v>
      </c>
      <c r="DC61" s="6" t="s">
        <v>1190</v>
      </c>
      <c r="DY61" s="0" t="str">
        <f aca="false">IF(ISNUMBER(MATCH(U61,{"queued","contacted","replied","call_booked","call_done","yes_in_principle","materials_sent"},0)),"Y","N")</f>
        <v>N</v>
      </c>
      <c r="DZ61" s="0" t="str">
        <f aca="false">IF(COUNTIFS($AN$2:$AN$1000,AN61,$DY$2:$DY$1000,"Y")+COUNTIFS($AN$2:$AN$1000,AN61,$T$2:$T$1000,"Y")&gt;0,"Y","N")</f>
        <v>N</v>
      </c>
      <c r="EA61" s="0" t="str">
        <f aca="false">IF(AND(U61="new",T61="N",AR61="Y",AQ61="",DZ61="N"),"Y","N")</f>
        <v>Y</v>
      </c>
      <c r="EB61" s="0" t="str">
        <f aca="false">IF(EA61&lt;&gt;"Y","N",IF(COUNTIFS($AN$2:$AN$1000,AN61,$EA$2:$EA$1000,"Y",$J$2:$J$1000,"&gt;"&amp;J61)+COUNTIFS($AN$2:$AN$1000,AN61,$EA$2:$EA$1000,"Y",$J$2:$J$1000,J61,$ED$2:$ED$1000,"&lt;"&amp;ED61)=0,"Y","N"))</f>
        <v>Y</v>
      </c>
      <c r="EC61" s="0" t="str">
        <f aca="false">IF(Y61="","N",IF(Y61&lt;=10,"Y","N"))</f>
        <v>N</v>
      </c>
      <c r="ED61" s="6" t="n">
        <f aca="false">ROW()-1</f>
        <v>60</v>
      </c>
    </row>
    <row r="62" customFormat="false" ht="15" hidden="false" customHeight="false" outlineLevel="0" collapsed="false">
      <c r="A62" s="0" t="s">
        <v>6216</v>
      </c>
      <c r="B62" s="0" t="s">
        <v>6217</v>
      </c>
      <c r="C62" s="0" t="s">
        <v>6218</v>
      </c>
      <c r="D62" s="0" t="s">
        <v>6219</v>
      </c>
      <c r="E62" s="0" t="s">
        <v>4657</v>
      </c>
      <c r="H62" s="5" t="s">
        <v>158</v>
      </c>
      <c r="I62" s="5" t="s">
        <v>159</v>
      </c>
      <c r="J62" s="6" t="n">
        <f aca="false">IF(AU62="pass",CM62+CN62+CO62+CP62+CQ62+CR62+CS62+CT62,0)</f>
        <v>49</v>
      </c>
      <c r="K62" s="6" t="s">
        <v>6220</v>
      </c>
      <c r="M62" s="6" t="s">
        <v>4581</v>
      </c>
      <c r="N62" s="6" t="s">
        <v>4582</v>
      </c>
      <c r="O62" s="6" t="s">
        <v>6221</v>
      </c>
      <c r="P62" s="6" t="s">
        <v>6222</v>
      </c>
      <c r="Q62" s="6" t="s">
        <v>2924</v>
      </c>
      <c r="R62" s="5" t="s">
        <v>162</v>
      </c>
      <c r="S62" s="6" t="s">
        <v>163</v>
      </c>
      <c r="T62" s="5" t="s">
        <v>162</v>
      </c>
      <c r="U62" s="5" t="s">
        <v>228</v>
      </c>
      <c r="V62" s="6" t="s">
        <v>6222</v>
      </c>
      <c r="W62" s="6" t="s">
        <v>166</v>
      </c>
      <c r="X62" s="6" t="s">
        <v>4586</v>
      </c>
      <c r="Y62" s="6" t="n">
        <f aca="false">IF(EB62&lt;&gt;"Y","",COUNTIFS($EB$2:$EB$1000,"Y",$J$2:$J$1000,"&gt;"&amp;J62)+COUNTIFS($EB$2:$EB$1000,"Y",$J$2:$J$1000,J62,$ED$2:$ED$1000,"&lt;"&amp;ED62)+1)</f>
        <v>56</v>
      </c>
      <c r="Z62" s="0" t="n">
        <v>61</v>
      </c>
      <c r="AA62" s="6" t="s">
        <v>162</v>
      </c>
      <c r="AB62" s="6" t="s">
        <v>6223</v>
      </c>
      <c r="AC62" s="6" t="s">
        <v>4588</v>
      </c>
      <c r="AD62" s="6" t="s">
        <v>171</v>
      </c>
      <c r="AE62" s="6" t="s">
        <v>1190</v>
      </c>
      <c r="AF62" s="6" t="s">
        <v>6224</v>
      </c>
      <c r="AG62" s="6" t="s">
        <v>166</v>
      </c>
      <c r="AH62" s="6" t="s">
        <v>6225</v>
      </c>
      <c r="AI62" s="6" t="s">
        <v>4724</v>
      </c>
      <c r="AJ62" s="6" t="s">
        <v>5356</v>
      </c>
      <c r="AK62" s="6" t="s">
        <v>6226</v>
      </c>
      <c r="AL62" s="6" t="s">
        <v>168</v>
      </c>
      <c r="AM62" s="6" t="s">
        <v>6227</v>
      </c>
      <c r="AN62" s="6" t="s">
        <v>6216</v>
      </c>
      <c r="AO62" s="5" t="s">
        <v>162</v>
      </c>
      <c r="AR62" s="0" t="str">
        <f aca="false">IF(AND(AU62="pass",AO62&lt;&gt;"Y",C62&lt;&gt;""),"Y","N")</f>
        <v>Y</v>
      </c>
      <c r="AS62" s="0" t="str">
        <f aca="false">_xlfn.TEXTJOIN("; ",TRUE(),IF(AU62&lt;&gt;"pass","gated out",""),IF(AO62="Y","on hold: "&amp;AP62,""),IF(C62="","no contact named on an opened page",""))</f>
        <v/>
      </c>
      <c r="AU62" s="6" t="s">
        <v>181</v>
      </c>
      <c r="AW62" s="6" t="s">
        <v>182</v>
      </c>
      <c r="AX62" s="6" t="s">
        <v>4595</v>
      </c>
      <c r="AY62" s="6" t="s">
        <v>6226</v>
      </c>
      <c r="AZ62" s="6" t="s">
        <v>5358</v>
      </c>
      <c r="BA62" s="6" t="s">
        <v>5331</v>
      </c>
      <c r="BB62" s="6" t="s">
        <v>163</v>
      </c>
      <c r="BD62" s="6" t="s">
        <v>168</v>
      </c>
      <c r="BE62" s="6" t="s">
        <v>6228</v>
      </c>
      <c r="BF62" s="6" t="s">
        <v>168</v>
      </c>
      <c r="BG62" s="6" t="s">
        <v>168</v>
      </c>
      <c r="BH62" s="6" t="s">
        <v>163</v>
      </c>
      <c r="BJ62" s="6" t="s">
        <v>163</v>
      </c>
      <c r="BK62" s="6" t="s">
        <v>162</v>
      </c>
      <c r="BL62" s="6" t="s">
        <v>162</v>
      </c>
      <c r="BN62" s="0" t="n">
        <v>0</v>
      </c>
      <c r="BO62" s="6" t="s">
        <v>168</v>
      </c>
      <c r="BP62" s="0" t="n">
        <v>3</v>
      </c>
      <c r="BQ62" s="6" t="s">
        <v>4670</v>
      </c>
      <c r="BS62" s="6" t="s">
        <v>6229</v>
      </c>
      <c r="BT62" s="6" t="s">
        <v>6230</v>
      </c>
      <c r="BU62" s="6" t="s">
        <v>4695</v>
      </c>
      <c r="BV62" s="0" t="n">
        <v>275</v>
      </c>
      <c r="BX62" s="6" t="s">
        <v>6231</v>
      </c>
      <c r="CF62" s="6" t="s">
        <v>158</v>
      </c>
      <c r="CK62" s="6" t="s">
        <v>158</v>
      </c>
      <c r="CL62" s="0" t="n">
        <v>49</v>
      </c>
      <c r="CM62" s="0" t="n">
        <v>25</v>
      </c>
      <c r="CN62" s="0" t="n">
        <v>3</v>
      </c>
      <c r="CO62" s="0" t="n">
        <v>4</v>
      </c>
      <c r="CP62" s="0" t="n">
        <v>5</v>
      </c>
      <c r="CQ62" s="0" t="n">
        <v>10</v>
      </c>
      <c r="CR62" s="0" t="n">
        <v>6</v>
      </c>
      <c r="CS62" s="6" t="n">
        <f aca="false">IF(R62="Y",10,0)</f>
        <v>0</v>
      </c>
      <c r="CT62" s="0" t="n">
        <v>-4</v>
      </c>
      <c r="CU62" s="6" t="s">
        <v>6232</v>
      </c>
      <c r="CV62" s="6" t="s">
        <v>4704</v>
      </c>
      <c r="CW62" s="6" t="s">
        <v>6233</v>
      </c>
      <c r="CX62" s="6" t="s">
        <v>6234</v>
      </c>
      <c r="CY62" s="6" t="s">
        <v>6235</v>
      </c>
      <c r="DA62" s="6" t="s">
        <v>6236</v>
      </c>
      <c r="DY62" s="0" t="str">
        <f aca="false">IF(ISNUMBER(MATCH(U62,{"queued","contacted","replied","call_booked","call_done","yes_in_principle","materials_sent"},0)),"Y","N")</f>
        <v>N</v>
      </c>
      <c r="DZ62" s="0" t="str">
        <f aca="false">IF(COUNTIFS($AN$2:$AN$1000,AN62,$DY$2:$DY$1000,"Y")+COUNTIFS($AN$2:$AN$1000,AN62,$T$2:$T$1000,"Y")&gt;0,"Y","N")</f>
        <v>N</v>
      </c>
      <c r="EA62" s="0" t="str">
        <f aca="false">IF(AND(U62="new",T62="N",AR62="Y",AQ62="",DZ62="N"),"Y","N")</f>
        <v>Y</v>
      </c>
      <c r="EB62" s="0" t="str">
        <f aca="false">IF(EA62&lt;&gt;"Y","N",IF(COUNTIFS($AN$2:$AN$1000,AN62,$EA$2:$EA$1000,"Y",$J$2:$J$1000,"&gt;"&amp;J62)+COUNTIFS($AN$2:$AN$1000,AN62,$EA$2:$EA$1000,"Y",$J$2:$J$1000,J62,$ED$2:$ED$1000,"&lt;"&amp;ED62)=0,"Y","N"))</f>
        <v>Y</v>
      </c>
      <c r="EC62" s="0" t="str">
        <f aca="false">IF(Y62="","N",IF(Y62&lt;=10,"Y","N"))</f>
        <v>N</v>
      </c>
      <c r="ED62" s="6" t="n">
        <f aca="false">ROW()-1</f>
        <v>61</v>
      </c>
    </row>
    <row r="63" customFormat="false" ht="15" hidden="false" customHeight="false" outlineLevel="0" collapsed="false">
      <c r="A63" s="0" t="s">
        <v>6237</v>
      </c>
      <c r="B63" s="0" t="s">
        <v>6238</v>
      </c>
      <c r="C63" s="0" t="s">
        <v>6239</v>
      </c>
      <c r="D63" s="0" t="s">
        <v>6240</v>
      </c>
      <c r="E63" s="0" t="s">
        <v>6241</v>
      </c>
      <c r="H63" s="5" t="s">
        <v>158</v>
      </c>
      <c r="I63" s="5" t="s">
        <v>159</v>
      </c>
      <c r="J63" s="6" t="n">
        <f aca="false">IF(AU63="pass",CM63+CN63+CO63+CP63+CQ63+CR63+CS63+CT63,0)</f>
        <v>49</v>
      </c>
      <c r="K63" s="6" t="s">
        <v>6242</v>
      </c>
      <c r="M63" s="6" t="s">
        <v>6243</v>
      </c>
      <c r="N63" s="6" t="s">
        <v>5023</v>
      </c>
      <c r="O63" s="6" t="s">
        <v>6244</v>
      </c>
      <c r="P63" s="6" t="s">
        <v>6245</v>
      </c>
      <c r="Q63" s="6" t="s">
        <v>6246</v>
      </c>
      <c r="R63" s="5" t="s">
        <v>162</v>
      </c>
      <c r="S63" s="6" t="s">
        <v>163</v>
      </c>
      <c r="T63" s="5" t="s">
        <v>162</v>
      </c>
      <c r="U63" s="5" t="s">
        <v>228</v>
      </c>
      <c r="V63" s="6" t="s">
        <v>6247</v>
      </c>
      <c r="W63" s="6" t="s">
        <v>166</v>
      </c>
      <c r="X63" s="6" t="s">
        <v>4586</v>
      </c>
      <c r="Y63" s="6" t="n">
        <f aca="false">IF(EB63&lt;&gt;"Y","",COUNTIFS($EB$2:$EB$1000,"Y",$J$2:$J$1000,"&gt;"&amp;J63)+COUNTIFS($EB$2:$EB$1000,"Y",$J$2:$J$1000,J63,$ED$2:$ED$1000,"&lt;"&amp;ED63)+1)</f>
        <v>57</v>
      </c>
      <c r="Z63" s="0" t="n">
        <v>62</v>
      </c>
      <c r="AA63" s="6" t="s">
        <v>162</v>
      </c>
      <c r="AB63" s="6" t="s">
        <v>6248</v>
      </c>
      <c r="AC63" s="6" t="s">
        <v>4588</v>
      </c>
      <c r="AD63" s="6" t="s">
        <v>171</v>
      </c>
      <c r="AE63" s="6" t="s">
        <v>1190</v>
      </c>
      <c r="AF63" s="6" t="s">
        <v>6245</v>
      </c>
      <c r="AG63" s="6" t="s">
        <v>166</v>
      </c>
      <c r="AH63" s="6" t="s">
        <v>6249</v>
      </c>
      <c r="AI63" s="6" t="s">
        <v>5926</v>
      </c>
      <c r="AJ63" s="6" t="s">
        <v>4635</v>
      </c>
      <c r="AK63" s="6" t="s">
        <v>6250</v>
      </c>
      <c r="AL63" s="6" t="s">
        <v>168</v>
      </c>
      <c r="AM63" s="6" t="s">
        <v>6251</v>
      </c>
      <c r="AN63" s="6" t="s">
        <v>6237</v>
      </c>
      <c r="AO63" s="5" t="s">
        <v>162</v>
      </c>
      <c r="AR63" s="0" t="str">
        <f aca="false">IF(AND(AU63="pass",AO63&lt;&gt;"Y",C63&lt;&gt;""),"Y","N")</f>
        <v>Y</v>
      </c>
      <c r="AS63" s="0" t="str">
        <f aca="false">_xlfn.TEXTJOIN("; ",TRUE(),IF(AU63&lt;&gt;"pass","gated out",""),IF(AO63="Y","on hold: "&amp;AP63,""),IF(C63="","no contact named on an opened page",""))</f>
        <v/>
      </c>
      <c r="AU63" s="6" t="s">
        <v>181</v>
      </c>
      <c r="AW63" s="6" t="s">
        <v>182</v>
      </c>
      <c r="AX63" s="6" t="s">
        <v>6252</v>
      </c>
      <c r="AY63" s="6" t="s">
        <v>6250</v>
      </c>
      <c r="AZ63" s="6" t="s">
        <v>4596</v>
      </c>
      <c r="BA63" s="6" t="s">
        <v>4597</v>
      </c>
      <c r="BB63" s="6" t="s">
        <v>163</v>
      </c>
      <c r="BD63" s="6" t="s">
        <v>163</v>
      </c>
      <c r="BE63" s="6" t="s">
        <v>6253</v>
      </c>
      <c r="BF63" s="6" t="s">
        <v>168</v>
      </c>
      <c r="BG63" s="6" t="s">
        <v>168</v>
      </c>
      <c r="BH63" s="6" t="s">
        <v>163</v>
      </c>
      <c r="BJ63" s="6" t="s">
        <v>5551</v>
      </c>
      <c r="BK63" s="6" t="s">
        <v>162</v>
      </c>
      <c r="BL63" s="6" t="s">
        <v>162</v>
      </c>
      <c r="BN63" s="0" t="n">
        <v>0</v>
      </c>
      <c r="BO63" s="6" t="s">
        <v>168</v>
      </c>
      <c r="BP63" s="0" t="n">
        <v>2</v>
      </c>
      <c r="BQ63" s="6" t="s">
        <v>6254</v>
      </c>
      <c r="BS63" s="6" t="s">
        <v>6255</v>
      </c>
      <c r="BT63" s="6" t="s">
        <v>6256</v>
      </c>
      <c r="BU63" s="6" t="s">
        <v>4605</v>
      </c>
      <c r="BV63" s="0" t="n">
        <v>178</v>
      </c>
      <c r="BX63" s="6" t="s">
        <v>6257</v>
      </c>
      <c r="CA63" s="6" t="s">
        <v>6258</v>
      </c>
      <c r="CB63" s="6" t="s">
        <v>6259</v>
      </c>
      <c r="CC63" s="6" t="s">
        <v>6260</v>
      </c>
      <c r="CD63" s="6" t="s">
        <v>6261</v>
      </c>
      <c r="CE63" s="6" t="s">
        <v>6262</v>
      </c>
      <c r="CF63" s="6" t="s">
        <v>171</v>
      </c>
      <c r="CG63" s="6" t="s">
        <v>6263</v>
      </c>
      <c r="CK63" s="6" t="s">
        <v>158</v>
      </c>
      <c r="CL63" s="0" t="n">
        <v>49</v>
      </c>
      <c r="CM63" s="0" t="n">
        <v>17</v>
      </c>
      <c r="CN63" s="0" t="n">
        <v>20</v>
      </c>
      <c r="CO63" s="0" t="n">
        <v>15</v>
      </c>
      <c r="CP63" s="0" t="n">
        <v>5</v>
      </c>
      <c r="CQ63" s="0" t="n">
        <v>7</v>
      </c>
      <c r="CR63" s="0" t="n">
        <v>10</v>
      </c>
      <c r="CS63" s="6" t="n">
        <f aca="false">IF(R63="Y",10,0)</f>
        <v>0</v>
      </c>
      <c r="CT63" s="0" t="n">
        <v>-25</v>
      </c>
      <c r="CU63" s="6" t="s">
        <v>6264</v>
      </c>
      <c r="CV63" s="6" t="s">
        <v>5564</v>
      </c>
      <c r="CW63" s="6" t="s">
        <v>6265</v>
      </c>
      <c r="CX63" s="6" t="s">
        <v>6266</v>
      </c>
      <c r="CY63" s="6" t="s">
        <v>6267</v>
      </c>
      <c r="CZ63" s="6" t="s">
        <v>6245</v>
      </c>
      <c r="DA63" s="6" t="s">
        <v>6236</v>
      </c>
      <c r="DC63" s="6" t="s">
        <v>1190</v>
      </c>
      <c r="DY63" s="0" t="str">
        <f aca="false">IF(ISNUMBER(MATCH(U63,{"queued","contacted","replied","call_booked","call_done","yes_in_principle","materials_sent"},0)),"Y","N")</f>
        <v>N</v>
      </c>
      <c r="DZ63" s="0" t="str">
        <f aca="false">IF(COUNTIFS($AN$2:$AN$1000,AN63,$DY$2:$DY$1000,"Y")+COUNTIFS($AN$2:$AN$1000,AN63,$T$2:$T$1000,"Y")&gt;0,"Y","N")</f>
        <v>N</v>
      </c>
      <c r="EA63" s="0" t="str">
        <f aca="false">IF(AND(U63="new",T63="N",AR63="Y",AQ63="",DZ63="N"),"Y","N")</f>
        <v>Y</v>
      </c>
      <c r="EB63" s="0" t="str">
        <f aca="false">IF(EA63&lt;&gt;"Y","N",IF(COUNTIFS($AN$2:$AN$1000,AN63,$EA$2:$EA$1000,"Y",$J$2:$J$1000,"&gt;"&amp;J63)+COUNTIFS($AN$2:$AN$1000,AN63,$EA$2:$EA$1000,"Y",$J$2:$J$1000,J63,$ED$2:$ED$1000,"&lt;"&amp;ED63)=0,"Y","N"))</f>
        <v>Y</v>
      </c>
      <c r="EC63" s="0" t="str">
        <f aca="false">IF(Y63="","N",IF(Y63&lt;=10,"Y","N"))</f>
        <v>N</v>
      </c>
      <c r="ED63" s="6" t="n">
        <f aca="false">ROW()-1</f>
        <v>62</v>
      </c>
    </row>
    <row r="64" customFormat="false" ht="15" hidden="false" customHeight="false" outlineLevel="0" collapsed="false">
      <c r="A64" s="0" t="s">
        <v>6268</v>
      </c>
      <c r="B64" s="0" t="s">
        <v>6269</v>
      </c>
      <c r="C64" s="0" t="s">
        <v>6270</v>
      </c>
      <c r="D64" s="0" t="s">
        <v>163</v>
      </c>
      <c r="E64" s="0" t="s">
        <v>6271</v>
      </c>
      <c r="H64" s="5" t="s">
        <v>158</v>
      </c>
      <c r="I64" s="5" t="s">
        <v>159</v>
      </c>
      <c r="J64" s="6" t="n">
        <f aca="false">IF(AU64="pass",CM64+CN64+CO64+CP64+CQ64+CR64+CS64+CT64,0)</f>
        <v>49</v>
      </c>
      <c r="K64" s="6" t="s">
        <v>6272</v>
      </c>
      <c r="M64" s="6" t="s">
        <v>6273</v>
      </c>
      <c r="N64" s="6" t="s">
        <v>5023</v>
      </c>
      <c r="O64" s="6" t="s">
        <v>6274</v>
      </c>
      <c r="P64" s="6" t="s">
        <v>6275</v>
      </c>
      <c r="Q64" s="6" t="s">
        <v>3864</v>
      </c>
      <c r="R64" s="5" t="s">
        <v>162</v>
      </c>
      <c r="S64" s="6" t="s">
        <v>163</v>
      </c>
      <c r="T64" s="5" t="s">
        <v>162</v>
      </c>
      <c r="U64" s="5" t="s">
        <v>228</v>
      </c>
      <c r="V64" s="6" t="s">
        <v>6276</v>
      </c>
      <c r="W64" s="6" t="s">
        <v>166</v>
      </c>
      <c r="X64" s="6" t="s">
        <v>4586</v>
      </c>
      <c r="Y64" s="6" t="n">
        <f aca="false">IF(EB64&lt;&gt;"Y","",COUNTIFS($EB$2:$EB$1000,"Y",$J$2:$J$1000,"&gt;"&amp;J64)+COUNTIFS($EB$2:$EB$1000,"Y",$J$2:$J$1000,J64,$ED$2:$ED$1000,"&lt;"&amp;ED64)+1)</f>
        <v>58</v>
      </c>
      <c r="Z64" s="0" t="n">
        <v>63</v>
      </c>
      <c r="AA64" s="6" t="s">
        <v>162</v>
      </c>
      <c r="AB64" s="6" t="s">
        <v>6277</v>
      </c>
      <c r="AC64" s="6" t="s">
        <v>4588</v>
      </c>
      <c r="AD64" s="6" t="s">
        <v>5010</v>
      </c>
      <c r="AE64" s="6" t="s">
        <v>163</v>
      </c>
      <c r="AG64" s="6" t="s">
        <v>166</v>
      </c>
      <c r="AH64" s="6" t="s">
        <v>6278</v>
      </c>
      <c r="AI64" s="6" t="s">
        <v>4828</v>
      </c>
      <c r="AJ64" s="6" t="s">
        <v>6279</v>
      </c>
      <c r="AK64" s="6" t="s">
        <v>6280</v>
      </c>
      <c r="AL64" s="6" t="s">
        <v>162</v>
      </c>
      <c r="AN64" s="6" t="s">
        <v>6268</v>
      </c>
      <c r="AO64" s="5" t="s">
        <v>162</v>
      </c>
      <c r="AR64" s="0" t="str">
        <f aca="false">IF(AND(AU64="pass",AO64&lt;&gt;"Y",C64&lt;&gt;""),"Y","N")</f>
        <v>Y</v>
      </c>
      <c r="AS64" s="0" t="str">
        <f aca="false">_xlfn.TEXTJOIN("; ",TRUE(),IF(AU64&lt;&gt;"pass","gated out",""),IF(AO64="Y","on hold: "&amp;AP64,""),IF(C64="","no contact named on an opened page",""))</f>
        <v/>
      </c>
      <c r="AU64" s="6" t="s">
        <v>181</v>
      </c>
      <c r="AW64" s="6" t="s">
        <v>182</v>
      </c>
      <c r="AY64" s="6" t="s">
        <v>6280</v>
      </c>
      <c r="AZ64" s="6" t="s">
        <v>4924</v>
      </c>
      <c r="BA64" s="6" t="s">
        <v>5193</v>
      </c>
      <c r="BB64" s="6" t="s">
        <v>163</v>
      </c>
      <c r="BD64" s="6" t="s">
        <v>168</v>
      </c>
      <c r="BE64" s="6" t="s">
        <v>6281</v>
      </c>
      <c r="BF64" s="6" t="s">
        <v>163</v>
      </c>
      <c r="BG64" s="6" t="s">
        <v>168</v>
      </c>
      <c r="BH64" s="6" t="s">
        <v>163</v>
      </c>
      <c r="BJ64" s="6" t="s">
        <v>163</v>
      </c>
      <c r="BK64" s="6" t="s">
        <v>162</v>
      </c>
      <c r="BL64" s="6" t="s">
        <v>162</v>
      </c>
      <c r="BN64" s="0" t="n">
        <v>0</v>
      </c>
      <c r="BO64" s="6" t="s">
        <v>168</v>
      </c>
      <c r="BP64" s="0" t="n">
        <v>1</v>
      </c>
      <c r="BQ64" s="6" t="s">
        <v>6282</v>
      </c>
      <c r="BS64" s="6" t="s">
        <v>6283</v>
      </c>
      <c r="BT64" s="6" t="s">
        <v>6284</v>
      </c>
      <c r="BU64" s="6" t="s">
        <v>4695</v>
      </c>
      <c r="BV64" s="0" t="n">
        <v>4</v>
      </c>
      <c r="BX64" s="6" t="s">
        <v>6270</v>
      </c>
      <c r="BY64" s="6" t="s">
        <v>6285</v>
      </c>
      <c r="CF64" s="6" t="s">
        <v>158</v>
      </c>
      <c r="CK64" s="6" t="s">
        <v>158</v>
      </c>
      <c r="CL64" s="0" t="n">
        <v>49</v>
      </c>
      <c r="CM64" s="0" t="n">
        <v>17</v>
      </c>
      <c r="CN64" s="0" t="n">
        <v>8</v>
      </c>
      <c r="CO64" s="0" t="n">
        <v>8</v>
      </c>
      <c r="CP64" s="0" t="n">
        <v>5</v>
      </c>
      <c r="CQ64" s="0" t="n">
        <v>8</v>
      </c>
      <c r="CR64" s="0" t="n">
        <v>3</v>
      </c>
      <c r="CS64" s="6" t="n">
        <f aca="false">IF(R64="Y",10,0)</f>
        <v>0</v>
      </c>
      <c r="CT64" s="0" t="n">
        <v>0</v>
      </c>
      <c r="CU64" s="6" t="s">
        <v>6286</v>
      </c>
      <c r="CV64" s="6" t="s">
        <v>4843</v>
      </c>
      <c r="CW64" s="6" t="s">
        <v>6287</v>
      </c>
      <c r="CX64" s="6" t="s">
        <v>6288</v>
      </c>
      <c r="DA64" s="6" t="s">
        <v>6236</v>
      </c>
      <c r="DY64" s="0" t="str">
        <f aca="false">IF(ISNUMBER(MATCH(U64,{"queued","contacted","replied","call_booked","call_done","yes_in_principle","materials_sent"},0)),"Y","N")</f>
        <v>N</v>
      </c>
      <c r="DZ64" s="0" t="str">
        <f aca="false">IF(COUNTIFS($AN$2:$AN$1000,AN64,$DY$2:$DY$1000,"Y")+COUNTIFS($AN$2:$AN$1000,AN64,$T$2:$T$1000,"Y")&gt;0,"Y","N")</f>
        <v>N</v>
      </c>
      <c r="EA64" s="0" t="str">
        <f aca="false">IF(AND(U64="new",T64="N",AR64="Y",AQ64="",DZ64="N"),"Y","N")</f>
        <v>Y</v>
      </c>
      <c r="EB64" s="0" t="str">
        <f aca="false">IF(EA64&lt;&gt;"Y","N",IF(COUNTIFS($AN$2:$AN$1000,AN64,$EA$2:$EA$1000,"Y",$J$2:$J$1000,"&gt;"&amp;J64)+COUNTIFS($AN$2:$AN$1000,AN64,$EA$2:$EA$1000,"Y",$J$2:$J$1000,J64,$ED$2:$ED$1000,"&lt;"&amp;ED64)=0,"Y","N"))</f>
        <v>Y</v>
      </c>
      <c r="EC64" s="0" t="str">
        <f aca="false">IF(Y64="","N",IF(Y64&lt;=10,"Y","N"))</f>
        <v>N</v>
      </c>
      <c r="ED64" s="6" t="n">
        <f aca="false">ROW()-1</f>
        <v>63</v>
      </c>
    </row>
    <row r="65" customFormat="false" ht="15" hidden="false" customHeight="false" outlineLevel="0" collapsed="false">
      <c r="A65" s="0" t="s">
        <v>6289</v>
      </c>
      <c r="B65" s="0" t="s">
        <v>6290</v>
      </c>
      <c r="C65" s="0" t="s">
        <v>6291</v>
      </c>
      <c r="D65" s="0" t="s">
        <v>6292</v>
      </c>
      <c r="E65" s="0" t="s">
        <v>4657</v>
      </c>
      <c r="H65" s="5" t="s">
        <v>158</v>
      </c>
      <c r="I65" s="5" t="s">
        <v>159</v>
      </c>
      <c r="J65" s="6" t="n">
        <f aca="false">IF(AU65="pass",CM65+CN65+CO65+CP65+CQ65+CR65+CS65+CT65,0)</f>
        <v>49</v>
      </c>
      <c r="K65" s="6" t="s">
        <v>6293</v>
      </c>
      <c r="M65" s="6" t="s">
        <v>5293</v>
      </c>
      <c r="N65" s="6" t="s">
        <v>598</v>
      </c>
      <c r="O65" s="6" t="s">
        <v>6294</v>
      </c>
      <c r="P65" s="6" t="s">
        <v>6295</v>
      </c>
      <c r="Q65" s="6" t="s">
        <v>6296</v>
      </c>
      <c r="R65" s="5" t="s">
        <v>162</v>
      </c>
      <c r="S65" s="6" t="s">
        <v>168</v>
      </c>
      <c r="T65" s="5" t="s">
        <v>162</v>
      </c>
      <c r="U65" s="5" t="s">
        <v>228</v>
      </c>
      <c r="V65" s="6" t="s">
        <v>6295</v>
      </c>
      <c r="W65" s="6" t="s">
        <v>166</v>
      </c>
      <c r="X65" s="6" t="s">
        <v>4586</v>
      </c>
      <c r="Y65" s="6" t="n">
        <f aca="false">IF(EB65&lt;&gt;"Y","",COUNTIFS($EB$2:$EB$1000,"Y",$J$2:$J$1000,"&gt;"&amp;J65)+COUNTIFS($EB$2:$EB$1000,"Y",$J$2:$J$1000,J65,$ED$2:$ED$1000,"&lt;"&amp;ED65)+1)</f>
        <v>59</v>
      </c>
      <c r="Z65" s="0" t="n">
        <v>64</v>
      </c>
      <c r="AA65" s="6" t="s">
        <v>162</v>
      </c>
      <c r="AB65" s="6" t="s">
        <v>6297</v>
      </c>
      <c r="AC65" s="6" t="s">
        <v>4588</v>
      </c>
      <c r="AD65" s="6" t="s">
        <v>171</v>
      </c>
      <c r="AE65" s="6" t="s">
        <v>1190</v>
      </c>
      <c r="AF65" s="6" t="s">
        <v>6295</v>
      </c>
      <c r="AG65" s="6" t="s">
        <v>166</v>
      </c>
      <c r="AH65" s="6" t="s">
        <v>6298</v>
      </c>
      <c r="AI65" s="6" t="s">
        <v>4977</v>
      </c>
      <c r="AJ65" s="6" t="s">
        <v>6299</v>
      </c>
      <c r="AK65" s="6" t="s">
        <v>6300</v>
      </c>
      <c r="AL65" s="6" t="s">
        <v>162</v>
      </c>
      <c r="AN65" s="6" t="s">
        <v>6289</v>
      </c>
      <c r="AO65" s="5" t="s">
        <v>162</v>
      </c>
      <c r="AR65" s="0" t="str">
        <f aca="false">IF(AND(AU65="pass",AO65&lt;&gt;"Y",C65&lt;&gt;""),"Y","N")</f>
        <v>Y</v>
      </c>
      <c r="AS65" s="0" t="str">
        <f aca="false">_xlfn.TEXTJOIN("; ",TRUE(),IF(AU65&lt;&gt;"pass","gated out",""),IF(AO65="Y","on hold: "&amp;AP65,""),IF(C65="","no contact named on an opened page",""))</f>
        <v/>
      </c>
      <c r="AU65" s="6" t="s">
        <v>181</v>
      </c>
      <c r="AW65" s="6" t="s">
        <v>182</v>
      </c>
      <c r="AY65" s="6" t="s">
        <v>6300</v>
      </c>
      <c r="AZ65" s="6" t="s">
        <v>5659</v>
      </c>
      <c r="BA65" s="6" t="s">
        <v>5331</v>
      </c>
      <c r="BB65" s="6" t="s">
        <v>163</v>
      </c>
      <c r="BD65" s="6" t="s">
        <v>168</v>
      </c>
      <c r="BE65" s="6" t="s">
        <v>6301</v>
      </c>
      <c r="BF65" s="6" t="s">
        <v>168</v>
      </c>
      <c r="BG65" s="6" t="s">
        <v>168</v>
      </c>
      <c r="BH65" s="6" t="s">
        <v>163</v>
      </c>
      <c r="BJ65" s="6" t="s">
        <v>163</v>
      </c>
      <c r="BK65" s="6" t="s">
        <v>162</v>
      </c>
      <c r="BL65" s="6" t="s">
        <v>162</v>
      </c>
      <c r="BO65" s="6" t="s">
        <v>162</v>
      </c>
      <c r="BP65" s="0" t="n">
        <v>0</v>
      </c>
      <c r="BS65" s="6" t="s">
        <v>163</v>
      </c>
      <c r="BT65" s="6" t="s">
        <v>6302</v>
      </c>
      <c r="BU65" s="6" t="s">
        <v>4605</v>
      </c>
      <c r="BV65" s="0" t="n">
        <v>122</v>
      </c>
      <c r="BW65" s="6" t="s">
        <v>6295</v>
      </c>
      <c r="BX65" s="6" t="s">
        <v>6303</v>
      </c>
      <c r="CA65" s="6" t="s">
        <v>6304</v>
      </c>
      <c r="CB65" s="6" t="s">
        <v>6305</v>
      </c>
      <c r="CC65" s="6" t="s">
        <v>6306</v>
      </c>
      <c r="CD65" s="6" t="s">
        <v>6307</v>
      </c>
      <c r="CE65" s="6" t="s">
        <v>6262</v>
      </c>
      <c r="CF65" s="6" t="s">
        <v>171</v>
      </c>
      <c r="CK65" s="6" t="s">
        <v>158</v>
      </c>
      <c r="CL65" s="0" t="n">
        <v>49</v>
      </c>
      <c r="CM65" s="0" t="n">
        <v>6</v>
      </c>
      <c r="CN65" s="0" t="n">
        <v>3</v>
      </c>
      <c r="CO65" s="0" t="n">
        <v>15</v>
      </c>
      <c r="CP65" s="0" t="n">
        <v>5</v>
      </c>
      <c r="CQ65" s="0" t="n">
        <v>10</v>
      </c>
      <c r="CR65" s="0" t="n">
        <v>10</v>
      </c>
      <c r="CS65" s="6" t="n">
        <f aca="false">IF(R65="Y",10,0)</f>
        <v>0</v>
      </c>
      <c r="CT65" s="0" t="n">
        <v>0</v>
      </c>
      <c r="CU65" s="6" t="s">
        <v>163</v>
      </c>
      <c r="CV65" s="6" t="s">
        <v>4843</v>
      </c>
      <c r="CW65" s="6" t="s">
        <v>6308</v>
      </c>
      <c r="CX65" s="6" t="s">
        <v>6309</v>
      </c>
      <c r="CY65" s="6" t="s">
        <v>6310</v>
      </c>
      <c r="CZ65" s="6" t="s">
        <v>6295</v>
      </c>
      <c r="DA65" s="6" t="s">
        <v>6236</v>
      </c>
      <c r="DC65" s="6" t="s">
        <v>1190</v>
      </c>
      <c r="DY65" s="0" t="str">
        <f aca="false">IF(ISNUMBER(MATCH(U65,{"queued","contacted","replied","call_booked","call_done","yes_in_principle","materials_sent"},0)),"Y","N")</f>
        <v>N</v>
      </c>
      <c r="DZ65" s="0" t="str">
        <f aca="false">IF(COUNTIFS($AN$2:$AN$1000,AN65,$DY$2:$DY$1000,"Y")+COUNTIFS($AN$2:$AN$1000,AN65,$T$2:$T$1000,"Y")&gt;0,"Y","N")</f>
        <v>N</v>
      </c>
      <c r="EA65" s="0" t="str">
        <f aca="false">IF(AND(U65="new",T65="N",AR65="Y",AQ65="",DZ65="N"),"Y","N")</f>
        <v>Y</v>
      </c>
      <c r="EB65" s="0" t="str">
        <f aca="false">IF(EA65&lt;&gt;"Y","N",IF(COUNTIFS($AN$2:$AN$1000,AN65,$EA$2:$EA$1000,"Y",$J$2:$J$1000,"&gt;"&amp;J65)+COUNTIFS($AN$2:$AN$1000,AN65,$EA$2:$EA$1000,"Y",$J$2:$J$1000,J65,$ED$2:$ED$1000,"&lt;"&amp;ED65)=0,"Y","N"))</f>
        <v>Y</v>
      </c>
      <c r="EC65" s="0" t="str">
        <f aca="false">IF(Y65="","N",IF(Y65&lt;=10,"Y","N"))</f>
        <v>N</v>
      </c>
      <c r="ED65" s="6" t="n">
        <f aca="false">ROW()-1</f>
        <v>64</v>
      </c>
    </row>
    <row r="66" customFormat="false" ht="15" hidden="false" customHeight="false" outlineLevel="0" collapsed="false">
      <c r="A66" s="0" t="s">
        <v>6311</v>
      </c>
      <c r="B66" s="0" t="s">
        <v>6312</v>
      </c>
      <c r="H66" s="5" t="s">
        <v>158</v>
      </c>
      <c r="I66" s="5"/>
      <c r="J66" s="6" t="n">
        <f aca="false">IF(AU66="pass",CM66+CN66+CO66+CP66+CQ66+CR66+CS66+CT66,0)</f>
        <v>49</v>
      </c>
      <c r="K66" s="6" t="s">
        <v>6313</v>
      </c>
      <c r="M66" s="6" t="s">
        <v>5293</v>
      </c>
      <c r="N66" s="6" t="s">
        <v>598</v>
      </c>
      <c r="O66" s="6" t="s">
        <v>6314</v>
      </c>
      <c r="P66" s="6" t="s">
        <v>6315</v>
      </c>
      <c r="Q66" s="6" t="s">
        <v>3759</v>
      </c>
      <c r="R66" s="5" t="s">
        <v>162</v>
      </c>
      <c r="S66" s="6" t="s">
        <v>163</v>
      </c>
      <c r="T66" s="5" t="s">
        <v>162</v>
      </c>
      <c r="U66" s="5" t="s">
        <v>164</v>
      </c>
      <c r="V66" s="6" t="s">
        <v>6316</v>
      </c>
      <c r="W66" s="6" t="s">
        <v>166</v>
      </c>
      <c r="X66" s="6" t="s">
        <v>4586</v>
      </c>
      <c r="Y66" s="0" t="str">
        <f aca="false">IF(EB66&lt;&gt;"Y","",COUNTIFS($EB$2:$EB$1000,"Y",$J$2:$J$1000,"&gt;"&amp;J66)+COUNTIFS($EB$2:$EB$1000,"Y",$J$2:$J$1000,J66,$ED$2:$ED$1000,"&lt;"&amp;ED66)+1)</f>
        <v/>
      </c>
      <c r="Z66" s="0" t="n">
        <v>65</v>
      </c>
      <c r="AA66" s="6" t="s">
        <v>162</v>
      </c>
      <c r="AB66" s="6" t="s">
        <v>6317</v>
      </c>
      <c r="AC66" s="6" t="s">
        <v>4588</v>
      </c>
      <c r="AD66" s="6" t="s">
        <v>598</v>
      </c>
      <c r="AE66" s="6" t="s">
        <v>599</v>
      </c>
      <c r="AF66" s="6" t="s">
        <v>6318</v>
      </c>
      <c r="AG66" s="6" t="s">
        <v>174</v>
      </c>
      <c r="AH66" s="6" t="s">
        <v>6319</v>
      </c>
      <c r="AI66" s="6" t="s">
        <v>4591</v>
      </c>
      <c r="AJ66" s="6" t="s">
        <v>4635</v>
      </c>
      <c r="AK66" s="6" t="s">
        <v>6316</v>
      </c>
      <c r="AL66" s="6" t="s">
        <v>168</v>
      </c>
      <c r="AM66" s="6" t="s">
        <v>6320</v>
      </c>
      <c r="AN66" s="6" t="s">
        <v>5549</v>
      </c>
      <c r="AO66" s="5" t="s">
        <v>162</v>
      </c>
      <c r="AR66" s="0" t="str">
        <f aca="false">IF(AND(AU66="pass",AO66&lt;&gt;"Y",C66&lt;&gt;""),"Y","N")</f>
        <v>N</v>
      </c>
      <c r="AS66" s="0" t="str">
        <f aca="false">_xlfn.TEXTJOIN("; ",TRUE(),IF(AU66&lt;&gt;"pass","gated out",""),IF(AO66="Y","on hold: "&amp;AP66,""),IF(C66="","no contact named on an opened page",""))</f>
        <v>no contact named on an opened page</v>
      </c>
      <c r="AU66" s="6" t="s">
        <v>181</v>
      </c>
      <c r="AW66" s="6" t="s">
        <v>182</v>
      </c>
      <c r="AX66" s="6" t="s">
        <v>283</v>
      </c>
      <c r="AY66" s="6" t="s">
        <v>6316</v>
      </c>
      <c r="AZ66" s="6" t="s">
        <v>4596</v>
      </c>
      <c r="BA66" s="6" t="s">
        <v>4597</v>
      </c>
      <c r="BB66" s="6" t="s">
        <v>163</v>
      </c>
      <c r="BD66" s="6" t="s">
        <v>163</v>
      </c>
      <c r="BE66" s="6" t="s">
        <v>6321</v>
      </c>
      <c r="BF66" s="6" t="s">
        <v>168</v>
      </c>
      <c r="BG66" s="6" t="s">
        <v>168</v>
      </c>
      <c r="BH66" s="6" t="s">
        <v>163</v>
      </c>
      <c r="BJ66" s="6" t="s">
        <v>5551</v>
      </c>
      <c r="BK66" s="6" t="s">
        <v>162</v>
      </c>
      <c r="BL66" s="6" t="s">
        <v>162</v>
      </c>
      <c r="BO66" s="6" t="s">
        <v>162</v>
      </c>
      <c r="BP66" s="0" t="n">
        <v>0</v>
      </c>
      <c r="BR66" s="6" t="s">
        <v>5553</v>
      </c>
      <c r="BS66" s="6" t="s">
        <v>6322</v>
      </c>
      <c r="BT66" s="6" t="s">
        <v>6323</v>
      </c>
      <c r="BU66" s="6" t="s">
        <v>4695</v>
      </c>
      <c r="BV66" s="0" t="n">
        <v>135</v>
      </c>
      <c r="BX66" s="6" t="s">
        <v>6324</v>
      </c>
      <c r="BY66" s="6" t="s">
        <v>6325</v>
      </c>
      <c r="CA66" s="6" t="s">
        <v>5558</v>
      </c>
      <c r="CE66" s="6" t="s">
        <v>4613</v>
      </c>
      <c r="CF66" s="6" t="s">
        <v>598</v>
      </c>
      <c r="CG66" s="6" t="s">
        <v>6326</v>
      </c>
      <c r="CK66" s="6" t="s">
        <v>158</v>
      </c>
      <c r="CL66" s="0" t="n">
        <v>49</v>
      </c>
      <c r="CM66" s="0" t="n">
        <v>6</v>
      </c>
      <c r="CN66" s="0" t="n">
        <v>20</v>
      </c>
      <c r="CO66" s="0" t="n">
        <v>8</v>
      </c>
      <c r="CP66" s="0" t="n">
        <v>5</v>
      </c>
      <c r="CQ66" s="0" t="n">
        <v>7</v>
      </c>
      <c r="CR66" s="0" t="n">
        <v>5</v>
      </c>
      <c r="CS66" s="6" t="n">
        <f aca="false">IF(R66="Y",10,0)</f>
        <v>0</v>
      </c>
      <c r="CT66" s="0" t="n">
        <v>-2</v>
      </c>
      <c r="CU66" s="6" t="s">
        <v>6327</v>
      </c>
      <c r="CV66" s="6" t="s">
        <v>5564</v>
      </c>
      <c r="CW66" s="6" t="s">
        <v>6328</v>
      </c>
      <c r="CX66" s="6" t="s">
        <v>6329</v>
      </c>
      <c r="CY66" s="6" t="s">
        <v>6330</v>
      </c>
      <c r="CZ66" s="6" t="s">
        <v>5545</v>
      </c>
      <c r="DA66" s="6" t="s">
        <v>4621</v>
      </c>
      <c r="DB66" s="6" t="s">
        <v>6331</v>
      </c>
      <c r="DC66" s="6" t="s">
        <v>599</v>
      </c>
      <c r="DF66" s="6" t="s">
        <v>6332</v>
      </c>
      <c r="DY66" s="0" t="str">
        <f aca="false">IF(ISNUMBER(MATCH(U66,{"queued","contacted","replied","call_booked","call_done","yes_in_principle","materials_sent"},0)),"Y","N")</f>
        <v>Y</v>
      </c>
      <c r="DZ66" s="0" t="str">
        <f aca="false">IF(COUNTIFS($AN$2:$AN$1000,AN66,$DY$2:$DY$1000,"Y")+COUNTIFS($AN$2:$AN$1000,AN66,$T$2:$T$1000,"Y")&gt;0,"Y","N")</f>
        <v>Y</v>
      </c>
      <c r="EA66" s="0" t="str">
        <f aca="false">IF(AND(U66="new",T66="N",AR66="Y",AQ66="",DZ66="N"),"Y","N")</f>
        <v>N</v>
      </c>
      <c r="EB66" s="0" t="str">
        <f aca="false">IF(EA66&lt;&gt;"Y","N",IF(COUNTIFS($AN$2:$AN$1000,AN66,$EA$2:$EA$1000,"Y",$J$2:$J$1000,"&gt;"&amp;J66)+COUNTIFS($AN$2:$AN$1000,AN66,$EA$2:$EA$1000,"Y",$J$2:$J$1000,J66,$ED$2:$ED$1000,"&lt;"&amp;ED66)=0,"Y","N"))</f>
        <v>N</v>
      </c>
      <c r="EC66" s="0" t="str">
        <f aca="false">IF(Y66="","N",IF(Y66&lt;=10,"Y","N"))</f>
        <v>N</v>
      </c>
      <c r="ED66" s="6" t="n">
        <f aca="false">ROW()-1</f>
        <v>65</v>
      </c>
    </row>
    <row r="67" customFormat="false" ht="15" hidden="false" customHeight="false" outlineLevel="0" collapsed="false">
      <c r="A67" s="0" t="s">
        <v>6333</v>
      </c>
      <c r="B67" s="0" t="s">
        <v>6334</v>
      </c>
      <c r="C67" s="0" t="s">
        <v>5963</v>
      </c>
      <c r="D67" s="0" t="s">
        <v>6335</v>
      </c>
      <c r="E67" s="0" t="s">
        <v>4657</v>
      </c>
      <c r="H67" s="5" t="s">
        <v>158</v>
      </c>
      <c r="I67" s="5" t="s">
        <v>159</v>
      </c>
      <c r="J67" s="6" t="n">
        <f aca="false">IF(AU67="pass",CM67+CN67+CO67+CP67+CQ67+CR67+CS67+CT67,0)</f>
        <v>49</v>
      </c>
      <c r="K67" s="6" t="s">
        <v>6336</v>
      </c>
      <c r="M67" s="6" t="s">
        <v>5293</v>
      </c>
      <c r="N67" s="6" t="s">
        <v>598</v>
      </c>
      <c r="O67" s="6" t="s">
        <v>6337</v>
      </c>
      <c r="P67" s="6" t="s">
        <v>6338</v>
      </c>
      <c r="Q67" s="6" t="s">
        <v>6339</v>
      </c>
      <c r="R67" s="5" t="s">
        <v>162</v>
      </c>
      <c r="S67" s="6" t="s">
        <v>163</v>
      </c>
      <c r="T67" s="5" t="s">
        <v>162</v>
      </c>
      <c r="U67" s="5" t="s">
        <v>228</v>
      </c>
      <c r="V67" s="6" t="s">
        <v>6340</v>
      </c>
      <c r="W67" s="6" t="s">
        <v>166</v>
      </c>
      <c r="X67" s="6" t="s">
        <v>4586</v>
      </c>
      <c r="Y67" s="6" t="n">
        <f aca="false">IF(EB67&lt;&gt;"Y","",COUNTIFS($EB$2:$EB$1000,"Y",$J$2:$J$1000,"&gt;"&amp;J67)+COUNTIFS($EB$2:$EB$1000,"Y",$J$2:$J$1000,J67,$ED$2:$ED$1000,"&lt;"&amp;ED67)+1)</f>
        <v>60</v>
      </c>
      <c r="Z67" s="0" t="n">
        <v>66</v>
      </c>
      <c r="AA67" s="6" t="s">
        <v>162</v>
      </c>
      <c r="AB67" s="6" t="s">
        <v>6341</v>
      </c>
      <c r="AC67" s="6" t="s">
        <v>4588</v>
      </c>
      <c r="AD67" s="6" t="s">
        <v>171</v>
      </c>
      <c r="AE67" s="6" t="s">
        <v>172</v>
      </c>
      <c r="AF67" s="6" t="s">
        <v>6340</v>
      </c>
      <c r="AG67" s="6" t="s">
        <v>166</v>
      </c>
      <c r="AH67" s="6" t="s">
        <v>6342</v>
      </c>
      <c r="AI67" s="6" t="s">
        <v>5655</v>
      </c>
      <c r="AJ67" s="6" t="s">
        <v>192</v>
      </c>
      <c r="AK67" s="6" t="s">
        <v>6343</v>
      </c>
      <c r="AL67" s="6" t="s">
        <v>168</v>
      </c>
      <c r="AM67" s="6" t="s">
        <v>6344</v>
      </c>
      <c r="AN67" s="6" t="s">
        <v>6333</v>
      </c>
      <c r="AO67" s="5" t="s">
        <v>162</v>
      </c>
      <c r="AR67" s="0" t="str">
        <f aca="false">IF(AND(AU67="pass",AO67&lt;&gt;"Y",C67&lt;&gt;""),"Y","N")</f>
        <v>Y</v>
      </c>
      <c r="AS67" s="0" t="str">
        <f aca="false">_xlfn.TEXTJOIN("; ",TRUE(),IF(AU67&lt;&gt;"pass","gated out",""),IF(AO67="Y","on hold: "&amp;AP67,""),IF(C67="","no contact named on an opened page",""))</f>
        <v/>
      </c>
      <c r="AU67" s="6" t="s">
        <v>181</v>
      </c>
      <c r="AW67" s="6" t="s">
        <v>182</v>
      </c>
      <c r="AX67" s="6" t="s">
        <v>283</v>
      </c>
      <c r="AY67" s="6" t="s">
        <v>6343</v>
      </c>
      <c r="AZ67" s="6" t="s">
        <v>4596</v>
      </c>
      <c r="BA67" s="6" t="s">
        <v>4597</v>
      </c>
      <c r="BB67" s="6" t="s">
        <v>6345</v>
      </c>
      <c r="BD67" s="6" t="s">
        <v>264</v>
      </c>
      <c r="BE67" s="6" t="s">
        <v>6346</v>
      </c>
      <c r="BF67" s="6" t="s">
        <v>163</v>
      </c>
      <c r="BG67" s="6" t="s">
        <v>168</v>
      </c>
      <c r="BH67" s="6" t="s">
        <v>163</v>
      </c>
      <c r="BJ67" s="6" t="s">
        <v>163</v>
      </c>
      <c r="BK67" s="6" t="s">
        <v>162</v>
      </c>
      <c r="BL67" s="6" t="s">
        <v>162</v>
      </c>
      <c r="BO67" s="6" t="s">
        <v>162</v>
      </c>
      <c r="BP67" s="0" t="n">
        <v>0</v>
      </c>
      <c r="BS67" s="6" t="s">
        <v>6347</v>
      </c>
      <c r="BT67" s="6" t="s">
        <v>6348</v>
      </c>
      <c r="BU67" s="6" t="s">
        <v>4605</v>
      </c>
      <c r="BV67" s="0" t="n">
        <v>346</v>
      </c>
      <c r="BX67" s="6" t="s">
        <v>6349</v>
      </c>
      <c r="CF67" s="6" t="s">
        <v>158</v>
      </c>
      <c r="CK67" s="6" t="s">
        <v>158</v>
      </c>
      <c r="CL67" s="0" t="n">
        <v>49</v>
      </c>
      <c r="CM67" s="0" t="n">
        <v>6</v>
      </c>
      <c r="CN67" s="0" t="n">
        <v>20</v>
      </c>
      <c r="CO67" s="0" t="n">
        <v>8</v>
      </c>
      <c r="CP67" s="0" t="n">
        <v>5</v>
      </c>
      <c r="CQ67" s="0" t="n">
        <v>6</v>
      </c>
      <c r="CR67" s="0" t="n">
        <v>6</v>
      </c>
      <c r="CS67" s="6" t="n">
        <f aca="false">IF(R67="Y",10,0)</f>
        <v>0</v>
      </c>
      <c r="CT67" s="0" t="n">
        <v>-2</v>
      </c>
      <c r="CU67" s="6" t="s">
        <v>6350</v>
      </c>
      <c r="CV67" s="6" t="s">
        <v>4704</v>
      </c>
      <c r="CW67" s="6" t="s">
        <v>6351</v>
      </c>
      <c r="CX67" s="6" t="s">
        <v>6352</v>
      </c>
      <c r="CY67" s="6" t="s">
        <v>6353</v>
      </c>
      <c r="DA67" s="6" t="s">
        <v>6236</v>
      </c>
      <c r="DY67" s="0" t="str">
        <f aca="false">IF(ISNUMBER(MATCH(U67,{"queued","contacted","replied","call_booked","call_done","yes_in_principle","materials_sent"},0)),"Y","N")</f>
        <v>N</v>
      </c>
      <c r="DZ67" s="0" t="str">
        <f aca="false">IF(COUNTIFS($AN$2:$AN$1000,AN67,$DY$2:$DY$1000,"Y")+COUNTIFS($AN$2:$AN$1000,AN67,$T$2:$T$1000,"Y")&gt;0,"Y","N")</f>
        <v>N</v>
      </c>
      <c r="EA67" s="0" t="str">
        <f aca="false">IF(AND(U67="new",T67="N",AR67="Y",AQ67="",DZ67="N"),"Y","N")</f>
        <v>Y</v>
      </c>
      <c r="EB67" s="0" t="str">
        <f aca="false">IF(EA67&lt;&gt;"Y","N",IF(COUNTIFS($AN$2:$AN$1000,AN67,$EA$2:$EA$1000,"Y",$J$2:$J$1000,"&gt;"&amp;J67)+COUNTIFS($AN$2:$AN$1000,AN67,$EA$2:$EA$1000,"Y",$J$2:$J$1000,J67,$ED$2:$ED$1000,"&lt;"&amp;ED67)=0,"Y","N"))</f>
        <v>Y</v>
      </c>
      <c r="EC67" s="0" t="str">
        <f aca="false">IF(Y67="","N",IF(Y67&lt;=10,"Y","N"))</f>
        <v>N</v>
      </c>
      <c r="ED67" s="6" t="n">
        <f aca="false">ROW()-1</f>
        <v>66</v>
      </c>
    </row>
    <row r="68" customFormat="false" ht="15" hidden="false" customHeight="false" outlineLevel="0" collapsed="false">
      <c r="A68" s="0" t="s">
        <v>6354</v>
      </c>
      <c r="B68" s="0" t="s">
        <v>6355</v>
      </c>
      <c r="C68" s="0" t="s">
        <v>6356</v>
      </c>
      <c r="D68" s="0" t="s">
        <v>6357</v>
      </c>
      <c r="E68" s="0" t="s">
        <v>4773</v>
      </c>
      <c r="H68" s="5" t="s">
        <v>158</v>
      </c>
      <c r="I68" s="5" t="s">
        <v>159</v>
      </c>
      <c r="J68" s="6" t="n">
        <f aca="false">IF(AU68="pass",CM68+CN68+CO68+CP68+CQ68+CR68+CS68+CT68,0)</f>
        <v>49</v>
      </c>
      <c r="K68" s="6" t="s">
        <v>6358</v>
      </c>
      <c r="M68" s="6" t="s">
        <v>5293</v>
      </c>
      <c r="N68" s="6" t="s">
        <v>598</v>
      </c>
      <c r="O68" s="6" t="s">
        <v>6359</v>
      </c>
      <c r="P68" s="6" t="s">
        <v>6199</v>
      </c>
      <c r="Q68" s="6" t="s">
        <v>2651</v>
      </c>
      <c r="R68" s="5" t="s">
        <v>162</v>
      </c>
      <c r="S68" s="6" t="s">
        <v>168</v>
      </c>
      <c r="T68" s="5" t="s">
        <v>162</v>
      </c>
      <c r="U68" s="5" t="s">
        <v>228</v>
      </c>
      <c r="V68" s="6" t="s">
        <v>6360</v>
      </c>
      <c r="W68" s="6" t="s">
        <v>166</v>
      </c>
      <c r="X68" s="6" t="s">
        <v>4586</v>
      </c>
      <c r="Y68" s="6" t="n">
        <f aca="false">IF(EB68&lt;&gt;"Y","",COUNTIFS($EB$2:$EB$1000,"Y",$J$2:$J$1000,"&gt;"&amp;J68)+COUNTIFS($EB$2:$EB$1000,"Y",$J$2:$J$1000,J68,$ED$2:$ED$1000,"&lt;"&amp;ED68)+1)</f>
        <v>61</v>
      </c>
      <c r="Z68" s="0" t="n">
        <v>67</v>
      </c>
      <c r="AA68" s="6" t="s">
        <v>162</v>
      </c>
      <c r="AB68" s="6" t="s">
        <v>6361</v>
      </c>
      <c r="AC68" s="6" t="s">
        <v>4588</v>
      </c>
      <c r="AD68" s="6" t="s">
        <v>171</v>
      </c>
      <c r="AE68" s="6" t="s">
        <v>172</v>
      </c>
      <c r="AF68" s="6" t="s">
        <v>6360</v>
      </c>
      <c r="AG68" s="6" t="s">
        <v>166</v>
      </c>
      <c r="AH68" s="6" t="s">
        <v>6362</v>
      </c>
      <c r="AI68" s="6" t="s">
        <v>4828</v>
      </c>
      <c r="AJ68" s="6" t="s">
        <v>6363</v>
      </c>
      <c r="AK68" s="6" t="s">
        <v>6364</v>
      </c>
      <c r="AL68" s="6" t="s">
        <v>162</v>
      </c>
      <c r="AN68" s="6" t="s">
        <v>6354</v>
      </c>
      <c r="AO68" s="5" t="s">
        <v>162</v>
      </c>
      <c r="AR68" s="0" t="str">
        <f aca="false">IF(AND(AU68="pass",AO68&lt;&gt;"Y",C68&lt;&gt;""),"Y","N")</f>
        <v>Y</v>
      </c>
      <c r="AS68" s="0" t="str">
        <f aca="false">_xlfn.TEXTJOIN("; ",TRUE(),IF(AU68&lt;&gt;"pass","gated out",""),IF(AO68="Y","on hold: "&amp;AP68,""),IF(C68="","no contact named on an opened page",""))</f>
        <v/>
      </c>
      <c r="AU68" s="6" t="s">
        <v>181</v>
      </c>
      <c r="AW68" s="6" t="s">
        <v>182</v>
      </c>
      <c r="AY68" s="6" t="s">
        <v>6364</v>
      </c>
      <c r="AZ68" s="6" t="s">
        <v>6365</v>
      </c>
      <c r="BA68" s="6" t="s">
        <v>5273</v>
      </c>
      <c r="BB68" s="6" t="s">
        <v>163</v>
      </c>
      <c r="BD68" s="6" t="s">
        <v>168</v>
      </c>
      <c r="BE68" s="6" t="s">
        <v>6366</v>
      </c>
      <c r="BF68" s="6" t="s">
        <v>162</v>
      </c>
      <c r="BG68" s="6" t="s">
        <v>168</v>
      </c>
      <c r="BH68" s="6" t="s">
        <v>163</v>
      </c>
      <c r="BJ68" s="6" t="s">
        <v>163</v>
      </c>
      <c r="BK68" s="6" t="s">
        <v>162</v>
      </c>
      <c r="BL68" s="6" t="s">
        <v>162</v>
      </c>
      <c r="BO68" s="6" t="s">
        <v>162</v>
      </c>
      <c r="BP68" s="0" t="n">
        <v>0</v>
      </c>
      <c r="BS68" s="6" t="s">
        <v>6367</v>
      </c>
      <c r="BT68" s="6" t="s">
        <v>6368</v>
      </c>
      <c r="BU68" s="6" t="s">
        <v>4695</v>
      </c>
      <c r="BV68" s="0" t="n">
        <v>95</v>
      </c>
      <c r="BW68" s="6" t="s">
        <v>6199</v>
      </c>
      <c r="BX68" s="6" t="s">
        <v>6369</v>
      </c>
      <c r="CF68" s="6" t="s">
        <v>158</v>
      </c>
      <c r="CK68" s="6" t="s">
        <v>158</v>
      </c>
      <c r="CL68" s="0" t="n">
        <v>49</v>
      </c>
      <c r="CM68" s="0" t="n">
        <v>6</v>
      </c>
      <c r="CN68" s="0" t="n">
        <v>17</v>
      </c>
      <c r="CO68" s="0" t="n">
        <v>8</v>
      </c>
      <c r="CP68" s="0" t="n">
        <v>5</v>
      </c>
      <c r="CQ68" s="0" t="n">
        <v>7</v>
      </c>
      <c r="CR68" s="0" t="n">
        <v>6</v>
      </c>
      <c r="CS68" s="6" t="n">
        <f aca="false">IF(R68="Y",10,0)</f>
        <v>0</v>
      </c>
      <c r="CT68" s="0" t="n">
        <v>0</v>
      </c>
      <c r="CU68" s="6" t="s">
        <v>163</v>
      </c>
      <c r="CV68" s="6" t="s">
        <v>4843</v>
      </c>
      <c r="CW68" s="6" t="s">
        <v>6370</v>
      </c>
      <c r="CX68" s="6" t="s">
        <v>6371</v>
      </c>
      <c r="CY68" s="6" t="s">
        <v>6372</v>
      </c>
      <c r="DA68" s="6" t="s">
        <v>6236</v>
      </c>
      <c r="DY68" s="0" t="str">
        <f aca="false">IF(ISNUMBER(MATCH(U68,{"queued","contacted","replied","call_booked","call_done","yes_in_principle","materials_sent"},0)),"Y","N")</f>
        <v>N</v>
      </c>
      <c r="DZ68" s="0" t="str">
        <f aca="false">IF(COUNTIFS($AN$2:$AN$1000,AN68,$DY$2:$DY$1000,"Y")+COUNTIFS($AN$2:$AN$1000,AN68,$T$2:$T$1000,"Y")&gt;0,"Y","N")</f>
        <v>N</v>
      </c>
      <c r="EA68" s="0" t="str">
        <f aca="false">IF(AND(U68="new",T68="N",AR68="Y",AQ68="",DZ68="N"),"Y","N")</f>
        <v>Y</v>
      </c>
      <c r="EB68" s="0" t="str">
        <f aca="false">IF(EA68&lt;&gt;"Y","N",IF(COUNTIFS($AN$2:$AN$1000,AN68,$EA$2:$EA$1000,"Y",$J$2:$J$1000,"&gt;"&amp;J68)+COUNTIFS($AN$2:$AN$1000,AN68,$EA$2:$EA$1000,"Y",$J$2:$J$1000,J68,$ED$2:$ED$1000,"&lt;"&amp;ED68)=0,"Y","N"))</f>
        <v>Y</v>
      </c>
      <c r="EC68" s="0" t="str">
        <f aca="false">IF(Y68="","N",IF(Y68&lt;=10,"Y","N"))</f>
        <v>N</v>
      </c>
      <c r="ED68" s="6" t="n">
        <f aca="false">ROW()-1</f>
        <v>67</v>
      </c>
    </row>
    <row r="69" customFormat="false" ht="15" hidden="false" customHeight="false" outlineLevel="0" collapsed="false">
      <c r="A69" s="0" t="s">
        <v>6373</v>
      </c>
      <c r="B69" s="0" t="s">
        <v>6374</v>
      </c>
      <c r="C69" s="0" t="s">
        <v>6375</v>
      </c>
      <c r="D69" s="0" t="s">
        <v>6376</v>
      </c>
      <c r="E69" s="0" t="s">
        <v>4626</v>
      </c>
      <c r="H69" s="5" t="s">
        <v>158</v>
      </c>
      <c r="I69" s="5" t="s">
        <v>159</v>
      </c>
      <c r="J69" s="6" t="n">
        <f aca="false">IF(AU69="pass",CM69+CN69+CO69+CP69+CQ69+CR69+CS69+CT69,0)</f>
        <v>48</v>
      </c>
      <c r="K69" s="6" t="s">
        <v>6377</v>
      </c>
      <c r="M69" s="6" t="s">
        <v>6378</v>
      </c>
      <c r="N69" s="6" t="s">
        <v>5023</v>
      </c>
      <c r="O69" s="6" t="s">
        <v>6379</v>
      </c>
      <c r="P69" s="6" t="s">
        <v>6380</v>
      </c>
      <c r="Q69" s="6" t="s">
        <v>6092</v>
      </c>
      <c r="R69" s="5" t="s">
        <v>162</v>
      </c>
      <c r="S69" s="6" t="s">
        <v>168</v>
      </c>
      <c r="T69" s="5" t="s">
        <v>162</v>
      </c>
      <c r="U69" s="5" t="s">
        <v>228</v>
      </c>
      <c r="V69" s="6" t="s">
        <v>6381</v>
      </c>
      <c r="W69" s="6" t="s">
        <v>166</v>
      </c>
      <c r="X69" s="6" t="s">
        <v>4586</v>
      </c>
      <c r="Y69" s="6" t="n">
        <f aca="false">IF(EB69&lt;&gt;"Y","",COUNTIFS($EB$2:$EB$1000,"Y",$J$2:$J$1000,"&gt;"&amp;J69)+COUNTIFS($EB$2:$EB$1000,"Y",$J$2:$J$1000,J69,$ED$2:$ED$1000,"&lt;"&amp;ED69)+1)</f>
        <v>62</v>
      </c>
      <c r="Z69" s="0" t="n">
        <v>68</v>
      </c>
      <c r="AA69" s="6" t="s">
        <v>162</v>
      </c>
      <c r="AB69" s="6" t="s">
        <v>6382</v>
      </c>
      <c r="AC69" s="6" t="s">
        <v>4588</v>
      </c>
      <c r="AD69" s="6" t="s">
        <v>171</v>
      </c>
      <c r="AE69" s="6" t="s">
        <v>1190</v>
      </c>
      <c r="AF69" s="6" t="s">
        <v>6380</v>
      </c>
      <c r="AG69" s="6" t="s">
        <v>166</v>
      </c>
      <c r="AH69" s="6" t="s">
        <v>6383</v>
      </c>
      <c r="AI69" s="6" t="s">
        <v>4591</v>
      </c>
      <c r="AJ69" s="6" t="s">
        <v>6384</v>
      </c>
      <c r="AK69" s="6" t="s">
        <v>6385</v>
      </c>
      <c r="AL69" s="6" t="s">
        <v>168</v>
      </c>
      <c r="AM69" s="6" t="s">
        <v>6386</v>
      </c>
      <c r="AN69" s="6" t="s">
        <v>6373</v>
      </c>
      <c r="AO69" s="5" t="s">
        <v>162</v>
      </c>
      <c r="AR69" s="0" t="str">
        <f aca="false">IF(AND(AU69="pass",AO69&lt;&gt;"Y",C69&lt;&gt;""),"Y","N")</f>
        <v>Y</v>
      </c>
      <c r="AS69" s="0" t="str">
        <f aca="false">_xlfn.TEXTJOIN("; ",TRUE(),IF(AU69&lt;&gt;"pass","gated out",""),IF(AO69="Y","on hold: "&amp;AP69,""),IF(C69="","no contact named on an opened page",""))</f>
        <v/>
      </c>
      <c r="AU69" s="6" t="s">
        <v>181</v>
      </c>
      <c r="AW69" s="6" t="s">
        <v>182</v>
      </c>
      <c r="AX69" s="6" t="s">
        <v>6387</v>
      </c>
      <c r="AY69" s="6" t="s">
        <v>6385</v>
      </c>
      <c r="AZ69" s="6" t="s">
        <v>6388</v>
      </c>
      <c r="BA69" s="6" t="s">
        <v>5331</v>
      </c>
      <c r="BB69" s="6" t="s">
        <v>163</v>
      </c>
      <c r="BD69" s="6" t="s">
        <v>163</v>
      </c>
      <c r="BE69" s="6" t="s">
        <v>6389</v>
      </c>
      <c r="BF69" s="6" t="s">
        <v>168</v>
      </c>
      <c r="BG69" s="6" t="s">
        <v>168</v>
      </c>
      <c r="BH69" s="6" t="s">
        <v>163</v>
      </c>
      <c r="BJ69" s="6" t="s">
        <v>5551</v>
      </c>
      <c r="BK69" s="6" t="s">
        <v>162</v>
      </c>
      <c r="BL69" s="6" t="s">
        <v>162</v>
      </c>
      <c r="BN69" s="0" t="n">
        <v>4</v>
      </c>
      <c r="BO69" s="6" t="s">
        <v>162</v>
      </c>
      <c r="BP69" s="0" t="n">
        <v>1</v>
      </c>
      <c r="BQ69" s="6" t="s">
        <v>6390</v>
      </c>
      <c r="BS69" s="6" t="s">
        <v>6391</v>
      </c>
      <c r="BT69" s="6" t="s">
        <v>6392</v>
      </c>
      <c r="BU69" s="6" t="s">
        <v>4605</v>
      </c>
      <c r="BV69" s="0" t="n">
        <v>136</v>
      </c>
      <c r="BW69" s="6" t="s">
        <v>6393</v>
      </c>
      <c r="BX69" s="6" t="s">
        <v>6394</v>
      </c>
      <c r="CA69" s="6" t="s">
        <v>6395</v>
      </c>
      <c r="CB69" s="6" t="s">
        <v>6396</v>
      </c>
      <c r="CC69" s="6" t="s">
        <v>6397</v>
      </c>
      <c r="CD69" s="6" t="s">
        <v>6398</v>
      </c>
      <c r="CE69" s="6" t="s">
        <v>6262</v>
      </c>
      <c r="CF69" s="6" t="s">
        <v>171</v>
      </c>
      <c r="CK69" s="6" t="s">
        <v>158</v>
      </c>
      <c r="CL69" s="0" t="n">
        <v>48</v>
      </c>
      <c r="CM69" s="0" t="n">
        <v>13</v>
      </c>
      <c r="CN69" s="0" t="n">
        <v>3</v>
      </c>
      <c r="CO69" s="0" t="n">
        <v>15</v>
      </c>
      <c r="CP69" s="0" t="n">
        <v>5</v>
      </c>
      <c r="CQ69" s="0" t="n">
        <v>7</v>
      </c>
      <c r="CR69" s="0" t="n">
        <v>10</v>
      </c>
      <c r="CS69" s="6" t="n">
        <f aca="false">IF(R69="Y",10,0)</f>
        <v>0</v>
      </c>
      <c r="CT69" s="0" t="n">
        <v>-5</v>
      </c>
      <c r="CU69" s="6" t="s">
        <v>6399</v>
      </c>
      <c r="CV69" s="6" t="s">
        <v>5564</v>
      </c>
      <c r="CW69" s="6" t="s">
        <v>6400</v>
      </c>
      <c r="CX69" s="6" t="s">
        <v>6401</v>
      </c>
      <c r="CY69" s="6" t="s">
        <v>6402</v>
      </c>
      <c r="CZ69" s="6" t="s">
        <v>6393</v>
      </c>
      <c r="DA69" s="6" t="s">
        <v>6236</v>
      </c>
      <c r="DC69" s="6" t="s">
        <v>1190</v>
      </c>
      <c r="DY69" s="0" t="str">
        <f aca="false">IF(ISNUMBER(MATCH(U69,{"queued","contacted","replied","call_booked","call_done","yes_in_principle","materials_sent"},0)),"Y","N")</f>
        <v>N</v>
      </c>
      <c r="DZ69" s="0" t="str">
        <f aca="false">IF(COUNTIFS($AN$2:$AN$1000,AN69,$DY$2:$DY$1000,"Y")+COUNTIFS($AN$2:$AN$1000,AN69,$T$2:$T$1000,"Y")&gt;0,"Y","N")</f>
        <v>N</v>
      </c>
      <c r="EA69" s="0" t="str">
        <f aca="false">IF(AND(U69="new",T69="N",AR69="Y",AQ69="",DZ69="N"),"Y","N")</f>
        <v>Y</v>
      </c>
      <c r="EB69" s="0" t="str">
        <f aca="false">IF(EA69&lt;&gt;"Y","N",IF(COUNTIFS($AN$2:$AN$1000,AN69,$EA$2:$EA$1000,"Y",$J$2:$J$1000,"&gt;"&amp;J69)+COUNTIFS($AN$2:$AN$1000,AN69,$EA$2:$EA$1000,"Y",$J$2:$J$1000,J69,$ED$2:$ED$1000,"&lt;"&amp;ED69)=0,"Y","N"))</f>
        <v>Y</v>
      </c>
      <c r="EC69" s="0" t="str">
        <f aca="false">IF(Y69="","N",IF(Y69&lt;=10,"Y","N"))</f>
        <v>N</v>
      </c>
      <c r="ED69" s="6" t="n">
        <f aca="false">ROW()-1</f>
        <v>68</v>
      </c>
    </row>
    <row r="70" customFormat="false" ht="15" hidden="false" customHeight="false" outlineLevel="0" collapsed="false">
      <c r="A70" s="0" t="s">
        <v>6403</v>
      </c>
      <c r="B70" s="0" t="s">
        <v>6404</v>
      </c>
      <c r="H70" s="5" t="s">
        <v>158</v>
      </c>
      <c r="I70" s="5"/>
      <c r="J70" s="6" t="n">
        <f aca="false">IF(AU70="pass",CM70+CN70+CO70+CP70+CQ70+CR70+CS70+CT70,0)</f>
        <v>48</v>
      </c>
      <c r="K70" s="6" t="s">
        <v>6405</v>
      </c>
      <c r="M70" s="6" t="s">
        <v>6406</v>
      </c>
      <c r="N70" s="6" t="s">
        <v>5023</v>
      </c>
      <c r="O70" s="6" t="s">
        <v>6407</v>
      </c>
      <c r="P70" s="6" t="s">
        <v>6408</v>
      </c>
      <c r="Q70" s="6" t="s">
        <v>6409</v>
      </c>
      <c r="R70" s="5" t="s">
        <v>162</v>
      </c>
      <c r="S70" s="6" t="s">
        <v>163</v>
      </c>
      <c r="T70" s="5" t="s">
        <v>162</v>
      </c>
      <c r="U70" s="5" t="s">
        <v>228</v>
      </c>
      <c r="V70" s="6" t="s">
        <v>6410</v>
      </c>
      <c r="W70" s="6" t="s">
        <v>166</v>
      </c>
      <c r="X70" s="6" t="s">
        <v>4586</v>
      </c>
      <c r="Y70" s="0" t="str">
        <f aca="false">IF(EB70&lt;&gt;"Y","",COUNTIFS($EB$2:$EB$1000,"Y",$J$2:$J$1000,"&gt;"&amp;J70)+COUNTIFS($EB$2:$EB$1000,"Y",$J$2:$J$1000,J70,$ED$2:$ED$1000,"&lt;"&amp;ED70)+1)</f>
        <v/>
      </c>
      <c r="Z70" s="0" t="n">
        <v>69</v>
      </c>
      <c r="AA70" s="6" t="s">
        <v>162</v>
      </c>
      <c r="AB70" s="6" t="s">
        <v>6411</v>
      </c>
      <c r="AC70" s="6" t="s">
        <v>4588</v>
      </c>
      <c r="AD70" s="6" t="s">
        <v>598</v>
      </c>
      <c r="AE70" s="6" t="s">
        <v>172</v>
      </c>
      <c r="AF70" s="6" t="s">
        <v>6410</v>
      </c>
      <c r="AG70" s="6" t="s">
        <v>166</v>
      </c>
      <c r="AH70" s="6" t="s">
        <v>6412</v>
      </c>
      <c r="AI70" s="6" t="s">
        <v>5765</v>
      </c>
      <c r="AJ70" s="6" t="s">
        <v>6413</v>
      </c>
      <c r="AK70" s="6" t="s">
        <v>6414</v>
      </c>
      <c r="AL70" s="6" t="s">
        <v>168</v>
      </c>
      <c r="AM70" s="6" t="s">
        <v>6415</v>
      </c>
      <c r="AN70" s="6" t="s">
        <v>6403</v>
      </c>
      <c r="AO70" s="5" t="s">
        <v>162</v>
      </c>
      <c r="AR70" s="0" t="str">
        <f aca="false">IF(AND(AU70="pass",AO70&lt;&gt;"Y",C70&lt;&gt;""),"Y","N")</f>
        <v>N</v>
      </c>
      <c r="AS70" s="0" t="str">
        <f aca="false">_xlfn.TEXTJOIN("; ",TRUE(),IF(AU70&lt;&gt;"pass","gated out",""),IF(AO70="Y","on hold: "&amp;AP70,""),IF(C70="","no contact named on an opened page",""))</f>
        <v>no contact named on an opened page</v>
      </c>
      <c r="AU70" s="6" t="s">
        <v>181</v>
      </c>
      <c r="AW70" s="6" t="s">
        <v>182</v>
      </c>
      <c r="AX70" s="6" t="s">
        <v>4595</v>
      </c>
      <c r="AY70" s="6" t="s">
        <v>6414</v>
      </c>
      <c r="AZ70" s="6" t="s">
        <v>6365</v>
      </c>
      <c r="BA70" s="6" t="s">
        <v>5273</v>
      </c>
      <c r="BB70" s="6" t="s">
        <v>163</v>
      </c>
      <c r="BD70" s="6" t="s">
        <v>168</v>
      </c>
      <c r="BE70" s="6" t="s">
        <v>6416</v>
      </c>
      <c r="BF70" s="6" t="s">
        <v>168</v>
      </c>
      <c r="BG70" s="6" t="s">
        <v>168</v>
      </c>
      <c r="BH70" s="6" t="s">
        <v>163</v>
      </c>
      <c r="BJ70" s="6" t="s">
        <v>5551</v>
      </c>
      <c r="BK70" s="6" t="s">
        <v>162</v>
      </c>
      <c r="BL70" s="6" t="s">
        <v>162</v>
      </c>
      <c r="BN70" s="0" t="n">
        <v>0</v>
      </c>
      <c r="BO70" s="6" t="s">
        <v>168</v>
      </c>
      <c r="BP70" s="0" t="n">
        <v>4</v>
      </c>
      <c r="BQ70" s="6" t="s">
        <v>6417</v>
      </c>
      <c r="BR70" s="6" t="s">
        <v>6418</v>
      </c>
      <c r="BS70" s="6" t="s">
        <v>6419</v>
      </c>
      <c r="BT70" s="6" t="s">
        <v>6420</v>
      </c>
      <c r="BU70" s="6" t="s">
        <v>598</v>
      </c>
      <c r="BV70" s="0" t="n">
        <v>177</v>
      </c>
      <c r="BX70" s="6" t="s">
        <v>6421</v>
      </c>
      <c r="CF70" s="6" t="s">
        <v>158</v>
      </c>
      <c r="CK70" s="6" t="s">
        <v>158</v>
      </c>
      <c r="CL70" s="0" t="n">
        <v>48</v>
      </c>
      <c r="CM70" s="0" t="n">
        <v>17</v>
      </c>
      <c r="CN70" s="0" t="n">
        <v>17</v>
      </c>
      <c r="CO70" s="0" t="n">
        <v>0</v>
      </c>
      <c r="CP70" s="0" t="n">
        <v>5</v>
      </c>
      <c r="CQ70" s="0" t="n">
        <v>10</v>
      </c>
      <c r="CR70" s="0" t="n">
        <v>3</v>
      </c>
      <c r="CS70" s="6" t="n">
        <f aca="false">IF(R70="Y",10,0)</f>
        <v>0</v>
      </c>
      <c r="CT70" s="0" t="n">
        <v>-4</v>
      </c>
      <c r="CU70" s="6" t="s">
        <v>163</v>
      </c>
      <c r="CV70" s="6" t="s">
        <v>5564</v>
      </c>
      <c r="CW70" s="6" t="s">
        <v>6422</v>
      </c>
      <c r="CX70" s="6" t="s">
        <v>6423</v>
      </c>
      <c r="CY70" s="6" t="s">
        <v>6424</v>
      </c>
      <c r="DA70" s="6" t="s">
        <v>6236</v>
      </c>
      <c r="DY70" s="0" t="str">
        <f aca="false">IF(ISNUMBER(MATCH(U70,{"queued","contacted","replied","call_booked","call_done","yes_in_principle","materials_sent"},0)),"Y","N")</f>
        <v>N</v>
      </c>
      <c r="DZ70" s="0" t="str">
        <f aca="false">IF(COUNTIFS($AN$2:$AN$1000,AN70,$DY$2:$DY$1000,"Y")+COUNTIFS($AN$2:$AN$1000,AN70,$T$2:$T$1000,"Y")&gt;0,"Y","N")</f>
        <v>N</v>
      </c>
      <c r="EA70" s="0" t="str">
        <f aca="false">IF(AND(U70="new",T70="N",AR70="Y",AQ70="",DZ70="N"),"Y","N")</f>
        <v>N</v>
      </c>
      <c r="EB70" s="0" t="str">
        <f aca="false">IF(EA70&lt;&gt;"Y","N",IF(COUNTIFS($AN$2:$AN$1000,AN70,$EA$2:$EA$1000,"Y",$J$2:$J$1000,"&gt;"&amp;J70)+COUNTIFS($AN$2:$AN$1000,AN70,$EA$2:$EA$1000,"Y",$J$2:$J$1000,J70,$ED$2:$ED$1000,"&lt;"&amp;ED70)=0,"Y","N"))</f>
        <v>N</v>
      </c>
      <c r="EC70" s="0" t="str">
        <f aca="false">IF(Y70="","N",IF(Y70&lt;=10,"Y","N"))</f>
        <v>N</v>
      </c>
      <c r="ED70" s="6" t="n">
        <f aca="false">ROW()-1</f>
        <v>69</v>
      </c>
    </row>
    <row r="71" customFormat="false" ht="15" hidden="false" customHeight="false" outlineLevel="0" collapsed="false">
      <c r="A71" s="0" t="s">
        <v>6425</v>
      </c>
      <c r="B71" s="0" t="s">
        <v>6426</v>
      </c>
      <c r="C71" s="0" t="s">
        <v>6427</v>
      </c>
      <c r="D71" s="0" t="s">
        <v>163</v>
      </c>
      <c r="E71" s="0" t="s">
        <v>4773</v>
      </c>
      <c r="H71" s="5" t="s">
        <v>158</v>
      </c>
      <c r="I71" s="5" t="s">
        <v>159</v>
      </c>
      <c r="J71" s="6" t="n">
        <f aca="false">IF(AU71="pass",CM71+CN71+CO71+CP71+CQ71+CR71+CS71+CT71,0)</f>
        <v>48</v>
      </c>
      <c r="K71" s="6" t="s">
        <v>6428</v>
      </c>
      <c r="M71" s="6" t="s">
        <v>5293</v>
      </c>
      <c r="N71" s="6" t="s">
        <v>598</v>
      </c>
      <c r="O71" s="6" t="s">
        <v>6429</v>
      </c>
      <c r="P71" s="6" t="s">
        <v>5600</v>
      </c>
      <c r="Q71" s="6" t="s">
        <v>2614</v>
      </c>
      <c r="R71" s="5" t="s">
        <v>162</v>
      </c>
      <c r="S71" s="6" t="s">
        <v>168</v>
      </c>
      <c r="T71" s="5" t="s">
        <v>162</v>
      </c>
      <c r="U71" s="5" t="s">
        <v>228</v>
      </c>
      <c r="V71" s="6" t="s">
        <v>5600</v>
      </c>
      <c r="W71" s="6" t="s">
        <v>174</v>
      </c>
      <c r="X71" s="6" t="s">
        <v>4586</v>
      </c>
      <c r="Y71" s="6" t="n">
        <f aca="false">IF(EB71&lt;&gt;"Y","",COUNTIFS($EB$2:$EB$1000,"Y",$J$2:$J$1000,"&gt;"&amp;J71)+COUNTIFS($EB$2:$EB$1000,"Y",$J$2:$J$1000,J71,$ED$2:$ED$1000,"&lt;"&amp;ED71)+1)</f>
        <v>63</v>
      </c>
      <c r="Z71" s="0" t="n">
        <v>70</v>
      </c>
      <c r="AA71" s="6" t="s">
        <v>162</v>
      </c>
      <c r="AB71" s="6" t="s">
        <v>6430</v>
      </c>
      <c r="AC71" s="6" t="s">
        <v>4588</v>
      </c>
      <c r="AD71" s="6" t="s">
        <v>5010</v>
      </c>
      <c r="AE71" s="6" t="s">
        <v>172</v>
      </c>
      <c r="AF71" s="6" t="s">
        <v>6431</v>
      </c>
      <c r="AG71" s="6" t="s">
        <v>174</v>
      </c>
      <c r="AH71" s="6" t="s">
        <v>6432</v>
      </c>
      <c r="AI71" s="6" t="s">
        <v>4665</v>
      </c>
      <c r="AJ71" s="6" t="s">
        <v>6433</v>
      </c>
      <c r="AK71" s="6" t="s">
        <v>6434</v>
      </c>
      <c r="AL71" s="6" t="s">
        <v>168</v>
      </c>
      <c r="AM71" s="6" t="s">
        <v>6435</v>
      </c>
      <c r="AN71" s="6" t="s">
        <v>6425</v>
      </c>
      <c r="AO71" s="5" t="s">
        <v>162</v>
      </c>
      <c r="AR71" s="0" t="str">
        <f aca="false">IF(AND(AU71="pass",AO71&lt;&gt;"Y",C71&lt;&gt;""),"Y","N")</f>
        <v>Y</v>
      </c>
      <c r="AS71" s="0" t="str">
        <f aca="false">_xlfn.TEXTJOIN("; ",TRUE(),IF(AU71&lt;&gt;"pass","gated out",""),IF(AO71="Y","on hold: "&amp;AP71,""),IF(C71="","no contact named on an opened page",""))</f>
        <v/>
      </c>
      <c r="AU71" s="6" t="s">
        <v>181</v>
      </c>
      <c r="AW71" s="6" t="s">
        <v>182</v>
      </c>
      <c r="AX71" s="6" t="s">
        <v>283</v>
      </c>
      <c r="AY71" s="6" t="s">
        <v>6434</v>
      </c>
      <c r="AZ71" s="6" t="s">
        <v>4596</v>
      </c>
      <c r="BA71" s="6" t="s">
        <v>4953</v>
      </c>
      <c r="BB71" s="6" t="s">
        <v>163</v>
      </c>
      <c r="BD71" s="6" t="s">
        <v>168</v>
      </c>
      <c r="BE71" s="6" t="s">
        <v>6436</v>
      </c>
      <c r="BF71" s="6" t="s">
        <v>163</v>
      </c>
      <c r="BG71" s="6" t="s">
        <v>168</v>
      </c>
      <c r="BH71" s="6" t="s">
        <v>163</v>
      </c>
      <c r="BJ71" s="6" t="s">
        <v>5145</v>
      </c>
      <c r="BK71" s="6" t="s">
        <v>162</v>
      </c>
      <c r="BL71" s="6" t="s">
        <v>162</v>
      </c>
      <c r="BO71" s="6" t="s">
        <v>162</v>
      </c>
      <c r="BP71" s="0" t="n">
        <v>0</v>
      </c>
      <c r="BS71" s="6" t="s">
        <v>6437</v>
      </c>
      <c r="BU71" s="6" t="s">
        <v>4605</v>
      </c>
      <c r="BV71" s="0" t="n">
        <v>5</v>
      </c>
      <c r="BW71" s="6" t="s">
        <v>5734</v>
      </c>
      <c r="BX71" s="6" t="s">
        <v>6427</v>
      </c>
      <c r="BY71" s="6" t="s">
        <v>6438</v>
      </c>
      <c r="CA71" s="6" t="s">
        <v>6439</v>
      </c>
      <c r="CB71" s="6" t="s">
        <v>6439</v>
      </c>
      <c r="CC71" s="6" t="s">
        <v>163</v>
      </c>
      <c r="CD71" s="6" t="s">
        <v>6440</v>
      </c>
      <c r="CE71" s="6" t="s">
        <v>4810</v>
      </c>
      <c r="CF71" s="6" t="s">
        <v>5010</v>
      </c>
      <c r="CG71" s="6" t="s">
        <v>6441</v>
      </c>
      <c r="CK71" s="6" t="s">
        <v>158</v>
      </c>
      <c r="CL71" s="0" t="n">
        <v>48</v>
      </c>
      <c r="CM71" s="0" t="n">
        <v>6</v>
      </c>
      <c r="CN71" s="0" t="n">
        <v>13</v>
      </c>
      <c r="CO71" s="0" t="n">
        <v>15</v>
      </c>
      <c r="CP71" s="0" t="n">
        <v>5</v>
      </c>
      <c r="CQ71" s="0" t="n">
        <v>8</v>
      </c>
      <c r="CR71" s="0" t="n">
        <v>3</v>
      </c>
      <c r="CS71" s="6" t="n">
        <f aca="false">IF(R71="Y",10,0)</f>
        <v>0</v>
      </c>
      <c r="CT71" s="0" t="n">
        <v>-2</v>
      </c>
      <c r="CU71" s="6" t="s">
        <v>6442</v>
      </c>
      <c r="CV71" s="6" t="s">
        <v>5152</v>
      </c>
      <c r="CW71" s="6" t="s">
        <v>6443</v>
      </c>
      <c r="CX71" s="6" t="s">
        <v>6444</v>
      </c>
      <c r="CZ71" s="6" t="s">
        <v>6431</v>
      </c>
      <c r="DA71" s="6" t="s">
        <v>4621</v>
      </c>
      <c r="DC71" s="6" t="s">
        <v>172</v>
      </c>
      <c r="DY71" s="0" t="str">
        <f aca="false">IF(ISNUMBER(MATCH(U71,{"queued","contacted","replied","call_booked","call_done","yes_in_principle","materials_sent"},0)),"Y","N")</f>
        <v>N</v>
      </c>
      <c r="DZ71" s="0" t="str">
        <f aca="false">IF(COUNTIFS($AN$2:$AN$1000,AN71,$DY$2:$DY$1000,"Y")+COUNTIFS($AN$2:$AN$1000,AN71,$T$2:$T$1000,"Y")&gt;0,"Y","N")</f>
        <v>N</v>
      </c>
      <c r="EA71" s="0" t="str">
        <f aca="false">IF(AND(U71="new",T71="N",AR71="Y",AQ71="",DZ71="N"),"Y","N")</f>
        <v>Y</v>
      </c>
      <c r="EB71" s="0" t="str">
        <f aca="false">IF(EA71&lt;&gt;"Y","N",IF(COUNTIFS($AN$2:$AN$1000,AN71,$EA$2:$EA$1000,"Y",$J$2:$J$1000,"&gt;"&amp;J71)+COUNTIFS($AN$2:$AN$1000,AN71,$EA$2:$EA$1000,"Y",$J$2:$J$1000,J71,$ED$2:$ED$1000,"&lt;"&amp;ED71)=0,"Y","N"))</f>
        <v>Y</v>
      </c>
      <c r="EC71" s="0" t="str">
        <f aca="false">IF(Y71="","N",IF(Y71&lt;=10,"Y","N"))</f>
        <v>N</v>
      </c>
      <c r="ED71" s="6" t="n">
        <f aca="false">ROW()-1</f>
        <v>70</v>
      </c>
    </row>
    <row r="72" customFormat="false" ht="15" hidden="false" customHeight="false" outlineLevel="0" collapsed="false">
      <c r="A72" s="0" t="s">
        <v>6445</v>
      </c>
      <c r="B72" s="0" t="s">
        <v>6446</v>
      </c>
      <c r="C72" s="0" t="s">
        <v>6447</v>
      </c>
      <c r="D72" s="0" t="s">
        <v>6448</v>
      </c>
      <c r="E72" s="0" t="s">
        <v>4657</v>
      </c>
      <c r="H72" s="5" t="s">
        <v>158</v>
      </c>
      <c r="I72" s="5" t="s">
        <v>159</v>
      </c>
      <c r="J72" s="6" t="n">
        <f aca="false">IF(AU72="pass",CM72+CN72+CO72+CP72+CQ72+CR72+CS72+CT72,0)</f>
        <v>48</v>
      </c>
      <c r="K72" s="6" t="s">
        <v>6449</v>
      </c>
      <c r="M72" s="6" t="s">
        <v>5293</v>
      </c>
      <c r="N72" s="6" t="s">
        <v>598</v>
      </c>
      <c r="R72" s="5" t="s">
        <v>162</v>
      </c>
      <c r="S72" s="6" t="s">
        <v>163</v>
      </c>
      <c r="T72" s="5" t="s">
        <v>162</v>
      </c>
      <c r="U72" s="5" t="s">
        <v>228</v>
      </c>
      <c r="V72" s="6" t="s">
        <v>6450</v>
      </c>
      <c r="W72" s="6" t="s">
        <v>166</v>
      </c>
      <c r="X72" s="6" t="s">
        <v>4586</v>
      </c>
      <c r="Y72" s="6" t="n">
        <f aca="false">IF(EB72&lt;&gt;"Y","",COUNTIFS($EB$2:$EB$1000,"Y",$J$2:$J$1000,"&gt;"&amp;J72)+COUNTIFS($EB$2:$EB$1000,"Y",$J$2:$J$1000,J72,$ED$2:$ED$1000,"&lt;"&amp;ED72)+1)</f>
        <v>64</v>
      </c>
      <c r="Z72" s="0" t="n">
        <v>71</v>
      </c>
      <c r="AA72" s="6" t="s">
        <v>162</v>
      </c>
      <c r="AB72" s="6" t="s">
        <v>6451</v>
      </c>
      <c r="AC72" s="6" t="s">
        <v>4588</v>
      </c>
      <c r="AD72" s="6" t="s">
        <v>171</v>
      </c>
      <c r="AE72" s="6" t="s">
        <v>1190</v>
      </c>
      <c r="AF72" s="6" t="s">
        <v>6452</v>
      </c>
      <c r="AG72" s="6" t="s">
        <v>166</v>
      </c>
      <c r="AH72" s="6" t="s">
        <v>6453</v>
      </c>
      <c r="AI72" s="6" t="s">
        <v>4724</v>
      </c>
      <c r="AJ72" s="6" t="s">
        <v>4635</v>
      </c>
      <c r="AK72" s="6" t="s">
        <v>6454</v>
      </c>
      <c r="AL72" s="6" t="s">
        <v>168</v>
      </c>
      <c r="AM72" s="6" t="s">
        <v>6455</v>
      </c>
      <c r="AN72" s="6" t="s">
        <v>6445</v>
      </c>
      <c r="AO72" s="5" t="s">
        <v>162</v>
      </c>
      <c r="AR72" s="0" t="str">
        <f aca="false">IF(AND(AU72="pass",AO72&lt;&gt;"Y",C72&lt;&gt;""),"Y","N")</f>
        <v>Y</v>
      </c>
      <c r="AS72" s="0" t="str">
        <f aca="false">_xlfn.TEXTJOIN("; ",TRUE(),IF(AU72&lt;&gt;"pass","gated out",""),IF(AO72="Y","on hold: "&amp;AP72,""),IF(C72="","no contact named on an opened page",""))</f>
        <v/>
      </c>
      <c r="AU72" s="6" t="s">
        <v>181</v>
      </c>
      <c r="AW72" s="6" t="s">
        <v>182</v>
      </c>
      <c r="AX72" s="6" t="s">
        <v>4595</v>
      </c>
      <c r="AY72" s="6" t="s">
        <v>6454</v>
      </c>
      <c r="AZ72" s="6" t="s">
        <v>4596</v>
      </c>
      <c r="BA72" s="6" t="s">
        <v>4597</v>
      </c>
      <c r="BB72" s="6" t="s">
        <v>6456</v>
      </c>
      <c r="BC72" s="6" t="s">
        <v>6452</v>
      </c>
      <c r="BD72" s="6" t="s">
        <v>168</v>
      </c>
      <c r="BE72" s="6" t="s">
        <v>6457</v>
      </c>
      <c r="BF72" s="6" t="s">
        <v>168</v>
      </c>
      <c r="BG72" s="6" t="s">
        <v>168</v>
      </c>
      <c r="BH72" s="6" t="s">
        <v>6458</v>
      </c>
      <c r="BI72" s="6" t="s">
        <v>6459</v>
      </c>
      <c r="BJ72" s="6" t="s">
        <v>6460</v>
      </c>
      <c r="BK72" s="6" t="s">
        <v>162</v>
      </c>
      <c r="BL72" s="6" t="s">
        <v>162</v>
      </c>
      <c r="BO72" s="6" t="s">
        <v>162</v>
      </c>
      <c r="BP72" s="0" t="n">
        <v>0</v>
      </c>
      <c r="BS72" s="6" t="s">
        <v>6461</v>
      </c>
      <c r="BT72" s="6" t="s">
        <v>6462</v>
      </c>
      <c r="BU72" s="6" t="s">
        <v>158</v>
      </c>
      <c r="BX72" s="6" t="s">
        <v>6463</v>
      </c>
      <c r="CF72" s="6" t="s">
        <v>158</v>
      </c>
      <c r="CK72" s="6" t="s">
        <v>158</v>
      </c>
      <c r="CL72" s="0" t="n">
        <v>48</v>
      </c>
      <c r="CM72" s="0" t="n">
        <v>6</v>
      </c>
      <c r="CN72" s="0" t="n">
        <v>20</v>
      </c>
      <c r="CO72" s="0" t="n">
        <v>0</v>
      </c>
      <c r="CP72" s="0" t="n">
        <v>10</v>
      </c>
      <c r="CQ72" s="0" t="n">
        <v>10</v>
      </c>
      <c r="CR72" s="0" t="n">
        <v>6</v>
      </c>
      <c r="CS72" s="6" t="n">
        <f aca="false">IF(R72="Y",10,0)</f>
        <v>0</v>
      </c>
      <c r="CT72" s="0" t="n">
        <v>-4</v>
      </c>
      <c r="CU72" s="6" t="s">
        <v>6464</v>
      </c>
      <c r="CV72" s="6" t="s">
        <v>4704</v>
      </c>
      <c r="CW72" s="6" t="s">
        <v>6465</v>
      </c>
      <c r="CX72" s="6" t="s">
        <v>6466</v>
      </c>
      <c r="DA72" s="6" t="s">
        <v>6236</v>
      </c>
      <c r="DY72" s="0" t="str">
        <f aca="false">IF(ISNUMBER(MATCH(U72,{"queued","contacted","replied","call_booked","call_done","yes_in_principle","materials_sent"},0)),"Y","N")</f>
        <v>N</v>
      </c>
      <c r="DZ72" s="0" t="str">
        <f aca="false">IF(COUNTIFS($AN$2:$AN$1000,AN72,$DY$2:$DY$1000,"Y")+COUNTIFS($AN$2:$AN$1000,AN72,$T$2:$T$1000,"Y")&gt;0,"Y","N")</f>
        <v>N</v>
      </c>
      <c r="EA72" s="0" t="str">
        <f aca="false">IF(AND(U72="new",T72="N",AR72="Y",AQ72="",DZ72="N"),"Y","N")</f>
        <v>Y</v>
      </c>
      <c r="EB72" s="0" t="str">
        <f aca="false">IF(EA72&lt;&gt;"Y","N",IF(COUNTIFS($AN$2:$AN$1000,AN72,$EA$2:$EA$1000,"Y",$J$2:$J$1000,"&gt;"&amp;J72)+COUNTIFS($AN$2:$AN$1000,AN72,$EA$2:$EA$1000,"Y",$J$2:$J$1000,J72,$ED$2:$ED$1000,"&lt;"&amp;ED72)=0,"Y","N"))</f>
        <v>Y</v>
      </c>
      <c r="EC72" s="0" t="str">
        <f aca="false">IF(Y72="","N",IF(Y72&lt;=10,"Y","N"))</f>
        <v>N</v>
      </c>
      <c r="ED72" s="6" t="n">
        <f aca="false">ROW()-1</f>
        <v>71</v>
      </c>
    </row>
    <row r="73" customFormat="false" ht="15" hidden="false" customHeight="false" outlineLevel="0" collapsed="false">
      <c r="A73" s="0" t="s">
        <v>6467</v>
      </c>
      <c r="B73" s="0" t="s">
        <v>6468</v>
      </c>
      <c r="H73" s="5" t="s">
        <v>158</v>
      </c>
      <c r="I73" s="5"/>
      <c r="J73" s="6" t="n">
        <f aca="false">IF(AU73="pass",CM73+CN73+CO73+CP73+CQ73+CR73+CS73+CT73,0)</f>
        <v>47</v>
      </c>
      <c r="K73" s="6" t="s">
        <v>6469</v>
      </c>
      <c r="M73" s="6" t="s">
        <v>6470</v>
      </c>
      <c r="N73" s="6" t="s">
        <v>4582</v>
      </c>
      <c r="O73" s="6" t="s">
        <v>6471</v>
      </c>
      <c r="P73" s="6" t="s">
        <v>6472</v>
      </c>
      <c r="Q73" s="6" t="s">
        <v>4797</v>
      </c>
      <c r="R73" s="5" t="s">
        <v>162</v>
      </c>
      <c r="S73" s="6" t="s">
        <v>168</v>
      </c>
      <c r="T73" s="5" t="s">
        <v>162</v>
      </c>
      <c r="U73" s="5" t="s">
        <v>228</v>
      </c>
      <c r="V73" s="6" t="s">
        <v>6473</v>
      </c>
      <c r="W73" s="6" t="s">
        <v>166</v>
      </c>
      <c r="X73" s="6" t="s">
        <v>4586</v>
      </c>
      <c r="Y73" s="0" t="str">
        <f aca="false">IF(EB73&lt;&gt;"Y","",COUNTIFS($EB$2:$EB$1000,"Y",$J$2:$J$1000,"&gt;"&amp;J73)+COUNTIFS($EB$2:$EB$1000,"Y",$J$2:$J$1000,J73,$ED$2:$ED$1000,"&lt;"&amp;ED73)+1)</f>
        <v/>
      </c>
      <c r="Z73" s="0" t="n">
        <v>72</v>
      </c>
      <c r="AA73" s="6" t="s">
        <v>162</v>
      </c>
      <c r="AB73" s="6" t="s">
        <v>6474</v>
      </c>
      <c r="AD73" s="6" t="s">
        <v>158</v>
      </c>
      <c r="AH73" s="6" t="s">
        <v>6475</v>
      </c>
      <c r="AI73" s="6" t="s">
        <v>5385</v>
      </c>
      <c r="AJ73" s="6" t="s">
        <v>6476</v>
      </c>
      <c r="AK73" s="6" t="s">
        <v>6473</v>
      </c>
      <c r="AL73" s="6" t="s">
        <v>168</v>
      </c>
      <c r="AM73" s="6" t="s">
        <v>6477</v>
      </c>
      <c r="AN73" s="6" t="s">
        <v>6467</v>
      </c>
      <c r="AO73" s="5" t="s">
        <v>162</v>
      </c>
      <c r="AR73" s="0" t="str">
        <f aca="false">IF(AND(AU73="pass",AO73&lt;&gt;"Y",C73&lt;&gt;""),"Y","N")</f>
        <v>N</v>
      </c>
      <c r="AS73" s="0" t="str">
        <f aca="false">_xlfn.TEXTJOIN("; ",TRUE(),IF(AU73&lt;&gt;"pass","gated out",""),IF(AO73="Y","on hold: "&amp;AP73,""),IF(C73="","no contact named on an opened page",""))</f>
        <v>no contact named on an opened page</v>
      </c>
      <c r="AU73" s="6" t="s">
        <v>181</v>
      </c>
      <c r="AW73" s="6" t="s">
        <v>182</v>
      </c>
      <c r="AX73" s="6" t="s">
        <v>4595</v>
      </c>
      <c r="AY73" s="6" t="s">
        <v>6473</v>
      </c>
      <c r="AZ73" s="6" t="s">
        <v>6478</v>
      </c>
      <c r="BA73" s="6" t="s">
        <v>5193</v>
      </c>
      <c r="BB73" s="6" t="s">
        <v>163</v>
      </c>
      <c r="BD73" s="6" t="s">
        <v>168</v>
      </c>
      <c r="BE73" s="6" t="s">
        <v>6479</v>
      </c>
      <c r="BF73" s="6" t="s">
        <v>168</v>
      </c>
      <c r="BG73" s="6" t="s">
        <v>168</v>
      </c>
      <c r="BH73" s="6" t="s">
        <v>163</v>
      </c>
      <c r="BJ73" s="6" t="s">
        <v>163</v>
      </c>
      <c r="BK73" s="6" t="s">
        <v>162</v>
      </c>
      <c r="BL73" s="6" t="s">
        <v>162</v>
      </c>
      <c r="BN73" s="0" t="n">
        <v>3</v>
      </c>
      <c r="BO73" s="6" t="s">
        <v>162</v>
      </c>
      <c r="BP73" s="0" t="n">
        <v>1</v>
      </c>
      <c r="BQ73" s="6" t="s">
        <v>6480</v>
      </c>
      <c r="BS73" s="6" t="s">
        <v>4983</v>
      </c>
      <c r="BT73" s="6" t="s">
        <v>6481</v>
      </c>
      <c r="BU73" s="6" t="s">
        <v>4695</v>
      </c>
      <c r="BV73" s="0" t="n">
        <v>36</v>
      </c>
      <c r="BW73" s="6" t="s">
        <v>6482</v>
      </c>
      <c r="CF73" s="6" t="s">
        <v>158</v>
      </c>
      <c r="CK73" s="6" t="s">
        <v>158</v>
      </c>
      <c r="CL73" s="0" t="n">
        <v>47</v>
      </c>
      <c r="CM73" s="0" t="n">
        <v>20</v>
      </c>
      <c r="CN73" s="0" t="n">
        <v>8</v>
      </c>
      <c r="CO73" s="0" t="n">
        <v>8</v>
      </c>
      <c r="CP73" s="0" t="n">
        <v>5</v>
      </c>
      <c r="CQ73" s="0" t="n">
        <v>10</v>
      </c>
      <c r="CR73" s="0" t="n">
        <v>0</v>
      </c>
      <c r="CS73" s="6" t="n">
        <f aca="false">IF(R73="Y",10,0)</f>
        <v>0</v>
      </c>
      <c r="CT73" s="0" t="n">
        <v>-4</v>
      </c>
      <c r="CU73" s="6" t="s">
        <v>163</v>
      </c>
      <c r="CV73" s="6" t="s">
        <v>4843</v>
      </c>
      <c r="CW73" s="6" t="s">
        <v>6483</v>
      </c>
      <c r="CX73" s="6" t="s">
        <v>6484</v>
      </c>
      <c r="CY73" s="6" t="s">
        <v>6485</v>
      </c>
      <c r="DA73" s="6" t="s">
        <v>6236</v>
      </c>
      <c r="DY73" s="0" t="str">
        <f aca="false">IF(ISNUMBER(MATCH(U73,{"queued","contacted","replied","call_booked","call_done","yes_in_principle","materials_sent"},0)),"Y","N")</f>
        <v>N</v>
      </c>
      <c r="DZ73" s="0" t="str">
        <f aca="false">IF(COUNTIFS($AN$2:$AN$1000,AN73,$DY$2:$DY$1000,"Y")+COUNTIFS($AN$2:$AN$1000,AN73,$T$2:$T$1000,"Y")&gt;0,"Y","N")</f>
        <v>N</v>
      </c>
      <c r="EA73" s="0" t="str">
        <f aca="false">IF(AND(U73="new",T73="N",AR73="Y",AQ73="",DZ73="N"),"Y","N")</f>
        <v>N</v>
      </c>
      <c r="EB73" s="0" t="str">
        <f aca="false">IF(EA73&lt;&gt;"Y","N",IF(COUNTIFS($AN$2:$AN$1000,AN73,$EA$2:$EA$1000,"Y",$J$2:$J$1000,"&gt;"&amp;J73)+COUNTIFS($AN$2:$AN$1000,AN73,$EA$2:$EA$1000,"Y",$J$2:$J$1000,J73,$ED$2:$ED$1000,"&lt;"&amp;ED73)=0,"Y","N"))</f>
        <v>N</v>
      </c>
      <c r="EC73" s="0" t="str">
        <f aca="false">IF(Y73="","N",IF(Y73&lt;=10,"Y","N"))</f>
        <v>N</v>
      </c>
      <c r="ED73" s="6" t="n">
        <f aca="false">ROW()-1</f>
        <v>72</v>
      </c>
    </row>
    <row r="74" customFormat="false" ht="15" hidden="false" customHeight="false" outlineLevel="0" collapsed="false">
      <c r="A74" s="0" t="s">
        <v>6486</v>
      </c>
      <c r="B74" s="0" t="s">
        <v>6487</v>
      </c>
      <c r="C74" s="0" t="s">
        <v>6488</v>
      </c>
      <c r="D74" s="0" t="s">
        <v>6489</v>
      </c>
      <c r="E74" s="0" t="s">
        <v>4657</v>
      </c>
      <c r="H74" s="5" t="s">
        <v>158</v>
      </c>
      <c r="I74" s="5" t="s">
        <v>159</v>
      </c>
      <c r="J74" s="6" t="n">
        <f aca="false">IF(AU74="pass",CM74+CN74+CO74+CP74+CQ74+CR74+CS74+CT74,0)</f>
        <v>47</v>
      </c>
      <c r="K74" s="6" t="s">
        <v>6490</v>
      </c>
      <c r="M74" s="6" t="s">
        <v>4581</v>
      </c>
      <c r="N74" s="6" t="s">
        <v>4582</v>
      </c>
      <c r="R74" s="5" t="s">
        <v>162</v>
      </c>
      <c r="S74" s="6" t="s">
        <v>163</v>
      </c>
      <c r="T74" s="5" t="s">
        <v>162</v>
      </c>
      <c r="U74" s="5" t="s">
        <v>228</v>
      </c>
      <c r="V74" s="6" t="s">
        <v>6491</v>
      </c>
      <c r="W74" s="6" t="s">
        <v>166</v>
      </c>
      <c r="X74" s="6" t="s">
        <v>4586</v>
      </c>
      <c r="Y74" s="6" t="n">
        <f aca="false">IF(EB74&lt;&gt;"Y","",COUNTIFS($EB$2:$EB$1000,"Y",$J$2:$J$1000,"&gt;"&amp;J74)+COUNTIFS($EB$2:$EB$1000,"Y",$J$2:$J$1000,J74,$ED$2:$ED$1000,"&lt;"&amp;ED74)+1)</f>
        <v>65</v>
      </c>
      <c r="Z74" s="0" t="n">
        <v>73</v>
      </c>
      <c r="AA74" s="6" t="s">
        <v>162</v>
      </c>
      <c r="AB74" s="6" t="s">
        <v>6492</v>
      </c>
      <c r="AC74" s="6" t="s">
        <v>4588</v>
      </c>
      <c r="AD74" s="6" t="s">
        <v>171</v>
      </c>
      <c r="AE74" s="6" t="s">
        <v>1190</v>
      </c>
      <c r="AF74" s="6" t="s">
        <v>6493</v>
      </c>
      <c r="AG74" s="6" t="s">
        <v>166</v>
      </c>
      <c r="AH74" s="6" t="s">
        <v>6494</v>
      </c>
      <c r="AI74" s="6" t="s">
        <v>5655</v>
      </c>
      <c r="AJ74" s="6" t="s">
        <v>6495</v>
      </c>
      <c r="AK74" s="6" t="s">
        <v>6496</v>
      </c>
      <c r="AL74" s="6" t="s">
        <v>168</v>
      </c>
      <c r="AM74" s="6" t="s">
        <v>4691</v>
      </c>
      <c r="AN74" s="6" t="s">
        <v>6486</v>
      </c>
      <c r="AO74" s="5" t="s">
        <v>162</v>
      </c>
      <c r="AR74" s="0" t="str">
        <f aca="false">IF(AND(AU74="pass",AO74&lt;&gt;"Y",C74&lt;&gt;""),"Y","N")</f>
        <v>Y</v>
      </c>
      <c r="AS74" s="0" t="str">
        <f aca="false">_xlfn.TEXTJOIN("; ",TRUE(),IF(AU74&lt;&gt;"pass","gated out",""),IF(AO74="Y","on hold: "&amp;AP74,""),IF(C74="","no contact named on an opened page",""))</f>
        <v/>
      </c>
      <c r="AU74" s="6" t="s">
        <v>181</v>
      </c>
      <c r="AW74" s="6" t="s">
        <v>182</v>
      </c>
      <c r="AY74" s="6" t="s">
        <v>6496</v>
      </c>
      <c r="AZ74" s="6" t="s">
        <v>6497</v>
      </c>
      <c r="BA74" s="6" t="s">
        <v>5331</v>
      </c>
      <c r="BB74" s="6" t="s">
        <v>163</v>
      </c>
      <c r="BD74" s="6" t="s">
        <v>264</v>
      </c>
      <c r="BE74" s="6" t="s">
        <v>6498</v>
      </c>
      <c r="BF74" s="6" t="s">
        <v>168</v>
      </c>
      <c r="BG74" s="6" t="s">
        <v>168</v>
      </c>
      <c r="BH74" s="6" t="s">
        <v>163</v>
      </c>
      <c r="BJ74" s="6" t="s">
        <v>163</v>
      </c>
      <c r="BK74" s="6" t="s">
        <v>162</v>
      </c>
      <c r="BL74" s="6" t="s">
        <v>162</v>
      </c>
      <c r="BN74" s="0" t="n">
        <v>0</v>
      </c>
      <c r="BO74" s="6" t="s">
        <v>168</v>
      </c>
      <c r="BP74" s="0" t="n">
        <v>2</v>
      </c>
      <c r="BQ74" s="6" t="s">
        <v>4783</v>
      </c>
      <c r="BS74" s="6" t="s">
        <v>5846</v>
      </c>
      <c r="BT74" s="6" t="s">
        <v>6499</v>
      </c>
      <c r="BU74" s="6" t="s">
        <v>158</v>
      </c>
      <c r="BX74" s="6" t="s">
        <v>6500</v>
      </c>
      <c r="CF74" s="6" t="s">
        <v>158</v>
      </c>
      <c r="CK74" s="6" t="s">
        <v>158</v>
      </c>
      <c r="CL74" s="0" t="n">
        <v>47</v>
      </c>
      <c r="CM74" s="0" t="n">
        <v>25</v>
      </c>
      <c r="CN74" s="0" t="n">
        <v>3</v>
      </c>
      <c r="CO74" s="0" t="n">
        <v>0</v>
      </c>
      <c r="CP74" s="0" t="n">
        <v>5</v>
      </c>
      <c r="CQ74" s="0" t="n">
        <v>8</v>
      </c>
      <c r="CR74" s="0" t="n">
        <v>6</v>
      </c>
      <c r="CS74" s="6" t="n">
        <f aca="false">IF(R74="Y",10,0)</f>
        <v>0</v>
      </c>
      <c r="CT74" s="0" t="n">
        <v>0</v>
      </c>
      <c r="CU74" s="6" t="s">
        <v>6501</v>
      </c>
      <c r="CV74" s="6" t="s">
        <v>4704</v>
      </c>
      <c r="CW74" s="6" t="s">
        <v>6502</v>
      </c>
      <c r="CX74" s="6" t="s">
        <v>6503</v>
      </c>
      <c r="CY74" s="6" t="s">
        <v>6504</v>
      </c>
      <c r="DA74" s="6" t="s">
        <v>6236</v>
      </c>
      <c r="DY74" s="0" t="str">
        <f aca="false">IF(ISNUMBER(MATCH(U74,{"queued","contacted","replied","call_booked","call_done","yes_in_principle","materials_sent"},0)),"Y","N")</f>
        <v>N</v>
      </c>
      <c r="DZ74" s="0" t="str">
        <f aca="false">IF(COUNTIFS($AN$2:$AN$1000,AN74,$DY$2:$DY$1000,"Y")+COUNTIFS($AN$2:$AN$1000,AN74,$T$2:$T$1000,"Y")&gt;0,"Y","N")</f>
        <v>N</v>
      </c>
      <c r="EA74" s="0" t="str">
        <f aca="false">IF(AND(U74="new",T74="N",AR74="Y",AQ74="",DZ74="N"),"Y","N")</f>
        <v>Y</v>
      </c>
      <c r="EB74" s="0" t="str">
        <f aca="false">IF(EA74&lt;&gt;"Y","N",IF(COUNTIFS($AN$2:$AN$1000,AN74,$EA$2:$EA$1000,"Y",$J$2:$J$1000,"&gt;"&amp;J74)+COUNTIFS($AN$2:$AN$1000,AN74,$EA$2:$EA$1000,"Y",$J$2:$J$1000,J74,$ED$2:$ED$1000,"&lt;"&amp;ED74)=0,"Y","N"))</f>
        <v>Y</v>
      </c>
      <c r="EC74" s="0" t="str">
        <f aca="false">IF(Y74="","N",IF(Y74&lt;=10,"Y","N"))</f>
        <v>N</v>
      </c>
      <c r="ED74" s="6" t="n">
        <f aca="false">ROW()-1</f>
        <v>73</v>
      </c>
    </row>
    <row r="75" customFormat="false" ht="15" hidden="false" customHeight="false" outlineLevel="0" collapsed="false">
      <c r="A75" s="0" t="s">
        <v>6505</v>
      </c>
      <c r="B75" s="0" t="s">
        <v>6506</v>
      </c>
      <c r="C75" s="0" t="s">
        <v>6507</v>
      </c>
      <c r="D75" s="0" t="s">
        <v>6508</v>
      </c>
      <c r="E75" s="0" t="s">
        <v>4773</v>
      </c>
      <c r="H75" s="5" t="s">
        <v>158</v>
      </c>
      <c r="I75" s="5" t="s">
        <v>159</v>
      </c>
      <c r="J75" s="6" t="n">
        <f aca="false">IF(AU75="pass",CM75+CN75+CO75+CP75+CQ75+CR75+CS75+CT75,0)</f>
        <v>47</v>
      </c>
      <c r="K75" s="6" t="s">
        <v>6509</v>
      </c>
      <c r="M75" s="6" t="s">
        <v>4581</v>
      </c>
      <c r="N75" s="6" t="s">
        <v>4582</v>
      </c>
      <c r="R75" s="5" t="s">
        <v>162</v>
      </c>
      <c r="S75" s="6" t="s">
        <v>163</v>
      </c>
      <c r="T75" s="5" t="s">
        <v>162</v>
      </c>
      <c r="U75" s="5" t="s">
        <v>228</v>
      </c>
      <c r="V75" s="6" t="s">
        <v>6510</v>
      </c>
      <c r="W75" s="6" t="s">
        <v>166</v>
      </c>
      <c r="X75" s="6" t="s">
        <v>4586</v>
      </c>
      <c r="Y75" s="6" t="n">
        <f aca="false">IF(EB75&lt;&gt;"Y","",COUNTIFS($EB$2:$EB$1000,"Y",$J$2:$J$1000,"&gt;"&amp;J75)+COUNTIFS($EB$2:$EB$1000,"Y",$J$2:$J$1000,J75,$ED$2:$ED$1000,"&lt;"&amp;ED75)+1)</f>
        <v>66</v>
      </c>
      <c r="Z75" s="0" t="n">
        <v>74</v>
      </c>
      <c r="AA75" s="6" t="s">
        <v>162</v>
      </c>
      <c r="AB75" s="6" t="s">
        <v>6511</v>
      </c>
      <c r="AC75" s="6" t="s">
        <v>4588</v>
      </c>
      <c r="AD75" s="6" t="s">
        <v>171</v>
      </c>
      <c r="AE75" s="6" t="s">
        <v>172</v>
      </c>
      <c r="AF75" s="6" t="s">
        <v>6510</v>
      </c>
      <c r="AG75" s="6" t="s">
        <v>166</v>
      </c>
      <c r="AH75" s="6" t="s">
        <v>6512</v>
      </c>
      <c r="AI75" s="6" t="s">
        <v>4977</v>
      </c>
      <c r="AJ75" s="6" t="s">
        <v>6513</v>
      </c>
      <c r="AK75" s="6" t="s">
        <v>6514</v>
      </c>
      <c r="AL75" s="6" t="s">
        <v>168</v>
      </c>
      <c r="AM75" s="6" t="s">
        <v>6515</v>
      </c>
      <c r="AN75" s="6" t="s">
        <v>6505</v>
      </c>
      <c r="AO75" s="5" t="s">
        <v>162</v>
      </c>
      <c r="AR75" s="0" t="str">
        <f aca="false">IF(AND(AU75="pass",AO75&lt;&gt;"Y",C75&lt;&gt;""),"Y","N")</f>
        <v>Y</v>
      </c>
      <c r="AS75" s="0" t="str">
        <f aca="false">_xlfn.TEXTJOIN("; ",TRUE(),IF(AU75&lt;&gt;"pass","gated out",""),IF(AO75="Y","on hold: "&amp;AP75,""),IF(C75="","no contact named on an opened page",""))</f>
        <v/>
      </c>
      <c r="AU75" s="6" t="s">
        <v>181</v>
      </c>
      <c r="AW75" s="6" t="s">
        <v>182</v>
      </c>
      <c r="AX75" s="6" t="s">
        <v>283</v>
      </c>
      <c r="AY75" s="6" t="s">
        <v>6514</v>
      </c>
      <c r="AZ75" s="6" t="s">
        <v>6516</v>
      </c>
      <c r="BA75" s="6" t="s">
        <v>5060</v>
      </c>
      <c r="BB75" s="6" t="s">
        <v>163</v>
      </c>
      <c r="BD75" s="6" t="s">
        <v>168</v>
      </c>
      <c r="BE75" s="6" t="s">
        <v>6517</v>
      </c>
      <c r="BF75" s="6" t="s">
        <v>168</v>
      </c>
      <c r="BG75" s="6" t="s">
        <v>168</v>
      </c>
      <c r="BH75" s="6" t="s">
        <v>163</v>
      </c>
      <c r="BJ75" s="6" t="s">
        <v>163</v>
      </c>
      <c r="BK75" s="6" t="s">
        <v>162</v>
      </c>
      <c r="BL75" s="6" t="s">
        <v>162</v>
      </c>
      <c r="BN75" s="0" t="n">
        <v>0</v>
      </c>
      <c r="BO75" s="6" t="s">
        <v>168</v>
      </c>
      <c r="BP75" s="0" t="n">
        <v>11</v>
      </c>
      <c r="BQ75" s="6" t="s">
        <v>6518</v>
      </c>
      <c r="BR75" s="6" t="s">
        <v>4671</v>
      </c>
      <c r="BS75" s="6" t="s">
        <v>6519</v>
      </c>
      <c r="BT75" s="6" t="s">
        <v>6520</v>
      </c>
      <c r="BU75" s="6" t="s">
        <v>158</v>
      </c>
      <c r="BX75" s="6" t="s">
        <v>6521</v>
      </c>
      <c r="CF75" s="6" t="s">
        <v>158</v>
      </c>
      <c r="CK75" s="6" t="s">
        <v>158</v>
      </c>
      <c r="CL75" s="0" t="n">
        <v>47</v>
      </c>
      <c r="CM75" s="0" t="n">
        <v>25</v>
      </c>
      <c r="CN75" s="0" t="n">
        <v>3</v>
      </c>
      <c r="CO75" s="0" t="n">
        <v>0</v>
      </c>
      <c r="CP75" s="0" t="n">
        <v>5</v>
      </c>
      <c r="CQ75" s="0" t="n">
        <v>10</v>
      </c>
      <c r="CR75" s="0" t="n">
        <v>6</v>
      </c>
      <c r="CS75" s="6" t="n">
        <f aca="false">IF(R75="Y",10,0)</f>
        <v>0</v>
      </c>
      <c r="CT75" s="0" t="n">
        <v>-2</v>
      </c>
      <c r="CU75" s="6" t="s">
        <v>6522</v>
      </c>
      <c r="CV75" s="6" t="s">
        <v>4616</v>
      </c>
      <c r="CW75" s="6" t="s">
        <v>6523</v>
      </c>
      <c r="CX75" s="6" t="s">
        <v>6524</v>
      </c>
      <c r="CY75" s="6" t="s">
        <v>6525</v>
      </c>
      <c r="DA75" s="6" t="s">
        <v>6236</v>
      </c>
      <c r="DY75" s="0" t="str">
        <f aca="false">IF(ISNUMBER(MATCH(U75,{"queued","contacted","replied","call_booked","call_done","yes_in_principle","materials_sent"},0)),"Y","N")</f>
        <v>N</v>
      </c>
      <c r="DZ75" s="0" t="str">
        <f aca="false">IF(COUNTIFS($AN$2:$AN$1000,AN75,$DY$2:$DY$1000,"Y")+COUNTIFS($AN$2:$AN$1000,AN75,$T$2:$T$1000,"Y")&gt;0,"Y","N")</f>
        <v>N</v>
      </c>
      <c r="EA75" s="0" t="str">
        <f aca="false">IF(AND(U75="new",T75="N",AR75="Y",AQ75="",DZ75="N"),"Y","N")</f>
        <v>Y</v>
      </c>
      <c r="EB75" s="0" t="str">
        <f aca="false">IF(EA75&lt;&gt;"Y","N",IF(COUNTIFS($AN$2:$AN$1000,AN75,$EA$2:$EA$1000,"Y",$J$2:$J$1000,"&gt;"&amp;J75)+COUNTIFS($AN$2:$AN$1000,AN75,$EA$2:$EA$1000,"Y",$J$2:$J$1000,J75,$ED$2:$ED$1000,"&lt;"&amp;ED75)=0,"Y","N"))</f>
        <v>Y</v>
      </c>
      <c r="EC75" s="0" t="str">
        <f aca="false">IF(Y75="","N",IF(Y75&lt;=10,"Y","N"))</f>
        <v>N</v>
      </c>
      <c r="ED75" s="6" t="n">
        <f aca="false">ROW()-1</f>
        <v>74</v>
      </c>
    </row>
    <row r="76" customFormat="false" ht="15" hidden="false" customHeight="false" outlineLevel="0" collapsed="false">
      <c r="A76" s="0" t="s">
        <v>6526</v>
      </c>
      <c r="B76" s="0" t="s">
        <v>6527</v>
      </c>
      <c r="C76" s="0" t="s">
        <v>6528</v>
      </c>
      <c r="D76" s="0" t="s">
        <v>6529</v>
      </c>
      <c r="E76" s="0" t="s">
        <v>4773</v>
      </c>
      <c r="H76" s="5" t="s">
        <v>158</v>
      </c>
      <c r="I76" s="5" t="s">
        <v>159</v>
      </c>
      <c r="J76" s="6" t="n">
        <f aca="false">IF(AU76="pass",CM76+CN76+CO76+CP76+CQ76+CR76+CS76+CT76,0)</f>
        <v>47</v>
      </c>
      <c r="K76" s="6" t="s">
        <v>6530</v>
      </c>
      <c r="M76" s="6" t="s">
        <v>4581</v>
      </c>
      <c r="N76" s="6" t="s">
        <v>4582</v>
      </c>
      <c r="R76" s="5" t="s">
        <v>162</v>
      </c>
      <c r="S76" s="6" t="s">
        <v>163</v>
      </c>
      <c r="T76" s="5" t="s">
        <v>162</v>
      </c>
      <c r="U76" s="5" t="s">
        <v>228</v>
      </c>
      <c r="V76" s="6" t="s">
        <v>6531</v>
      </c>
      <c r="W76" s="6" t="s">
        <v>166</v>
      </c>
      <c r="X76" s="6" t="s">
        <v>4586</v>
      </c>
      <c r="Y76" s="6" t="n">
        <f aca="false">IF(EB76&lt;&gt;"Y","",COUNTIFS($EB$2:$EB$1000,"Y",$J$2:$J$1000,"&gt;"&amp;J76)+COUNTIFS($EB$2:$EB$1000,"Y",$J$2:$J$1000,J76,$ED$2:$ED$1000,"&lt;"&amp;ED76)+1)</f>
        <v>67</v>
      </c>
      <c r="Z76" s="0" t="n">
        <v>75</v>
      </c>
      <c r="AA76" s="6" t="s">
        <v>162</v>
      </c>
      <c r="AB76" s="6" t="s">
        <v>6532</v>
      </c>
      <c r="AC76" s="6" t="s">
        <v>4588</v>
      </c>
      <c r="AD76" s="6" t="s">
        <v>171</v>
      </c>
      <c r="AE76" s="6" t="s">
        <v>172</v>
      </c>
      <c r="AF76" s="6" t="s">
        <v>6531</v>
      </c>
      <c r="AG76" s="6" t="s">
        <v>166</v>
      </c>
      <c r="AH76" s="6" t="s">
        <v>6533</v>
      </c>
      <c r="AI76" s="6" t="s">
        <v>4977</v>
      </c>
      <c r="AJ76" s="6" t="s">
        <v>6534</v>
      </c>
      <c r="AK76" s="6" t="s">
        <v>6535</v>
      </c>
      <c r="AL76" s="6" t="s">
        <v>168</v>
      </c>
      <c r="AM76" s="6" t="s">
        <v>6536</v>
      </c>
      <c r="AN76" s="6" t="s">
        <v>6526</v>
      </c>
      <c r="AO76" s="5" t="s">
        <v>162</v>
      </c>
      <c r="AR76" s="0" t="str">
        <f aca="false">IF(AND(AU76="pass",AO76&lt;&gt;"Y",C76&lt;&gt;""),"Y","N")</f>
        <v>Y</v>
      </c>
      <c r="AS76" s="0" t="str">
        <f aca="false">_xlfn.TEXTJOIN("; ",TRUE(),IF(AU76&lt;&gt;"pass","gated out",""),IF(AO76="Y","on hold: "&amp;AP76,""),IF(C76="","no contact named on an opened page",""))</f>
        <v/>
      </c>
      <c r="AU76" s="6" t="s">
        <v>181</v>
      </c>
      <c r="AW76" s="6" t="s">
        <v>182</v>
      </c>
      <c r="AX76" s="6" t="s">
        <v>4830</v>
      </c>
      <c r="AY76" s="6" t="s">
        <v>6535</v>
      </c>
      <c r="AZ76" s="6" t="s">
        <v>6478</v>
      </c>
      <c r="BA76" s="6" t="s">
        <v>5193</v>
      </c>
      <c r="BB76" s="6" t="s">
        <v>6537</v>
      </c>
      <c r="BC76" s="6" t="s">
        <v>6531</v>
      </c>
      <c r="BD76" s="6" t="s">
        <v>168</v>
      </c>
      <c r="BE76" s="6" t="s">
        <v>6538</v>
      </c>
      <c r="BF76" s="6" t="s">
        <v>162</v>
      </c>
      <c r="BG76" s="6" t="s">
        <v>168</v>
      </c>
      <c r="BH76" s="6" t="s">
        <v>163</v>
      </c>
      <c r="BJ76" s="6" t="s">
        <v>163</v>
      </c>
      <c r="BK76" s="6" t="s">
        <v>162</v>
      </c>
      <c r="BL76" s="6" t="s">
        <v>162</v>
      </c>
      <c r="BN76" s="0" t="n">
        <v>0</v>
      </c>
      <c r="BO76" s="6" t="s">
        <v>168</v>
      </c>
      <c r="BP76" s="0" t="n">
        <v>2</v>
      </c>
      <c r="BQ76" s="6" t="s">
        <v>4783</v>
      </c>
      <c r="BR76" s="6" t="s">
        <v>4671</v>
      </c>
      <c r="BS76" s="6" t="s">
        <v>6539</v>
      </c>
      <c r="BT76" s="6" t="s">
        <v>6540</v>
      </c>
      <c r="BU76" s="6" t="s">
        <v>158</v>
      </c>
      <c r="BX76" s="6" t="s">
        <v>6541</v>
      </c>
      <c r="CF76" s="6" t="s">
        <v>158</v>
      </c>
      <c r="CK76" s="6" t="s">
        <v>158</v>
      </c>
      <c r="CL76" s="0" t="n">
        <v>47</v>
      </c>
      <c r="CM76" s="0" t="n">
        <v>25</v>
      </c>
      <c r="CN76" s="0" t="n">
        <v>8</v>
      </c>
      <c r="CO76" s="0" t="n">
        <v>0</v>
      </c>
      <c r="CP76" s="0" t="n">
        <v>5</v>
      </c>
      <c r="CQ76" s="0" t="n">
        <v>7</v>
      </c>
      <c r="CR76" s="0" t="n">
        <v>6</v>
      </c>
      <c r="CS76" s="6" t="n">
        <f aca="false">IF(R76="Y",10,0)</f>
        <v>0</v>
      </c>
      <c r="CT76" s="0" t="n">
        <v>-4</v>
      </c>
      <c r="CV76" s="6" t="s">
        <v>4616</v>
      </c>
      <c r="CW76" s="6" t="s">
        <v>6542</v>
      </c>
      <c r="CX76" s="6" t="s">
        <v>6543</v>
      </c>
      <c r="DA76" s="6" t="s">
        <v>6236</v>
      </c>
      <c r="DY76" s="0" t="str">
        <f aca="false">IF(ISNUMBER(MATCH(U76,{"queued","contacted","replied","call_booked","call_done","yes_in_principle","materials_sent"},0)),"Y","N")</f>
        <v>N</v>
      </c>
      <c r="DZ76" s="0" t="str">
        <f aca="false">IF(COUNTIFS($AN$2:$AN$1000,AN76,$DY$2:$DY$1000,"Y")+COUNTIFS($AN$2:$AN$1000,AN76,$T$2:$T$1000,"Y")&gt;0,"Y","N")</f>
        <v>N</v>
      </c>
      <c r="EA76" s="0" t="str">
        <f aca="false">IF(AND(U76="new",T76="N",AR76="Y",AQ76="",DZ76="N"),"Y","N")</f>
        <v>Y</v>
      </c>
      <c r="EB76" s="0" t="str">
        <f aca="false">IF(EA76&lt;&gt;"Y","N",IF(COUNTIFS($AN$2:$AN$1000,AN76,$EA$2:$EA$1000,"Y",$J$2:$J$1000,"&gt;"&amp;J76)+COUNTIFS($AN$2:$AN$1000,AN76,$EA$2:$EA$1000,"Y",$J$2:$J$1000,J76,$ED$2:$ED$1000,"&lt;"&amp;ED76)=0,"Y","N"))</f>
        <v>Y</v>
      </c>
      <c r="EC76" s="0" t="str">
        <f aca="false">IF(Y76="","N",IF(Y76&lt;=10,"Y","N"))</f>
        <v>N</v>
      </c>
      <c r="ED76" s="6" t="n">
        <f aca="false">ROW()-1</f>
        <v>75</v>
      </c>
    </row>
    <row r="77" customFormat="false" ht="15" hidden="false" customHeight="false" outlineLevel="0" collapsed="false">
      <c r="A77" s="0" t="s">
        <v>6544</v>
      </c>
      <c r="B77" s="0" t="s">
        <v>6545</v>
      </c>
      <c r="C77" s="0" t="s">
        <v>6546</v>
      </c>
      <c r="D77" s="0" t="s">
        <v>163</v>
      </c>
      <c r="E77" s="0" t="s">
        <v>4773</v>
      </c>
      <c r="H77" s="5" t="s">
        <v>158</v>
      </c>
      <c r="I77" s="5" t="s">
        <v>159</v>
      </c>
      <c r="J77" s="6" t="n">
        <f aca="false">IF(AU77="pass",CM77+CN77+CO77+CP77+CQ77+CR77+CS77+CT77,0)</f>
        <v>47</v>
      </c>
      <c r="K77" s="6" t="s">
        <v>6547</v>
      </c>
      <c r="M77" s="6" t="s">
        <v>4581</v>
      </c>
      <c r="N77" s="6" t="s">
        <v>4582</v>
      </c>
      <c r="R77" s="5" t="s">
        <v>162</v>
      </c>
      <c r="S77" s="6" t="s">
        <v>163</v>
      </c>
      <c r="T77" s="5" t="s">
        <v>162</v>
      </c>
      <c r="U77" s="5" t="s">
        <v>228</v>
      </c>
      <c r="V77" s="6" t="s">
        <v>6548</v>
      </c>
      <c r="W77" s="6" t="s">
        <v>166</v>
      </c>
      <c r="X77" s="6" t="s">
        <v>4586</v>
      </c>
      <c r="Y77" s="6" t="n">
        <f aca="false">IF(EB77&lt;&gt;"Y","",COUNTIFS($EB$2:$EB$1000,"Y",$J$2:$J$1000,"&gt;"&amp;J77)+COUNTIFS($EB$2:$EB$1000,"Y",$J$2:$J$1000,J77,$ED$2:$ED$1000,"&lt;"&amp;ED77)+1)</f>
        <v>68</v>
      </c>
      <c r="Z77" s="0" t="n">
        <v>76</v>
      </c>
      <c r="AA77" s="6" t="s">
        <v>162</v>
      </c>
      <c r="AB77" s="6" t="s">
        <v>6549</v>
      </c>
      <c r="AC77" s="6" t="s">
        <v>4588</v>
      </c>
      <c r="AD77" s="6" t="s">
        <v>5010</v>
      </c>
      <c r="AE77" s="6" t="s">
        <v>172</v>
      </c>
      <c r="AF77" s="6" t="s">
        <v>6548</v>
      </c>
      <c r="AG77" s="6" t="s">
        <v>166</v>
      </c>
      <c r="AH77" s="6" t="s">
        <v>6550</v>
      </c>
      <c r="AI77" s="6" t="s">
        <v>4665</v>
      </c>
      <c r="AJ77" s="6" t="s">
        <v>6551</v>
      </c>
      <c r="AK77" s="6" t="s">
        <v>6552</v>
      </c>
      <c r="AL77" s="6" t="s">
        <v>168</v>
      </c>
      <c r="AM77" s="6" t="s">
        <v>6553</v>
      </c>
      <c r="AN77" s="6" t="s">
        <v>6544</v>
      </c>
      <c r="AO77" s="5" t="s">
        <v>162</v>
      </c>
      <c r="AR77" s="0" t="str">
        <f aca="false">IF(AND(AU77="pass",AO77&lt;&gt;"Y",C77&lt;&gt;""),"Y","N")</f>
        <v>Y</v>
      </c>
      <c r="AS77" s="0" t="str">
        <f aca="false">_xlfn.TEXTJOIN("; ",TRUE(),IF(AU77&lt;&gt;"pass","gated out",""),IF(AO77="Y","on hold: "&amp;AP77,""),IF(C77="","no contact named on an opened page",""))</f>
        <v/>
      </c>
      <c r="AU77" s="6" t="s">
        <v>181</v>
      </c>
      <c r="AW77" s="6" t="s">
        <v>182</v>
      </c>
      <c r="AX77" s="6" t="s">
        <v>4595</v>
      </c>
      <c r="AY77" s="6" t="s">
        <v>6552</v>
      </c>
      <c r="AZ77" s="6" t="s">
        <v>4924</v>
      </c>
      <c r="BA77" s="6" t="s">
        <v>5193</v>
      </c>
      <c r="BB77" s="6" t="s">
        <v>163</v>
      </c>
      <c r="BD77" s="6" t="s">
        <v>168</v>
      </c>
      <c r="BE77" s="6" t="s">
        <v>6554</v>
      </c>
      <c r="BF77" s="6" t="s">
        <v>168</v>
      </c>
      <c r="BG77" s="6" t="s">
        <v>168</v>
      </c>
      <c r="BH77" s="6" t="s">
        <v>163</v>
      </c>
      <c r="BJ77" s="6" t="s">
        <v>163</v>
      </c>
      <c r="BK77" s="6" t="s">
        <v>162</v>
      </c>
      <c r="BL77" s="6" t="s">
        <v>162</v>
      </c>
      <c r="BN77" s="0" t="n">
        <v>0</v>
      </c>
      <c r="BO77" s="6" t="s">
        <v>168</v>
      </c>
      <c r="BP77" s="0" t="n">
        <v>3</v>
      </c>
      <c r="BQ77" s="6" t="s">
        <v>4670</v>
      </c>
      <c r="BS77" s="6" t="s">
        <v>5846</v>
      </c>
      <c r="BT77" s="6" t="s">
        <v>6555</v>
      </c>
      <c r="BU77" s="6" t="s">
        <v>158</v>
      </c>
      <c r="BX77" s="6" t="s">
        <v>6546</v>
      </c>
      <c r="BY77" s="6" t="s">
        <v>6556</v>
      </c>
      <c r="CF77" s="6" t="s">
        <v>158</v>
      </c>
      <c r="CK77" s="6" t="s">
        <v>158</v>
      </c>
      <c r="CL77" s="0" t="n">
        <v>47</v>
      </c>
      <c r="CM77" s="0" t="n">
        <v>25</v>
      </c>
      <c r="CN77" s="0" t="n">
        <v>8</v>
      </c>
      <c r="CO77" s="0" t="n">
        <v>0</v>
      </c>
      <c r="CP77" s="0" t="n">
        <v>5</v>
      </c>
      <c r="CQ77" s="0" t="n">
        <v>10</v>
      </c>
      <c r="CR77" s="0" t="n">
        <v>3</v>
      </c>
      <c r="CS77" s="6" t="n">
        <f aca="false">IF(R77="Y",10,0)</f>
        <v>0</v>
      </c>
      <c r="CT77" s="0" t="n">
        <v>-4</v>
      </c>
      <c r="CU77" s="6" t="s">
        <v>6557</v>
      </c>
      <c r="CV77" s="6" t="s">
        <v>4704</v>
      </c>
      <c r="CW77" s="6" t="s">
        <v>6558</v>
      </c>
      <c r="CX77" s="6" t="s">
        <v>6559</v>
      </c>
      <c r="CY77" s="6" t="s">
        <v>6560</v>
      </c>
      <c r="DA77" s="6" t="s">
        <v>6236</v>
      </c>
      <c r="DY77" s="0" t="str">
        <f aca="false">IF(ISNUMBER(MATCH(U77,{"queued","contacted","replied","call_booked","call_done","yes_in_principle","materials_sent"},0)),"Y","N")</f>
        <v>N</v>
      </c>
      <c r="DZ77" s="0" t="str">
        <f aca="false">IF(COUNTIFS($AN$2:$AN$1000,AN77,$DY$2:$DY$1000,"Y")+COUNTIFS($AN$2:$AN$1000,AN77,$T$2:$T$1000,"Y")&gt;0,"Y","N")</f>
        <v>N</v>
      </c>
      <c r="EA77" s="0" t="str">
        <f aca="false">IF(AND(U77="new",T77="N",AR77="Y",AQ77="",DZ77="N"),"Y","N")</f>
        <v>Y</v>
      </c>
      <c r="EB77" s="0" t="str">
        <f aca="false">IF(EA77&lt;&gt;"Y","N",IF(COUNTIFS($AN$2:$AN$1000,AN77,$EA$2:$EA$1000,"Y",$J$2:$J$1000,"&gt;"&amp;J77)+COUNTIFS($AN$2:$AN$1000,AN77,$EA$2:$EA$1000,"Y",$J$2:$J$1000,J77,$ED$2:$ED$1000,"&lt;"&amp;ED77)=0,"Y","N"))</f>
        <v>Y</v>
      </c>
      <c r="EC77" s="0" t="str">
        <f aca="false">IF(Y77="","N",IF(Y77&lt;=10,"Y","N"))</f>
        <v>N</v>
      </c>
      <c r="ED77" s="6" t="n">
        <f aca="false">ROW()-1</f>
        <v>76</v>
      </c>
    </row>
    <row r="78" customFormat="false" ht="15" hidden="false" customHeight="false" outlineLevel="0" collapsed="false">
      <c r="A78" s="0" t="s">
        <v>6561</v>
      </c>
      <c r="B78" s="0" t="s">
        <v>6562</v>
      </c>
      <c r="C78" s="0" t="s">
        <v>6563</v>
      </c>
      <c r="D78" s="0" t="s">
        <v>6564</v>
      </c>
      <c r="E78" s="0" t="s">
        <v>4773</v>
      </c>
      <c r="H78" s="5" t="s">
        <v>158</v>
      </c>
      <c r="I78" s="5" t="s">
        <v>159</v>
      </c>
      <c r="J78" s="6" t="n">
        <f aca="false">IF(AU78="pass",CM78+CN78+CO78+CP78+CQ78+CR78+CS78+CT78,0)</f>
        <v>47</v>
      </c>
      <c r="K78" s="6" t="s">
        <v>6565</v>
      </c>
      <c r="M78" s="6" t="s">
        <v>6566</v>
      </c>
      <c r="N78" s="6" t="s">
        <v>5023</v>
      </c>
      <c r="R78" s="5" t="s">
        <v>162</v>
      </c>
      <c r="S78" s="6" t="s">
        <v>163</v>
      </c>
      <c r="T78" s="5" t="s">
        <v>162</v>
      </c>
      <c r="U78" s="5" t="s">
        <v>228</v>
      </c>
      <c r="V78" s="6" t="s">
        <v>6567</v>
      </c>
      <c r="W78" s="6" t="s">
        <v>166</v>
      </c>
      <c r="X78" s="6" t="s">
        <v>4586</v>
      </c>
      <c r="Y78" s="6" t="n">
        <f aca="false">IF(EB78&lt;&gt;"Y","",COUNTIFS($EB$2:$EB$1000,"Y",$J$2:$J$1000,"&gt;"&amp;J78)+COUNTIFS($EB$2:$EB$1000,"Y",$J$2:$J$1000,J78,$ED$2:$ED$1000,"&lt;"&amp;ED78)+1)</f>
        <v>69</v>
      </c>
      <c r="Z78" s="0" t="n">
        <v>77</v>
      </c>
      <c r="AA78" s="6" t="s">
        <v>162</v>
      </c>
      <c r="AB78" s="6" t="s">
        <v>6568</v>
      </c>
      <c r="AC78" s="6" t="s">
        <v>4588</v>
      </c>
      <c r="AD78" s="6" t="s">
        <v>171</v>
      </c>
      <c r="AE78" s="6" t="s">
        <v>1190</v>
      </c>
      <c r="AF78" s="6" t="s">
        <v>6569</v>
      </c>
      <c r="AG78" s="6" t="s">
        <v>166</v>
      </c>
      <c r="AH78" s="6" t="s">
        <v>6570</v>
      </c>
      <c r="AI78" s="6" t="s">
        <v>4977</v>
      </c>
      <c r="AJ78" s="6" t="s">
        <v>6571</v>
      </c>
      <c r="AK78" s="6" t="s">
        <v>6572</v>
      </c>
      <c r="AL78" s="6" t="s">
        <v>168</v>
      </c>
      <c r="AM78" s="6" t="s">
        <v>6573</v>
      </c>
      <c r="AN78" s="6" t="s">
        <v>6561</v>
      </c>
      <c r="AO78" s="5" t="s">
        <v>162</v>
      </c>
      <c r="AR78" s="0" t="str">
        <f aca="false">IF(AND(AU78="pass",AO78&lt;&gt;"Y",C78&lt;&gt;""),"Y","N")</f>
        <v>Y</v>
      </c>
      <c r="AS78" s="0" t="str">
        <f aca="false">_xlfn.TEXTJOIN("; ",TRUE(),IF(AU78&lt;&gt;"pass","gated out",""),IF(AO78="Y","on hold: "&amp;AP78,""),IF(C78="","no contact named on an opened page",""))</f>
        <v/>
      </c>
      <c r="AU78" s="6" t="s">
        <v>181</v>
      </c>
      <c r="AW78" s="6" t="s">
        <v>182</v>
      </c>
      <c r="AX78" s="6" t="s">
        <v>5518</v>
      </c>
      <c r="AY78" s="6" t="s">
        <v>6572</v>
      </c>
      <c r="AZ78" s="6" t="s">
        <v>4596</v>
      </c>
      <c r="BA78" s="6" t="s">
        <v>4597</v>
      </c>
      <c r="BB78" s="6" t="s">
        <v>163</v>
      </c>
      <c r="BD78" s="6" t="s">
        <v>168</v>
      </c>
      <c r="BE78" s="6" t="s">
        <v>6538</v>
      </c>
      <c r="BF78" s="6" t="s">
        <v>162</v>
      </c>
      <c r="BG78" s="6" t="s">
        <v>168</v>
      </c>
      <c r="BH78" s="6" t="s">
        <v>163</v>
      </c>
      <c r="BJ78" s="6" t="s">
        <v>163</v>
      </c>
      <c r="BK78" s="6" t="s">
        <v>162</v>
      </c>
      <c r="BL78" s="6" t="s">
        <v>162</v>
      </c>
      <c r="BN78" s="0" t="n">
        <v>1.3</v>
      </c>
      <c r="BO78" s="6" t="s">
        <v>162</v>
      </c>
      <c r="BP78" s="0" t="n">
        <v>1</v>
      </c>
      <c r="BQ78" s="6" t="s">
        <v>6574</v>
      </c>
      <c r="BR78" s="6" t="s">
        <v>5954</v>
      </c>
      <c r="BS78" s="6" t="s">
        <v>6575</v>
      </c>
      <c r="BT78" s="6" t="s">
        <v>6576</v>
      </c>
      <c r="BU78" s="6" t="s">
        <v>158</v>
      </c>
      <c r="BX78" s="6" t="s">
        <v>6577</v>
      </c>
      <c r="CF78" s="6" t="s">
        <v>158</v>
      </c>
      <c r="CK78" s="6" t="s">
        <v>158</v>
      </c>
      <c r="CL78" s="0" t="n">
        <v>47</v>
      </c>
      <c r="CM78" s="0" t="n">
        <v>13</v>
      </c>
      <c r="CN78" s="0" t="n">
        <v>20</v>
      </c>
      <c r="CO78" s="0" t="n">
        <v>0</v>
      </c>
      <c r="CP78" s="0" t="n">
        <v>5</v>
      </c>
      <c r="CQ78" s="0" t="n">
        <v>7</v>
      </c>
      <c r="CR78" s="0" t="n">
        <v>6</v>
      </c>
      <c r="CS78" s="6" t="n">
        <f aca="false">IF(R78="Y",10,0)</f>
        <v>0</v>
      </c>
      <c r="CT78" s="0" t="n">
        <v>-4</v>
      </c>
      <c r="CV78" s="6" t="s">
        <v>4616</v>
      </c>
      <c r="CW78" s="6" t="s">
        <v>6578</v>
      </c>
      <c r="CX78" s="6" t="s">
        <v>6579</v>
      </c>
      <c r="CY78" s="6" t="s">
        <v>6580</v>
      </c>
      <c r="DA78" s="6" t="s">
        <v>6236</v>
      </c>
      <c r="DY78" s="0" t="str">
        <f aca="false">IF(ISNUMBER(MATCH(U78,{"queued","contacted","replied","call_booked","call_done","yes_in_principle","materials_sent"},0)),"Y","N")</f>
        <v>N</v>
      </c>
      <c r="DZ78" s="0" t="str">
        <f aca="false">IF(COUNTIFS($AN$2:$AN$1000,AN78,$DY$2:$DY$1000,"Y")+COUNTIFS($AN$2:$AN$1000,AN78,$T$2:$T$1000,"Y")&gt;0,"Y","N")</f>
        <v>N</v>
      </c>
      <c r="EA78" s="0" t="str">
        <f aca="false">IF(AND(U78="new",T78="N",AR78="Y",AQ78="",DZ78="N"),"Y","N")</f>
        <v>Y</v>
      </c>
      <c r="EB78" s="0" t="str">
        <f aca="false">IF(EA78&lt;&gt;"Y","N",IF(COUNTIFS($AN$2:$AN$1000,AN78,$EA$2:$EA$1000,"Y",$J$2:$J$1000,"&gt;"&amp;J78)+COUNTIFS($AN$2:$AN$1000,AN78,$EA$2:$EA$1000,"Y",$J$2:$J$1000,J78,$ED$2:$ED$1000,"&lt;"&amp;ED78)=0,"Y","N"))</f>
        <v>Y</v>
      </c>
      <c r="EC78" s="0" t="str">
        <f aca="false">IF(Y78="","N",IF(Y78&lt;=10,"Y","N"))</f>
        <v>N</v>
      </c>
      <c r="ED78" s="6" t="n">
        <f aca="false">ROW()-1</f>
        <v>77</v>
      </c>
    </row>
    <row r="79" customFormat="false" ht="15" hidden="false" customHeight="false" outlineLevel="0" collapsed="false">
      <c r="A79" s="0" t="s">
        <v>6581</v>
      </c>
      <c r="B79" s="0" t="s">
        <v>6582</v>
      </c>
      <c r="C79" s="0" t="s">
        <v>6583</v>
      </c>
      <c r="D79" s="0" t="s">
        <v>6584</v>
      </c>
      <c r="E79" s="0" t="s">
        <v>4773</v>
      </c>
      <c r="H79" s="5" t="s">
        <v>158</v>
      </c>
      <c r="I79" s="5" t="s">
        <v>159</v>
      </c>
      <c r="J79" s="6" t="n">
        <f aca="false">IF(AU79="pass",CM79+CN79+CO79+CP79+CQ79+CR79+CS79+CT79,0)</f>
        <v>47</v>
      </c>
      <c r="K79" s="6" t="s">
        <v>6585</v>
      </c>
      <c r="M79" s="6" t="s">
        <v>5293</v>
      </c>
      <c r="N79" s="6" t="s">
        <v>598</v>
      </c>
      <c r="O79" s="6" t="s">
        <v>6586</v>
      </c>
      <c r="P79" s="6" t="s">
        <v>6587</v>
      </c>
      <c r="Q79" s="6" t="s">
        <v>6409</v>
      </c>
      <c r="R79" s="5" t="s">
        <v>162</v>
      </c>
      <c r="S79" s="6" t="s">
        <v>163</v>
      </c>
      <c r="T79" s="5" t="s">
        <v>162</v>
      </c>
      <c r="U79" s="5" t="s">
        <v>228</v>
      </c>
      <c r="V79" s="6" t="s">
        <v>6588</v>
      </c>
      <c r="W79" s="6" t="s">
        <v>166</v>
      </c>
      <c r="X79" s="6" t="s">
        <v>4586</v>
      </c>
      <c r="Y79" s="6" t="n">
        <f aca="false">IF(EB79&lt;&gt;"Y","",COUNTIFS($EB$2:$EB$1000,"Y",$J$2:$J$1000,"&gt;"&amp;J79)+COUNTIFS($EB$2:$EB$1000,"Y",$J$2:$J$1000,J79,$ED$2:$ED$1000,"&lt;"&amp;ED79)+1)</f>
        <v>70</v>
      </c>
      <c r="Z79" s="0" t="n">
        <v>78</v>
      </c>
      <c r="AA79" s="6" t="s">
        <v>162</v>
      </c>
      <c r="AB79" s="6" t="s">
        <v>6589</v>
      </c>
      <c r="AC79" s="6" t="s">
        <v>4588</v>
      </c>
      <c r="AD79" s="6" t="s">
        <v>171</v>
      </c>
      <c r="AE79" s="6" t="s">
        <v>172</v>
      </c>
      <c r="AF79" s="6" t="s">
        <v>6590</v>
      </c>
      <c r="AG79" s="6" t="s">
        <v>166</v>
      </c>
      <c r="AH79" s="6" t="s">
        <v>6591</v>
      </c>
      <c r="AI79" s="6" t="s">
        <v>5738</v>
      </c>
      <c r="AJ79" s="6" t="s">
        <v>192</v>
      </c>
      <c r="AK79" s="6" t="s">
        <v>6592</v>
      </c>
      <c r="AL79" s="6" t="s">
        <v>168</v>
      </c>
      <c r="AM79" s="6" t="s">
        <v>6593</v>
      </c>
      <c r="AN79" s="6" t="s">
        <v>6581</v>
      </c>
      <c r="AO79" s="5" t="s">
        <v>162</v>
      </c>
      <c r="AR79" s="0" t="str">
        <f aca="false">IF(AND(AU79="pass",AO79&lt;&gt;"Y",C79&lt;&gt;""),"Y","N")</f>
        <v>Y</v>
      </c>
      <c r="AS79" s="0" t="str">
        <f aca="false">_xlfn.TEXTJOIN("; ",TRUE(),IF(AU79&lt;&gt;"pass","gated out",""),IF(AO79="Y","on hold: "&amp;AP79,""),IF(C79="","no contact named on an opened page",""))</f>
        <v/>
      </c>
      <c r="AU79" s="6" t="s">
        <v>181</v>
      </c>
      <c r="AW79" s="6" t="s">
        <v>182</v>
      </c>
      <c r="AX79" s="6" t="s">
        <v>6594</v>
      </c>
      <c r="AY79" s="6" t="s">
        <v>6595</v>
      </c>
      <c r="AZ79" s="6" t="s">
        <v>4596</v>
      </c>
      <c r="BA79" s="6" t="s">
        <v>4597</v>
      </c>
      <c r="BB79" s="6" t="s">
        <v>163</v>
      </c>
      <c r="BD79" s="6" t="s">
        <v>163</v>
      </c>
      <c r="BE79" s="6" t="s">
        <v>6596</v>
      </c>
      <c r="BF79" s="6" t="s">
        <v>168</v>
      </c>
      <c r="BG79" s="6" t="s">
        <v>168</v>
      </c>
      <c r="BH79" s="6" t="s">
        <v>163</v>
      </c>
      <c r="BJ79" s="6" t="s">
        <v>5551</v>
      </c>
      <c r="BK79" s="6" t="s">
        <v>162</v>
      </c>
      <c r="BL79" s="6" t="s">
        <v>162</v>
      </c>
      <c r="BO79" s="6" t="s">
        <v>162</v>
      </c>
      <c r="BP79" s="0" t="n">
        <v>0</v>
      </c>
      <c r="BR79" s="6" t="s">
        <v>6597</v>
      </c>
      <c r="BS79" s="6" t="s">
        <v>6598</v>
      </c>
      <c r="BT79" s="6" t="s">
        <v>6588</v>
      </c>
      <c r="BU79" s="6" t="s">
        <v>4605</v>
      </c>
      <c r="BV79" s="0" t="n">
        <v>177</v>
      </c>
      <c r="BX79" s="6" t="s">
        <v>6599</v>
      </c>
      <c r="CF79" s="6" t="s">
        <v>158</v>
      </c>
      <c r="CK79" s="6" t="s">
        <v>158</v>
      </c>
      <c r="CL79" s="0" t="n">
        <v>47</v>
      </c>
      <c r="CM79" s="0" t="n">
        <v>6</v>
      </c>
      <c r="CN79" s="0" t="n">
        <v>20</v>
      </c>
      <c r="CO79" s="0" t="n">
        <v>15</v>
      </c>
      <c r="CP79" s="0" t="n">
        <v>5</v>
      </c>
      <c r="CQ79" s="0" t="n">
        <v>7</v>
      </c>
      <c r="CR79" s="0" t="n">
        <v>6</v>
      </c>
      <c r="CS79" s="6" t="n">
        <f aca="false">IF(R79="Y",10,0)</f>
        <v>0</v>
      </c>
      <c r="CT79" s="0" t="n">
        <v>-12</v>
      </c>
      <c r="CU79" s="6" t="s">
        <v>6600</v>
      </c>
      <c r="CV79" s="6" t="s">
        <v>5564</v>
      </c>
      <c r="CW79" s="6" t="s">
        <v>6601</v>
      </c>
      <c r="CX79" s="6" t="s">
        <v>6602</v>
      </c>
      <c r="CY79" s="6" t="s">
        <v>6603</v>
      </c>
      <c r="DA79" s="6" t="s">
        <v>6236</v>
      </c>
      <c r="DY79" s="0" t="str">
        <f aca="false">IF(ISNUMBER(MATCH(U79,{"queued","contacted","replied","call_booked","call_done","yes_in_principle","materials_sent"},0)),"Y","N")</f>
        <v>N</v>
      </c>
      <c r="DZ79" s="0" t="str">
        <f aca="false">IF(COUNTIFS($AN$2:$AN$1000,AN79,$DY$2:$DY$1000,"Y")+COUNTIFS($AN$2:$AN$1000,AN79,$T$2:$T$1000,"Y")&gt;0,"Y","N")</f>
        <v>N</v>
      </c>
      <c r="EA79" s="0" t="str">
        <f aca="false">IF(AND(U79="new",T79="N",AR79="Y",AQ79="",DZ79="N"),"Y","N")</f>
        <v>Y</v>
      </c>
      <c r="EB79" s="0" t="str">
        <f aca="false">IF(EA79&lt;&gt;"Y","N",IF(COUNTIFS($AN$2:$AN$1000,AN79,$EA$2:$EA$1000,"Y",$J$2:$J$1000,"&gt;"&amp;J79)+COUNTIFS($AN$2:$AN$1000,AN79,$EA$2:$EA$1000,"Y",$J$2:$J$1000,J79,$ED$2:$ED$1000,"&lt;"&amp;ED79)=0,"Y","N"))</f>
        <v>Y</v>
      </c>
      <c r="EC79" s="0" t="str">
        <f aca="false">IF(Y79="","N",IF(Y79&lt;=10,"Y","N"))</f>
        <v>N</v>
      </c>
      <c r="ED79" s="6" t="n">
        <f aca="false">ROW()-1</f>
        <v>78</v>
      </c>
    </row>
    <row r="80" customFormat="false" ht="15" hidden="false" customHeight="false" outlineLevel="0" collapsed="false">
      <c r="A80" s="0" t="s">
        <v>6604</v>
      </c>
      <c r="B80" s="0" t="s">
        <v>6605</v>
      </c>
      <c r="C80" s="0" t="s">
        <v>6606</v>
      </c>
      <c r="D80" s="0" t="s">
        <v>6607</v>
      </c>
      <c r="E80" s="0" t="s">
        <v>4626</v>
      </c>
      <c r="H80" s="5" t="s">
        <v>158</v>
      </c>
      <c r="I80" s="5" t="s">
        <v>159</v>
      </c>
      <c r="J80" s="6" t="n">
        <f aca="false">IF(AU80="pass",CM80+CN80+CO80+CP80+CQ80+CR80+CS80+CT80,0)</f>
        <v>47</v>
      </c>
      <c r="K80" s="6" t="s">
        <v>6608</v>
      </c>
      <c r="M80" s="6" t="s">
        <v>5293</v>
      </c>
      <c r="N80" s="6" t="s">
        <v>598</v>
      </c>
      <c r="O80" s="6" t="s">
        <v>6609</v>
      </c>
      <c r="P80" s="6" t="s">
        <v>6610</v>
      </c>
      <c r="Q80" s="6" t="s">
        <v>6611</v>
      </c>
      <c r="R80" s="5" t="s">
        <v>162</v>
      </c>
      <c r="S80" s="6" t="s">
        <v>168</v>
      </c>
      <c r="T80" s="5" t="s">
        <v>162</v>
      </c>
      <c r="U80" s="5" t="s">
        <v>228</v>
      </c>
      <c r="V80" s="6" t="s">
        <v>6610</v>
      </c>
      <c r="W80" s="6" t="s">
        <v>166</v>
      </c>
      <c r="X80" s="6" t="s">
        <v>4586</v>
      </c>
      <c r="Y80" s="6" t="n">
        <f aca="false">IF(EB80&lt;&gt;"Y","",COUNTIFS($EB$2:$EB$1000,"Y",$J$2:$J$1000,"&gt;"&amp;J80)+COUNTIFS($EB$2:$EB$1000,"Y",$J$2:$J$1000,J80,$ED$2:$ED$1000,"&lt;"&amp;ED80)+1)</f>
        <v>71</v>
      </c>
      <c r="Z80" s="0" t="n">
        <v>79</v>
      </c>
      <c r="AA80" s="6" t="s">
        <v>162</v>
      </c>
      <c r="AB80" s="6" t="s">
        <v>6612</v>
      </c>
      <c r="AC80" s="6" t="s">
        <v>4588</v>
      </c>
      <c r="AD80" s="6" t="s">
        <v>171</v>
      </c>
      <c r="AE80" s="6" t="s">
        <v>1190</v>
      </c>
      <c r="AF80" s="6" t="s">
        <v>6610</v>
      </c>
      <c r="AG80" s="6" t="s">
        <v>166</v>
      </c>
      <c r="AH80" s="6" t="s">
        <v>6613</v>
      </c>
      <c r="AI80" s="6" t="s">
        <v>4665</v>
      </c>
      <c r="AJ80" s="6" t="s">
        <v>6614</v>
      </c>
      <c r="AK80" s="6" t="s">
        <v>6615</v>
      </c>
      <c r="AL80" s="6" t="s">
        <v>168</v>
      </c>
      <c r="AM80" s="6" t="s">
        <v>6616</v>
      </c>
      <c r="AN80" s="6" t="s">
        <v>6604</v>
      </c>
      <c r="AO80" s="5" t="s">
        <v>162</v>
      </c>
      <c r="AR80" s="0" t="str">
        <f aca="false">IF(AND(AU80="pass",AO80&lt;&gt;"Y",C80&lt;&gt;""),"Y","N")</f>
        <v>Y</v>
      </c>
      <c r="AS80" s="0" t="str">
        <f aca="false">_xlfn.TEXTJOIN("; ",TRUE(),IF(AU80&lt;&gt;"pass","gated out",""),IF(AO80="Y","on hold: "&amp;AP80,""),IF(C80="","no contact named on an opened page",""))</f>
        <v/>
      </c>
      <c r="AU80" s="6" t="s">
        <v>181</v>
      </c>
      <c r="AW80" s="6" t="s">
        <v>182</v>
      </c>
      <c r="AX80" s="6" t="s">
        <v>6617</v>
      </c>
      <c r="AY80" s="6" t="s">
        <v>6615</v>
      </c>
      <c r="AZ80" s="6" t="s">
        <v>4596</v>
      </c>
      <c r="BA80" s="6" t="s">
        <v>4953</v>
      </c>
      <c r="BB80" s="6" t="s">
        <v>163</v>
      </c>
      <c r="BD80" s="6" t="s">
        <v>163</v>
      </c>
      <c r="BE80" s="6" t="s">
        <v>6618</v>
      </c>
      <c r="BF80" s="6" t="s">
        <v>168</v>
      </c>
      <c r="BG80" s="6" t="s">
        <v>168</v>
      </c>
      <c r="BH80" s="6" t="s">
        <v>163</v>
      </c>
      <c r="BJ80" s="6" t="s">
        <v>6619</v>
      </c>
      <c r="BK80" s="6" t="s">
        <v>162</v>
      </c>
      <c r="BL80" s="6" t="s">
        <v>162</v>
      </c>
      <c r="BO80" s="6" t="s">
        <v>162</v>
      </c>
      <c r="BP80" s="0" t="n">
        <v>0</v>
      </c>
      <c r="BS80" s="6" t="s">
        <v>6620</v>
      </c>
      <c r="BU80" s="6" t="s">
        <v>4605</v>
      </c>
      <c r="BV80" s="0" t="n">
        <v>142</v>
      </c>
      <c r="BW80" s="6" t="s">
        <v>6610</v>
      </c>
      <c r="BX80" s="6" t="s">
        <v>6621</v>
      </c>
      <c r="CF80" s="6" t="s">
        <v>158</v>
      </c>
      <c r="CK80" s="6" t="s">
        <v>158</v>
      </c>
      <c r="CL80" s="0" t="n">
        <v>47</v>
      </c>
      <c r="CM80" s="0" t="n">
        <v>6</v>
      </c>
      <c r="CN80" s="0" t="n">
        <v>13</v>
      </c>
      <c r="CO80" s="0" t="n">
        <v>15</v>
      </c>
      <c r="CP80" s="0" t="n">
        <v>5</v>
      </c>
      <c r="CQ80" s="0" t="n">
        <v>7</v>
      </c>
      <c r="CR80" s="0" t="n">
        <v>6</v>
      </c>
      <c r="CS80" s="6" t="n">
        <f aca="false">IF(R80="Y",10,0)</f>
        <v>0</v>
      </c>
      <c r="CT80" s="0" t="n">
        <v>-5</v>
      </c>
      <c r="CV80" s="6" t="s">
        <v>4616</v>
      </c>
      <c r="CW80" s="6" t="s">
        <v>6622</v>
      </c>
      <c r="CX80" s="6" t="s">
        <v>6623</v>
      </c>
      <c r="CY80" s="6" t="s">
        <v>6624</v>
      </c>
      <c r="DA80" s="6" t="s">
        <v>6236</v>
      </c>
      <c r="DY80" s="0" t="str">
        <f aca="false">IF(ISNUMBER(MATCH(U80,{"queued","contacted","replied","call_booked","call_done","yes_in_principle","materials_sent"},0)),"Y","N")</f>
        <v>N</v>
      </c>
      <c r="DZ80" s="0" t="str">
        <f aca="false">IF(COUNTIFS($AN$2:$AN$1000,AN80,$DY$2:$DY$1000,"Y")+COUNTIFS($AN$2:$AN$1000,AN80,$T$2:$T$1000,"Y")&gt;0,"Y","N")</f>
        <v>N</v>
      </c>
      <c r="EA80" s="0" t="str">
        <f aca="false">IF(AND(U80="new",T80="N",AR80="Y",AQ80="",DZ80="N"),"Y","N")</f>
        <v>Y</v>
      </c>
      <c r="EB80" s="0" t="str">
        <f aca="false">IF(EA80&lt;&gt;"Y","N",IF(COUNTIFS($AN$2:$AN$1000,AN80,$EA$2:$EA$1000,"Y",$J$2:$J$1000,"&gt;"&amp;J80)+COUNTIFS($AN$2:$AN$1000,AN80,$EA$2:$EA$1000,"Y",$J$2:$J$1000,J80,$ED$2:$ED$1000,"&lt;"&amp;ED80)=0,"Y","N"))</f>
        <v>Y</v>
      </c>
      <c r="EC80" s="0" t="str">
        <f aca="false">IF(Y80="","N",IF(Y80&lt;=10,"Y","N"))</f>
        <v>N</v>
      </c>
      <c r="ED80" s="6" t="n">
        <f aca="false">ROW()-1</f>
        <v>79</v>
      </c>
    </row>
    <row r="81" customFormat="false" ht="15" hidden="false" customHeight="false" outlineLevel="0" collapsed="false">
      <c r="A81" s="0" t="s">
        <v>6625</v>
      </c>
      <c r="B81" s="0" t="s">
        <v>6626</v>
      </c>
      <c r="H81" s="5" t="s">
        <v>158</v>
      </c>
      <c r="I81" s="5"/>
      <c r="J81" s="6" t="n">
        <f aca="false">IF(AU81="pass",CM81+CN81+CO81+CP81+CQ81+CR81+CS81+CT81,0)</f>
        <v>47</v>
      </c>
      <c r="K81" s="6" t="s">
        <v>6627</v>
      </c>
      <c r="M81" s="6" t="s">
        <v>5293</v>
      </c>
      <c r="N81" s="6" t="s">
        <v>598</v>
      </c>
      <c r="O81" s="6" t="s">
        <v>6628</v>
      </c>
      <c r="P81" s="6" t="s">
        <v>6629</v>
      </c>
      <c r="Q81" s="6" t="s">
        <v>3229</v>
      </c>
      <c r="R81" s="5" t="s">
        <v>162</v>
      </c>
      <c r="S81" s="6" t="s">
        <v>163</v>
      </c>
      <c r="T81" s="5" t="s">
        <v>162</v>
      </c>
      <c r="U81" s="5" t="s">
        <v>228</v>
      </c>
      <c r="V81" s="6" t="s">
        <v>5600</v>
      </c>
      <c r="W81" s="6" t="s">
        <v>174</v>
      </c>
      <c r="X81" s="6" t="s">
        <v>4586</v>
      </c>
      <c r="Y81" s="0" t="str">
        <f aca="false">IF(EB81&lt;&gt;"Y","",COUNTIFS($EB$2:$EB$1000,"Y",$J$2:$J$1000,"&gt;"&amp;J81)+COUNTIFS($EB$2:$EB$1000,"Y",$J$2:$J$1000,J81,$ED$2:$ED$1000,"&lt;"&amp;ED81)+1)</f>
        <v/>
      </c>
      <c r="Z81" s="0" t="n">
        <v>80</v>
      </c>
      <c r="AA81" s="6" t="s">
        <v>162</v>
      </c>
      <c r="AB81" s="6" t="s">
        <v>6317</v>
      </c>
      <c r="AD81" s="6" t="s">
        <v>158</v>
      </c>
      <c r="AH81" s="6" t="s">
        <v>6630</v>
      </c>
      <c r="AI81" s="6" t="s">
        <v>4977</v>
      </c>
      <c r="AJ81" s="6" t="s">
        <v>6631</v>
      </c>
      <c r="AK81" s="6" t="s">
        <v>6632</v>
      </c>
      <c r="AL81" s="6" t="s">
        <v>168</v>
      </c>
      <c r="AM81" s="6" t="s">
        <v>6633</v>
      </c>
      <c r="AN81" s="6" t="s">
        <v>6625</v>
      </c>
      <c r="AO81" s="5" t="s">
        <v>162</v>
      </c>
      <c r="AR81" s="0" t="str">
        <f aca="false">IF(AND(AU81="pass",AO81&lt;&gt;"Y",C81&lt;&gt;""),"Y","N")</f>
        <v>N</v>
      </c>
      <c r="AS81" s="0" t="str">
        <f aca="false">_xlfn.TEXTJOIN("; ",TRUE(),IF(AU81&lt;&gt;"pass","gated out",""),IF(AO81="Y","on hold: "&amp;AP81,""),IF(C81="","no contact named on an opened page",""))</f>
        <v>no contact named on an opened page</v>
      </c>
      <c r="AU81" s="6" t="s">
        <v>181</v>
      </c>
      <c r="AW81" s="6" t="s">
        <v>182</v>
      </c>
      <c r="AX81" s="6" t="s">
        <v>283</v>
      </c>
      <c r="AY81" s="6" t="s">
        <v>6632</v>
      </c>
      <c r="AZ81" s="6" t="s">
        <v>4596</v>
      </c>
      <c r="BA81" s="6" t="s">
        <v>4597</v>
      </c>
      <c r="BB81" s="6" t="s">
        <v>163</v>
      </c>
      <c r="BD81" s="6" t="s">
        <v>168</v>
      </c>
      <c r="BE81" s="6" t="s">
        <v>6634</v>
      </c>
      <c r="BF81" s="6" t="s">
        <v>168</v>
      </c>
      <c r="BG81" s="6" t="s">
        <v>168</v>
      </c>
      <c r="BH81" s="6" t="s">
        <v>163</v>
      </c>
      <c r="BJ81" s="6" t="s">
        <v>5145</v>
      </c>
      <c r="BK81" s="6" t="s">
        <v>162</v>
      </c>
      <c r="BL81" s="6" t="s">
        <v>162</v>
      </c>
      <c r="BO81" s="6" t="s">
        <v>162</v>
      </c>
      <c r="BP81" s="0" t="n">
        <v>0</v>
      </c>
      <c r="BS81" s="6" t="s">
        <v>163</v>
      </c>
      <c r="BU81" s="6" t="s">
        <v>4695</v>
      </c>
      <c r="BV81" s="0" t="n">
        <v>93</v>
      </c>
      <c r="CF81" s="6" t="s">
        <v>158</v>
      </c>
      <c r="CK81" s="6" t="s">
        <v>158</v>
      </c>
      <c r="CL81" s="0" t="n">
        <v>47</v>
      </c>
      <c r="CM81" s="0" t="n">
        <v>6</v>
      </c>
      <c r="CN81" s="0" t="n">
        <v>20</v>
      </c>
      <c r="CO81" s="0" t="n">
        <v>8</v>
      </c>
      <c r="CP81" s="0" t="n">
        <v>5</v>
      </c>
      <c r="CQ81" s="0" t="n">
        <v>10</v>
      </c>
      <c r="CR81" s="0" t="n">
        <v>0</v>
      </c>
      <c r="CS81" s="6" t="n">
        <f aca="false">IF(R81="Y",10,0)</f>
        <v>0</v>
      </c>
      <c r="CT81" s="0" t="n">
        <v>-2</v>
      </c>
      <c r="CU81" s="6" t="s">
        <v>6635</v>
      </c>
      <c r="CV81" s="6" t="s">
        <v>5152</v>
      </c>
      <c r="CW81" s="6" t="s">
        <v>6636</v>
      </c>
      <c r="CX81" s="6" t="s">
        <v>6637</v>
      </c>
      <c r="DA81" s="6" t="s">
        <v>6236</v>
      </c>
      <c r="DY81" s="0" t="str">
        <f aca="false">IF(ISNUMBER(MATCH(U81,{"queued","contacted","replied","call_booked","call_done","yes_in_principle","materials_sent"},0)),"Y","N")</f>
        <v>N</v>
      </c>
      <c r="DZ81" s="0" t="str">
        <f aca="false">IF(COUNTIFS($AN$2:$AN$1000,AN81,$DY$2:$DY$1000,"Y")+COUNTIFS($AN$2:$AN$1000,AN81,$T$2:$T$1000,"Y")&gt;0,"Y","N")</f>
        <v>N</v>
      </c>
      <c r="EA81" s="0" t="str">
        <f aca="false">IF(AND(U81="new",T81="N",AR81="Y",AQ81="",DZ81="N"),"Y","N")</f>
        <v>N</v>
      </c>
      <c r="EB81" s="0" t="str">
        <f aca="false">IF(EA81&lt;&gt;"Y","N",IF(COUNTIFS($AN$2:$AN$1000,AN81,$EA$2:$EA$1000,"Y",$J$2:$J$1000,"&gt;"&amp;J81)+COUNTIFS($AN$2:$AN$1000,AN81,$EA$2:$EA$1000,"Y",$J$2:$J$1000,J81,$ED$2:$ED$1000,"&lt;"&amp;ED81)=0,"Y","N"))</f>
        <v>N</v>
      </c>
      <c r="EC81" s="0" t="str">
        <f aca="false">IF(Y81="","N",IF(Y81&lt;=10,"Y","N"))</f>
        <v>N</v>
      </c>
      <c r="ED81" s="6" t="n">
        <f aca="false">ROW()-1</f>
        <v>80</v>
      </c>
    </row>
    <row r="82" customFormat="false" ht="15" hidden="false" customHeight="false" outlineLevel="0" collapsed="false">
      <c r="A82" s="0" t="s">
        <v>6638</v>
      </c>
      <c r="B82" s="0" t="s">
        <v>6639</v>
      </c>
      <c r="C82" s="0" t="s">
        <v>6640</v>
      </c>
      <c r="D82" s="0" t="s">
        <v>163</v>
      </c>
      <c r="E82" s="0" t="s">
        <v>4773</v>
      </c>
      <c r="H82" s="5" t="s">
        <v>158</v>
      </c>
      <c r="I82" s="5" t="s">
        <v>159</v>
      </c>
      <c r="J82" s="6" t="n">
        <f aca="false">IF(AU82="pass",CM82+CN82+CO82+CP82+CQ82+CR82+CS82+CT82,0)</f>
        <v>47</v>
      </c>
      <c r="K82" s="6" t="s">
        <v>6641</v>
      </c>
      <c r="M82" s="6" t="s">
        <v>5293</v>
      </c>
      <c r="N82" s="6" t="s">
        <v>598</v>
      </c>
      <c r="O82" s="6" t="s">
        <v>6642</v>
      </c>
      <c r="P82" s="6" t="s">
        <v>6643</v>
      </c>
      <c r="Q82" s="6" t="s">
        <v>6644</v>
      </c>
      <c r="R82" s="5" t="s">
        <v>162</v>
      </c>
      <c r="S82" s="6" t="s">
        <v>163</v>
      </c>
      <c r="T82" s="5" t="s">
        <v>162</v>
      </c>
      <c r="U82" s="5" t="s">
        <v>228</v>
      </c>
      <c r="V82" s="6" t="s">
        <v>6645</v>
      </c>
      <c r="W82" s="6" t="s">
        <v>174</v>
      </c>
      <c r="X82" s="6" t="s">
        <v>4586</v>
      </c>
      <c r="Y82" s="6" t="n">
        <f aca="false">IF(EB82&lt;&gt;"Y","",COUNTIFS($EB$2:$EB$1000,"Y",$J$2:$J$1000,"&gt;"&amp;J82)+COUNTIFS($EB$2:$EB$1000,"Y",$J$2:$J$1000,J82,$ED$2:$ED$1000,"&lt;"&amp;ED82)+1)</f>
        <v>72</v>
      </c>
      <c r="Z82" s="0" t="n">
        <v>81</v>
      </c>
      <c r="AA82" s="6" t="s">
        <v>162</v>
      </c>
      <c r="AB82" s="6" t="s">
        <v>6646</v>
      </c>
      <c r="AC82" s="6" t="s">
        <v>4588</v>
      </c>
      <c r="AD82" s="6" t="s">
        <v>5010</v>
      </c>
      <c r="AE82" s="6" t="s">
        <v>1190</v>
      </c>
      <c r="AF82" s="6" t="s">
        <v>6647</v>
      </c>
      <c r="AG82" s="6" t="s">
        <v>174</v>
      </c>
      <c r="AH82" s="6" t="s">
        <v>6648</v>
      </c>
      <c r="AI82" s="6" t="s">
        <v>5385</v>
      </c>
      <c r="AJ82" s="6" t="s">
        <v>5299</v>
      </c>
      <c r="AK82" s="6" t="s">
        <v>6643</v>
      </c>
      <c r="AL82" s="6" t="s">
        <v>168</v>
      </c>
      <c r="AM82" s="6" t="s">
        <v>6649</v>
      </c>
      <c r="AN82" s="6" t="s">
        <v>6638</v>
      </c>
      <c r="AO82" s="5" t="s">
        <v>162</v>
      </c>
      <c r="AR82" s="0" t="str">
        <f aca="false">IF(AND(AU82="pass",AO82&lt;&gt;"Y",C82&lt;&gt;""),"Y","N")</f>
        <v>Y</v>
      </c>
      <c r="AS82" s="0" t="str">
        <f aca="false">_xlfn.TEXTJOIN("; ",TRUE(),IF(AU82&lt;&gt;"pass","gated out",""),IF(AO82="Y","on hold: "&amp;AP82,""),IF(C82="","no contact named on an opened page",""))</f>
        <v/>
      </c>
      <c r="AU82" s="6" t="s">
        <v>181</v>
      </c>
      <c r="AW82" s="6" t="s">
        <v>182</v>
      </c>
      <c r="AX82" s="6" t="s">
        <v>5951</v>
      </c>
      <c r="AY82" s="6" t="s">
        <v>6643</v>
      </c>
      <c r="AZ82" s="6" t="s">
        <v>4596</v>
      </c>
      <c r="BA82" s="6" t="s">
        <v>4597</v>
      </c>
      <c r="BB82" s="6" t="s">
        <v>163</v>
      </c>
      <c r="BD82" s="6" t="s">
        <v>168</v>
      </c>
      <c r="BE82" s="6" t="s">
        <v>6650</v>
      </c>
      <c r="BF82" s="6" t="s">
        <v>168</v>
      </c>
      <c r="BG82" s="6" t="s">
        <v>168</v>
      </c>
      <c r="BH82" s="6" t="s">
        <v>163</v>
      </c>
      <c r="BJ82" s="6" t="s">
        <v>5145</v>
      </c>
      <c r="BK82" s="6" t="s">
        <v>162</v>
      </c>
      <c r="BL82" s="6" t="s">
        <v>162</v>
      </c>
      <c r="BO82" s="6" t="s">
        <v>162</v>
      </c>
      <c r="BP82" s="0" t="n">
        <v>0</v>
      </c>
      <c r="BS82" s="6" t="s">
        <v>6651</v>
      </c>
      <c r="BU82" s="6" t="s">
        <v>4695</v>
      </c>
      <c r="BV82" s="0" t="n">
        <v>53</v>
      </c>
      <c r="BX82" s="6" t="s">
        <v>6640</v>
      </c>
      <c r="BY82" s="6" t="s">
        <v>6652</v>
      </c>
      <c r="CF82" s="6" t="s">
        <v>158</v>
      </c>
      <c r="CK82" s="6" t="s">
        <v>158</v>
      </c>
      <c r="CL82" s="0" t="n">
        <v>47</v>
      </c>
      <c r="CM82" s="0" t="n">
        <v>6</v>
      </c>
      <c r="CN82" s="0" t="n">
        <v>20</v>
      </c>
      <c r="CO82" s="0" t="n">
        <v>8</v>
      </c>
      <c r="CP82" s="0" t="n">
        <v>5</v>
      </c>
      <c r="CQ82" s="0" t="n">
        <v>10</v>
      </c>
      <c r="CR82" s="0" t="n">
        <v>3</v>
      </c>
      <c r="CS82" s="6" t="n">
        <f aca="false">IF(R82="Y",10,0)</f>
        <v>0</v>
      </c>
      <c r="CT82" s="0" t="n">
        <v>-5</v>
      </c>
      <c r="CU82" s="6" t="s">
        <v>6653</v>
      </c>
      <c r="CV82" s="6" t="s">
        <v>5152</v>
      </c>
      <c r="CW82" s="6" t="s">
        <v>6654</v>
      </c>
      <c r="CX82" s="6" t="s">
        <v>6655</v>
      </c>
      <c r="DA82" s="6" t="s">
        <v>6236</v>
      </c>
      <c r="DY82" s="0" t="str">
        <f aca="false">IF(ISNUMBER(MATCH(U82,{"queued","contacted","replied","call_booked","call_done","yes_in_principle","materials_sent"},0)),"Y","N")</f>
        <v>N</v>
      </c>
      <c r="DZ82" s="0" t="str">
        <f aca="false">IF(COUNTIFS($AN$2:$AN$1000,AN82,$DY$2:$DY$1000,"Y")+COUNTIFS($AN$2:$AN$1000,AN82,$T$2:$T$1000,"Y")&gt;0,"Y","N")</f>
        <v>N</v>
      </c>
      <c r="EA82" s="0" t="str">
        <f aca="false">IF(AND(U82="new",T82="N",AR82="Y",AQ82="",DZ82="N"),"Y","N")</f>
        <v>Y</v>
      </c>
      <c r="EB82" s="0" t="str">
        <f aca="false">IF(EA82&lt;&gt;"Y","N",IF(COUNTIFS($AN$2:$AN$1000,AN82,$EA$2:$EA$1000,"Y",$J$2:$J$1000,"&gt;"&amp;J82)+COUNTIFS($AN$2:$AN$1000,AN82,$EA$2:$EA$1000,"Y",$J$2:$J$1000,J82,$ED$2:$ED$1000,"&lt;"&amp;ED82)=0,"Y","N"))</f>
        <v>Y</v>
      </c>
      <c r="EC82" s="0" t="str">
        <f aca="false">IF(Y82="","N",IF(Y82&lt;=10,"Y","N"))</f>
        <v>N</v>
      </c>
      <c r="ED82" s="6" t="n">
        <f aca="false">ROW()-1</f>
        <v>81</v>
      </c>
    </row>
    <row r="83" customFormat="false" ht="15" hidden="false" customHeight="false" outlineLevel="0" collapsed="false">
      <c r="A83" s="0" t="s">
        <v>6656</v>
      </c>
      <c r="B83" s="0" t="s">
        <v>6657</v>
      </c>
      <c r="C83" s="0" t="s">
        <v>6658</v>
      </c>
      <c r="D83" s="0" t="s">
        <v>6659</v>
      </c>
      <c r="E83" s="0" t="s">
        <v>4626</v>
      </c>
      <c r="H83" s="5" t="s">
        <v>158</v>
      </c>
      <c r="I83" s="5" t="s">
        <v>159</v>
      </c>
      <c r="J83" s="6" t="n">
        <f aca="false">IF(AU83="pass",CM83+CN83+CO83+CP83+CQ83+CR83+CS83+CT83,0)</f>
        <v>47</v>
      </c>
      <c r="K83" s="6" t="s">
        <v>6660</v>
      </c>
      <c r="M83" s="6" t="s">
        <v>5293</v>
      </c>
      <c r="N83" s="6" t="s">
        <v>598</v>
      </c>
      <c r="O83" s="6" t="s">
        <v>6661</v>
      </c>
      <c r="P83" s="6" t="s">
        <v>6662</v>
      </c>
      <c r="Q83" s="6" t="s">
        <v>174</v>
      </c>
      <c r="R83" s="5" t="s">
        <v>162</v>
      </c>
      <c r="S83" s="6" t="s">
        <v>163</v>
      </c>
      <c r="T83" s="5" t="s">
        <v>162</v>
      </c>
      <c r="U83" s="5" t="s">
        <v>228</v>
      </c>
      <c r="V83" s="6" t="s">
        <v>6662</v>
      </c>
      <c r="W83" s="6" t="s">
        <v>166</v>
      </c>
      <c r="X83" s="6" t="s">
        <v>4586</v>
      </c>
      <c r="Y83" s="6" t="n">
        <f aca="false">IF(EB83&lt;&gt;"Y","",COUNTIFS($EB$2:$EB$1000,"Y",$J$2:$J$1000,"&gt;"&amp;J83)+COUNTIFS($EB$2:$EB$1000,"Y",$J$2:$J$1000,J83,$ED$2:$ED$1000,"&lt;"&amp;ED83)+1)</f>
        <v>73</v>
      </c>
      <c r="Z83" s="0" t="n">
        <v>82</v>
      </c>
      <c r="AA83" s="6" t="s">
        <v>162</v>
      </c>
      <c r="AB83" s="6" t="s">
        <v>6663</v>
      </c>
      <c r="AC83" s="6" t="s">
        <v>4588</v>
      </c>
      <c r="AD83" s="6" t="s">
        <v>171</v>
      </c>
      <c r="AE83" s="6" t="s">
        <v>1190</v>
      </c>
      <c r="AF83" s="6" t="s">
        <v>6664</v>
      </c>
      <c r="AG83" s="6" t="s">
        <v>166</v>
      </c>
      <c r="AH83" s="6" t="s">
        <v>6665</v>
      </c>
      <c r="AI83" s="6" t="s">
        <v>4828</v>
      </c>
      <c r="AJ83" s="6" t="s">
        <v>6666</v>
      </c>
      <c r="AK83" s="6" t="s">
        <v>6667</v>
      </c>
      <c r="AL83" s="6" t="s">
        <v>168</v>
      </c>
      <c r="AM83" s="6" t="s">
        <v>6668</v>
      </c>
      <c r="AN83" s="6" t="s">
        <v>6656</v>
      </c>
      <c r="AO83" s="5" t="s">
        <v>162</v>
      </c>
      <c r="AR83" s="0" t="str">
        <f aca="false">IF(AND(AU83="pass",AO83&lt;&gt;"Y",C83&lt;&gt;""),"Y","N")</f>
        <v>Y</v>
      </c>
      <c r="AS83" s="0" t="str">
        <f aca="false">_xlfn.TEXTJOIN("; ",TRUE(),IF(AU83&lt;&gt;"pass","gated out",""),IF(AO83="Y","on hold: "&amp;AP83,""),IF(C83="","no contact named on an opened page",""))</f>
        <v/>
      </c>
      <c r="AU83" s="6" t="s">
        <v>181</v>
      </c>
      <c r="AW83" s="6" t="s">
        <v>182</v>
      </c>
      <c r="AX83" s="6" t="s">
        <v>6617</v>
      </c>
      <c r="AY83" s="6" t="s">
        <v>6667</v>
      </c>
      <c r="AZ83" s="6" t="s">
        <v>4596</v>
      </c>
      <c r="BA83" s="6" t="s">
        <v>5273</v>
      </c>
      <c r="BB83" s="6" t="s">
        <v>163</v>
      </c>
      <c r="BD83" s="6" t="s">
        <v>168</v>
      </c>
      <c r="BE83" s="6" t="s">
        <v>6669</v>
      </c>
      <c r="BF83" s="6" t="s">
        <v>168</v>
      </c>
      <c r="BG83" s="6" t="s">
        <v>168</v>
      </c>
      <c r="BH83" s="6" t="s">
        <v>163</v>
      </c>
      <c r="BJ83" s="6" t="s">
        <v>163</v>
      </c>
      <c r="BK83" s="6" t="s">
        <v>162</v>
      </c>
      <c r="BL83" s="6" t="s">
        <v>162</v>
      </c>
      <c r="BO83" s="6" t="s">
        <v>162</v>
      </c>
      <c r="BP83" s="0" t="n">
        <v>0</v>
      </c>
      <c r="BR83" s="6" t="s">
        <v>6670</v>
      </c>
      <c r="BS83" s="6" t="s">
        <v>6671</v>
      </c>
      <c r="BT83" s="6" t="s">
        <v>6672</v>
      </c>
      <c r="BU83" s="6" t="s">
        <v>4695</v>
      </c>
      <c r="BV83" s="0" t="n">
        <v>0</v>
      </c>
      <c r="BX83" s="6" t="s">
        <v>6673</v>
      </c>
      <c r="BY83" s="6" t="s">
        <v>6674</v>
      </c>
      <c r="CF83" s="6" t="s">
        <v>158</v>
      </c>
      <c r="CK83" s="6" t="s">
        <v>158</v>
      </c>
      <c r="CL83" s="0" t="n">
        <v>47</v>
      </c>
      <c r="CM83" s="0" t="n">
        <v>6</v>
      </c>
      <c r="CN83" s="0" t="n">
        <v>17</v>
      </c>
      <c r="CO83" s="0" t="n">
        <v>8</v>
      </c>
      <c r="CP83" s="0" t="n">
        <v>5</v>
      </c>
      <c r="CQ83" s="0" t="n">
        <v>10</v>
      </c>
      <c r="CR83" s="0" t="n">
        <v>6</v>
      </c>
      <c r="CS83" s="6" t="n">
        <f aca="false">IF(R83="Y",10,0)</f>
        <v>0</v>
      </c>
      <c r="CT83" s="0" t="n">
        <v>-5</v>
      </c>
      <c r="CV83" s="6" t="s">
        <v>4616</v>
      </c>
      <c r="CW83" s="6" t="s">
        <v>6675</v>
      </c>
      <c r="CX83" s="6" t="s">
        <v>6676</v>
      </c>
      <c r="CY83" s="6" t="s">
        <v>6677</v>
      </c>
      <c r="DA83" s="6" t="s">
        <v>6236</v>
      </c>
      <c r="DY83" s="0" t="str">
        <f aca="false">IF(ISNUMBER(MATCH(U83,{"queued","contacted","replied","call_booked","call_done","yes_in_principle","materials_sent"},0)),"Y","N")</f>
        <v>N</v>
      </c>
      <c r="DZ83" s="0" t="str">
        <f aca="false">IF(COUNTIFS($AN$2:$AN$1000,AN83,$DY$2:$DY$1000,"Y")+COUNTIFS($AN$2:$AN$1000,AN83,$T$2:$T$1000,"Y")&gt;0,"Y","N")</f>
        <v>N</v>
      </c>
      <c r="EA83" s="0" t="str">
        <f aca="false">IF(AND(U83="new",T83="N",AR83="Y",AQ83="",DZ83="N"),"Y","N")</f>
        <v>Y</v>
      </c>
      <c r="EB83" s="0" t="str">
        <f aca="false">IF(EA83&lt;&gt;"Y","N",IF(COUNTIFS($AN$2:$AN$1000,AN83,$EA$2:$EA$1000,"Y",$J$2:$J$1000,"&gt;"&amp;J83)+COUNTIFS($AN$2:$AN$1000,AN83,$EA$2:$EA$1000,"Y",$J$2:$J$1000,J83,$ED$2:$ED$1000,"&lt;"&amp;ED83)=0,"Y","N"))</f>
        <v>Y</v>
      </c>
      <c r="EC83" s="0" t="str">
        <f aca="false">IF(Y83="","N",IF(Y83&lt;=10,"Y","N"))</f>
        <v>N</v>
      </c>
      <c r="ED83" s="6" t="n">
        <f aca="false">ROW()-1</f>
        <v>82</v>
      </c>
    </row>
    <row r="84" customFormat="false" ht="15" hidden="false" customHeight="false" outlineLevel="0" collapsed="false">
      <c r="A84" s="0" t="s">
        <v>6678</v>
      </c>
      <c r="B84" s="0" t="s">
        <v>6679</v>
      </c>
      <c r="C84" s="0" t="s">
        <v>321</v>
      </c>
      <c r="D84" s="0" t="s">
        <v>6680</v>
      </c>
      <c r="E84" s="0" t="s">
        <v>4657</v>
      </c>
      <c r="H84" s="5" t="s">
        <v>158</v>
      </c>
      <c r="I84" s="5" t="s">
        <v>159</v>
      </c>
      <c r="J84" s="6" t="n">
        <f aca="false">IF(AU84="pass",CM84+CN84+CO84+CP84+CQ84+CR84+CS84+CT84,0)</f>
        <v>46</v>
      </c>
      <c r="K84" s="6" t="s">
        <v>6681</v>
      </c>
      <c r="M84" s="6" t="s">
        <v>4581</v>
      </c>
      <c r="N84" s="6" t="s">
        <v>5023</v>
      </c>
      <c r="O84" s="6" t="s">
        <v>6682</v>
      </c>
      <c r="P84" s="6" t="s">
        <v>6683</v>
      </c>
      <c r="Q84" s="6" t="s">
        <v>6684</v>
      </c>
      <c r="R84" s="5" t="s">
        <v>162</v>
      </c>
      <c r="S84" s="6" t="s">
        <v>168</v>
      </c>
      <c r="T84" s="5" t="s">
        <v>162</v>
      </c>
      <c r="U84" s="5" t="s">
        <v>228</v>
      </c>
      <c r="V84" s="6" t="s">
        <v>6685</v>
      </c>
      <c r="W84" s="6" t="s">
        <v>166</v>
      </c>
      <c r="X84" s="6" t="s">
        <v>4586</v>
      </c>
      <c r="Y84" s="6" t="n">
        <f aca="false">IF(EB84&lt;&gt;"Y","",COUNTIFS($EB$2:$EB$1000,"Y",$J$2:$J$1000,"&gt;"&amp;J84)+COUNTIFS($EB$2:$EB$1000,"Y",$J$2:$J$1000,J84,$ED$2:$ED$1000,"&lt;"&amp;ED84)+1)</f>
        <v>74</v>
      </c>
      <c r="Z84" s="0" t="n">
        <v>83</v>
      </c>
      <c r="AA84" s="6" t="s">
        <v>162</v>
      </c>
      <c r="AB84" s="6" t="s">
        <v>6686</v>
      </c>
      <c r="AC84" s="6" t="s">
        <v>4588</v>
      </c>
      <c r="AD84" s="6" t="s">
        <v>171</v>
      </c>
      <c r="AE84" s="6" t="s">
        <v>1190</v>
      </c>
      <c r="AF84" s="6" t="s">
        <v>6683</v>
      </c>
      <c r="AG84" s="6" t="s">
        <v>166</v>
      </c>
      <c r="AH84" s="6" t="s">
        <v>6687</v>
      </c>
      <c r="AI84" s="6" t="s">
        <v>5926</v>
      </c>
      <c r="AJ84" s="6" t="s">
        <v>6688</v>
      </c>
      <c r="AK84" s="6" t="s">
        <v>6689</v>
      </c>
      <c r="AL84" s="6" t="s">
        <v>168</v>
      </c>
      <c r="AM84" s="6" t="s">
        <v>6690</v>
      </c>
      <c r="AN84" s="6" t="s">
        <v>6678</v>
      </c>
      <c r="AO84" s="5" t="s">
        <v>162</v>
      </c>
      <c r="AR84" s="0" t="str">
        <f aca="false">IF(AND(AU84="pass",AO84&lt;&gt;"Y",C84&lt;&gt;""),"Y","N")</f>
        <v>Y</v>
      </c>
      <c r="AS84" s="0" t="str">
        <f aca="false">_xlfn.TEXTJOIN("; ",TRUE(),IF(AU84&lt;&gt;"pass","gated out",""),IF(AO84="Y","on hold: "&amp;AP84,""),IF(C84="","no contact named on an opened page",""))</f>
        <v/>
      </c>
      <c r="AU84" s="6" t="s">
        <v>181</v>
      </c>
      <c r="AW84" s="6" t="s">
        <v>182</v>
      </c>
      <c r="AX84" s="6" t="s">
        <v>5272</v>
      </c>
      <c r="AY84" s="6" t="s">
        <v>6689</v>
      </c>
      <c r="AZ84" s="6" t="s">
        <v>6691</v>
      </c>
      <c r="BA84" s="6" t="s">
        <v>5193</v>
      </c>
      <c r="BB84" s="6" t="s">
        <v>163</v>
      </c>
      <c r="BD84" s="6" t="s">
        <v>163</v>
      </c>
      <c r="BE84" s="6" t="s">
        <v>6692</v>
      </c>
      <c r="BF84" s="6" t="s">
        <v>168</v>
      </c>
      <c r="BG84" s="6" t="s">
        <v>168</v>
      </c>
      <c r="BH84" s="6" t="s">
        <v>163</v>
      </c>
      <c r="BJ84" s="6" t="s">
        <v>6693</v>
      </c>
      <c r="BK84" s="6" t="s">
        <v>162</v>
      </c>
      <c r="BL84" s="6" t="s">
        <v>162</v>
      </c>
      <c r="BN84" s="0" t="n">
        <v>0</v>
      </c>
      <c r="BO84" s="6" t="s">
        <v>168</v>
      </c>
      <c r="BP84" s="0" t="n">
        <v>3</v>
      </c>
      <c r="BQ84" s="6" t="s">
        <v>6694</v>
      </c>
      <c r="BR84" s="6" t="s">
        <v>6695</v>
      </c>
      <c r="BS84" s="6" t="s">
        <v>6696</v>
      </c>
      <c r="BT84" s="6" t="s">
        <v>6697</v>
      </c>
      <c r="BU84" s="6" t="s">
        <v>4605</v>
      </c>
      <c r="BV84" s="0" t="n">
        <v>263</v>
      </c>
      <c r="BW84" s="6" t="s">
        <v>6683</v>
      </c>
      <c r="BX84" s="6" t="s">
        <v>6698</v>
      </c>
      <c r="CF84" s="6" t="s">
        <v>158</v>
      </c>
      <c r="CK84" s="6" t="s">
        <v>158</v>
      </c>
      <c r="CL84" s="0" t="n">
        <v>46</v>
      </c>
      <c r="CM84" s="0" t="n">
        <v>17</v>
      </c>
      <c r="CN84" s="0" t="n">
        <v>8</v>
      </c>
      <c r="CO84" s="0" t="n">
        <v>8</v>
      </c>
      <c r="CP84" s="0" t="n">
        <v>5</v>
      </c>
      <c r="CQ84" s="0" t="n">
        <v>7</v>
      </c>
      <c r="CR84" s="0" t="n">
        <v>6</v>
      </c>
      <c r="CS84" s="6" t="n">
        <f aca="false">IF(R84="Y",10,0)</f>
        <v>0</v>
      </c>
      <c r="CT84" s="0" t="n">
        <v>-5</v>
      </c>
      <c r="CV84" s="6" t="s">
        <v>4616</v>
      </c>
      <c r="CW84" s="6" t="s">
        <v>6699</v>
      </c>
      <c r="CX84" s="6" t="s">
        <v>6700</v>
      </c>
      <c r="CY84" s="6" t="s">
        <v>6701</v>
      </c>
      <c r="DA84" s="6" t="s">
        <v>6236</v>
      </c>
      <c r="DY84" s="0" t="str">
        <f aca="false">IF(ISNUMBER(MATCH(U84,{"queued","contacted","replied","call_booked","call_done","yes_in_principle","materials_sent"},0)),"Y","N")</f>
        <v>N</v>
      </c>
      <c r="DZ84" s="0" t="str">
        <f aca="false">IF(COUNTIFS($AN$2:$AN$1000,AN84,$DY$2:$DY$1000,"Y")+COUNTIFS($AN$2:$AN$1000,AN84,$T$2:$T$1000,"Y")&gt;0,"Y","N")</f>
        <v>N</v>
      </c>
      <c r="EA84" s="0" t="str">
        <f aca="false">IF(AND(U84="new",T84="N",AR84="Y",AQ84="",DZ84="N"),"Y","N")</f>
        <v>Y</v>
      </c>
      <c r="EB84" s="0" t="str">
        <f aca="false">IF(EA84&lt;&gt;"Y","N",IF(COUNTIFS($AN$2:$AN$1000,AN84,$EA$2:$EA$1000,"Y",$J$2:$J$1000,"&gt;"&amp;J84)+COUNTIFS($AN$2:$AN$1000,AN84,$EA$2:$EA$1000,"Y",$J$2:$J$1000,J84,$ED$2:$ED$1000,"&lt;"&amp;ED84)=0,"Y","N"))</f>
        <v>Y</v>
      </c>
      <c r="EC84" s="0" t="str">
        <f aca="false">IF(Y84="","N",IF(Y84&lt;=10,"Y","N"))</f>
        <v>N</v>
      </c>
      <c r="ED84" s="6" t="n">
        <f aca="false">ROW()-1</f>
        <v>83</v>
      </c>
    </row>
    <row r="85" customFormat="false" ht="15" hidden="false" customHeight="false" outlineLevel="0" collapsed="false">
      <c r="A85" s="0" t="s">
        <v>6702</v>
      </c>
      <c r="B85" s="0" t="s">
        <v>6703</v>
      </c>
      <c r="C85" s="0" t="s">
        <v>6704</v>
      </c>
      <c r="D85" s="0" t="s">
        <v>6705</v>
      </c>
      <c r="E85" s="0" t="s">
        <v>4626</v>
      </c>
      <c r="H85" s="5" t="s">
        <v>158</v>
      </c>
      <c r="I85" s="5" t="s">
        <v>159</v>
      </c>
      <c r="J85" s="6" t="n">
        <f aca="false">IF(AU85="pass",CM85+CN85+CO85+CP85+CQ85+CR85+CS85+CT85,0)</f>
        <v>46</v>
      </c>
      <c r="K85" s="6" t="s">
        <v>6706</v>
      </c>
      <c r="M85" s="6" t="s">
        <v>5293</v>
      </c>
      <c r="N85" s="6" t="s">
        <v>598</v>
      </c>
      <c r="O85" s="6" t="s">
        <v>6707</v>
      </c>
      <c r="P85" s="6" t="s">
        <v>6708</v>
      </c>
      <c r="Q85" s="6" t="s">
        <v>6709</v>
      </c>
      <c r="R85" s="5" t="s">
        <v>162</v>
      </c>
      <c r="S85" s="6" t="s">
        <v>168</v>
      </c>
      <c r="T85" s="5" t="s">
        <v>162</v>
      </c>
      <c r="U85" s="5" t="s">
        <v>228</v>
      </c>
      <c r="V85" s="6" t="s">
        <v>6710</v>
      </c>
      <c r="W85" s="6" t="s">
        <v>166</v>
      </c>
      <c r="X85" s="6" t="s">
        <v>4586</v>
      </c>
      <c r="Y85" s="6" t="n">
        <f aca="false">IF(EB85&lt;&gt;"Y","",COUNTIFS($EB$2:$EB$1000,"Y",$J$2:$J$1000,"&gt;"&amp;J85)+COUNTIFS($EB$2:$EB$1000,"Y",$J$2:$J$1000,J85,$ED$2:$ED$1000,"&lt;"&amp;ED85)+1)</f>
        <v>75</v>
      </c>
      <c r="Z85" s="0" t="n">
        <v>84</v>
      </c>
      <c r="AA85" s="6" t="s">
        <v>162</v>
      </c>
      <c r="AB85" s="6" t="s">
        <v>6711</v>
      </c>
      <c r="AC85" s="6" t="s">
        <v>4588</v>
      </c>
      <c r="AD85" s="6" t="s">
        <v>171</v>
      </c>
      <c r="AE85" s="6" t="s">
        <v>1190</v>
      </c>
      <c r="AF85" s="6" t="s">
        <v>6712</v>
      </c>
      <c r="AG85" s="6" t="s">
        <v>166</v>
      </c>
      <c r="AH85" s="6" t="s">
        <v>6713</v>
      </c>
      <c r="AI85" s="6" t="s">
        <v>5765</v>
      </c>
      <c r="AJ85" s="6" t="s">
        <v>6714</v>
      </c>
      <c r="AK85" s="6" t="s">
        <v>6715</v>
      </c>
      <c r="AL85" s="6" t="s">
        <v>168</v>
      </c>
      <c r="AM85" s="6" t="s">
        <v>6716</v>
      </c>
      <c r="AN85" s="6" t="s">
        <v>6702</v>
      </c>
      <c r="AO85" s="5" t="s">
        <v>162</v>
      </c>
      <c r="AR85" s="0" t="str">
        <f aca="false">IF(AND(AU85="pass",AO85&lt;&gt;"Y",C85&lt;&gt;""),"Y","N")</f>
        <v>Y</v>
      </c>
      <c r="AS85" s="0" t="str">
        <f aca="false">_xlfn.TEXTJOIN("; ",TRUE(),IF(AU85&lt;&gt;"pass","gated out",""),IF(AO85="Y","on hold: "&amp;AP85,""),IF(C85="","no contact named on an opened page",""))</f>
        <v/>
      </c>
      <c r="AU85" s="6" t="s">
        <v>181</v>
      </c>
      <c r="AW85" s="6" t="s">
        <v>182</v>
      </c>
      <c r="AX85" s="6" t="s">
        <v>4595</v>
      </c>
      <c r="AY85" s="6" t="s">
        <v>6715</v>
      </c>
      <c r="AZ85" s="6" t="s">
        <v>5388</v>
      </c>
      <c r="BA85" s="6" t="s">
        <v>5331</v>
      </c>
      <c r="BB85" s="6" t="s">
        <v>6717</v>
      </c>
      <c r="BD85" s="6" t="s">
        <v>168</v>
      </c>
      <c r="BE85" s="6" t="s">
        <v>6718</v>
      </c>
      <c r="BF85" s="6" t="s">
        <v>168</v>
      </c>
      <c r="BG85" s="6" t="s">
        <v>168</v>
      </c>
      <c r="BH85" s="6" t="s">
        <v>6458</v>
      </c>
      <c r="BI85" s="6" t="s">
        <v>6719</v>
      </c>
      <c r="BJ85" s="6" t="s">
        <v>6720</v>
      </c>
      <c r="BK85" s="6" t="s">
        <v>162</v>
      </c>
      <c r="BL85" s="6" t="s">
        <v>162</v>
      </c>
      <c r="BO85" s="6" t="s">
        <v>162</v>
      </c>
      <c r="BP85" s="0" t="n">
        <v>0</v>
      </c>
      <c r="BS85" s="6" t="s">
        <v>6721</v>
      </c>
      <c r="BU85" s="6" t="s">
        <v>4605</v>
      </c>
      <c r="BV85" s="0" t="n">
        <v>61</v>
      </c>
      <c r="BW85" s="6" t="s">
        <v>6708</v>
      </c>
      <c r="BX85" s="6" t="s">
        <v>6722</v>
      </c>
      <c r="CA85" s="6" t="s">
        <v>6723</v>
      </c>
      <c r="CB85" s="6" t="s">
        <v>5881</v>
      </c>
      <c r="CC85" s="6" t="s">
        <v>6724</v>
      </c>
      <c r="CD85" s="6" t="s">
        <v>4626</v>
      </c>
      <c r="CE85" s="6" t="s">
        <v>6725</v>
      </c>
      <c r="CF85" s="6" t="s">
        <v>171</v>
      </c>
      <c r="CK85" s="6" t="s">
        <v>158</v>
      </c>
      <c r="CL85" s="0" t="n">
        <v>46</v>
      </c>
      <c r="CM85" s="0" t="n">
        <v>6</v>
      </c>
      <c r="CN85" s="0" t="n">
        <v>3</v>
      </c>
      <c r="CO85" s="0" t="n">
        <v>15</v>
      </c>
      <c r="CP85" s="0" t="n">
        <v>10</v>
      </c>
      <c r="CQ85" s="0" t="n">
        <v>10</v>
      </c>
      <c r="CR85" s="0" t="n">
        <v>6</v>
      </c>
      <c r="CS85" s="6" t="n">
        <f aca="false">IF(R85="Y",10,0)</f>
        <v>0</v>
      </c>
      <c r="CT85" s="0" t="n">
        <v>-4</v>
      </c>
      <c r="CU85" s="6" t="s">
        <v>163</v>
      </c>
      <c r="CV85" s="6" t="s">
        <v>5564</v>
      </c>
      <c r="CW85" s="6" t="s">
        <v>6726</v>
      </c>
      <c r="CX85" s="6" t="s">
        <v>6727</v>
      </c>
      <c r="CY85" s="6" t="s">
        <v>6728</v>
      </c>
      <c r="CZ85" s="6" t="s">
        <v>6712</v>
      </c>
      <c r="DA85" s="6" t="s">
        <v>6236</v>
      </c>
      <c r="DC85" s="6" t="s">
        <v>1190</v>
      </c>
      <c r="DY85" s="0" t="str">
        <f aca="false">IF(ISNUMBER(MATCH(U85,{"queued","contacted","replied","call_booked","call_done","yes_in_principle","materials_sent"},0)),"Y","N")</f>
        <v>N</v>
      </c>
      <c r="DZ85" s="0" t="str">
        <f aca="false">IF(COUNTIFS($AN$2:$AN$1000,AN85,$DY$2:$DY$1000,"Y")+COUNTIFS($AN$2:$AN$1000,AN85,$T$2:$T$1000,"Y")&gt;0,"Y","N")</f>
        <v>N</v>
      </c>
      <c r="EA85" s="0" t="str">
        <f aca="false">IF(AND(U85="new",T85="N",AR85="Y",AQ85="",DZ85="N"),"Y","N")</f>
        <v>Y</v>
      </c>
      <c r="EB85" s="0" t="str">
        <f aca="false">IF(EA85&lt;&gt;"Y","N",IF(COUNTIFS($AN$2:$AN$1000,AN85,$EA$2:$EA$1000,"Y",$J$2:$J$1000,"&gt;"&amp;J85)+COUNTIFS($AN$2:$AN$1000,AN85,$EA$2:$EA$1000,"Y",$J$2:$J$1000,J85,$ED$2:$ED$1000,"&lt;"&amp;ED85)=0,"Y","N"))</f>
        <v>Y</v>
      </c>
      <c r="EC85" s="0" t="str">
        <f aca="false">IF(Y85="","N",IF(Y85&lt;=10,"Y","N"))</f>
        <v>N</v>
      </c>
      <c r="ED85" s="6" t="n">
        <f aca="false">ROW()-1</f>
        <v>84</v>
      </c>
    </row>
    <row r="86" customFormat="false" ht="15" hidden="false" customHeight="false" outlineLevel="0" collapsed="false">
      <c r="A86" s="0" t="s">
        <v>6729</v>
      </c>
      <c r="B86" s="0" t="s">
        <v>6730</v>
      </c>
      <c r="C86" s="0" t="s">
        <v>6731</v>
      </c>
      <c r="D86" s="0" t="s">
        <v>6732</v>
      </c>
      <c r="E86" s="0" t="s">
        <v>4657</v>
      </c>
      <c r="H86" s="5" t="s">
        <v>158</v>
      </c>
      <c r="I86" s="5" t="s">
        <v>159</v>
      </c>
      <c r="J86" s="6" t="n">
        <f aca="false">IF(AU86="pass",CM86+CN86+CO86+CP86+CQ86+CR86+CS86+CT86,0)</f>
        <v>46</v>
      </c>
      <c r="K86" s="6" t="s">
        <v>6733</v>
      </c>
      <c r="M86" s="6" t="s">
        <v>5293</v>
      </c>
      <c r="N86" s="6" t="s">
        <v>598</v>
      </c>
      <c r="O86" s="6" t="s">
        <v>6734</v>
      </c>
      <c r="P86" s="6" t="s">
        <v>6735</v>
      </c>
      <c r="Q86" s="6" t="s">
        <v>6736</v>
      </c>
      <c r="R86" s="5" t="s">
        <v>162</v>
      </c>
      <c r="S86" s="6" t="s">
        <v>168</v>
      </c>
      <c r="T86" s="5" t="s">
        <v>162</v>
      </c>
      <c r="U86" s="5" t="s">
        <v>228</v>
      </c>
      <c r="V86" s="6" t="s">
        <v>6737</v>
      </c>
      <c r="W86" s="6" t="s">
        <v>166</v>
      </c>
      <c r="X86" s="6" t="s">
        <v>4586</v>
      </c>
      <c r="Y86" s="6" t="n">
        <f aca="false">IF(EB86&lt;&gt;"Y","",COUNTIFS($EB$2:$EB$1000,"Y",$J$2:$J$1000,"&gt;"&amp;J86)+COUNTIFS($EB$2:$EB$1000,"Y",$J$2:$J$1000,J86,$ED$2:$ED$1000,"&lt;"&amp;ED86)+1)</f>
        <v>76</v>
      </c>
      <c r="Z86" s="0" t="n">
        <v>85</v>
      </c>
      <c r="AA86" s="6" t="s">
        <v>162</v>
      </c>
      <c r="AB86" s="6" t="s">
        <v>6738</v>
      </c>
      <c r="AC86" s="6" t="s">
        <v>4588</v>
      </c>
      <c r="AD86" s="6" t="s">
        <v>171</v>
      </c>
      <c r="AE86" s="6" t="s">
        <v>1190</v>
      </c>
      <c r="AF86" s="6" t="s">
        <v>6735</v>
      </c>
      <c r="AG86" s="6" t="s">
        <v>166</v>
      </c>
      <c r="AH86" s="6" t="s">
        <v>6739</v>
      </c>
      <c r="AI86" s="6" t="s">
        <v>4977</v>
      </c>
      <c r="AJ86" s="6" t="s">
        <v>6740</v>
      </c>
      <c r="AK86" s="6" t="s">
        <v>6741</v>
      </c>
      <c r="AL86" s="6" t="s">
        <v>168</v>
      </c>
      <c r="AM86" s="6" t="s">
        <v>6742</v>
      </c>
      <c r="AN86" s="6" t="s">
        <v>6729</v>
      </c>
      <c r="AO86" s="5" t="s">
        <v>162</v>
      </c>
      <c r="AR86" s="0" t="str">
        <f aca="false">IF(AND(AU86="pass",AO86&lt;&gt;"Y",C86&lt;&gt;""),"Y","N")</f>
        <v>Y</v>
      </c>
      <c r="AS86" s="0" t="str">
        <f aca="false">_xlfn.TEXTJOIN("; ",TRUE(),IF(AU86&lt;&gt;"pass","gated out",""),IF(AO86="Y","on hold: "&amp;AP86,""),IF(C86="","no contact named on an opened page",""))</f>
        <v/>
      </c>
      <c r="AU86" s="6" t="s">
        <v>181</v>
      </c>
      <c r="AW86" s="6" t="s">
        <v>182</v>
      </c>
      <c r="AX86" s="6" t="s">
        <v>4595</v>
      </c>
      <c r="AY86" s="6" t="s">
        <v>6741</v>
      </c>
      <c r="AZ86" s="6" t="s">
        <v>4924</v>
      </c>
      <c r="BA86" s="6" t="s">
        <v>4925</v>
      </c>
      <c r="BB86" s="6" t="s">
        <v>163</v>
      </c>
      <c r="BD86" s="6" t="s">
        <v>168</v>
      </c>
      <c r="BE86" s="6" t="s">
        <v>6743</v>
      </c>
      <c r="BF86" s="6" t="s">
        <v>168</v>
      </c>
      <c r="BG86" s="6" t="s">
        <v>168</v>
      </c>
      <c r="BH86" s="6" t="s">
        <v>163</v>
      </c>
      <c r="BJ86" s="6" t="s">
        <v>163</v>
      </c>
      <c r="BK86" s="6" t="s">
        <v>162</v>
      </c>
      <c r="BL86" s="6" t="s">
        <v>162</v>
      </c>
      <c r="BO86" s="6" t="s">
        <v>162</v>
      </c>
      <c r="BP86" s="0" t="n">
        <v>0</v>
      </c>
      <c r="BS86" s="6" t="s">
        <v>6744</v>
      </c>
      <c r="BT86" s="6" t="s">
        <v>6737</v>
      </c>
      <c r="BU86" s="6" t="s">
        <v>4605</v>
      </c>
      <c r="BV86" s="0" t="n">
        <v>60</v>
      </c>
      <c r="BW86" s="6" t="s">
        <v>6737</v>
      </c>
      <c r="BX86" s="6" t="s">
        <v>6745</v>
      </c>
      <c r="CF86" s="6" t="s">
        <v>158</v>
      </c>
      <c r="CK86" s="6" t="s">
        <v>158</v>
      </c>
      <c r="CL86" s="0" t="n">
        <v>46</v>
      </c>
      <c r="CM86" s="0" t="n">
        <v>6</v>
      </c>
      <c r="CN86" s="0" t="n">
        <v>8</v>
      </c>
      <c r="CO86" s="0" t="n">
        <v>15</v>
      </c>
      <c r="CP86" s="0" t="n">
        <v>5</v>
      </c>
      <c r="CQ86" s="0" t="n">
        <v>10</v>
      </c>
      <c r="CR86" s="0" t="n">
        <v>6</v>
      </c>
      <c r="CS86" s="6" t="n">
        <f aca="false">IF(R86="Y",10,0)</f>
        <v>0</v>
      </c>
      <c r="CT86" s="0" t="n">
        <v>-4</v>
      </c>
      <c r="CV86" s="6" t="s">
        <v>4616</v>
      </c>
      <c r="CW86" s="6" t="s">
        <v>6746</v>
      </c>
      <c r="CX86" s="6" t="s">
        <v>6747</v>
      </c>
      <c r="CY86" s="6" t="s">
        <v>6748</v>
      </c>
      <c r="DA86" s="6" t="s">
        <v>6236</v>
      </c>
      <c r="DY86" s="0" t="str">
        <f aca="false">IF(ISNUMBER(MATCH(U86,{"queued","contacted","replied","call_booked","call_done","yes_in_principle","materials_sent"},0)),"Y","N")</f>
        <v>N</v>
      </c>
      <c r="DZ86" s="0" t="str">
        <f aca="false">IF(COUNTIFS($AN$2:$AN$1000,AN86,$DY$2:$DY$1000,"Y")+COUNTIFS($AN$2:$AN$1000,AN86,$T$2:$T$1000,"Y")&gt;0,"Y","N")</f>
        <v>N</v>
      </c>
      <c r="EA86" s="0" t="str">
        <f aca="false">IF(AND(U86="new",T86="N",AR86="Y",AQ86="",DZ86="N"),"Y","N")</f>
        <v>Y</v>
      </c>
      <c r="EB86" s="0" t="str">
        <f aca="false">IF(EA86&lt;&gt;"Y","N",IF(COUNTIFS($AN$2:$AN$1000,AN86,$EA$2:$EA$1000,"Y",$J$2:$J$1000,"&gt;"&amp;J86)+COUNTIFS($AN$2:$AN$1000,AN86,$EA$2:$EA$1000,"Y",$J$2:$J$1000,J86,$ED$2:$ED$1000,"&lt;"&amp;ED86)=0,"Y","N"))</f>
        <v>Y</v>
      </c>
      <c r="EC86" s="0" t="str">
        <f aca="false">IF(Y86="","N",IF(Y86&lt;=10,"Y","N"))</f>
        <v>N</v>
      </c>
      <c r="ED86" s="6" t="n">
        <f aca="false">ROW()-1</f>
        <v>85</v>
      </c>
    </row>
    <row r="87" customFormat="false" ht="15" hidden="false" customHeight="false" outlineLevel="0" collapsed="false">
      <c r="A87" s="0" t="s">
        <v>6749</v>
      </c>
      <c r="B87" s="0" t="s">
        <v>6750</v>
      </c>
      <c r="C87" s="0" t="s">
        <v>1358</v>
      </c>
      <c r="D87" s="0" t="s">
        <v>6751</v>
      </c>
      <c r="E87" s="0" t="s">
        <v>6752</v>
      </c>
      <c r="H87" s="5" t="s">
        <v>158</v>
      </c>
      <c r="I87" s="5" t="s">
        <v>159</v>
      </c>
      <c r="J87" s="6" t="n">
        <f aca="false">IF(AU87="pass",CM87+CN87+CO87+CP87+CQ87+CR87+CS87+CT87,0)</f>
        <v>46</v>
      </c>
      <c r="K87" s="6" t="s">
        <v>6753</v>
      </c>
      <c r="M87" s="6" t="s">
        <v>5293</v>
      </c>
      <c r="N87" s="6" t="s">
        <v>598</v>
      </c>
      <c r="O87" s="6" t="s">
        <v>6754</v>
      </c>
      <c r="P87" s="6" t="s">
        <v>6755</v>
      </c>
      <c r="Q87" s="6" t="s">
        <v>6756</v>
      </c>
      <c r="R87" s="5" t="s">
        <v>162</v>
      </c>
      <c r="S87" s="6" t="s">
        <v>168</v>
      </c>
      <c r="T87" s="5" t="s">
        <v>162</v>
      </c>
      <c r="U87" s="5" t="s">
        <v>228</v>
      </c>
      <c r="V87" s="6" t="s">
        <v>6757</v>
      </c>
      <c r="W87" s="6" t="s">
        <v>166</v>
      </c>
      <c r="X87" s="6" t="s">
        <v>4586</v>
      </c>
      <c r="Y87" s="6" t="n">
        <f aca="false">IF(EB87&lt;&gt;"Y","",COUNTIFS($EB$2:$EB$1000,"Y",$J$2:$J$1000,"&gt;"&amp;J87)+COUNTIFS($EB$2:$EB$1000,"Y",$J$2:$J$1000,J87,$ED$2:$ED$1000,"&lt;"&amp;ED87)+1)</f>
        <v>77</v>
      </c>
      <c r="Z87" s="0" t="n">
        <v>86</v>
      </c>
      <c r="AA87" s="6" t="s">
        <v>162</v>
      </c>
      <c r="AB87" s="6" t="s">
        <v>6758</v>
      </c>
      <c r="AC87" s="6" t="s">
        <v>4588</v>
      </c>
      <c r="AD87" s="6" t="s">
        <v>171</v>
      </c>
      <c r="AE87" s="6" t="s">
        <v>172</v>
      </c>
      <c r="AF87" s="6" t="s">
        <v>6757</v>
      </c>
      <c r="AG87" s="6" t="s">
        <v>166</v>
      </c>
      <c r="AH87" s="6" t="s">
        <v>6759</v>
      </c>
      <c r="AI87" s="6" t="s">
        <v>4828</v>
      </c>
      <c r="AJ87" s="6" t="s">
        <v>6760</v>
      </c>
      <c r="AK87" s="6" t="s">
        <v>6761</v>
      </c>
      <c r="AL87" s="6" t="s">
        <v>162</v>
      </c>
      <c r="AN87" s="6" t="s">
        <v>6749</v>
      </c>
      <c r="AO87" s="5" t="s">
        <v>162</v>
      </c>
      <c r="AR87" s="0" t="str">
        <f aca="false">IF(AND(AU87="pass",AO87&lt;&gt;"Y",C87&lt;&gt;""),"Y","N")</f>
        <v>Y</v>
      </c>
      <c r="AS87" s="0" t="str">
        <f aca="false">_xlfn.TEXTJOIN("; ",TRUE(),IF(AU87&lt;&gt;"pass","gated out",""),IF(AO87="Y","on hold: "&amp;AP87,""),IF(C87="","no contact named on an opened page",""))</f>
        <v/>
      </c>
      <c r="AU87" s="6" t="s">
        <v>181</v>
      </c>
      <c r="AW87" s="6" t="s">
        <v>182</v>
      </c>
      <c r="AY87" s="6" t="s">
        <v>6761</v>
      </c>
      <c r="AZ87" s="6" t="s">
        <v>6762</v>
      </c>
      <c r="BA87" s="6" t="s">
        <v>5331</v>
      </c>
      <c r="BB87" s="6" t="s">
        <v>163</v>
      </c>
      <c r="BD87" s="6" t="s">
        <v>168</v>
      </c>
      <c r="BE87" s="6" t="s">
        <v>6763</v>
      </c>
      <c r="BF87" s="6" t="s">
        <v>162</v>
      </c>
      <c r="BG87" s="6" t="s">
        <v>168</v>
      </c>
      <c r="BH87" s="6" t="s">
        <v>163</v>
      </c>
      <c r="BJ87" s="6" t="s">
        <v>163</v>
      </c>
      <c r="BK87" s="6" t="s">
        <v>162</v>
      </c>
      <c r="BL87" s="6" t="s">
        <v>162</v>
      </c>
      <c r="BO87" s="6" t="s">
        <v>162</v>
      </c>
      <c r="BP87" s="0" t="n">
        <v>0</v>
      </c>
      <c r="BR87" s="6" t="s">
        <v>6764</v>
      </c>
      <c r="BS87" s="6" t="s">
        <v>6765</v>
      </c>
      <c r="BT87" s="6" t="s">
        <v>6766</v>
      </c>
      <c r="BU87" s="6" t="s">
        <v>4605</v>
      </c>
      <c r="BV87" s="0" t="n">
        <v>164</v>
      </c>
      <c r="BW87" s="6" t="s">
        <v>6755</v>
      </c>
      <c r="BX87" s="6" t="s">
        <v>6767</v>
      </c>
      <c r="CA87" s="6" t="s">
        <v>6768</v>
      </c>
      <c r="CB87" s="6" t="s">
        <v>6769</v>
      </c>
      <c r="CC87" s="6" t="s">
        <v>6770</v>
      </c>
      <c r="CD87" s="6" t="s">
        <v>6771</v>
      </c>
      <c r="CE87" s="6" t="s">
        <v>6262</v>
      </c>
      <c r="CF87" s="6" t="s">
        <v>171</v>
      </c>
      <c r="CK87" s="6" t="s">
        <v>158</v>
      </c>
      <c r="CL87" s="0" t="n">
        <v>46</v>
      </c>
      <c r="CM87" s="0" t="n">
        <v>6</v>
      </c>
      <c r="CN87" s="0" t="n">
        <v>3</v>
      </c>
      <c r="CO87" s="0" t="n">
        <v>15</v>
      </c>
      <c r="CP87" s="0" t="n">
        <v>5</v>
      </c>
      <c r="CQ87" s="0" t="n">
        <v>7</v>
      </c>
      <c r="CR87" s="0" t="n">
        <v>10</v>
      </c>
      <c r="CS87" s="6" t="n">
        <f aca="false">IF(R87="Y",10,0)</f>
        <v>0</v>
      </c>
      <c r="CT87" s="0" t="n">
        <v>0</v>
      </c>
      <c r="CU87" s="6" t="s">
        <v>6772</v>
      </c>
      <c r="CV87" s="6" t="s">
        <v>4843</v>
      </c>
      <c r="CW87" s="6" t="s">
        <v>6773</v>
      </c>
      <c r="CX87" s="6" t="s">
        <v>6774</v>
      </c>
      <c r="CY87" s="6" t="s">
        <v>6775</v>
      </c>
      <c r="CZ87" s="6" t="s">
        <v>6776</v>
      </c>
      <c r="DA87" s="6" t="s">
        <v>6236</v>
      </c>
      <c r="DC87" s="6" t="s">
        <v>172</v>
      </c>
      <c r="DY87" s="0" t="str">
        <f aca="false">IF(ISNUMBER(MATCH(U87,{"queued","contacted","replied","call_booked","call_done","yes_in_principle","materials_sent"},0)),"Y","N")</f>
        <v>N</v>
      </c>
      <c r="DZ87" s="0" t="str">
        <f aca="false">IF(COUNTIFS($AN$2:$AN$1000,AN87,$DY$2:$DY$1000,"Y")+COUNTIFS($AN$2:$AN$1000,AN87,$T$2:$T$1000,"Y")&gt;0,"Y","N")</f>
        <v>N</v>
      </c>
      <c r="EA87" s="0" t="str">
        <f aca="false">IF(AND(U87="new",T87="N",AR87="Y",AQ87="",DZ87="N"),"Y","N")</f>
        <v>Y</v>
      </c>
      <c r="EB87" s="0" t="str">
        <f aca="false">IF(EA87&lt;&gt;"Y","N",IF(COUNTIFS($AN$2:$AN$1000,AN87,$EA$2:$EA$1000,"Y",$J$2:$J$1000,"&gt;"&amp;J87)+COUNTIFS($AN$2:$AN$1000,AN87,$EA$2:$EA$1000,"Y",$J$2:$J$1000,J87,$ED$2:$ED$1000,"&lt;"&amp;ED87)=0,"Y","N"))</f>
        <v>Y</v>
      </c>
      <c r="EC87" s="0" t="str">
        <f aca="false">IF(Y87="","N",IF(Y87&lt;=10,"Y","N"))</f>
        <v>N</v>
      </c>
      <c r="ED87" s="6" t="n">
        <f aca="false">ROW()-1</f>
        <v>86</v>
      </c>
    </row>
    <row r="88" customFormat="false" ht="15" hidden="false" customHeight="false" outlineLevel="0" collapsed="false">
      <c r="A88" s="0" t="s">
        <v>6777</v>
      </c>
      <c r="B88" s="0" t="s">
        <v>6778</v>
      </c>
      <c r="C88" s="0" t="s">
        <v>6779</v>
      </c>
      <c r="D88" s="0" t="s">
        <v>6780</v>
      </c>
      <c r="E88" s="0" t="s">
        <v>4912</v>
      </c>
      <c r="H88" s="5" t="s">
        <v>158</v>
      </c>
      <c r="I88" s="5" t="s">
        <v>159</v>
      </c>
      <c r="J88" s="6" t="n">
        <f aca="false">IF(AU88="pass",CM88+CN88+CO88+CP88+CQ88+CR88+CS88+CT88,0)</f>
        <v>46</v>
      </c>
      <c r="K88" s="6" t="s">
        <v>6781</v>
      </c>
      <c r="M88" s="6" t="s">
        <v>5293</v>
      </c>
      <c r="N88" s="6" t="s">
        <v>598</v>
      </c>
      <c r="O88" s="6" t="s">
        <v>6782</v>
      </c>
      <c r="P88" s="6" t="s">
        <v>6783</v>
      </c>
      <c r="Q88" s="6" t="s">
        <v>6784</v>
      </c>
      <c r="R88" s="5" t="s">
        <v>162</v>
      </c>
      <c r="S88" s="6" t="s">
        <v>168</v>
      </c>
      <c r="T88" s="5" t="s">
        <v>162</v>
      </c>
      <c r="U88" s="5" t="s">
        <v>228</v>
      </c>
      <c r="V88" s="6" t="s">
        <v>6785</v>
      </c>
      <c r="W88" s="6" t="s">
        <v>166</v>
      </c>
      <c r="X88" s="6" t="s">
        <v>4586</v>
      </c>
      <c r="Y88" s="6" t="n">
        <f aca="false">IF(EB88&lt;&gt;"Y","",COUNTIFS($EB$2:$EB$1000,"Y",$J$2:$J$1000,"&gt;"&amp;J88)+COUNTIFS($EB$2:$EB$1000,"Y",$J$2:$J$1000,J88,$ED$2:$ED$1000,"&lt;"&amp;ED88)+1)</f>
        <v>78</v>
      </c>
      <c r="Z88" s="0" t="n">
        <v>87</v>
      </c>
      <c r="AA88" s="6" t="s">
        <v>162</v>
      </c>
      <c r="AB88" s="6" t="s">
        <v>6786</v>
      </c>
      <c r="AC88" s="6" t="s">
        <v>4588</v>
      </c>
      <c r="AD88" s="6" t="s">
        <v>171</v>
      </c>
      <c r="AE88" s="6" t="s">
        <v>1190</v>
      </c>
      <c r="AF88" s="6" t="s">
        <v>6783</v>
      </c>
      <c r="AG88" s="6" t="s">
        <v>166</v>
      </c>
      <c r="AH88" s="6" t="s">
        <v>6787</v>
      </c>
      <c r="AI88" s="6" t="s">
        <v>5385</v>
      </c>
      <c r="AJ88" s="6" t="s">
        <v>6476</v>
      </c>
      <c r="AK88" s="6" t="s">
        <v>6788</v>
      </c>
      <c r="AL88" s="6" t="s">
        <v>168</v>
      </c>
      <c r="AM88" s="6" t="s">
        <v>6789</v>
      </c>
      <c r="AN88" s="6" t="s">
        <v>6777</v>
      </c>
      <c r="AO88" s="5" t="s">
        <v>162</v>
      </c>
      <c r="AR88" s="0" t="str">
        <f aca="false">IF(AND(AU88="pass",AO88&lt;&gt;"Y",C88&lt;&gt;""),"Y","N")</f>
        <v>Y</v>
      </c>
      <c r="AS88" s="0" t="str">
        <f aca="false">_xlfn.TEXTJOIN("; ",TRUE(),IF(AU88&lt;&gt;"pass","gated out",""),IF(AO88="Y","on hold: "&amp;AP88,""),IF(C88="","no contact named on an opened page",""))</f>
        <v/>
      </c>
      <c r="AU88" s="6" t="s">
        <v>181</v>
      </c>
      <c r="AW88" s="6" t="s">
        <v>182</v>
      </c>
      <c r="AX88" s="6" t="s">
        <v>4595</v>
      </c>
      <c r="AY88" s="6" t="s">
        <v>6788</v>
      </c>
      <c r="AZ88" s="6" t="s">
        <v>6478</v>
      </c>
      <c r="BA88" s="6" t="s">
        <v>5193</v>
      </c>
      <c r="BB88" s="6" t="s">
        <v>163</v>
      </c>
      <c r="BD88" s="6" t="s">
        <v>168</v>
      </c>
      <c r="BE88" s="6" t="s">
        <v>6790</v>
      </c>
      <c r="BF88" s="6" t="s">
        <v>168</v>
      </c>
      <c r="BG88" s="6" t="s">
        <v>168</v>
      </c>
      <c r="BH88" s="6" t="s">
        <v>163</v>
      </c>
      <c r="BJ88" s="6" t="s">
        <v>6791</v>
      </c>
      <c r="BK88" s="6" t="s">
        <v>162</v>
      </c>
      <c r="BL88" s="6" t="s">
        <v>162</v>
      </c>
      <c r="BO88" s="6" t="s">
        <v>162</v>
      </c>
      <c r="BP88" s="0" t="n">
        <v>0</v>
      </c>
      <c r="BS88" s="6" t="s">
        <v>6792</v>
      </c>
      <c r="BT88" s="6" t="s">
        <v>6785</v>
      </c>
      <c r="BU88" s="6" t="s">
        <v>4605</v>
      </c>
      <c r="BV88" s="0" t="n">
        <v>24</v>
      </c>
      <c r="BW88" s="6" t="s">
        <v>6783</v>
      </c>
      <c r="BX88" s="6" t="s">
        <v>6793</v>
      </c>
      <c r="CF88" s="6" t="s">
        <v>158</v>
      </c>
      <c r="CK88" s="6" t="s">
        <v>158</v>
      </c>
      <c r="CL88" s="0" t="n">
        <v>46</v>
      </c>
      <c r="CM88" s="0" t="n">
        <v>6</v>
      </c>
      <c r="CN88" s="0" t="n">
        <v>8</v>
      </c>
      <c r="CO88" s="0" t="n">
        <v>15</v>
      </c>
      <c r="CP88" s="0" t="n">
        <v>5</v>
      </c>
      <c r="CQ88" s="0" t="n">
        <v>10</v>
      </c>
      <c r="CR88" s="0" t="n">
        <v>6</v>
      </c>
      <c r="CS88" s="6" t="n">
        <f aca="false">IF(R88="Y",10,0)</f>
        <v>0</v>
      </c>
      <c r="CT88" s="0" t="n">
        <v>-4</v>
      </c>
      <c r="CV88" s="6" t="s">
        <v>4616</v>
      </c>
      <c r="CW88" s="6" t="s">
        <v>6794</v>
      </c>
      <c r="CX88" s="6" t="s">
        <v>6795</v>
      </c>
      <c r="CY88" s="6" t="s">
        <v>6796</v>
      </c>
      <c r="DA88" s="6" t="s">
        <v>6236</v>
      </c>
      <c r="DY88" s="0" t="str">
        <f aca="false">IF(ISNUMBER(MATCH(U88,{"queued","contacted","replied","call_booked","call_done","yes_in_principle","materials_sent"},0)),"Y","N")</f>
        <v>N</v>
      </c>
      <c r="DZ88" s="0" t="str">
        <f aca="false">IF(COUNTIFS($AN$2:$AN$1000,AN88,$DY$2:$DY$1000,"Y")+COUNTIFS($AN$2:$AN$1000,AN88,$T$2:$T$1000,"Y")&gt;0,"Y","N")</f>
        <v>N</v>
      </c>
      <c r="EA88" s="0" t="str">
        <f aca="false">IF(AND(U88="new",T88="N",AR88="Y",AQ88="",DZ88="N"),"Y","N")</f>
        <v>Y</v>
      </c>
      <c r="EB88" s="0" t="str">
        <f aca="false">IF(EA88&lt;&gt;"Y","N",IF(COUNTIFS($AN$2:$AN$1000,AN88,$EA$2:$EA$1000,"Y",$J$2:$J$1000,"&gt;"&amp;J88)+COUNTIFS($AN$2:$AN$1000,AN88,$EA$2:$EA$1000,"Y",$J$2:$J$1000,J88,$ED$2:$ED$1000,"&lt;"&amp;ED88)=0,"Y","N"))</f>
        <v>Y</v>
      </c>
      <c r="EC88" s="0" t="str">
        <f aca="false">IF(Y88="","N",IF(Y88&lt;=10,"Y","N"))</f>
        <v>N</v>
      </c>
      <c r="ED88" s="6" t="n">
        <f aca="false">ROW()-1</f>
        <v>87</v>
      </c>
    </row>
    <row r="89" customFormat="false" ht="15" hidden="false" customHeight="false" outlineLevel="0" collapsed="false">
      <c r="A89" s="0" t="s">
        <v>6797</v>
      </c>
      <c r="B89" s="0" t="s">
        <v>6798</v>
      </c>
      <c r="C89" s="0" t="s">
        <v>6799</v>
      </c>
      <c r="D89" s="0" t="s">
        <v>6800</v>
      </c>
      <c r="E89" s="0" t="s">
        <v>4773</v>
      </c>
      <c r="H89" s="5" t="s">
        <v>158</v>
      </c>
      <c r="I89" s="5" t="s">
        <v>159</v>
      </c>
      <c r="J89" s="6" t="n">
        <f aca="false">IF(AU89="pass",CM89+CN89+CO89+CP89+CQ89+CR89+CS89+CT89,0)</f>
        <v>46</v>
      </c>
      <c r="K89" s="6" t="s">
        <v>6801</v>
      </c>
      <c r="M89" s="6" t="s">
        <v>5293</v>
      </c>
      <c r="N89" s="6" t="s">
        <v>598</v>
      </c>
      <c r="O89" s="6" t="s">
        <v>6802</v>
      </c>
      <c r="P89" s="6" t="s">
        <v>6803</v>
      </c>
      <c r="Q89" s="6" t="s">
        <v>5945</v>
      </c>
      <c r="R89" s="5" t="s">
        <v>162</v>
      </c>
      <c r="S89" s="6" t="s">
        <v>163</v>
      </c>
      <c r="T89" s="5" t="s">
        <v>162</v>
      </c>
      <c r="U89" s="5" t="s">
        <v>228</v>
      </c>
      <c r="V89" s="6" t="s">
        <v>6804</v>
      </c>
      <c r="W89" s="6" t="s">
        <v>166</v>
      </c>
      <c r="X89" s="6" t="s">
        <v>4586</v>
      </c>
      <c r="Y89" s="6" t="n">
        <f aca="false">IF(EB89&lt;&gt;"Y","",COUNTIFS($EB$2:$EB$1000,"Y",$J$2:$J$1000,"&gt;"&amp;J89)+COUNTIFS($EB$2:$EB$1000,"Y",$J$2:$J$1000,J89,$ED$2:$ED$1000,"&lt;"&amp;ED89)+1)</f>
        <v>79</v>
      </c>
      <c r="Z89" s="0" t="n">
        <v>88</v>
      </c>
      <c r="AA89" s="6" t="s">
        <v>162</v>
      </c>
      <c r="AB89" s="6" t="s">
        <v>6805</v>
      </c>
      <c r="AC89" s="6" t="s">
        <v>4588</v>
      </c>
      <c r="AD89" s="6" t="s">
        <v>171</v>
      </c>
      <c r="AE89" s="6" t="s">
        <v>1190</v>
      </c>
      <c r="AF89" s="6" t="s">
        <v>6806</v>
      </c>
      <c r="AG89" s="6" t="s">
        <v>166</v>
      </c>
      <c r="AH89" s="6" t="s">
        <v>6807</v>
      </c>
      <c r="AI89" s="6" t="s">
        <v>4634</v>
      </c>
      <c r="AJ89" s="6" t="s">
        <v>6808</v>
      </c>
      <c r="AK89" s="6" t="s">
        <v>6803</v>
      </c>
      <c r="AL89" s="6" t="s">
        <v>162</v>
      </c>
      <c r="AN89" s="6" t="s">
        <v>6797</v>
      </c>
      <c r="AO89" s="5" t="s">
        <v>162</v>
      </c>
      <c r="AR89" s="0" t="str">
        <f aca="false">IF(AND(AU89="pass",AO89&lt;&gt;"Y",C89&lt;&gt;""),"Y","N")</f>
        <v>Y</v>
      </c>
      <c r="AS89" s="0" t="str">
        <f aca="false">_xlfn.TEXTJOIN("; ",TRUE(),IF(AU89&lt;&gt;"pass","gated out",""),IF(AO89="Y","on hold: "&amp;AP89,""),IF(C89="","no contact named on an opened page",""))</f>
        <v/>
      </c>
      <c r="AU89" s="6" t="s">
        <v>181</v>
      </c>
      <c r="AW89" s="6" t="s">
        <v>182</v>
      </c>
      <c r="AY89" s="6" t="s">
        <v>6809</v>
      </c>
      <c r="AZ89" s="6" t="s">
        <v>4596</v>
      </c>
      <c r="BA89" s="6" t="s">
        <v>4953</v>
      </c>
      <c r="BB89" s="6" t="s">
        <v>163</v>
      </c>
      <c r="BD89" s="6" t="s">
        <v>168</v>
      </c>
      <c r="BE89" s="6" t="s">
        <v>6810</v>
      </c>
      <c r="BF89" s="6" t="s">
        <v>163</v>
      </c>
      <c r="BG89" s="6" t="s">
        <v>168</v>
      </c>
      <c r="BH89" s="6" t="s">
        <v>163</v>
      </c>
      <c r="BJ89" s="6" t="s">
        <v>163</v>
      </c>
      <c r="BK89" s="6" t="s">
        <v>162</v>
      </c>
      <c r="BL89" s="6" t="s">
        <v>162</v>
      </c>
      <c r="BO89" s="6" t="s">
        <v>162</v>
      </c>
      <c r="BP89" s="0" t="n">
        <v>0</v>
      </c>
      <c r="BR89" s="6" t="s">
        <v>6764</v>
      </c>
      <c r="BS89" s="6" t="s">
        <v>6811</v>
      </c>
      <c r="BT89" s="6" t="s">
        <v>6812</v>
      </c>
      <c r="BU89" s="6" t="s">
        <v>4695</v>
      </c>
      <c r="BV89" s="0" t="n">
        <v>65</v>
      </c>
      <c r="BX89" s="6" t="s">
        <v>6813</v>
      </c>
      <c r="CF89" s="6" t="s">
        <v>158</v>
      </c>
      <c r="CK89" s="6" t="s">
        <v>158</v>
      </c>
      <c r="CL89" s="0" t="n">
        <v>46</v>
      </c>
      <c r="CM89" s="0" t="n">
        <v>6</v>
      </c>
      <c r="CN89" s="0" t="n">
        <v>13</v>
      </c>
      <c r="CO89" s="0" t="n">
        <v>8</v>
      </c>
      <c r="CP89" s="0" t="n">
        <v>5</v>
      </c>
      <c r="CQ89" s="0" t="n">
        <v>8</v>
      </c>
      <c r="CR89" s="0" t="n">
        <v>6</v>
      </c>
      <c r="CS89" s="6" t="n">
        <f aca="false">IF(R89="Y",10,0)</f>
        <v>0</v>
      </c>
      <c r="CT89" s="0" t="n">
        <v>0</v>
      </c>
      <c r="CU89" s="6" t="s">
        <v>6814</v>
      </c>
      <c r="CV89" s="6" t="s">
        <v>4843</v>
      </c>
      <c r="CW89" s="6" t="s">
        <v>6815</v>
      </c>
      <c r="CX89" s="6" t="s">
        <v>6816</v>
      </c>
      <c r="CY89" s="6" t="s">
        <v>6817</v>
      </c>
      <c r="DA89" s="6" t="s">
        <v>6236</v>
      </c>
      <c r="DY89" s="0" t="str">
        <f aca="false">IF(ISNUMBER(MATCH(U89,{"queued","contacted","replied","call_booked","call_done","yes_in_principle","materials_sent"},0)),"Y","N")</f>
        <v>N</v>
      </c>
      <c r="DZ89" s="0" t="str">
        <f aca="false">IF(COUNTIFS($AN$2:$AN$1000,AN89,$DY$2:$DY$1000,"Y")+COUNTIFS($AN$2:$AN$1000,AN89,$T$2:$T$1000,"Y")&gt;0,"Y","N")</f>
        <v>N</v>
      </c>
      <c r="EA89" s="0" t="str">
        <f aca="false">IF(AND(U89="new",T89="N",AR89="Y",AQ89="",DZ89="N"),"Y","N")</f>
        <v>Y</v>
      </c>
      <c r="EB89" s="0" t="str">
        <f aca="false">IF(EA89&lt;&gt;"Y","N",IF(COUNTIFS($AN$2:$AN$1000,AN89,$EA$2:$EA$1000,"Y",$J$2:$J$1000,"&gt;"&amp;J89)+COUNTIFS($AN$2:$AN$1000,AN89,$EA$2:$EA$1000,"Y",$J$2:$J$1000,J89,$ED$2:$ED$1000,"&lt;"&amp;ED89)=0,"Y","N"))</f>
        <v>Y</v>
      </c>
      <c r="EC89" s="0" t="str">
        <f aca="false">IF(Y89="","N",IF(Y89&lt;=10,"Y","N"))</f>
        <v>N</v>
      </c>
      <c r="ED89" s="6" t="n">
        <f aca="false">ROW()-1</f>
        <v>88</v>
      </c>
    </row>
    <row r="90" customFormat="false" ht="15" hidden="false" customHeight="false" outlineLevel="0" collapsed="false">
      <c r="A90" s="0" t="s">
        <v>6818</v>
      </c>
      <c r="B90" s="0" t="s">
        <v>6819</v>
      </c>
      <c r="C90" s="0" t="s">
        <v>5432</v>
      </c>
      <c r="D90" s="0" t="s">
        <v>6820</v>
      </c>
      <c r="E90" s="0" t="s">
        <v>6821</v>
      </c>
      <c r="H90" s="5" t="s">
        <v>158</v>
      </c>
      <c r="I90" s="5" t="s">
        <v>159</v>
      </c>
      <c r="J90" s="6" t="n">
        <f aca="false">IF(AU90="pass",CM90+CN90+CO90+CP90+CQ90+CR90+CS90+CT90,0)</f>
        <v>46</v>
      </c>
      <c r="K90" s="6" t="s">
        <v>6822</v>
      </c>
      <c r="M90" s="6" t="s">
        <v>5293</v>
      </c>
      <c r="N90" s="6" t="s">
        <v>598</v>
      </c>
      <c r="R90" s="5" t="s">
        <v>162</v>
      </c>
      <c r="S90" s="6" t="s">
        <v>163</v>
      </c>
      <c r="T90" s="5" t="s">
        <v>162</v>
      </c>
      <c r="U90" s="5" t="s">
        <v>228</v>
      </c>
      <c r="V90" s="6" t="s">
        <v>6823</v>
      </c>
      <c r="W90" s="6" t="s">
        <v>166</v>
      </c>
      <c r="X90" s="6" t="s">
        <v>4586</v>
      </c>
      <c r="Y90" s="6" t="n">
        <f aca="false">IF(EB90&lt;&gt;"Y","",COUNTIFS($EB$2:$EB$1000,"Y",$J$2:$J$1000,"&gt;"&amp;J90)+COUNTIFS($EB$2:$EB$1000,"Y",$J$2:$J$1000,J90,$ED$2:$ED$1000,"&lt;"&amp;ED90)+1)</f>
        <v>80</v>
      </c>
      <c r="Z90" s="0" t="n">
        <v>89</v>
      </c>
      <c r="AA90" s="6" t="s">
        <v>162</v>
      </c>
      <c r="AB90" s="6" t="s">
        <v>6824</v>
      </c>
      <c r="AC90" s="6" t="s">
        <v>4588</v>
      </c>
      <c r="AD90" s="6" t="s">
        <v>171</v>
      </c>
      <c r="AE90" s="6" t="s">
        <v>1190</v>
      </c>
      <c r="AF90" s="6" t="s">
        <v>6825</v>
      </c>
      <c r="AG90" s="6" t="s">
        <v>166</v>
      </c>
      <c r="AH90" s="6" t="s">
        <v>6826</v>
      </c>
      <c r="AI90" s="6" t="s">
        <v>4591</v>
      </c>
      <c r="AJ90" s="6" t="s">
        <v>6827</v>
      </c>
      <c r="AK90" s="6" t="s">
        <v>6828</v>
      </c>
      <c r="AL90" s="6" t="s">
        <v>168</v>
      </c>
      <c r="AM90" s="6" t="s">
        <v>6829</v>
      </c>
      <c r="AN90" s="6" t="s">
        <v>6818</v>
      </c>
      <c r="AO90" s="5" t="s">
        <v>162</v>
      </c>
      <c r="AR90" s="0" t="str">
        <f aca="false">IF(AND(AU90="pass",AO90&lt;&gt;"Y",C90&lt;&gt;""),"Y","N")</f>
        <v>Y</v>
      </c>
      <c r="AS90" s="0" t="str">
        <f aca="false">_xlfn.TEXTJOIN("; ",TRUE(),IF(AU90&lt;&gt;"pass","gated out",""),IF(AO90="Y","on hold: "&amp;AP90,""),IF(C90="","no contact named on an opened page",""))</f>
        <v/>
      </c>
      <c r="AU90" s="6" t="s">
        <v>181</v>
      </c>
      <c r="AW90" s="6" t="s">
        <v>182</v>
      </c>
      <c r="AX90" s="6" t="s">
        <v>283</v>
      </c>
      <c r="AY90" s="6" t="s">
        <v>6828</v>
      </c>
      <c r="AZ90" s="6" t="s">
        <v>4596</v>
      </c>
      <c r="BA90" s="6" t="s">
        <v>4597</v>
      </c>
      <c r="BB90" s="6" t="s">
        <v>6830</v>
      </c>
      <c r="BC90" s="6" t="s">
        <v>6831</v>
      </c>
      <c r="BD90" s="6" t="s">
        <v>163</v>
      </c>
      <c r="BE90" s="6" t="s">
        <v>6832</v>
      </c>
      <c r="BF90" s="6" t="s">
        <v>168</v>
      </c>
      <c r="BG90" s="6" t="s">
        <v>168</v>
      </c>
      <c r="BH90" s="6" t="s">
        <v>163</v>
      </c>
      <c r="BJ90" s="6" t="s">
        <v>5551</v>
      </c>
      <c r="BK90" s="6" t="s">
        <v>162</v>
      </c>
      <c r="BL90" s="6" t="s">
        <v>162</v>
      </c>
      <c r="BO90" s="6" t="s">
        <v>162</v>
      </c>
      <c r="BP90" s="0" t="n">
        <v>0</v>
      </c>
      <c r="BS90" s="6" t="s">
        <v>6833</v>
      </c>
      <c r="BU90" s="6" t="s">
        <v>158</v>
      </c>
      <c r="BX90" s="6" t="s">
        <v>6834</v>
      </c>
      <c r="CA90" s="6" t="s">
        <v>6835</v>
      </c>
      <c r="CB90" s="6" t="s">
        <v>6836</v>
      </c>
      <c r="CC90" s="6" t="s">
        <v>6837</v>
      </c>
      <c r="CD90" s="6" t="s">
        <v>6838</v>
      </c>
      <c r="CE90" s="6" t="s">
        <v>6262</v>
      </c>
      <c r="CF90" s="6" t="s">
        <v>171</v>
      </c>
      <c r="CK90" s="6" t="s">
        <v>158</v>
      </c>
      <c r="CL90" s="0" t="n">
        <v>46</v>
      </c>
      <c r="CM90" s="0" t="n">
        <v>6</v>
      </c>
      <c r="CN90" s="0" t="n">
        <v>20</v>
      </c>
      <c r="CO90" s="0" t="n">
        <v>0</v>
      </c>
      <c r="CP90" s="0" t="n">
        <v>5</v>
      </c>
      <c r="CQ90" s="0" t="n">
        <v>7</v>
      </c>
      <c r="CR90" s="0" t="n">
        <v>10</v>
      </c>
      <c r="CS90" s="6" t="n">
        <f aca="false">IF(R90="Y",10,0)</f>
        <v>0</v>
      </c>
      <c r="CT90" s="0" t="n">
        <v>-2</v>
      </c>
      <c r="CU90" s="6" t="s">
        <v>6839</v>
      </c>
      <c r="CV90" s="6" t="s">
        <v>5564</v>
      </c>
      <c r="CW90" s="6" t="s">
        <v>6840</v>
      </c>
      <c r="CX90" s="6" t="s">
        <v>6841</v>
      </c>
      <c r="CY90" s="6" t="s">
        <v>6842</v>
      </c>
      <c r="DA90" s="6" t="s">
        <v>6236</v>
      </c>
      <c r="DC90" s="6" t="s">
        <v>163</v>
      </c>
      <c r="DY90" s="0" t="str">
        <f aca="false">IF(ISNUMBER(MATCH(U90,{"queued","contacted","replied","call_booked","call_done","yes_in_principle","materials_sent"},0)),"Y","N")</f>
        <v>N</v>
      </c>
      <c r="DZ90" s="0" t="str">
        <f aca="false">IF(COUNTIFS($AN$2:$AN$1000,AN90,$DY$2:$DY$1000,"Y")+COUNTIFS($AN$2:$AN$1000,AN90,$T$2:$T$1000,"Y")&gt;0,"Y","N")</f>
        <v>N</v>
      </c>
      <c r="EA90" s="0" t="str">
        <f aca="false">IF(AND(U90="new",T90="N",AR90="Y",AQ90="",DZ90="N"),"Y","N")</f>
        <v>Y</v>
      </c>
      <c r="EB90" s="0" t="str">
        <f aca="false">IF(EA90&lt;&gt;"Y","N",IF(COUNTIFS($AN$2:$AN$1000,AN90,$EA$2:$EA$1000,"Y",$J$2:$J$1000,"&gt;"&amp;J90)+COUNTIFS($AN$2:$AN$1000,AN90,$EA$2:$EA$1000,"Y",$J$2:$J$1000,J90,$ED$2:$ED$1000,"&lt;"&amp;ED90)=0,"Y","N"))</f>
        <v>Y</v>
      </c>
      <c r="EC90" s="0" t="str">
        <f aca="false">IF(Y90="","N",IF(Y90&lt;=10,"Y","N"))</f>
        <v>N</v>
      </c>
      <c r="ED90" s="6" t="n">
        <f aca="false">ROW()-1</f>
        <v>89</v>
      </c>
    </row>
    <row r="91" customFormat="false" ht="15" hidden="false" customHeight="false" outlineLevel="0" collapsed="false">
      <c r="A91" s="0" t="s">
        <v>6843</v>
      </c>
      <c r="B91" s="0" t="s">
        <v>6844</v>
      </c>
      <c r="C91" s="0" t="s">
        <v>6845</v>
      </c>
      <c r="D91" s="0" t="s">
        <v>163</v>
      </c>
      <c r="E91" s="0" t="s">
        <v>4773</v>
      </c>
      <c r="H91" s="5" t="s">
        <v>158</v>
      </c>
      <c r="I91" s="5" t="s">
        <v>159</v>
      </c>
      <c r="J91" s="6" t="n">
        <f aca="false">IF(AU91="pass",CM91+CN91+CO91+CP91+CQ91+CR91+CS91+CT91,0)</f>
        <v>45</v>
      </c>
      <c r="K91" s="6" t="s">
        <v>6846</v>
      </c>
      <c r="M91" s="6" t="s">
        <v>6847</v>
      </c>
      <c r="N91" s="6" t="s">
        <v>5023</v>
      </c>
      <c r="R91" s="5" t="s">
        <v>162</v>
      </c>
      <c r="S91" s="6" t="s">
        <v>163</v>
      </c>
      <c r="T91" s="5" t="s">
        <v>162</v>
      </c>
      <c r="U91" s="5" t="s">
        <v>228</v>
      </c>
      <c r="V91" s="6" t="s">
        <v>5786</v>
      </c>
      <c r="W91" s="6" t="s">
        <v>174</v>
      </c>
      <c r="X91" s="6" t="s">
        <v>4586</v>
      </c>
      <c r="Y91" s="6" t="n">
        <f aca="false">IF(EB91&lt;&gt;"Y","",COUNTIFS($EB$2:$EB$1000,"Y",$J$2:$J$1000,"&gt;"&amp;J91)+COUNTIFS($EB$2:$EB$1000,"Y",$J$2:$J$1000,J91,$ED$2:$ED$1000,"&lt;"&amp;ED91)+1)</f>
        <v>81</v>
      </c>
      <c r="Z91" s="0" t="n">
        <v>90</v>
      </c>
      <c r="AA91" s="6" t="s">
        <v>162</v>
      </c>
      <c r="AB91" s="6" t="s">
        <v>6848</v>
      </c>
      <c r="AC91" s="6" t="s">
        <v>4588</v>
      </c>
      <c r="AD91" s="6" t="s">
        <v>5010</v>
      </c>
      <c r="AE91" s="6" t="s">
        <v>172</v>
      </c>
      <c r="AF91" s="6" t="s">
        <v>6849</v>
      </c>
      <c r="AG91" s="6" t="s">
        <v>174</v>
      </c>
      <c r="AH91" s="6" t="s">
        <v>6850</v>
      </c>
      <c r="AI91" s="6" t="s">
        <v>4724</v>
      </c>
      <c r="AJ91" s="6" t="s">
        <v>6851</v>
      </c>
      <c r="AK91" s="6" t="s">
        <v>6852</v>
      </c>
      <c r="AL91" s="6" t="s">
        <v>168</v>
      </c>
      <c r="AM91" s="6" t="s">
        <v>6853</v>
      </c>
      <c r="AN91" s="6" t="s">
        <v>6843</v>
      </c>
      <c r="AO91" s="5" t="s">
        <v>162</v>
      </c>
      <c r="AR91" s="0" t="str">
        <f aca="false">IF(AND(AU91="pass",AO91&lt;&gt;"Y",C91&lt;&gt;""),"Y","N")</f>
        <v>Y</v>
      </c>
      <c r="AS91" s="0" t="str">
        <f aca="false">_xlfn.TEXTJOIN("; ",TRUE(),IF(AU91&lt;&gt;"pass","gated out",""),IF(AO91="Y","on hold: "&amp;AP91,""),IF(C91="","no contact named on an opened page",""))</f>
        <v/>
      </c>
      <c r="AU91" s="6" t="s">
        <v>181</v>
      </c>
      <c r="AW91" s="6" t="s">
        <v>182</v>
      </c>
      <c r="AX91" s="6" t="s">
        <v>4595</v>
      </c>
      <c r="AY91" s="6" t="s">
        <v>6852</v>
      </c>
      <c r="AZ91" s="6" t="s">
        <v>4596</v>
      </c>
      <c r="BA91" s="6" t="s">
        <v>5273</v>
      </c>
      <c r="BB91" s="6" t="s">
        <v>163</v>
      </c>
      <c r="BD91" s="6" t="s">
        <v>163</v>
      </c>
      <c r="BE91" s="6" t="s">
        <v>6854</v>
      </c>
      <c r="BF91" s="6" t="s">
        <v>168</v>
      </c>
      <c r="BG91" s="6" t="s">
        <v>168</v>
      </c>
      <c r="BH91" s="6" t="s">
        <v>163</v>
      </c>
      <c r="BJ91" s="6" t="s">
        <v>5145</v>
      </c>
      <c r="BK91" s="6" t="s">
        <v>162</v>
      </c>
      <c r="BL91" s="6" t="s">
        <v>162</v>
      </c>
      <c r="BN91" s="0" t="n">
        <v>0</v>
      </c>
      <c r="BO91" s="6" t="s">
        <v>168</v>
      </c>
      <c r="BP91" s="0" t="n">
        <v>1</v>
      </c>
      <c r="BQ91" s="6" t="s">
        <v>6855</v>
      </c>
      <c r="BR91" s="6" t="s">
        <v>6856</v>
      </c>
      <c r="BS91" s="6" t="s">
        <v>6857</v>
      </c>
      <c r="BT91" s="6" t="s">
        <v>6858</v>
      </c>
      <c r="BU91" s="6" t="s">
        <v>158</v>
      </c>
      <c r="BX91" s="6" t="s">
        <v>6845</v>
      </c>
      <c r="BY91" s="6" t="s">
        <v>6652</v>
      </c>
      <c r="CF91" s="6" t="s">
        <v>158</v>
      </c>
      <c r="CK91" s="6" t="s">
        <v>158</v>
      </c>
      <c r="CL91" s="0" t="n">
        <v>45</v>
      </c>
      <c r="CM91" s="0" t="n">
        <v>17</v>
      </c>
      <c r="CN91" s="0" t="n">
        <v>17</v>
      </c>
      <c r="CO91" s="0" t="n">
        <v>0</v>
      </c>
      <c r="CP91" s="0" t="n">
        <v>5</v>
      </c>
      <c r="CQ91" s="0" t="n">
        <v>7</v>
      </c>
      <c r="CR91" s="0" t="n">
        <v>3</v>
      </c>
      <c r="CS91" s="6" t="n">
        <f aca="false">IF(R91="Y",10,0)</f>
        <v>0</v>
      </c>
      <c r="CT91" s="0" t="n">
        <v>-4</v>
      </c>
      <c r="CU91" s="6" t="s">
        <v>6859</v>
      </c>
      <c r="CV91" s="6" t="s">
        <v>5152</v>
      </c>
      <c r="CW91" s="6" t="s">
        <v>6860</v>
      </c>
      <c r="CX91" s="6" t="s">
        <v>6861</v>
      </c>
      <c r="DA91" s="6" t="s">
        <v>6236</v>
      </c>
      <c r="DY91" s="0" t="str">
        <f aca="false">IF(ISNUMBER(MATCH(U91,{"queued","contacted","replied","call_booked","call_done","yes_in_principle","materials_sent"},0)),"Y","N")</f>
        <v>N</v>
      </c>
      <c r="DZ91" s="0" t="str">
        <f aca="false">IF(COUNTIFS($AN$2:$AN$1000,AN91,$DY$2:$DY$1000,"Y")+COUNTIFS($AN$2:$AN$1000,AN91,$T$2:$T$1000,"Y")&gt;0,"Y","N")</f>
        <v>N</v>
      </c>
      <c r="EA91" s="0" t="str">
        <f aca="false">IF(AND(U91="new",T91="N",AR91="Y",AQ91="",DZ91="N"),"Y","N")</f>
        <v>Y</v>
      </c>
      <c r="EB91" s="0" t="str">
        <f aca="false">IF(EA91&lt;&gt;"Y","N",IF(COUNTIFS($AN$2:$AN$1000,AN91,$EA$2:$EA$1000,"Y",$J$2:$J$1000,"&gt;"&amp;J91)+COUNTIFS($AN$2:$AN$1000,AN91,$EA$2:$EA$1000,"Y",$J$2:$J$1000,J91,$ED$2:$ED$1000,"&lt;"&amp;ED91)=0,"Y","N"))</f>
        <v>Y</v>
      </c>
      <c r="EC91" s="0" t="str">
        <f aca="false">IF(Y91="","N",IF(Y91&lt;=10,"Y","N"))</f>
        <v>N</v>
      </c>
      <c r="ED91" s="6" t="n">
        <f aca="false">ROW()-1</f>
        <v>90</v>
      </c>
    </row>
    <row r="92" customFormat="false" ht="15" hidden="false" customHeight="false" outlineLevel="0" collapsed="false">
      <c r="A92" s="0" t="s">
        <v>6862</v>
      </c>
      <c r="B92" s="0" t="s">
        <v>6863</v>
      </c>
      <c r="C92" s="0" t="s">
        <v>6864</v>
      </c>
      <c r="D92" s="0" t="s">
        <v>6865</v>
      </c>
      <c r="E92" s="0" t="s">
        <v>4773</v>
      </c>
      <c r="H92" s="5" t="s">
        <v>158</v>
      </c>
      <c r="I92" s="5" t="s">
        <v>159</v>
      </c>
      <c r="J92" s="6" t="n">
        <f aca="false">IF(AU92="pass",CM92+CN92+CO92+CP92+CQ92+CR92+CS92+CT92,0)</f>
        <v>45</v>
      </c>
      <c r="K92" s="6" t="s">
        <v>6866</v>
      </c>
      <c r="M92" s="6" t="s">
        <v>5293</v>
      </c>
      <c r="N92" s="6" t="s">
        <v>598</v>
      </c>
      <c r="O92" s="6" t="s">
        <v>6867</v>
      </c>
      <c r="P92" s="6" t="s">
        <v>6868</v>
      </c>
      <c r="Q92" s="6" t="s">
        <v>5542</v>
      </c>
      <c r="R92" s="5" t="s">
        <v>162</v>
      </c>
      <c r="S92" s="6" t="s">
        <v>168</v>
      </c>
      <c r="T92" s="5" t="s">
        <v>162</v>
      </c>
      <c r="U92" s="5" t="s">
        <v>228</v>
      </c>
      <c r="V92" s="6" t="s">
        <v>6869</v>
      </c>
      <c r="W92" s="6" t="s">
        <v>166</v>
      </c>
      <c r="X92" s="6" t="s">
        <v>4586</v>
      </c>
      <c r="Y92" s="6" t="n">
        <f aca="false">IF(EB92&lt;&gt;"Y","",COUNTIFS($EB$2:$EB$1000,"Y",$J$2:$J$1000,"&gt;"&amp;J92)+COUNTIFS($EB$2:$EB$1000,"Y",$J$2:$J$1000,J92,$ED$2:$ED$1000,"&lt;"&amp;ED92)+1)</f>
        <v>82</v>
      </c>
      <c r="Z92" s="0" t="n">
        <v>91</v>
      </c>
      <c r="AA92" s="6" t="s">
        <v>162</v>
      </c>
      <c r="AB92" s="6" t="s">
        <v>6870</v>
      </c>
      <c r="AC92" s="6" t="s">
        <v>4588</v>
      </c>
      <c r="AD92" s="6" t="s">
        <v>171</v>
      </c>
      <c r="AE92" s="6" t="s">
        <v>172</v>
      </c>
      <c r="AF92" s="6" t="s">
        <v>6869</v>
      </c>
      <c r="AG92" s="6" t="s">
        <v>166</v>
      </c>
      <c r="AH92" s="6" t="s">
        <v>6871</v>
      </c>
      <c r="AI92" s="6" t="s">
        <v>4634</v>
      </c>
      <c r="AJ92" s="6" t="s">
        <v>6872</v>
      </c>
      <c r="AK92" s="6" t="s">
        <v>6873</v>
      </c>
      <c r="AL92" s="6" t="s">
        <v>168</v>
      </c>
      <c r="AM92" s="6" t="s">
        <v>6874</v>
      </c>
      <c r="AN92" s="6" t="s">
        <v>6862</v>
      </c>
      <c r="AO92" s="5" t="s">
        <v>162</v>
      </c>
      <c r="AR92" s="0" t="str">
        <f aca="false">IF(AND(AU92="pass",AO92&lt;&gt;"Y",C92&lt;&gt;""),"Y","N")</f>
        <v>Y</v>
      </c>
      <c r="AS92" s="0" t="str">
        <f aca="false">_xlfn.TEXTJOIN("; ",TRUE(),IF(AU92&lt;&gt;"pass","gated out",""),IF(AO92="Y","on hold: "&amp;AP92,""),IF(C92="","no contact named on an opened page",""))</f>
        <v/>
      </c>
      <c r="AU92" s="6" t="s">
        <v>181</v>
      </c>
      <c r="AW92" s="6" t="s">
        <v>182</v>
      </c>
      <c r="AX92" s="6" t="s">
        <v>283</v>
      </c>
      <c r="AY92" s="6" t="s">
        <v>6873</v>
      </c>
      <c r="AZ92" s="6" t="s">
        <v>6875</v>
      </c>
      <c r="BA92" s="6" t="s">
        <v>5331</v>
      </c>
      <c r="BB92" s="6" t="s">
        <v>163</v>
      </c>
      <c r="BD92" s="6" t="s">
        <v>168</v>
      </c>
      <c r="BE92" s="6" t="s">
        <v>6876</v>
      </c>
      <c r="BF92" s="6" t="s">
        <v>163</v>
      </c>
      <c r="BG92" s="6" t="s">
        <v>168</v>
      </c>
      <c r="BH92" s="6" t="s">
        <v>163</v>
      </c>
      <c r="BJ92" s="6" t="s">
        <v>163</v>
      </c>
      <c r="BK92" s="6" t="s">
        <v>162</v>
      </c>
      <c r="BL92" s="6" t="s">
        <v>162</v>
      </c>
      <c r="BO92" s="6" t="s">
        <v>162</v>
      </c>
      <c r="BP92" s="0" t="n">
        <v>0</v>
      </c>
      <c r="BR92" s="6" t="s">
        <v>6764</v>
      </c>
      <c r="BS92" s="6" t="s">
        <v>6877</v>
      </c>
      <c r="BT92" s="6" t="s">
        <v>6878</v>
      </c>
      <c r="BU92" s="6" t="s">
        <v>4605</v>
      </c>
      <c r="BV92" s="0" t="n">
        <v>43</v>
      </c>
      <c r="BW92" s="6" t="s">
        <v>6868</v>
      </c>
      <c r="BX92" s="6" t="s">
        <v>6879</v>
      </c>
      <c r="CA92" s="6" t="s">
        <v>6880</v>
      </c>
      <c r="CB92" s="6" t="s">
        <v>5757</v>
      </c>
      <c r="CC92" s="6" t="s">
        <v>6881</v>
      </c>
      <c r="CD92" s="6" t="s">
        <v>6882</v>
      </c>
      <c r="CE92" s="6" t="s">
        <v>6262</v>
      </c>
      <c r="CF92" s="6" t="s">
        <v>171</v>
      </c>
      <c r="CK92" s="6" t="s">
        <v>158</v>
      </c>
      <c r="CL92" s="0" t="n">
        <v>45</v>
      </c>
      <c r="CM92" s="0" t="n">
        <v>6</v>
      </c>
      <c r="CN92" s="0" t="n">
        <v>3</v>
      </c>
      <c r="CO92" s="0" t="n">
        <v>15</v>
      </c>
      <c r="CP92" s="0" t="n">
        <v>5</v>
      </c>
      <c r="CQ92" s="0" t="n">
        <v>8</v>
      </c>
      <c r="CR92" s="0" t="n">
        <v>10</v>
      </c>
      <c r="CS92" s="6" t="n">
        <f aca="false">IF(R92="Y",10,0)</f>
        <v>0</v>
      </c>
      <c r="CT92" s="0" t="n">
        <v>-2</v>
      </c>
      <c r="CU92" s="6" t="s">
        <v>6883</v>
      </c>
      <c r="CV92" s="6" t="s">
        <v>4843</v>
      </c>
      <c r="CW92" s="6" t="s">
        <v>6884</v>
      </c>
      <c r="CX92" s="6" t="s">
        <v>6885</v>
      </c>
      <c r="CY92" s="6" t="s">
        <v>6886</v>
      </c>
      <c r="CZ92" s="6" t="s">
        <v>6868</v>
      </c>
      <c r="DA92" s="6" t="s">
        <v>6236</v>
      </c>
      <c r="DC92" s="6" t="s">
        <v>1190</v>
      </c>
      <c r="DY92" s="0" t="str">
        <f aca="false">IF(ISNUMBER(MATCH(U92,{"queued","contacted","replied","call_booked","call_done","yes_in_principle","materials_sent"},0)),"Y","N")</f>
        <v>N</v>
      </c>
      <c r="DZ92" s="0" t="str">
        <f aca="false">IF(COUNTIFS($AN$2:$AN$1000,AN92,$DY$2:$DY$1000,"Y")+COUNTIFS($AN$2:$AN$1000,AN92,$T$2:$T$1000,"Y")&gt;0,"Y","N")</f>
        <v>N</v>
      </c>
      <c r="EA92" s="0" t="str">
        <f aca="false">IF(AND(U92="new",T92="N",AR92="Y",AQ92="",DZ92="N"),"Y","N")</f>
        <v>Y</v>
      </c>
      <c r="EB92" s="0" t="str">
        <f aca="false">IF(EA92&lt;&gt;"Y","N",IF(COUNTIFS($AN$2:$AN$1000,AN92,$EA$2:$EA$1000,"Y",$J$2:$J$1000,"&gt;"&amp;J92)+COUNTIFS($AN$2:$AN$1000,AN92,$EA$2:$EA$1000,"Y",$J$2:$J$1000,J92,$ED$2:$ED$1000,"&lt;"&amp;ED92)=0,"Y","N"))</f>
        <v>Y</v>
      </c>
      <c r="EC92" s="0" t="str">
        <f aca="false">IF(Y92="","N",IF(Y92&lt;=10,"Y","N"))</f>
        <v>N</v>
      </c>
      <c r="ED92" s="6" t="n">
        <f aca="false">ROW()-1</f>
        <v>91</v>
      </c>
    </row>
    <row r="93" customFormat="false" ht="15" hidden="false" customHeight="false" outlineLevel="0" collapsed="false">
      <c r="A93" s="0" t="s">
        <v>6887</v>
      </c>
      <c r="B93" s="0" t="s">
        <v>6888</v>
      </c>
      <c r="C93" s="0" t="s">
        <v>6889</v>
      </c>
      <c r="D93" s="0" t="s">
        <v>6890</v>
      </c>
      <c r="E93" s="0" t="s">
        <v>4773</v>
      </c>
      <c r="H93" s="5" t="s">
        <v>158</v>
      </c>
      <c r="I93" s="5" t="s">
        <v>159</v>
      </c>
      <c r="J93" s="6" t="n">
        <f aca="false">IF(AU93="pass",CM93+CN93+CO93+CP93+CQ93+CR93+CS93+CT93,0)</f>
        <v>45</v>
      </c>
      <c r="K93" s="6" t="s">
        <v>6891</v>
      </c>
      <c r="M93" s="6" t="s">
        <v>5293</v>
      </c>
      <c r="N93" s="6" t="s">
        <v>598</v>
      </c>
      <c r="O93" s="6" t="s">
        <v>6892</v>
      </c>
      <c r="P93" s="6" t="s">
        <v>6893</v>
      </c>
      <c r="Q93" s="6" t="s">
        <v>5945</v>
      </c>
      <c r="R93" s="5" t="s">
        <v>162</v>
      </c>
      <c r="S93" s="6" t="s">
        <v>163</v>
      </c>
      <c r="T93" s="5" t="s">
        <v>162</v>
      </c>
      <c r="U93" s="5" t="s">
        <v>228</v>
      </c>
      <c r="V93" s="6" t="s">
        <v>6893</v>
      </c>
      <c r="W93" s="6" t="s">
        <v>166</v>
      </c>
      <c r="X93" s="6" t="s">
        <v>4586</v>
      </c>
      <c r="Y93" s="6" t="n">
        <f aca="false">IF(EB93&lt;&gt;"Y","",COUNTIFS($EB$2:$EB$1000,"Y",$J$2:$J$1000,"&gt;"&amp;J93)+COUNTIFS($EB$2:$EB$1000,"Y",$J$2:$J$1000,J93,$ED$2:$ED$1000,"&lt;"&amp;ED93)+1)</f>
        <v>83</v>
      </c>
      <c r="Z93" s="0" t="n">
        <v>92</v>
      </c>
      <c r="AA93" s="6" t="s">
        <v>162</v>
      </c>
      <c r="AB93" s="6" t="s">
        <v>6894</v>
      </c>
      <c r="AC93" s="6" t="s">
        <v>4588</v>
      </c>
      <c r="AD93" s="6" t="s">
        <v>171</v>
      </c>
      <c r="AE93" s="6" t="s">
        <v>1190</v>
      </c>
      <c r="AF93" s="6" t="s">
        <v>6893</v>
      </c>
      <c r="AG93" s="6" t="s">
        <v>166</v>
      </c>
      <c r="AH93" s="6" t="s">
        <v>6895</v>
      </c>
      <c r="AI93" s="6" t="s">
        <v>4634</v>
      </c>
      <c r="AJ93" s="6" t="s">
        <v>6896</v>
      </c>
      <c r="AK93" s="6" t="s">
        <v>6897</v>
      </c>
      <c r="AL93" s="6" t="s">
        <v>168</v>
      </c>
      <c r="AM93" s="6" t="s">
        <v>6898</v>
      </c>
      <c r="AN93" s="6" t="s">
        <v>6887</v>
      </c>
      <c r="AO93" s="5" t="s">
        <v>162</v>
      </c>
      <c r="AR93" s="0" t="str">
        <f aca="false">IF(AND(AU93="pass",AO93&lt;&gt;"Y",C93&lt;&gt;""),"Y","N")</f>
        <v>Y</v>
      </c>
      <c r="AS93" s="0" t="str">
        <f aca="false">_xlfn.TEXTJOIN("; ",TRUE(),IF(AU93&lt;&gt;"pass","gated out",""),IF(AO93="Y","on hold: "&amp;AP93,""),IF(C93="","no contact named on an opened page",""))</f>
        <v/>
      </c>
      <c r="AU93" s="6" t="s">
        <v>181</v>
      </c>
      <c r="AW93" s="6" t="s">
        <v>182</v>
      </c>
      <c r="AX93" s="6" t="s">
        <v>283</v>
      </c>
      <c r="AY93" s="6" t="s">
        <v>6899</v>
      </c>
      <c r="AZ93" s="6" t="s">
        <v>6900</v>
      </c>
      <c r="BA93" s="6" t="s">
        <v>5331</v>
      </c>
      <c r="BB93" s="6" t="s">
        <v>163</v>
      </c>
      <c r="BD93" s="6" t="s">
        <v>168</v>
      </c>
      <c r="BE93" s="6" t="s">
        <v>6901</v>
      </c>
      <c r="BF93" s="6" t="s">
        <v>163</v>
      </c>
      <c r="BG93" s="6" t="s">
        <v>168</v>
      </c>
      <c r="BH93" s="6" t="s">
        <v>163</v>
      </c>
      <c r="BJ93" s="6" t="s">
        <v>163</v>
      </c>
      <c r="BK93" s="6" t="s">
        <v>162</v>
      </c>
      <c r="BL93" s="6" t="s">
        <v>162</v>
      </c>
      <c r="BO93" s="6" t="s">
        <v>162</v>
      </c>
      <c r="BP93" s="0" t="n">
        <v>0</v>
      </c>
      <c r="BS93" s="6" t="s">
        <v>163</v>
      </c>
      <c r="BU93" s="6" t="s">
        <v>4605</v>
      </c>
      <c r="BV93" s="0" t="n">
        <v>65</v>
      </c>
      <c r="BX93" s="6" t="s">
        <v>6902</v>
      </c>
      <c r="CA93" s="6" t="s">
        <v>6903</v>
      </c>
      <c r="CB93" s="6" t="s">
        <v>6904</v>
      </c>
      <c r="CC93" s="6" t="s">
        <v>6905</v>
      </c>
      <c r="CD93" s="6" t="s">
        <v>4841</v>
      </c>
      <c r="CE93" s="6" t="s">
        <v>6262</v>
      </c>
      <c r="CF93" s="6" t="s">
        <v>171</v>
      </c>
      <c r="CK93" s="6" t="s">
        <v>158</v>
      </c>
      <c r="CL93" s="0" t="n">
        <v>45</v>
      </c>
      <c r="CM93" s="0" t="n">
        <v>6</v>
      </c>
      <c r="CN93" s="0" t="n">
        <v>3</v>
      </c>
      <c r="CO93" s="0" t="n">
        <v>15</v>
      </c>
      <c r="CP93" s="0" t="n">
        <v>5</v>
      </c>
      <c r="CQ93" s="0" t="n">
        <v>8</v>
      </c>
      <c r="CR93" s="0" t="n">
        <v>10</v>
      </c>
      <c r="CS93" s="6" t="n">
        <f aca="false">IF(R93="Y",10,0)</f>
        <v>0</v>
      </c>
      <c r="CT93" s="0" t="n">
        <v>-2</v>
      </c>
      <c r="CU93" s="6" t="s">
        <v>163</v>
      </c>
      <c r="CV93" s="6" t="s">
        <v>4843</v>
      </c>
      <c r="CW93" s="6" t="s">
        <v>6906</v>
      </c>
      <c r="CX93" s="6" t="s">
        <v>6907</v>
      </c>
      <c r="CY93" s="6" t="s">
        <v>6908</v>
      </c>
      <c r="CZ93" s="6" t="s">
        <v>6909</v>
      </c>
      <c r="DA93" s="6" t="s">
        <v>6236</v>
      </c>
      <c r="DC93" s="6" t="s">
        <v>172</v>
      </c>
      <c r="DY93" s="0" t="str">
        <f aca="false">IF(ISNUMBER(MATCH(U93,{"queued","contacted","replied","call_booked","call_done","yes_in_principle","materials_sent"},0)),"Y","N")</f>
        <v>N</v>
      </c>
      <c r="DZ93" s="0" t="str">
        <f aca="false">IF(COUNTIFS($AN$2:$AN$1000,AN93,$DY$2:$DY$1000,"Y")+COUNTIFS($AN$2:$AN$1000,AN93,$T$2:$T$1000,"Y")&gt;0,"Y","N")</f>
        <v>N</v>
      </c>
      <c r="EA93" s="0" t="str">
        <f aca="false">IF(AND(U93="new",T93="N",AR93="Y",AQ93="",DZ93="N"),"Y","N")</f>
        <v>Y</v>
      </c>
      <c r="EB93" s="0" t="str">
        <f aca="false">IF(EA93&lt;&gt;"Y","N",IF(COUNTIFS($AN$2:$AN$1000,AN93,$EA$2:$EA$1000,"Y",$J$2:$J$1000,"&gt;"&amp;J93)+COUNTIFS($AN$2:$AN$1000,AN93,$EA$2:$EA$1000,"Y",$J$2:$J$1000,J93,$ED$2:$ED$1000,"&lt;"&amp;ED93)=0,"Y","N"))</f>
        <v>Y</v>
      </c>
      <c r="EC93" s="0" t="str">
        <f aca="false">IF(Y93="","N",IF(Y93&lt;=10,"Y","N"))</f>
        <v>N</v>
      </c>
      <c r="ED93" s="6" t="n">
        <f aca="false">ROW()-1</f>
        <v>92</v>
      </c>
    </row>
    <row r="94" customFormat="false" ht="15" hidden="false" customHeight="false" outlineLevel="0" collapsed="false">
      <c r="A94" s="0" t="s">
        <v>6910</v>
      </c>
      <c r="B94" s="0" t="s">
        <v>6911</v>
      </c>
      <c r="H94" s="5" t="s">
        <v>158</v>
      </c>
      <c r="I94" s="5"/>
      <c r="J94" s="6" t="n">
        <f aca="false">IF(AU94="pass",CM94+CN94+CO94+CP94+CQ94+CR94+CS94+CT94,0)</f>
        <v>45</v>
      </c>
      <c r="K94" s="6" t="s">
        <v>6912</v>
      </c>
      <c r="M94" s="6" t="s">
        <v>5293</v>
      </c>
      <c r="N94" s="6" t="s">
        <v>598</v>
      </c>
      <c r="O94" s="6" t="s">
        <v>6913</v>
      </c>
      <c r="P94" s="6" t="s">
        <v>6914</v>
      </c>
      <c r="Q94" s="6" t="s">
        <v>6915</v>
      </c>
      <c r="R94" s="5" t="s">
        <v>162</v>
      </c>
      <c r="S94" s="6" t="s">
        <v>163</v>
      </c>
      <c r="T94" s="5" t="s">
        <v>162</v>
      </c>
      <c r="U94" s="5" t="s">
        <v>228</v>
      </c>
      <c r="V94" s="6" t="s">
        <v>6916</v>
      </c>
      <c r="W94" s="6" t="s">
        <v>174</v>
      </c>
      <c r="X94" s="6" t="s">
        <v>4586</v>
      </c>
      <c r="Y94" s="0" t="str">
        <f aca="false">IF(EB94&lt;&gt;"Y","",COUNTIFS($EB$2:$EB$1000,"Y",$J$2:$J$1000,"&gt;"&amp;J94)+COUNTIFS($EB$2:$EB$1000,"Y",$J$2:$J$1000,J94,$ED$2:$ED$1000,"&lt;"&amp;ED94)+1)</f>
        <v/>
      </c>
      <c r="Z94" s="0" t="n">
        <v>93</v>
      </c>
      <c r="AA94" s="6" t="s">
        <v>162</v>
      </c>
      <c r="AB94" s="6" t="s">
        <v>6917</v>
      </c>
      <c r="AD94" s="6" t="s">
        <v>158</v>
      </c>
      <c r="AH94" s="6" t="s">
        <v>6918</v>
      </c>
      <c r="AI94" s="6" t="s">
        <v>5030</v>
      </c>
      <c r="AJ94" s="6" t="s">
        <v>6919</v>
      </c>
      <c r="AK94" s="6" t="s">
        <v>6920</v>
      </c>
      <c r="AL94" s="6" t="s">
        <v>168</v>
      </c>
      <c r="AM94" s="6" t="s">
        <v>6921</v>
      </c>
      <c r="AN94" s="6" t="s">
        <v>6910</v>
      </c>
      <c r="AO94" s="5" t="s">
        <v>162</v>
      </c>
      <c r="AR94" s="0" t="str">
        <f aca="false">IF(AND(AU94="pass",AO94&lt;&gt;"Y",C94&lt;&gt;""),"Y","N")</f>
        <v>N</v>
      </c>
      <c r="AS94" s="0" t="str">
        <f aca="false">_xlfn.TEXTJOIN("; ",TRUE(),IF(AU94&lt;&gt;"pass","gated out",""),IF(AO94="Y","on hold: "&amp;AP94,""),IF(C94="","no contact named on an opened page",""))</f>
        <v>no contact named on an opened page</v>
      </c>
      <c r="AU94" s="6" t="s">
        <v>181</v>
      </c>
      <c r="AW94" s="6" t="s">
        <v>182</v>
      </c>
      <c r="AX94" s="6" t="s">
        <v>4595</v>
      </c>
      <c r="AY94" s="6" t="s">
        <v>6922</v>
      </c>
      <c r="AZ94" s="6" t="s">
        <v>4596</v>
      </c>
      <c r="BA94" s="6" t="s">
        <v>4597</v>
      </c>
      <c r="BB94" s="6" t="s">
        <v>163</v>
      </c>
      <c r="BD94" s="6" t="s">
        <v>168</v>
      </c>
      <c r="BE94" s="6" t="s">
        <v>6923</v>
      </c>
      <c r="BF94" s="6" t="s">
        <v>168</v>
      </c>
      <c r="BG94" s="6" t="s">
        <v>168</v>
      </c>
      <c r="BH94" s="6" t="s">
        <v>163</v>
      </c>
      <c r="BJ94" s="6" t="s">
        <v>5145</v>
      </c>
      <c r="BK94" s="6" t="s">
        <v>162</v>
      </c>
      <c r="BL94" s="6" t="s">
        <v>162</v>
      </c>
      <c r="BO94" s="6" t="s">
        <v>162</v>
      </c>
      <c r="BP94" s="0" t="n">
        <v>0</v>
      </c>
      <c r="BS94" s="6" t="s">
        <v>6924</v>
      </c>
      <c r="BU94" s="6" t="s">
        <v>4695</v>
      </c>
      <c r="BV94" s="0" t="n">
        <v>121</v>
      </c>
      <c r="CF94" s="6" t="s">
        <v>158</v>
      </c>
      <c r="CK94" s="6" t="s">
        <v>158</v>
      </c>
      <c r="CL94" s="0" t="n">
        <v>45</v>
      </c>
      <c r="CM94" s="0" t="n">
        <v>6</v>
      </c>
      <c r="CN94" s="0" t="n">
        <v>20</v>
      </c>
      <c r="CO94" s="0" t="n">
        <v>8</v>
      </c>
      <c r="CP94" s="0" t="n">
        <v>5</v>
      </c>
      <c r="CQ94" s="0" t="n">
        <v>10</v>
      </c>
      <c r="CR94" s="0" t="n">
        <v>0</v>
      </c>
      <c r="CS94" s="6" t="n">
        <f aca="false">IF(R94="Y",10,0)</f>
        <v>0</v>
      </c>
      <c r="CT94" s="0" t="n">
        <v>-4</v>
      </c>
      <c r="CU94" s="6" t="s">
        <v>6925</v>
      </c>
      <c r="CV94" s="6" t="s">
        <v>5152</v>
      </c>
      <c r="CW94" s="6" t="s">
        <v>6926</v>
      </c>
      <c r="CX94" s="6" t="s">
        <v>6927</v>
      </c>
      <c r="DA94" s="6" t="s">
        <v>6236</v>
      </c>
      <c r="DY94" s="0" t="str">
        <f aca="false">IF(ISNUMBER(MATCH(U94,{"queued","contacted","replied","call_booked","call_done","yes_in_principle","materials_sent"},0)),"Y","N")</f>
        <v>N</v>
      </c>
      <c r="DZ94" s="0" t="str">
        <f aca="false">IF(COUNTIFS($AN$2:$AN$1000,AN94,$DY$2:$DY$1000,"Y")+COUNTIFS($AN$2:$AN$1000,AN94,$T$2:$T$1000,"Y")&gt;0,"Y","N")</f>
        <v>N</v>
      </c>
      <c r="EA94" s="0" t="str">
        <f aca="false">IF(AND(U94="new",T94="N",AR94="Y",AQ94="",DZ94="N"),"Y","N")</f>
        <v>N</v>
      </c>
      <c r="EB94" s="0" t="str">
        <f aca="false">IF(EA94&lt;&gt;"Y","N",IF(COUNTIFS($AN$2:$AN$1000,AN94,$EA$2:$EA$1000,"Y",$J$2:$J$1000,"&gt;"&amp;J94)+COUNTIFS($AN$2:$AN$1000,AN94,$EA$2:$EA$1000,"Y",$J$2:$J$1000,J94,$ED$2:$ED$1000,"&lt;"&amp;ED94)=0,"Y","N"))</f>
        <v>N</v>
      </c>
      <c r="EC94" s="0" t="str">
        <f aca="false">IF(Y94="","N",IF(Y94&lt;=10,"Y","N"))</f>
        <v>N</v>
      </c>
      <c r="ED94" s="6" t="n">
        <f aca="false">ROW()-1</f>
        <v>93</v>
      </c>
    </row>
    <row r="95" customFormat="false" ht="15" hidden="false" customHeight="false" outlineLevel="0" collapsed="false">
      <c r="A95" s="0" t="s">
        <v>6928</v>
      </c>
      <c r="B95" s="0" t="s">
        <v>6929</v>
      </c>
      <c r="C95" s="0" t="s">
        <v>6930</v>
      </c>
      <c r="D95" s="0" t="s">
        <v>6931</v>
      </c>
      <c r="E95" s="0" t="s">
        <v>4773</v>
      </c>
      <c r="H95" s="5" t="s">
        <v>158</v>
      </c>
      <c r="I95" s="5" t="s">
        <v>159</v>
      </c>
      <c r="J95" s="6" t="n">
        <f aca="false">IF(AU95="pass",CM95+CN95+CO95+CP95+CQ95+CR95+CS95+CT95,0)</f>
        <v>45</v>
      </c>
      <c r="K95" s="6" t="s">
        <v>6932</v>
      </c>
      <c r="M95" s="6" t="s">
        <v>5293</v>
      </c>
      <c r="N95" s="6" t="s">
        <v>598</v>
      </c>
      <c r="O95" s="6" t="s">
        <v>6933</v>
      </c>
      <c r="P95" s="6" t="s">
        <v>6934</v>
      </c>
      <c r="Q95" s="6" t="s">
        <v>6935</v>
      </c>
      <c r="R95" s="5" t="s">
        <v>162</v>
      </c>
      <c r="S95" s="6" t="s">
        <v>163</v>
      </c>
      <c r="T95" s="5" t="s">
        <v>162</v>
      </c>
      <c r="U95" s="5" t="s">
        <v>228</v>
      </c>
      <c r="V95" s="6" t="s">
        <v>6936</v>
      </c>
      <c r="W95" s="6" t="s">
        <v>166</v>
      </c>
      <c r="X95" s="6" t="s">
        <v>4586</v>
      </c>
      <c r="Y95" s="6" t="n">
        <f aca="false">IF(EB95&lt;&gt;"Y","",COUNTIFS($EB$2:$EB$1000,"Y",$J$2:$J$1000,"&gt;"&amp;J95)+COUNTIFS($EB$2:$EB$1000,"Y",$J$2:$J$1000,J95,$ED$2:$ED$1000,"&lt;"&amp;ED95)+1)</f>
        <v>84</v>
      </c>
      <c r="Z95" s="0" t="n">
        <v>94</v>
      </c>
      <c r="AA95" s="6" t="s">
        <v>162</v>
      </c>
      <c r="AB95" s="6" t="s">
        <v>6937</v>
      </c>
      <c r="AC95" s="6" t="s">
        <v>4588</v>
      </c>
      <c r="AD95" s="6" t="s">
        <v>171</v>
      </c>
      <c r="AE95" s="6" t="s">
        <v>172</v>
      </c>
      <c r="AF95" s="6" t="s">
        <v>6938</v>
      </c>
      <c r="AG95" s="6" t="s">
        <v>166</v>
      </c>
      <c r="AH95" s="6" t="s">
        <v>6939</v>
      </c>
      <c r="AI95" s="6" t="s">
        <v>4665</v>
      </c>
      <c r="AJ95" s="6" t="s">
        <v>192</v>
      </c>
      <c r="AK95" s="6" t="s">
        <v>6940</v>
      </c>
      <c r="AL95" s="6" t="s">
        <v>168</v>
      </c>
      <c r="AM95" s="6" t="s">
        <v>6941</v>
      </c>
      <c r="AN95" s="6" t="s">
        <v>6928</v>
      </c>
      <c r="AO95" s="5" t="s">
        <v>162</v>
      </c>
      <c r="AR95" s="0" t="str">
        <f aca="false">IF(AND(AU95="pass",AO95&lt;&gt;"Y",C95&lt;&gt;""),"Y","N")</f>
        <v>Y</v>
      </c>
      <c r="AS95" s="0" t="str">
        <f aca="false">_xlfn.TEXTJOIN("; ",TRUE(),IF(AU95&lt;&gt;"pass","gated out",""),IF(AO95="Y","on hold: "&amp;AP95,""),IF(C95="","no contact named on an opened page",""))</f>
        <v/>
      </c>
      <c r="AU95" s="6" t="s">
        <v>181</v>
      </c>
      <c r="AW95" s="6" t="s">
        <v>182</v>
      </c>
      <c r="AX95" s="6" t="s">
        <v>6033</v>
      </c>
      <c r="AY95" s="6" t="s">
        <v>6940</v>
      </c>
      <c r="AZ95" s="6" t="s">
        <v>4596</v>
      </c>
      <c r="BA95" s="6" t="s">
        <v>4597</v>
      </c>
      <c r="BB95" s="6" t="s">
        <v>163</v>
      </c>
      <c r="BD95" s="6" t="s">
        <v>168</v>
      </c>
      <c r="BE95" s="6" t="s">
        <v>6942</v>
      </c>
      <c r="BF95" s="6" t="s">
        <v>168</v>
      </c>
      <c r="BG95" s="6" t="s">
        <v>168</v>
      </c>
      <c r="BH95" s="6" t="s">
        <v>163</v>
      </c>
      <c r="BJ95" s="6" t="s">
        <v>163</v>
      </c>
      <c r="BK95" s="6" t="s">
        <v>162</v>
      </c>
      <c r="BL95" s="6" t="s">
        <v>162</v>
      </c>
      <c r="BO95" s="6" t="s">
        <v>162</v>
      </c>
      <c r="BP95" s="0" t="n">
        <v>0</v>
      </c>
      <c r="BS95" s="6" t="s">
        <v>6943</v>
      </c>
      <c r="BT95" s="6" t="s">
        <v>6944</v>
      </c>
      <c r="BU95" s="6" t="s">
        <v>4605</v>
      </c>
      <c r="BV95" s="0" t="n">
        <v>255</v>
      </c>
      <c r="BX95" s="6" t="s">
        <v>6945</v>
      </c>
      <c r="CF95" s="6" t="s">
        <v>158</v>
      </c>
      <c r="CK95" s="6" t="s">
        <v>158</v>
      </c>
      <c r="CL95" s="0" t="n">
        <v>45</v>
      </c>
      <c r="CM95" s="0" t="n">
        <v>6</v>
      </c>
      <c r="CN95" s="0" t="n">
        <v>20</v>
      </c>
      <c r="CO95" s="0" t="n">
        <v>8</v>
      </c>
      <c r="CP95" s="0" t="n">
        <v>5</v>
      </c>
      <c r="CQ95" s="0" t="n">
        <v>10</v>
      </c>
      <c r="CR95" s="0" t="n">
        <v>6</v>
      </c>
      <c r="CS95" s="6" t="n">
        <f aca="false">IF(R95="Y",10,0)</f>
        <v>0</v>
      </c>
      <c r="CT95" s="0" t="n">
        <v>-10</v>
      </c>
      <c r="CU95" s="6" t="s">
        <v>6946</v>
      </c>
      <c r="CV95" s="6" t="s">
        <v>4704</v>
      </c>
      <c r="CW95" s="6" t="s">
        <v>6947</v>
      </c>
      <c r="CX95" s="6" t="s">
        <v>6948</v>
      </c>
      <c r="CY95" s="6" t="s">
        <v>6949</v>
      </c>
      <c r="DA95" s="6" t="s">
        <v>6236</v>
      </c>
      <c r="DY95" s="0" t="str">
        <f aca="false">IF(ISNUMBER(MATCH(U95,{"queued","contacted","replied","call_booked","call_done","yes_in_principle","materials_sent"},0)),"Y","N")</f>
        <v>N</v>
      </c>
      <c r="DZ95" s="0" t="str">
        <f aca="false">IF(COUNTIFS($AN$2:$AN$1000,AN95,$DY$2:$DY$1000,"Y")+COUNTIFS($AN$2:$AN$1000,AN95,$T$2:$T$1000,"Y")&gt;0,"Y","N")</f>
        <v>N</v>
      </c>
      <c r="EA95" s="0" t="str">
        <f aca="false">IF(AND(U95="new",T95="N",AR95="Y",AQ95="",DZ95="N"),"Y","N")</f>
        <v>Y</v>
      </c>
      <c r="EB95" s="0" t="str">
        <f aca="false">IF(EA95&lt;&gt;"Y","N",IF(COUNTIFS($AN$2:$AN$1000,AN95,$EA$2:$EA$1000,"Y",$J$2:$J$1000,"&gt;"&amp;J95)+COUNTIFS($AN$2:$AN$1000,AN95,$EA$2:$EA$1000,"Y",$J$2:$J$1000,J95,$ED$2:$ED$1000,"&lt;"&amp;ED95)=0,"Y","N"))</f>
        <v>Y</v>
      </c>
      <c r="EC95" s="0" t="str">
        <f aca="false">IF(Y95="","N",IF(Y95&lt;=10,"Y","N"))</f>
        <v>N</v>
      </c>
      <c r="ED95" s="6" t="n">
        <f aca="false">ROW()-1</f>
        <v>94</v>
      </c>
    </row>
    <row r="96" customFormat="false" ht="15" hidden="false" customHeight="false" outlineLevel="0" collapsed="false">
      <c r="A96" s="0" t="s">
        <v>6950</v>
      </c>
      <c r="B96" s="0" t="s">
        <v>6951</v>
      </c>
      <c r="H96" s="5" t="s">
        <v>158</v>
      </c>
      <c r="I96" s="5"/>
      <c r="J96" s="6" t="n">
        <f aca="false">IF(AU96="pass",CM96+CN96+CO96+CP96+CQ96+CR96+CS96+CT96,0)</f>
        <v>45</v>
      </c>
      <c r="K96" s="6" t="s">
        <v>6952</v>
      </c>
      <c r="M96" s="6" t="s">
        <v>5293</v>
      </c>
      <c r="N96" s="6" t="s">
        <v>598</v>
      </c>
      <c r="O96" s="6" t="s">
        <v>6953</v>
      </c>
      <c r="P96" s="6" t="s">
        <v>6954</v>
      </c>
      <c r="Q96" s="6" t="s">
        <v>3864</v>
      </c>
      <c r="R96" s="5" t="s">
        <v>162</v>
      </c>
      <c r="S96" s="6" t="s">
        <v>163</v>
      </c>
      <c r="T96" s="5" t="s">
        <v>162</v>
      </c>
      <c r="U96" s="5" t="s">
        <v>228</v>
      </c>
      <c r="V96" s="6" t="s">
        <v>5786</v>
      </c>
      <c r="W96" s="6" t="s">
        <v>174</v>
      </c>
      <c r="X96" s="6" t="s">
        <v>4586</v>
      </c>
      <c r="Y96" s="0" t="str">
        <f aca="false">IF(EB96&lt;&gt;"Y","",COUNTIFS($EB$2:$EB$1000,"Y",$J$2:$J$1000,"&gt;"&amp;J96)+COUNTIFS($EB$2:$EB$1000,"Y",$J$2:$J$1000,J96,$ED$2:$ED$1000,"&lt;"&amp;ED96)+1)</f>
        <v/>
      </c>
      <c r="Z96" s="0" t="n">
        <v>95</v>
      </c>
      <c r="AA96" s="6" t="s">
        <v>162</v>
      </c>
      <c r="AB96" s="6" t="s">
        <v>6917</v>
      </c>
      <c r="AD96" s="6" t="s">
        <v>158</v>
      </c>
      <c r="AH96" s="6" t="s">
        <v>6955</v>
      </c>
      <c r="AI96" s="6" t="s">
        <v>5385</v>
      </c>
      <c r="AJ96" s="6" t="s">
        <v>5789</v>
      </c>
      <c r="AK96" s="6" t="s">
        <v>6956</v>
      </c>
      <c r="AL96" s="6" t="s">
        <v>168</v>
      </c>
      <c r="AM96" s="6" t="s">
        <v>6957</v>
      </c>
      <c r="AN96" s="6" t="s">
        <v>6950</v>
      </c>
      <c r="AO96" s="5" t="s">
        <v>162</v>
      </c>
      <c r="AR96" s="0" t="str">
        <f aca="false">IF(AND(AU96="pass",AO96&lt;&gt;"Y",C96&lt;&gt;""),"Y","N")</f>
        <v>N</v>
      </c>
      <c r="AS96" s="0" t="str">
        <f aca="false">_xlfn.TEXTJOIN("; ",TRUE(),IF(AU96&lt;&gt;"pass","gated out",""),IF(AO96="Y","on hold: "&amp;AP96,""),IF(C96="","no contact named on an opened page",""))</f>
        <v>no contact named on an opened page</v>
      </c>
      <c r="AU96" s="6" t="s">
        <v>181</v>
      </c>
      <c r="AW96" s="6" t="s">
        <v>182</v>
      </c>
      <c r="AX96" s="6" t="s">
        <v>4595</v>
      </c>
      <c r="AY96" s="6" t="s">
        <v>6956</v>
      </c>
      <c r="AZ96" s="6" t="s">
        <v>4596</v>
      </c>
      <c r="BA96" s="6" t="s">
        <v>4597</v>
      </c>
      <c r="BB96" s="6" t="s">
        <v>163</v>
      </c>
      <c r="BD96" s="6" t="s">
        <v>168</v>
      </c>
      <c r="BE96" s="6" t="s">
        <v>6958</v>
      </c>
      <c r="BF96" s="6" t="s">
        <v>168</v>
      </c>
      <c r="BG96" s="6" t="s">
        <v>168</v>
      </c>
      <c r="BH96" s="6" t="s">
        <v>163</v>
      </c>
      <c r="BJ96" s="6" t="s">
        <v>5145</v>
      </c>
      <c r="BK96" s="6" t="s">
        <v>162</v>
      </c>
      <c r="BL96" s="6" t="s">
        <v>162</v>
      </c>
      <c r="BO96" s="6" t="s">
        <v>162</v>
      </c>
      <c r="BP96" s="0" t="n">
        <v>0</v>
      </c>
      <c r="BS96" s="6" t="s">
        <v>163</v>
      </c>
      <c r="BU96" s="6" t="s">
        <v>4695</v>
      </c>
      <c r="BV96" s="0" t="n">
        <v>4</v>
      </c>
      <c r="CF96" s="6" t="s">
        <v>158</v>
      </c>
      <c r="CK96" s="6" t="s">
        <v>158</v>
      </c>
      <c r="CL96" s="0" t="n">
        <v>45</v>
      </c>
      <c r="CM96" s="0" t="n">
        <v>6</v>
      </c>
      <c r="CN96" s="0" t="n">
        <v>20</v>
      </c>
      <c r="CO96" s="0" t="n">
        <v>8</v>
      </c>
      <c r="CP96" s="0" t="n">
        <v>5</v>
      </c>
      <c r="CQ96" s="0" t="n">
        <v>10</v>
      </c>
      <c r="CR96" s="0" t="n">
        <v>0</v>
      </c>
      <c r="CS96" s="6" t="n">
        <f aca="false">IF(R96="Y",10,0)</f>
        <v>0</v>
      </c>
      <c r="CT96" s="0" t="n">
        <v>-4</v>
      </c>
      <c r="CU96" s="6" t="s">
        <v>6959</v>
      </c>
      <c r="CV96" s="6" t="s">
        <v>5152</v>
      </c>
      <c r="CW96" s="6" t="s">
        <v>6960</v>
      </c>
      <c r="CX96" s="6" t="s">
        <v>6961</v>
      </c>
      <c r="DA96" s="6" t="s">
        <v>6236</v>
      </c>
      <c r="DY96" s="0" t="str">
        <f aca="false">IF(ISNUMBER(MATCH(U96,{"queued","contacted","replied","call_booked","call_done","yes_in_principle","materials_sent"},0)),"Y","N")</f>
        <v>N</v>
      </c>
      <c r="DZ96" s="0" t="str">
        <f aca="false">IF(COUNTIFS($AN$2:$AN$1000,AN96,$DY$2:$DY$1000,"Y")+COUNTIFS($AN$2:$AN$1000,AN96,$T$2:$T$1000,"Y")&gt;0,"Y","N")</f>
        <v>N</v>
      </c>
      <c r="EA96" s="0" t="str">
        <f aca="false">IF(AND(U96="new",T96="N",AR96="Y",AQ96="",DZ96="N"),"Y","N")</f>
        <v>N</v>
      </c>
      <c r="EB96" s="0" t="str">
        <f aca="false">IF(EA96&lt;&gt;"Y","N",IF(COUNTIFS($AN$2:$AN$1000,AN96,$EA$2:$EA$1000,"Y",$J$2:$J$1000,"&gt;"&amp;J96)+COUNTIFS($AN$2:$AN$1000,AN96,$EA$2:$EA$1000,"Y",$J$2:$J$1000,J96,$ED$2:$ED$1000,"&lt;"&amp;ED96)=0,"Y","N"))</f>
        <v>N</v>
      </c>
      <c r="EC96" s="0" t="str">
        <f aca="false">IF(Y96="","N",IF(Y96&lt;=10,"Y","N"))</f>
        <v>N</v>
      </c>
      <c r="ED96" s="6" t="n">
        <f aca="false">ROW()-1</f>
        <v>95</v>
      </c>
    </row>
    <row r="97" customFormat="false" ht="15" hidden="false" customHeight="false" outlineLevel="0" collapsed="false">
      <c r="A97" s="0" t="s">
        <v>6962</v>
      </c>
      <c r="B97" s="0" t="s">
        <v>6963</v>
      </c>
      <c r="H97" s="5" t="s">
        <v>158</v>
      </c>
      <c r="I97" s="5"/>
      <c r="J97" s="6" t="n">
        <f aca="false">IF(AU97="pass",CM97+CN97+CO97+CP97+CQ97+CR97+CS97+CT97,0)</f>
        <v>45</v>
      </c>
      <c r="K97" s="6" t="s">
        <v>6964</v>
      </c>
      <c r="M97" s="6" t="s">
        <v>5293</v>
      </c>
      <c r="N97" s="6" t="s">
        <v>598</v>
      </c>
      <c r="O97" s="6" t="s">
        <v>6965</v>
      </c>
      <c r="P97" s="6" t="s">
        <v>6966</v>
      </c>
      <c r="Q97" s="6" t="s">
        <v>4120</v>
      </c>
      <c r="R97" s="5" t="s">
        <v>162</v>
      </c>
      <c r="S97" s="6" t="s">
        <v>163</v>
      </c>
      <c r="T97" s="5" t="s">
        <v>162</v>
      </c>
      <c r="U97" s="5" t="s">
        <v>228</v>
      </c>
      <c r="V97" s="6" t="s">
        <v>6967</v>
      </c>
      <c r="W97" s="6" t="s">
        <v>174</v>
      </c>
      <c r="X97" s="6" t="s">
        <v>4586</v>
      </c>
      <c r="Y97" s="0" t="str">
        <f aca="false">IF(EB97&lt;&gt;"Y","",COUNTIFS($EB$2:$EB$1000,"Y",$J$2:$J$1000,"&gt;"&amp;J97)+COUNTIFS($EB$2:$EB$1000,"Y",$J$2:$J$1000,J97,$ED$2:$ED$1000,"&lt;"&amp;ED97)+1)</f>
        <v/>
      </c>
      <c r="Z97" s="0" t="n">
        <v>96</v>
      </c>
      <c r="AA97" s="6" t="s">
        <v>162</v>
      </c>
      <c r="AB97" s="6" t="s">
        <v>6917</v>
      </c>
      <c r="AD97" s="6" t="s">
        <v>158</v>
      </c>
      <c r="AH97" s="6" t="s">
        <v>6968</v>
      </c>
      <c r="AI97" s="6" t="s">
        <v>4591</v>
      </c>
      <c r="AJ97" s="6" t="s">
        <v>6969</v>
      </c>
      <c r="AK97" s="6" t="s">
        <v>6970</v>
      </c>
      <c r="AL97" s="6" t="s">
        <v>168</v>
      </c>
      <c r="AM97" s="6" t="s">
        <v>6971</v>
      </c>
      <c r="AN97" s="6" t="s">
        <v>6962</v>
      </c>
      <c r="AO97" s="5" t="s">
        <v>162</v>
      </c>
      <c r="AR97" s="0" t="str">
        <f aca="false">IF(AND(AU97="pass",AO97&lt;&gt;"Y",C97&lt;&gt;""),"Y","N")</f>
        <v>N</v>
      </c>
      <c r="AS97" s="0" t="str">
        <f aca="false">_xlfn.TEXTJOIN("; ",TRUE(),IF(AU97&lt;&gt;"pass","gated out",""),IF(AO97="Y","on hold: "&amp;AP97,""),IF(C97="","no contact named on an opened page",""))</f>
        <v>no contact named on an opened page</v>
      </c>
      <c r="AU97" s="6" t="s">
        <v>181</v>
      </c>
      <c r="AW97" s="6" t="s">
        <v>182</v>
      </c>
      <c r="AX97" s="6" t="s">
        <v>4595</v>
      </c>
      <c r="AY97" s="6" t="s">
        <v>6972</v>
      </c>
      <c r="AZ97" s="6" t="s">
        <v>4596</v>
      </c>
      <c r="BA97" s="6" t="s">
        <v>4597</v>
      </c>
      <c r="BB97" s="6" t="s">
        <v>163</v>
      </c>
      <c r="BD97" s="6" t="s">
        <v>168</v>
      </c>
      <c r="BE97" s="6" t="s">
        <v>6973</v>
      </c>
      <c r="BF97" s="6" t="s">
        <v>168</v>
      </c>
      <c r="BG97" s="6" t="s">
        <v>168</v>
      </c>
      <c r="BH97" s="6" t="s">
        <v>163</v>
      </c>
      <c r="BJ97" s="6" t="s">
        <v>5145</v>
      </c>
      <c r="BK97" s="6" t="s">
        <v>168</v>
      </c>
      <c r="BL97" s="6" t="s">
        <v>162</v>
      </c>
      <c r="BO97" s="6" t="s">
        <v>162</v>
      </c>
      <c r="BP97" s="0" t="n">
        <v>0</v>
      </c>
      <c r="BR97" s="6" t="s">
        <v>6974</v>
      </c>
      <c r="BS97" s="6" t="s">
        <v>6975</v>
      </c>
      <c r="BU97" s="6" t="s">
        <v>4695</v>
      </c>
      <c r="BV97" s="0" t="n">
        <v>80</v>
      </c>
      <c r="CF97" s="6" t="s">
        <v>158</v>
      </c>
      <c r="CK97" s="6" t="s">
        <v>158</v>
      </c>
      <c r="CL97" s="0" t="n">
        <v>45</v>
      </c>
      <c r="CM97" s="0" t="n">
        <v>6</v>
      </c>
      <c r="CN97" s="0" t="n">
        <v>20</v>
      </c>
      <c r="CO97" s="0" t="n">
        <v>8</v>
      </c>
      <c r="CP97" s="0" t="n">
        <v>5</v>
      </c>
      <c r="CQ97" s="0" t="n">
        <v>10</v>
      </c>
      <c r="CR97" s="0" t="n">
        <v>0</v>
      </c>
      <c r="CS97" s="6" t="n">
        <f aca="false">IF(R97="Y",10,0)</f>
        <v>0</v>
      </c>
      <c r="CT97" s="0" t="n">
        <v>-4</v>
      </c>
      <c r="CU97" s="6" t="s">
        <v>6976</v>
      </c>
      <c r="CV97" s="6" t="s">
        <v>5152</v>
      </c>
      <c r="CW97" s="6" t="s">
        <v>6977</v>
      </c>
      <c r="CX97" s="6" t="s">
        <v>6978</v>
      </c>
      <c r="DA97" s="6" t="s">
        <v>6236</v>
      </c>
      <c r="DY97" s="0" t="str">
        <f aca="false">IF(ISNUMBER(MATCH(U97,{"queued","contacted","replied","call_booked","call_done","yes_in_principle","materials_sent"},0)),"Y","N")</f>
        <v>N</v>
      </c>
      <c r="DZ97" s="0" t="str">
        <f aca="false">IF(COUNTIFS($AN$2:$AN$1000,AN97,$DY$2:$DY$1000,"Y")+COUNTIFS($AN$2:$AN$1000,AN97,$T$2:$T$1000,"Y")&gt;0,"Y","N")</f>
        <v>N</v>
      </c>
      <c r="EA97" s="0" t="str">
        <f aca="false">IF(AND(U97="new",T97="N",AR97="Y",AQ97="",DZ97="N"),"Y","N")</f>
        <v>N</v>
      </c>
      <c r="EB97" s="0" t="str">
        <f aca="false">IF(EA97&lt;&gt;"Y","N",IF(COUNTIFS($AN$2:$AN$1000,AN97,$EA$2:$EA$1000,"Y",$J$2:$J$1000,"&gt;"&amp;J97)+COUNTIFS($AN$2:$AN$1000,AN97,$EA$2:$EA$1000,"Y",$J$2:$J$1000,J97,$ED$2:$ED$1000,"&lt;"&amp;ED97)=0,"Y","N"))</f>
        <v>N</v>
      </c>
      <c r="EC97" s="0" t="str">
        <f aca="false">IF(Y97="","N",IF(Y97&lt;=10,"Y","N"))</f>
        <v>N</v>
      </c>
      <c r="ED97" s="6" t="n">
        <f aca="false">ROW()-1</f>
        <v>96</v>
      </c>
    </row>
    <row r="98" customFormat="false" ht="15" hidden="false" customHeight="false" outlineLevel="0" collapsed="false">
      <c r="A98" s="0" t="s">
        <v>6979</v>
      </c>
      <c r="B98" s="0" t="s">
        <v>6980</v>
      </c>
      <c r="C98" s="0" t="s">
        <v>6981</v>
      </c>
      <c r="D98" s="0" t="s">
        <v>6982</v>
      </c>
      <c r="E98" s="0" t="s">
        <v>6983</v>
      </c>
      <c r="H98" s="5" t="s">
        <v>158</v>
      </c>
      <c r="I98" s="5" t="s">
        <v>159</v>
      </c>
      <c r="J98" s="6" t="n">
        <f aca="false">IF(AU98="pass",CM98+CN98+CO98+CP98+CQ98+CR98+CS98+CT98,0)</f>
        <v>45</v>
      </c>
      <c r="K98" s="6" t="s">
        <v>6984</v>
      </c>
      <c r="M98" s="6" t="s">
        <v>6985</v>
      </c>
      <c r="N98" s="6" t="s">
        <v>598</v>
      </c>
      <c r="O98" s="6" t="s">
        <v>6986</v>
      </c>
      <c r="P98" s="6" t="s">
        <v>6987</v>
      </c>
      <c r="Q98" s="6" t="s">
        <v>1536</v>
      </c>
      <c r="R98" s="5" t="s">
        <v>162</v>
      </c>
      <c r="S98" s="6" t="s">
        <v>163</v>
      </c>
      <c r="T98" s="5" t="s">
        <v>162</v>
      </c>
      <c r="U98" s="5" t="s">
        <v>228</v>
      </c>
      <c r="V98" s="6" t="s">
        <v>6988</v>
      </c>
      <c r="W98" s="6" t="s">
        <v>166</v>
      </c>
      <c r="X98" s="6" t="s">
        <v>4586</v>
      </c>
      <c r="Y98" s="6" t="n">
        <f aca="false">IF(EB98&lt;&gt;"Y","",COUNTIFS($EB$2:$EB$1000,"Y",$J$2:$J$1000,"&gt;"&amp;J98)+COUNTIFS($EB$2:$EB$1000,"Y",$J$2:$J$1000,J98,$ED$2:$ED$1000,"&lt;"&amp;ED98)+1)</f>
        <v>85</v>
      </c>
      <c r="Z98" s="0" t="n">
        <v>97</v>
      </c>
      <c r="AA98" s="6" t="s">
        <v>162</v>
      </c>
      <c r="AB98" s="6" t="s">
        <v>6989</v>
      </c>
      <c r="AC98" s="6" t="s">
        <v>4588</v>
      </c>
      <c r="AD98" s="6" t="s">
        <v>171</v>
      </c>
      <c r="AE98" s="6" t="s">
        <v>1190</v>
      </c>
      <c r="AF98" s="6" t="s">
        <v>6990</v>
      </c>
      <c r="AG98" s="6" t="s">
        <v>166</v>
      </c>
      <c r="AH98" s="6" t="s">
        <v>6991</v>
      </c>
      <c r="AI98" s="6" t="s">
        <v>5738</v>
      </c>
      <c r="AJ98" s="6" t="s">
        <v>6992</v>
      </c>
      <c r="AK98" s="6" t="s">
        <v>6987</v>
      </c>
      <c r="AL98" s="6" t="s">
        <v>168</v>
      </c>
      <c r="AM98" s="6" t="s">
        <v>6993</v>
      </c>
      <c r="AN98" s="6" t="s">
        <v>6979</v>
      </c>
      <c r="AO98" s="5" t="s">
        <v>162</v>
      </c>
      <c r="AR98" s="0" t="str">
        <f aca="false">IF(AND(AU98="pass",AO98&lt;&gt;"Y",C98&lt;&gt;""),"Y","N")</f>
        <v>Y</v>
      </c>
      <c r="AS98" s="0" t="str">
        <f aca="false">_xlfn.TEXTJOIN("; ",TRUE(),IF(AU98&lt;&gt;"pass","gated out",""),IF(AO98="Y","on hold: "&amp;AP98,""),IF(C98="","no contact named on an opened page",""))</f>
        <v/>
      </c>
      <c r="AU98" s="6" t="s">
        <v>181</v>
      </c>
      <c r="AW98" s="6" t="s">
        <v>182</v>
      </c>
      <c r="AX98" s="6" t="s">
        <v>6033</v>
      </c>
      <c r="AY98" s="6" t="s">
        <v>6994</v>
      </c>
      <c r="AZ98" s="6" t="s">
        <v>4596</v>
      </c>
      <c r="BA98" s="6" t="s">
        <v>4597</v>
      </c>
      <c r="BB98" s="6" t="s">
        <v>163</v>
      </c>
      <c r="BD98" s="6" t="s">
        <v>168</v>
      </c>
      <c r="BE98" s="6" t="s">
        <v>6995</v>
      </c>
      <c r="BF98" s="6" t="s">
        <v>168</v>
      </c>
      <c r="BG98" s="6" t="s">
        <v>168</v>
      </c>
      <c r="BH98" s="6" t="s">
        <v>163</v>
      </c>
      <c r="BJ98" s="6" t="s">
        <v>5551</v>
      </c>
      <c r="BK98" s="6" t="s">
        <v>162</v>
      </c>
      <c r="BL98" s="6" t="s">
        <v>162</v>
      </c>
      <c r="BN98" s="0" t="n">
        <v>0.9</v>
      </c>
      <c r="BO98" s="6" t="s">
        <v>162</v>
      </c>
      <c r="BP98" s="0" t="n">
        <v>0</v>
      </c>
      <c r="BQ98" s="6" t="s">
        <v>6996</v>
      </c>
      <c r="BS98" s="6" t="s">
        <v>6997</v>
      </c>
      <c r="BT98" s="6" t="s">
        <v>6998</v>
      </c>
      <c r="BU98" s="6" t="s">
        <v>4695</v>
      </c>
      <c r="BV98" s="0" t="n">
        <v>193</v>
      </c>
      <c r="BX98" s="6" t="s">
        <v>6999</v>
      </c>
      <c r="CA98" s="6" t="s">
        <v>7000</v>
      </c>
      <c r="CB98" s="6" t="s">
        <v>7001</v>
      </c>
      <c r="CC98" s="6" t="s">
        <v>7002</v>
      </c>
      <c r="CD98" s="6" t="s">
        <v>7003</v>
      </c>
      <c r="CE98" s="6" t="s">
        <v>6262</v>
      </c>
      <c r="CF98" s="6" t="s">
        <v>171</v>
      </c>
      <c r="CG98" s="6" t="s">
        <v>7004</v>
      </c>
      <c r="CK98" s="6" t="s">
        <v>158</v>
      </c>
      <c r="CL98" s="0" t="n">
        <v>45</v>
      </c>
      <c r="CM98" s="0" t="n">
        <v>6</v>
      </c>
      <c r="CN98" s="0" t="n">
        <v>20</v>
      </c>
      <c r="CO98" s="0" t="n">
        <v>4</v>
      </c>
      <c r="CP98" s="0" t="n">
        <v>5</v>
      </c>
      <c r="CQ98" s="0" t="n">
        <v>10</v>
      </c>
      <c r="CR98" s="0" t="n">
        <v>10</v>
      </c>
      <c r="CS98" s="6" t="n">
        <f aca="false">IF(R98="Y",10,0)</f>
        <v>0</v>
      </c>
      <c r="CT98" s="0" t="n">
        <v>-10</v>
      </c>
      <c r="CU98" s="6" t="s">
        <v>7005</v>
      </c>
      <c r="CV98" s="6" t="s">
        <v>5564</v>
      </c>
      <c r="CW98" s="6" t="s">
        <v>7006</v>
      </c>
      <c r="CX98" s="6" t="s">
        <v>7007</v>
      </c>
      <c r="CY98" s="6" t="s">
        <v>7008</v>
      </c>
      <c r="CZ98" s="6" t="s">
        <v>7009</v>
      </c>
      <c r="DA98" s="6" t="s">
        <v>6236</v>
      </c>
      <c r="DC98" s="6" t="s">
        <v>1190</v>
      </c>
      <c r="DY98" s="0" t="str">
        <f aca="false">IF(ISNUMBER(MATCH(U98,{"queued","contacted","replied","call_booked","call_done","yes_in_principle","materials_sent"},0)),"Y","N")</f>
        <v>N</v>
      </c>
      <c r="DZ98" s="0" t="str">
        <f aca="false">IF(COUNTIFS($AN$2:$AN$1000,AN98,$DY$2:$DY$1000,"Y")+COUNTIFS($AN$2:$AN$1000,AN98,$T$2:$T$1000,"Y")&gt;0,"Y","N")</f>
        <v>N</v>
      </c>
      <c r="EA98" s="0" t="str">
        <f aca="false">IF(AND(U98="new",T98="N",AR98="Y",AQ98="",DZ98="N"),"Y","N")</f>
        <v>Y</v>
      </c>
      <c r="EB98" s="0" t="str">
        <f aca="false">IF(EA98&lt;&gt;"Y","N",IF(COUNTIFS($AN$2:$AN$1000,AN98,$EA$2:$EA$1000,"Y",$J$2:$J$1000,"&gt;"&amp;J98)+COUNTIFS($AN$2:$AN$1000,AN98,$EA$2:$EA$1000,"Y",$J$2:$J$1000,J98,$ED$2:$ED$1000,"&lt;"&amp;ED98)=0,"Y","N"))</f>
        <v>Y</v>
      </c>
      <c r="EC98" s="0" t="str">
        <f aca="false">IF(Y98="","N",IF(Y98&lt;=10,"Y","N"))</f>
        <v>N</v>
      </c>
      <c r="ED98" s="6" t="n">
        <f aca="false">ROW()-1</f>
        <v>97</v>
      </c>
    </row>
    <row r="99" customFormat="false" ht="15" hidden="false" customHeight="false" outlineLevel="0" collapsed="false">
      <c r="A99" s="0" t="s">
        <v>7010</v>
      </c>
      <c r="B99" s="0" t="s">
        <v>7011</v>
      </c>
      <c r="C99" s="0" t="s">
        <v>7012</v>
      </c>
      <c r="D99" s="0" t="s">
        <v>7013</v>
      </c>
      <c r="E99" s="0" t="s">
        <v>4773</v>
      </c>
      <c r="H99" s="5" t="s">
        <v>158</v>
      </c>
      <c r="I99" s="5" t="s">
        <v>159</v>
      </c>
      <c r="J99" s="6" t="n">
        <f aca="false">IF(AU99="pass",CM99+CN99+CO99+CP99+CQ99+CR99+CS99+CT99,0)</f>
        <v>45</v>
      </c>
      <c r="K99" s="6" t="s">
        <v>6822</v>
      </c>
      <c r="M99" s="6" t="s">
        <v>5293</v>
      </c>
      <c r="N99" s="6" t="s">
        <v>598</v>
      </c>
      <c r="R99" s="5" t="s">
        <v>162</v>
      </c>
      <c r="S99" s="6" t="s">
        <v>163</v>
      </c>
      <c r="T99" s="5" t="s">
        <v>162</v>
      </c>
      <c r="U99" s="5" t="s">
        <v>228</v>
      </c>
      <c r="V99" s="6" t="s">
        <v>7014</v>
      </c>
      <c r="W99" s="6" t="s">
        <v>166</v>
      </c>
      <c r="X99" s="6" t="s">
        <v>4586</v>
      </c>
      <c r="Y99" s="6" t="n">
        <f aca="false">IF(EB99&lt;&gt;"Y","",COUNTIFS($EB$2:$EB$1000,"Y",$J$2:$J$1000,"&gt;"&amp;J99)+COUNTIFS($EB$2:$EB$1000,"Y",$J$2:$J$1000,J99,$ED$2:$ED$1000,"&lt;"&amp;ED99)+1)</f>
        <v>86</v>
      </c>
      <c r="Z99" s="0" t="n">
        <v>98</v>
      </c>
      <c r="AA99" s="6" t="s">
        <v>162</v>
      </c>
      <c r="AB99" s="6" t="s">
        <v>7015</v>
      </c>
      <c r="AC99" s="6" t="s">
        <v>4588</v>
      </c>
      <c r="AD99" s="6" t="s">
        <v>171</v>
      </c>
      <c r="AE99" s="6" t="s">
        <v>172</v>
      </c>
      <c r="AF99" s="6" t="s">
        <v>7016</v>
      </c>
      <c r="AG99" s="6" t="s">
        <v>166</v>
      </c>
      <c r="AH99" s="6" t="s">
        <v>7017</v>
      </c>
      <c r="AI99" s="6" t="s">
        <v>5926</v>
      </c>
      <c r="AJ99" s="6" t="s">
        <v>192</v>
      </c>
      <c r="AK99" s="6" t="s">
        <v>7018</v>
      </c>
      <c r="AL99" s="6" t="s">
        <v>168</v>
      </c>
      <c r="AM99" s="6" t="s">
        <v>7019</v>
      </c>
      <c r="AN99" s="6" t="s">
        <v>7010</v>
      </c>
      <c r="AO99" s="5" t="s">
        <v>162</v>
      </c>
      <c r="AR99" s="0" t="str">
        <f aca="false">IF(AND(AU99="pass",AO99&lt;&gt;"Y",C99&lt;&gt;""),"Y","N")</f>
        <v>Y</v>
      </c>
      <c r="AS99" s="0" t="str">
        <f aca="false">_xlfn.TEXTJOIN("; ",TRUE(),IF(AU99&lt;&gt;"pass","gated out",""),IF(AO99="Y","on hold: "&amp;AP99,""),IF(C99="","no contact named on an opened page",""))</f>
        <v/>
      </c>
      <c r="AU99" s="6" t="s">
        <v>181</v>
      </c>
      <c r="AW99" s="6" t="s">
        <v>182</v>
      </c>
      <c r="AX99" s="6" t="s">
        <v>283</v>
      </c>
      <c r="AY99" s="6" t="s">
        <v>7018</v>
      </c>
      <c r="AZ99" s="6" t="s">
        <v>4596</v>
      </c>
      <c r="BA99" s="6" t="s">
        <v>4597</v>
      </c>
      <c r="BB99" s="6" t="s">
        <v>163</v>
      </c>
      <c r="BD99" s="6" t="s">
        <v>168</v>
      </c>
      <c r="BE99" s="6" t="s">
        <v>7020</v>
      </c>
      <c r="BF99" s="6" t="s">
        <v>168</v>
      </c>
      <c r="BG99" s="6" t="s">
        <v>168</v>
      </c>
      <c r="BH99" s="6" t="s">
        <v>163</v>
      </c>
      <c r="BJ99" s="6" t="s">
        <v>5551</v>
      </c>
      <c r="BK99" s="6" t="s">
        <v>162</v>
      </c>
      <c r="BL99" s="6" t="s">
        <v>162</v>
      </c>
      <c r="BO99" s="6" t="s">
        <v>162</v>
      </c>
      <c r="BP99" s="0" t="n">
        <v>0</v>
      </c>
      <c r="BS99" s="6" t="s">
        <v>163</v>
      </c>
      <c r="BU99" s="6" t="s">
        <v>158</v>
      </c>
      <c r="BX99" s="6" t="s">
        <v>7021</v>
      </c>
      <c r="CF99" s="6" t="s">
        <v>158</v>
      </c>
      <c r="CK99" s="6" t="s">
        <v>158</v>
      </c>
      <c r="CL99" s="0" t="n">
        <v>45</v>
      </c>
      <c r="CM99" s="0" t="n">
        <v>6</v>
      </c>
      <c r="CN99" s="0" t="n">
        <v>20</v>
      </c>
      <c r="CO99" s="0" t="n">
        <v>0</v>
      </c>
      <c r="CP99" s="0" t="n">
        <v>5</v>
      </c>
      <c r="CQ99" s="0" t="n">
        <v>10</v>
      </c>
      <c r="CR99" s="0" t="n">
        <v>6</v>
      </c>
      <c r="CS99" s="6" t="n">
        <f aca="false">IF(R99="Y",10,0)</f>
        <v>0</v>
      </c>
      <c r="CT99" s="0" t="n">
        <v>-2</v>
      </c>
      <c r="CU99" s="6" t="s">
        <v>163</v>
      </c>
      <c r="CV99" s="6" t="s">
        <v>5564</v>
      </c>
      <c r="CW99" s="6" t="s">
        <v>7022</v>
      </c>
      <c r="CX99" s="6" t="s">
        <v>7023</v>
      </c>
      <c r="CY99" s="6" t="s">
        <v>7024</v>
      </c>
      <c r="DA99" s="6" t="s">
        <v>6236</v>
      </c>
      <c r="DY99" s="0" t="str">
        <f aca="false">IF(ISNUMBER(MATCH(U99,{"queued","contacted","replied","call_booked","call_done","yes_in_principle","materials_sent"},0)),"Y","N")</f>
        <v>N</v>
      </c>
      <c r="DZ99" s="0" t="str">
        <f aca="false">IF(COUNTIFS($AN$2:$AN$1000,AN99,$DY$2:$DY$1000,"Y")+COUNTIFS($AN$2:$AN$1000,AN99,$T$2:$T$1000,"Y")&gt;0,"Y","N")</f>
        <v>N</v>
      </c>
      <c r="EA99" s="0" t="str">
        <f aca="false">IF(AND(U99="new",T99="N",AR99="Y",AQ99="",DZ99="N"),"Y","N")</f>
        <v>Y</v>
      </c>
      <c r="EB99" s="0" t="str">
        <f aca="false">IF(EA99&lt;&gt;"Y","N",IF(COUNTIFS($AN$2:$AN$1000,AN99,$EA$2:$EA$1000,"Y",$J$2:$J$1000,"&gt;"&amp;J99)+COUNTIFS($AN$2:$AN$1000,AN99,$EA$2:$EA$1000,"Y",$J$2:$J$1000,J99,$ED$2:$ED$1000,"&lt;"&amp;ED99)=0,"Y","N"))</f>
        <v>Y</v>
      </c>
      <c r="EC99" s="0" t="str">
        <f aca="false">IF(Y99="","N",IF(Y99&lt;=10,"Y","N"))</f>
        <v>N</v>
      </c>
      <c r="ED99" s="6" t="n">
        <f aca="false">ROW()-1</f>
        <v>98</v>
      </c>
    </row>
    <row r="100" customFormat="false" ht="15" hidden="false" customHeight="false" outlineLevel="0" collapsed="false">
      <c r="A100" s="0" t="s">
        <v>7025</v>
      </c>
      <c r="B100" s="0" t="s">
        <v>7026</v>
      </c>
      <c r="C100" s="0" t="s">
        <v>4771</v>
      </c>
      <c r="D100" s="0" t="s">
        <v>7027</v>
      </c>
      <c r="E100" s="0" t="s">
        <v>4626</v>
      </c>
      <c r="H100" s="5" t="s">
        <v>158</v>
      </c>
      <c r="I100" s="5" t="s">
        <v>159</v>
      </c>
      <c r="J100" s="6" t="n">
        <f aca="false">IF(AU100="pass",CM100+CN100+CO100+CP100+CQ100+CR100+CS100+CT100,0)</f>
        <v>45</v>
      </c>
      <c r="K100" s="6" t="s">
        <v>6822</v>
      </c>
      <c r="M100" s="6" t="s">
        <v>5293</v>
      </c>
      <c r="N100" s="6" t="s">
        <v>598</v>
      </c>
      <c r="R100" s="5" t="s">
        <v>162</v>
      </c>
      <c r="S100" s="6" t="s">
        <v>163</v>
      </c>
      <c r="T100" s="5" t="s">
        <v>162</v>
      </c>
      <c r="U100" s="5" t="s">
        <v>228</v>
      </c>
      <c r="V100" s="6" t="s">
        <v>7028</v>
      </c>
      <c r="W100" s="6" t="s">
        <v>166</v>
      </c>
      <c r="X100" s="6" t="s">
        <v>4586</v>
      </c>
      <c r="Y100" s="6" t="n">
        <f aca="false">IF(EB100&lt;&gt;"Y","",COUNTIFS($EB$2:$EB$1000,"Y",$J$2:$J$1000,"&gt;"&amp;J100)+COUNTIFS($EB$2:$EB$1000,"Y",$J$2:$J$1000,J100,$ED$2:$ED$1000,"&lt;"&amp;ED100)+1)</f>
        <v>87</v>
      </c>
      <c r="Z100" s="0" t="n">
        <v>99</v>
      </c>
      <c r="AA100" s="6" t="s">
        <v>162</v>
      </c>
      <c r="AB100" s="6" t="s">
        <v>7029</v>
      </c>
      <c r="AC100" s="6" t="s">
        <v>4588</v>
      </c>
      <c r="AD100" s="6" t="s">
        <v>171</v>
      </c>
      <c r="AE100" s="6" t="s">
        <v>1190</v>
      </c>
      <c r="AF100" s="6" t="s">
        <v>7030</v>
      </c>
      <c r="AG100" s="6" t="s">
        <v>166</v>
      </c>
      <c r="AH100" s="6" t="s">
        <v>7031</v>
      </c>
      <c r="AI100" s="6" t="s">
        <v>4665</v>
      </c>
      <c r="AJ100" s="6" t="s">
        <v>7032</v>
      </c>
      <c r="AK100" s="6" t="s">
        <v>7033</v>
      </c>
      <c r="AL100" s="6" t="s">
        <v>168</v>
      </c>
      <c r="AM100" s="6" t="s">
        <v>7034</v>
      </c>
      <c r="AN100" s="6" t="s">
        <v>7025</v>
      </c>
      <c r="AO100" s="5" t="s">
        <v>162</v>
      </c>
      <c r="AR100" s="0" t="str">
        <f aca="false">IF(AND(AU100="pass",AO100&lt;&gt;"Y",C100&lt;&gt;""),"Y","N")</f>
        <v>Y</v>
      </c>
      <c r="AS100" s="0" t="str">
        <f aca="false">_xlfn.TEXTJOIN("; ",TRUE(),IF(AU100&lt;&gt;"pass","gated out",""),IF(AO100="Y","on hold: "&amp;AP100,""),IF(C100="","no contact named on an opened page",""))</f>
        <v/>
      </c>
      <c r="AU100" s="6" t="s">
        <v>181</v>
      </c>
      <c r="AW100" s="6" t="s">
        <v>182</v>
      </c>
      <c r="AX100" s="6" t="s">
        <v>283</v>
      </c>
      <c r="AY100" s="6" t="s">
        <v>7033</v>
      </c>
      <c r="AZ100" s="6" t="s">
        <v>4596</v>
      </c>
      <c r="BA100" s="6" t="s">
        <v>4597</v>
      </c>
      <c r="BB100" s="6" t="s">
        <v>7035</v>
      </c>
      <c r="BC100" s="6" t="s">
        <v>7028</v>
      </c>
      <c r="BD100" s="6" t="s">
        <v>168</v>
      </c>
      <c r="BE100" s="6" t="s">
        <v>7036</v>
      </c>
      <c r="BF100" s="6" t="s">
        <v>168</v>
      </c>
      <c r="BG100" s="6" t="s">
        <v>168</v>
      </c>
      <c r="BH100" s="6" t="s">
        <v>163</v>
      </c>
      <c r="BJ100" s="6" t="s">
        <v>163</v>
      </c>
      <c r="BK100" s="6" t="s">
        <v>162</v>
      </c>
      <c r="BL100" s="6" t="s">
        <v>162</v>
      </c>
      <c r="BO100" s="6" t="s">
        <v>162</v>
      </c>
      <c r="BP100" s="0" t="n">
        <v>0</v>
      </c>
      <c r="BS100" s="6" t="s">
        <v>7037</v>
      </c>
      <c r="BT100" s="6" t="s">
        <v>7038</v>
      </c>
      <c r="BU100" s="6" t="s">
        <v>158</v>
      </c>
      <c r="BX100" s="6" t="s">
        <v>7039</v>
      </c>
      <c r="BY100" s="6" t="s">
        <v>7040</v>
      </c>
      <c r="CF100" s="6" t="s">
        <v>158</v>
      </c>
      <c r="CK100" s="6" t="s">
        <v>158</v>
      </c>
      <c r="CL100" s="0" t="n">
        <v>45</v>
      </c>
      <c r="CM100" s="0" t="n">
        <v>6</v>
      </c>
      <c r="CN100" s="0" t="n">
        <v>20</v>
      </c>
      <c r="CO100" s="0" t="n">
        <v>0</v>
      </c>
      <c r="CP100" s="0" t="n">
        <v>5</v>
      </c>
      <c r="CQ100" s="0" t="n">
        <v>10</v>
      </c>
      <c r="CR100" s="0" t="n">
        <v>6</v>
      </c>
      <c r="CS100" s="6" t="n">
        <f aca="false">IF(R100="Y",10,0)</f>
        <v>0</v>
      </c>
      <c r="CT100" s="0" t="n">
        <v>-2</v>
      </c>
      <c r="CV100" s="6" t="s">
        <v>4616</v>
      </c>
      <c r="CW100" s="6" t="s">
        <v>7041</v>
      </c>
      <c r="CX100" s="6" t="s">
        <v>7042</v>
      </c>
      <c r="CY100" s="6" t="s">
        <v>7043</v>
      </c>
      <c r="DA100" s="6" t="s">
        <v>6236</v>
      </c>
      <c r="DY100" s="0" t="str">
        <f aca="false">IF(ISNUMBER(MATCH(U100,{"queued","contacted","replied","call_booked","call_done","yes_in_principle","materials_sent"},0)),"Y","N")</f>
        <v>N</v>
      </c>
      <c r="DZ100" s="0" t="str">
        <f aca="false">IF(COUNTIFS($AN$2:$AN$1000,AN100,$DY$2:$DY$1000,"Y")+COUNTIFS($AN$2:$AN$1000,AN100,$T$2:$T$1000,"Y")&gt;0,"Y","N")</f>
        <v>N</v>
      </c>
      <c r="EA100" s="0" t="str">
        <f aca="false">IF(AND(U100="new",T100="N",AR100="Y",AQ100="",DZ100="N"),"Y","N")</f>
        <v>Y</v>
      </c>
      <c r="EB100" s="0" t="str">
        <f aca="false">IF(EA100&lt;&gt;"Y","N",IF(COUNTIFS($AN$2:$AN$1000,AN100,$EA$2:$EA$1000,"Y",$J$2:$J$1000,"&gt;"&amp;J100)+COUNTIFS($AN$2:$AN$1000,AN100,$EA$2:$EA$1000,"Y",$J$2:$J$1000,J100,$ED$2:$ED$1000,"&lt;"&amp;ED100)=0,"Y","N"))</f>
        <v>Y</v>
      </c>
      <c r="EC100" s="0" t="str">
        <f aca="false">IF(Y100="","N",IF(Y100&lt;=10,"Y","N"))</f>
        <v>N</v>
      </c>
      <c r="ED100" s="6" t="n">
        <f aca="false">ROW()-1</f>
        <v>99</v>
      </c>
    </row>
    <row r="101" customFormat="false" ht="15" hidden="false" customHeight="false" outlineLevel="0" collapsed="false">
      <c r="A101" s="0" t="s">
        <v>7044</v>
      </c>
      <c r="B101" s="0" t="s">
        <v>7045</v>
      </c>
      <c r="C101" s="0" t="s">
        <v>7046</v>
      </c>
      <c r="D101" s="0" t="s">
        <v>7047</v>
      </c>
      <c r="E101" s="0" t="s">
        <v>4773</v>
      </c>
      <c r="H101" s="5" t="s">
        <v>158</v>
      </c>
      <c r="I101" s="5" t="s">
        <v>159</v>
      </c>
      <c r="J101" s="6" t="n">
        <f aca="false">IF(AU101="pass",CM101+CN101+CO101+CP101+CQ101+CR101+CS101+CT101,0)</f>
        <v>44</v>
      </c>
      <c r="K101" s="6" t="s">
        <v>7048</v>
      </c>
      <c r="M101" s="6" t="s">
        <v>7049</v>
      </c>
      <c r="N101" s="6" t="s">
        <v>5023</v>
      </c>
      <c r="O101" s="6" t="s">
        <v>7050</v>
      </c>
      <c r="P101" s="6" t="s">
        <v>7051</v>
      </c>
      <c r="Q101" s="6" t="s">
        <v>7052</v>
      </c>
      <c r="R101" s="5" t="s">
        <v>162</v>
      </c>
      <c r="S101" s="6" t="s">
        <v>163</v>
      </c>
      <c r="T101" s="5" t="s">
        <v>162</v>
      </c>
      <c r="U101" s="5" t="s">
        <v>228</v>
      </c>
      <c r="V101" s="6" t="s">
        <v>7053</v>
      </c>
      <c r="W101" s="6" t="s">
        <v>166</v>
      </c>
      <c r="X101" s="6" t="s">
        <v>4586</v>
      </c>
      <c r="Y101" s="6" t="n">
        <f aca="false">IF(EB101&lt;&gt;"Y","",COUNTIFS($EB$2:$EB$1000,"Y",$J$2:$J$1000,"&gt;"&amp;J101)+COUNTIFS($EB$2:$EB$1000,"Y",$J$2:$J$1000,J101,$ED$2:$ED$1000,"&lt;"&amp;ED101)+1)</f>
        <v>88</v>
      </c>
      <c r="Z101" s="0" t="n">
        <v>100</v>
      </c>
      <c r="AA101" s="6" t="s">
        <v>162</v>
      </c>
      <c r="AB101" s="6" t="s">
        <v>7054</v>
      </c>
      <c r="AC101" s="6" t="s">
        <v>4588</v>
      </c>
      <c r="AD101" s="6" t="s">
        <v>171</v>
      </c>
      <c r="AE101" s="6" t="s">
        <v>172</v>
      </c>
      <c r="AF101" s="6" t="s">
        <v>7055</v>
      </c>
      <c r="AG101" s="6" t="s">
        <v>166</v>
      </c>
      <c r="AH101" s="6" t="s">
        <v>7056</v>
      </c>
      <c r="AI101" s="6" t="s">
        <v>5030</v>
      </c>
      <c r="AJ101" s="6" t="s">
        <v>7057</v>
      </c>
      <c r="AK101" s="6" t="s">
        <v>7058</v>
      </c>
      <c r="AL101" s="6" t="s">
        <v>168</v>
      </c>
      <c r="AM101" s="6" t="s">
        <v>7059</v>
      </c>
      <c r="AN101" s="6" t="s">
        <v>7044</v>
      </c>
      <c r="AO101" s="5" t="s">
        <v>162</v>
      </c>
      <c r="AR101" s="0" t="str">
        <f aca="false">IF(AND(AU101="pass",AO101&lt;&gt;"Y",C101&lt;&gt;""),"Y","N")</f>
        <v>Y</v>
      </c>
      <c r="AS101" s="0" t="str">
        <f aca="false">_xlfn.TEXTJOIN("; ",TRUE(),IF(AU101&lt;&gt;"pass","gated out",""),IF(AO101="Y","on hold: "&amp;AP101,""),IF(C101="","no contact named on an opened page",""))</f>
        <v/>
      </c>
      <c r="AU101" s="6" t="s">
        <v>181</v>
      </c>
      <c r="AW101" s="6" t="s">
        <v>182</v>
      </c>
      <c r="AX101" s="6" t="s">
        <v>6033</v>
      </c>
      <c r="AY101" s="6" t="s">
        <v>7058</v>
      </c>
      <c r="AZ101" s="6" t="s">
        <v>4596</v>
      </c>
      <c r="BA101" s="6" t="s">
        <v>4597</v>
      </c>
      <c r="BB101" s="6" t="s">
        <v>163</v>
      </c>
      <c r="BD101" s="6" t="s">
        <v>168</v>
      </c>
      <c r="BE101" s="6" t="s">
        <v>7060</v>
      </c>
      <c r="BF101" s="6" t="s">
        <v>168</v>
      </c>
      <c r="BG101" s="6" t="s">
        <v>168</v>
      </c>
      <c r="BH101" s="6" t="s">
        <v>163</v>
      </c>
      <c r="BJ101" s="6" t="s">
        <v>163</v>
      </c>
      <c r="BK101" s="6" t="s">
        <v>162</v>
      </c>
      <c r="BL101" s="6" t="s">
        <v>162</v>
      </c>
      <c r="BN101" s="0" t="n">
        <v>0.8</v>
      </c>
      <c r="BO101" s="6" t="s">
        <v>162</v>
      </c>
      <c r="BP101" s="0" t="n">
        <v>2</v>
      </c>
      <c r="BQ101" s="6" t="s">
        <v>7061</v>
      </c>
      <c r="BS101" s="6" t="s">
        <v>7062</v>
      </c>
      <c r="BT101" s="6" t="s">
        <v>7063</v>
      </c>
      <c r="BU101" s="6" t="s">
        <v>598</v>
      </c>
      <c r="BV101" s="0" t="n">
        <v>293</v>
      </c>
      <c r="BX101" s="6" t="s">
        <v>7064</v>
      </c>
      <c r="CF101" s="6" t="s">
        <v>158</v>
      </c>
      <c r="CK101" s="6" t="s">
        <v>158</v>
      </c>
      <c r="CL101" s="0" t="n">
        <v>44</v>
      </c>
      <c r="CM101" s="0" t="n">
        <v>13</v>
      </c>
      <c r="CN101" s="0" t="n">
        <v>20</v>
      </c>
      <c r="CO101" s="0" t="n">
        <v>0</v>
      </c>
      <c r="CP101" s="0" t="n">
        <v>5</v>
      </c>
      <c r="CQ101" s="0" t="n">
        <v>10</v>
      </c>
      <c r="CR101" s="0" t="n">
        <v>6</v>
      </c>
      <c r="CS101" s="6" t="n">
        <f aca="false">IF(R101="Y",10,0)</f>
        <v>0</v>
      </c>
      <c r="CT101" s="0" t="n">
        <v>-10</v>
      </c>
      <c r="CV101" s="6" t="s">
        <v>4616</v>
      </c>
      <c r="CW101" s="6" t="s">
        <v>7065</v>
      </c>
      <c r="CX101" s="6" t="s">
        <v>7066</v>
      </c>
      <c r="CY101" s="6" t="s">
        <v>7067</v>
      </c>
      <c r="DA101" s="6" t="s">
        <v>6236</v>
      </c>
      <c r="DY101" s="0" t="str">
        <f aca="false">IF(ISNUMBER(MATCH(U101,{"queued","contacted","replied","call_booked","call_done","yes_in_principle","materials_sent"},0)),"Y","N")</f>
        <v>N</v>
      </c>
      <c r="DZ101" s="0" t="str">
        <f aca="false">IF(COUNTIFS($AN$2:$AN$1000,AN101,$DY$2:$DY$1000,"Y")+COUNTIFS($AN$2:$AN$1000,AN101,$T$2:$T$1000,"Y")&gt;0,"Y","N")</f>
        <v>N</v>
      </c>
      <c r="EA101" s="0" t="str">
        <f aca="false">IF(AND(U101="new",T101="N",AR101="Y",AQ101="",DZ101="N"),"Y","N")</f>
        <v>Y</v>
      </c>
      <c r="EB101" s="0" t="str">
        <f aca="false">IF(EA101&lt;&gt;"Y","N",IF(COUNTIFS($AN$2:$AN$1000,AN101,$EA$2:$EA$1000,"Y",$J$2:$J$1000,"&gt;"&amp;J101)+COUNTIFS($AN$2:$AN$1000,AN101,$EA$2:$EA$1000,"Y",$J$2:$J$1000,J101,$ED$2:$ED$1000,"&lt;"&amp;ED101)=0,"Y","N"))</f>
        <v>Y</v>
      </c>
      <c r="EC101" s="0" t="str">
        <f aca="false">IF(Y101="","N",IF(Y101&lt;=10,"Y","N"))</f>
        <v>N</v>
      </c>
      <c r="ED101" s="6" t="n">
        <f aca="false">ROW()-1</f>
        <v>100</v>
      </c>
    </row>
    <row r="102" customFormat="false" ht="15" hidden="false" customHeight="false" outlineLevel="0" collapsed="false">
      <c r="A102" s="0" t="s">
        <v>7068</v>
      </c>
      <c r="B102" s="0" t="s">
        <v>7069</v>
      </c>
      <c r="C102" s="0" t="s">
        <v>6563</v>
      </c>
      <c r="D102" s="0" t="s">
        <v>7070</v>
      </c>
      <c r="E102" s="0" t="s">
        <v>4773</v>
      </c>
      <c r="H102" s="5" t="s">
        <v>158</v>
      </c>
      <c r="I102" s="5" t="s">
        <v>159</v>
      </c>
      <c r="J102" s="6" t="n">
        <f aca="false">IF(AU102="pass",CM102+CN102+CO102+CP102+CQ102+CR102+CS102+CT102,0)</f>
        <v>44</v>
      </c>
      <c r="K102" s="6" t="s">
        <v>7071</v>
      </c>
      <c r="M102" s="6" t="s">
        <v>5293</v>
      </c>
      <c r="N102" s="6" t="s">
        <v>598</v>
      </c>
      <c r="O102" s="6" t="s">
        <v>7072</v>
      </c>
      <c r="P102" s="6" t="s">
        <v>7073</v>
      </c>
      <c r="Q102" s="6" t="s">
        <v>5137</v>
      </c>
      <c r="R102" s="5" t="s">
        <v>162</v>
      </c>
      <c r="S102" s="6" t="s">
        <v>163</v>
      </c>
      <c r="T102" s="5" t="s">
        <v>162</v>
      </c>
      <c r="U102" s="5" t="s">
        <v>228</v>
      </c>
      <c r="V102" s="6" t="s">
        <v>7073</v>
      </c>
      <c r="W102" s="6" t="s">
        <v>174</v>
      </c>
      <c r="X102" s="6" t="s">
        <v>4586</v>
      </c>
      <c r="Y102" s="6" t="n">
        <f aca="false">IF(EB102&lt;&gt;"Y","",COUNTIFS($EB$2:$EB$1000,"Y",$J$2:$J$1000,"&gt;"&amp;J102)+COUNTIFS($EB$2:$EB$1000,"Y",$J$2:$J$1000,J102,$ED$2:$ED$1000,"&lt;"&amp;ED102)+1)</f>
        <v>89</v>
      </c>
      <c r="Z102" s="0" t="n">
        <v>101</v>
      </c>
      <c r="AA102" s="6" t="s">
        <v>162</v>
      </c>
      <c r="AB102" s="6" t="s">
        <v>7074</v>
      </c>
      <c r="AC102" s="6" t="s">
        <v>4588</v>
      </c>
      <c r="AD102" s="6" t="s">
        <v>171</v>
      </c>
      <c r="AE102" s="6" t="s">
        <v>1190</v>
      </c>
      <c r="AF102" s="6" t="s">
        <v>7073</v>
      </c>
      <c r="AG102" s="6" t="s">
        <v>174</v>
      </c>
      <c r="AH102" s="6" t="s">
        <v>7075</v>
      </c>
      <c r="AI102" s="6" t="s">
        <v>4977</v>
      </c>
      <c r="AJ102" s="6" t="s">
        <v>2131</v>
      </c>
      <c r="AK102" s="6" t="s">
        <v>7076</v>
      </c>
      <c r="AL102" s="6" t="s">
        <v>168</v>
      </c>
      <c r="AM102" s="6" t="s">
        <v>7077</v>
      </c>
      <c r="AN102" s="6" t="s">
        <v>7068</v>
      </c>
      <c r="AO102" s="5" t="s">
        <v>162</v>
      </c>
      <c r="AR102" s="0" t="str">
        <f aca="false">IF(AND(AU102="pass",AO102&lt;&gt;"Y",C102&lt;&gt;""),"Y","N")</f>
        <v>Y</v>
      </c>
      <c r="AS102" s="0" t="str">
        <f aca="false">_xlfn.TEXTJOIN("; ",TRUE(),IF(AU102&lt;&gt;"pass","gated out",""),IF(AO102="Y","on hold: "&amp;AP102,""),IF(C102="","no contact named on an opened page",""))</f>
        <v/>
      </c>
      <c r="AU102" s="6" t="s">
        <v>181</v>
      </c>
      <c r="AW102" s="6" t="s">
        <v>182</v>
      </c>
      <c r="AX102" s="6" t="s">
        <v>4830</v>
      </c>
      <c r="AY102" s="6" t="s">
        <v>7076</v>
      </c>
      <c r="AZ102" s="6" t="s">
        <v>6478</v>
      </c>
      <c r="BA102" s="6" t="s">
        <v>5193</v>
      </c>
      <c r="BB102" s="6" t="s">
        <v>163</v>
      </c>
      <c r="BD102" s="6" t="s">
        <v>168</v>
      </c>
      <c r="BE102" s="6" t="s">
        <v>7078</v>
      </c>
      <c r="BF102" s="6" t="s">
        <v>163</v>
      </c>
      <c r="BG102" s="6" t="s">
        <v>168</v>
      </c>
      <c r="BH102" s="6" t="s">
        <v>163</v>
      </c>
      <c r="BJ102" s="6" t="s">
        <v>5145</v>
      </c>
      <c r="BK102" s="6" t="s">
        <v>162</v>
      </c>
      <c r="BL102" s="6" t="s">
        <v>162</v>
      </c>
      <c r="BO102" s="6" t="s">
        <v>162</v>
      </c>
      <c r="BP102" s="0" t="n">
        <v>0</v>
      </c>
      <c r="BS102" s="6" t="s">
        <v>7079</v>
      </c>
      <c r="BU102" s="6" t="s">
        <v>4605</v>
      </c>
      <c r="BV102" s="0" t="n">
        <v>118</v>
      </c>
      <c r="BX102" s="6" t="s">
        <v>7080</v>
      </c>
      <c r="CF102" s="6" t="s">
        <v>158</v>
      </c>
      <c r="CK102" s="6" t="s">
        <v>158</v>
      </c>
      <c r="CL102" s="0" t="n">
        <v>44</v>
      </c>
      <c r="CM102" s="0" t="n">
        <v>6</v>
      </c>
      <c r="CN102" s="0" t="n">
        <v>8</v>
      </c>
      <c r="CO102" s="0" t="n">
        <v>15</v>
      </c>
      <c r="CP102" s="0" t="n">
        <v>5</v>
      </c>
      <c r="CQ102" s="0" t="n">
        <v>8</v>
      </c>
      <c r="CR102" s="0" t="n">
        <v>6</v>
      </c>
      <c r="CS102" s="6" t="n">
        <f aca="false">IF(R102="Y",10,0)</f>
        <v>0</v>
      </c>
      <c r="CT102" s="0" t="n">
        <v>-4</v>
      </c>
      <c r="CV102" s="6" t="s">
        <v>5152</v>
      </c>
      <c r="CW102" s="6" t="s">
        <v>7081</v>
      </c>
      <c r="CX102" s="6" t="s">
        <v>7082</v>
      </c>
      <c r="DA102" s="6" t="s">
        <v>6236</v>
      </c>
      <c r="DY102" s="0" t="str">
        <f aca="false">IF(ISNUMBER(MATCH(U102,{"queued","contacted","replied","call_booked","call_done","yes_in_principle","materials_sent"},0)),"Y","N")</f>
        <v>N</v>
      </c>
      <c r="DZ102" s="0" t="str">
        <f aca="false">IF(COUNTIFS($AN$2:$AN$1000,AN102,$DY$2:$DY$1000,"Y")+COUNTIFS($AN$2:$AN$1000,AN102,$T$2:$T$1000,"Y")&gt;0,"Y","N")</f>
        <v>N</v>
      </c>
      <c r="EA102" s="0" t="str">
        <f aca="false">IF(AND(U102="new",T102="N",AR102="Y",AQ102="",DZ102="N"),"Y","N")</f>
        <v>Y</v>
      </c>
      <c r="EB102" s="0" t="str">
        <f aca="false">IF(EA102&lt;&gt;"Y","N",IF(COUNTIFS($AN$2:$AN$1000,AN102,$EA$2:$EA$1000,"Y",$J$2:$J$1000,"&gt;"&amp;J102)+COUNTIFS($AN$2:$AN$1000,AN102,$EA$2:$EA$1000,"Y",$J$2:$J$1000,J102,$ED$2:$ED$1000,"&lt;"&amp;ED102)=0,"Y","N"))</f>
        <v>Y</v>
      </c>
      <c r="EC102" s="0" t="str">
        <f aca="false">IF(Y102="","N",IF(Y102&lt;=10,"Y","N"))</f>
        <v>N</v>
      </c>
      <c r="ED102" s="6" t="n">
        <f aca="false">ROW()-1</f>
        <v>101</v>
      </c>
    </row>
    <row r="103" customFormat="false" ht="15" hidden="false" customHeight="false" outlineLevel="0" collapsed="false">
      <c r="A103" s="0" t="s">
        <v>7083</v>
      </c>
      <c r="B103" s="0" t="s">
        <v>7084</v>
      </c>
      <c r="C103" s="0" t="s">
        <v>7085</v>
      </c>
      <c r="D103" s="0" t="s">
        <v>7086</v>
      </c>
      <c r="E103" s="0" t="s">
        <v>4773</v>
      </c>
      <c r="F103" s="0" t="s">
        <v>7087</v>
      </c>
      <c r="H103" s="5" t="s">
        <v>158</v>
      </c>
      <c r="I103" s="5" t="s">
        <v>159</v>
      </c>
      <c r="J103" s="6" t="n">
        <f aca="false">IF(AU103="pass",CM103+CN103+CO103+CP103+CQ103+CR103+CS103+CT103,0)</f>
        <v>44</v>
      </c>
      <c r="K103" s="6" t="s">
        <v>7088</v>
      </c>
      <c r="M103" s="6" t="s">
        <v>5293</v>
      </c>
      <c r="N103" s="6" t="s">
        <v>598</v>
      </c>
      <c r="O103" s="6" t="s">
        <v>7089</v>
      </c>
      <c r="P103" s="6" t="s">
        <v>7090</v>
      </c>
      <c r="Q103" s="6" t="s">
        <v>7091</v>
      </c>
      <c r="R103" s="5" t="s">
        <v>162</v>
      </c>
      <c r="S103" s="6" t="s">
        <v>163</v>
      </c>
      <c r="T103" s="5" t="s">
        <v>162</v>
      </c>
      <c r="U103" s="5" t="s">
        <v>228</v>
      </c>
      <c r="V103" s="6" t="s">
        <v>7092</v>
      </c>
      <c r="W103" s="6" t="s">
        <v>166</v>
      </c>
      <c r="X103" s="6" t="s">
        <v>4586</v>
      </c>
      <c r="Y103" s="6" t="n">
        <f aca="false">IF(EB103&lt;&gt;"Y","",COUNTIFS($EB$2:$EB$1000,"Y",$J$2:$J$1000,"&gt;"&amp;J103)+COUNTIFS($EB$2:$EB$1000,"Y",$J$2:$J$1000,J103,$ED$2:$ED$1000,"&lt;"&amp;ED103)+1)</f>
        <v>90</v>
      </c>
      <c r="Z103" s="0" t="n">
        <v>102</v>
      </c>
      <c r="AA103" s="6" t="s">
        <v>162</v>
      </c>
      <c r="AB103" s="6" t="s">
        <v>7093</v>
      </c>
      <c r="AC103" s="6" t="s">
        <v>4588</v>
      </c>
      <c r="AD103" s="6" t="s">
        <v>171</v>
      </c>
      <c r="AE103" s="6" t="s">
        <v>172</v>
      </c>
      <c r="AF103" s="6" t="s">
        <v>7092</v>
      </c>
      <c r="AG103" s="6" t="s">
        <v>166</v>
      </c>
      <c r="AH103" s="6" t="s">
        <v>7094</v>
      </c>
      <c r="AI103" s="6" t="s">
        <v>4724</v>
      </c>
      <c r="AJ103" s="6" t="s">
        <v>7095</v>
      </c>
      <c r="AK103" s="6" t="s">
        <v>7096</v>
      </c>
      <c r="AL103" s="6" t="s">
        <v>168</v>
      </c>
      <c r="AM103" s="6" t="s">
        <v>7097</v>
      </c>
      <c r="AN103" s="6" t="s">
        <v>7083</v>
      </c>
      <c r="AO103" s="5" t="s">
        <v>162</v>
      </c>
      <c r="AR103" s="0" t="str">
        <f aca="false">IF(AND(AU103="pass",AO103&lt;&gt;"Y",C103&lt;&gt;""),"Y","N")</f>
        <v>Y</v>
      </c>
      <c r="AS103" s="0" t="str">
        <f aca="false">_xlfn.TEXTJOIN("; ",TRUE(),IF(AU103&lt;&gt;"pass","gated out",""),IF(AO103="Y","on hold: "&amp;AP103,""),IF(C103="","no contact named on an opened page",""))</f>
        <v/>
      </c>
      <c r="AU103" s="6" t="s">
        <v>181</v>
      </c>
      <c r="AW103" s="6" t="s">
        <v>182</v>
      </c>
      <c r="AX103" s="6" t="s">
        <v>5607</v>
      </c>
      <c r="AY103" s="6" t="s">
        <v>7096</v>
      </c>
      <c r="AZ103" s="6" t="s">
        <v>7098</v>
      </c>
      <c r="BA103" s="6" t="s">
        <v>7099</v>
      </c>
      <c r="BB103" s="6" t="s">
        <v>7100</v>
      </c>
      <c r="BC103" s="6" t="s">
        <v>7092</v>
      </c>
      <c r="BD103" s="6" t="s">
        <v>168</v>
      </c>
      <c r="BE103" s="6" t="s">
        <v>7101</v>
      </c>
      <c r="BF103" s="6" t="s">
        <v>168</v>
      </c>
      <c r="BG103" s="6" t="s">
        <v>168</v>
      </c>
      <c r="BH103" s="6" t="s">
        <v>163</v>
      </c>
      <c r="BJ103" s="6" t="s">
        <v>7102</v>
      </c>
      <c r="BK103" s="6" t="s">
        <v>162</v>
      </c>
      <c r="BL103" s="6" t="s">
        <v>162</v>
      </c>
      <c r="BO103" s="6" t="s">
        <v>162</v>
      </c>
      <c r="BP103" s="0" t="n">
        <v>0</v>
      </c>
      <c r="BS103" s="6" t="s">
        <v>7103</v>
      </c>
      <c r="BT103" s="6" t="s">
        <v>7104</v>
      </c>
      <c r="BU103" s="6" t="s">
        <v>4605</v>
      </c>
      <c r="BV103" s="0" t="n">
        <v>46</v>
      </c>
      <c r="BX103" s="6" t="s">
        <v>7105</v>
      </c>
      <c r="BZ103" s="6" t="s">
        <v>4934</v>
      </c>
      <c r="CA103" s="6" t="s">
        <v>7106</v>
      </c>
      <c r="CE103" s="6" t="s">
        <v>6262</v>
      </c>
      <c r="CF103" s="6" t="s">
        <v>598</v>
      </c>
      <c r="CG103" s="6" t="s">
        <v>7107</v>
      </c>
      <c r="CH103" s="6" t="s">
        <v>7108</v>
      </c>
      <c r="CI103" s="6" t="s">
        <v>4934</v>
      </c>
      <c r="CK103" s="6" t="s">
        <v>158</v>
      </c>
      <c r="CL103" s="0" t="n">
        <v>44</v>
      </c>
      <c r="CM103" s="0" t="n">
        <v>6</v>
      </c>
      <c r="CN103" s="0" t="n">
        <v>10</v>
      </c>
      <c r="CO103" s="0" t="n">
        <v>15</v>
      </c>
      <c r="CP103" s="0" t="n">
        <v>5</v>
      </c>
      <c r="CQ103" s="0" t="n">
        <v>10</v>
      </c>
      <c r="CR103" s="0" t="n">
        <v>10</v>
      </c>
      <c r="CS103" s="6" t="n">
        <f aca="false">IF(R103="Y",10,0)</f>
        <v>0</v>
      </c>
      <c r="CT103" s="0" t="n">
        <v>-12</v>
      </c>
      <c r="CU103" s="6" t="s">
        <v>7109</v>
      </c>
      <c r="CV103" s="6" t="s">
        <v>4704</v>
      </c>
      <c r="CW103" s="6" t="s">
        <v>7110</v>
      </c>
      <c r="CX103" s="6" t="s">
        <v>7111</v>
      </c>
      <c r="CY103" s="6" t="s">
        <v>7112</v>
      </c>
      <c r="DA103" s="6" t="s">
        <v>6236</v>
      </c>
      <c r="DC103" s="6" t="s">
        <v>163</v>
      </c>
      <c r="DY103" s="0" t="str">
        <f aca="false">IF(ISNUMBER(MATCH(U103,{"queued","contacted","replied","call_booked","call_done","yes_in_principle","materials_sent"},0)),"Y","N")</f>
        <v>N</v>
      </c>
      <c r="DZ103" s="0" t="str">
        <f aca="false">IF(COUNTIFS($AN$2:$AN$1000,AN103,$DY$2:$DY$1000,"Y")+COUNTIFS($AN$2:$AN$1000,AN103,$T$2:$T$1000,"Y")&gt;0,"Y","N")</f>
        <v>N</v>
      </c>
      <c r="EA103" s="0" t="str">
        <f aca="false">IF(AND(U103="new",T103="N",AR103="Y",AQ103="",DZ103="N"),"Y","N")</f>
        <v>Y</v>
      </c>
      <c r="EB103" s="0" t="str">
        <f aca="false">IF(EA103&lt;&gt;"Y","N",IF(COUNTIFS($AN$2:$AN$1000,AN103,$EA$2:$EA$1000,"Y",$J$2:$J$1000,"&gt;"&amp;J103)+COUNTIFS($AN$2:$AN$1000,AN103,$EA$2:$EA$1000,"Y",$J$2:$J$1000,J103,$ED$2:$ED$1000,"&lt;"&amp;ED103)=0,"Y","N"))</f>
        <v>Y</v>
      </c>
      <c r="EC103" s="0" t="str">
        <f aca="false">IF(Y103="","N",IF(Y103&lt;=10,"Y","N"))</f>
        <v>N</v>
      </c>
      <c r="ED103" s="6" t="n">
        <f aca="false">ROW()-1</f>
        <v>102</v>
      </c>
    </row>
    <row r="104" customFormat="false" ht="15" hidden="false" customHeight="false" outlineLevel="0" collapsed="false">
      <c r="A104" s="0" t="s">
        <v>7113</v>
      </c>
      <c r="B104" s="0" t="s">
        <v>7114</v>
      </c>
      <c r="C104" s="0" t="s">
        <v>6239</v>
      </c>
      <c r="D104" s="0" t="s">
        <v>7115</v>
      </c>
      <c r="E104" s="0" t="s">
        <v>6307</v>
      </c>
      <c r="H104" s="5" t="s">
        <v>158</v>
      </c>
      <c r="I104" s="5" t="s">
        <v>159</v>
      </c>
      <c r="J104" s="6" t="n">
        <f aca="false">IF(AU104="pass",CM104+CN104+CO104+CP104+CQ104+CR104+CS104+CT104,0)</f>
        <v>44</v>
      </c>
      <c r="K104" s="6" t="s">
        <v>7116</v>
      </c>
      <c r="M104" s="6" t="s">
        <v>5293</v>
      </c>
      <c r="N104" s="6" t="s">
        <v>598</v>
      </c>
      <c r="O104" s="6" t="s">
        <v>7117</v>
      </c>
      <c r="P104" s="6" t="s">
        <v>7118</v>
      </c>
      <c r="Q104" s="6" t="s">
        <v>689</v>
      </c>
      <c r="R104" s="5" t="s">
        <v>162</v>
      </c>
      <c r="S104" s="6" t="s">
        <v>168</v>
      </c>
      <c r="T104" s="5" t="s">
        <v>162</v>
      </c>
      <c r="U104" s="5" t="s">
        <v>228</v>
      </c>
      <c r="V104" s="6" t="s">
        <v>7118</v>
      </c>
      <c r="W104" s="6" t="s">
        <v>166</v>
      </c>
      <c r="X104" s="6" t="s">
        <v>4586</v>
      </c>
      <c r="Y104" s="6" t="n">
        <f aca="false">IF(EB104&lt;&gt;"Y","",COUNTIFS($EB$2:$EB$1000,"Y",$J$2:$J$1000,"&gt;"&amp;J104)+COUNTIFS($EB$2:$EB$1000,"Y",$J$2:$J$1000,J104,$ED$2:$ED$1000,"&lt;"&amp;ED104)+1)</f>
        <v>91</v>
      </c>
      <c r="Z104" s="0" t="n">
        <v>103</v>
      </c>
      <c r="AA104" s="6" t="s">
        <v>162</v>
      </c>
      <c r="AB104" s="6" t="s">
        <v>7119</v>
      </c>
      <c r="AC104" s="6" t="s">
        <v>6262</v>
      </c>
      <c r="AD104" s="6" t="s">
        <v>171</v>
      </c>
      <c r="AE104" s="6" t="s">
        <v>1190</v>
      </c>
      <c r="AF104" s="6" t="s">
        <v>7118</v>
      </c>
      <c r="AG104" s="6" t="s">
        <v>166</v>
      </c>
      <c r="AH104" s="6" t="s">
        <v>7120</v>
      </c>
      <c r="AI104" s="6" t="s">
        <v>5463</v>
      </c>
      <c r="AJ104" s="6" t="s">
        <v>7121</v>
      </c>
      <c r="AK104" s="6" t="s">
        <v>7122</v>
      </c>
      <c r="AL104" s="6" t="s">
        <v>168</v>
      </c>
      <c r="AM104" s="6" t="s">
        <v>7123</v>
      </c>
      <c r="AN104" s="6" t="s">
        <v>7113</v>
      </c>
      <c r="AO104" s="5" t="s">
        <v>162</v>
      </c>
      <c r="AR104" s="0" t="str">
        <f aca="false">IF(AND(AU104="pass",AO104&lt;&gt;"Y",C104&lt;&gt;""),"Y","N")</f>
        <v>Y</v>
      </c>
      <c r="AS104" s="0" t="str">
        <f aca="false">_xlfn.TEXTJOIN("; ",TRUE(),IF(AU104&lt;&gt;"pass","gated out",""),IF(AO104="Y","on hold: "&amp;AP104,""),IF(C104="","no contact named on an opened page",""))</f>
        <v/>
      </c>
      <c r="AU104" s="6" t="s">
        <v>181</v>
      </c>
      <c r="AW104" s="6" t="s">
        <v>182</v>
      </c>
      <c r="AX104" s="6" t="s">
        <v>6129</v>
      </c>
      <c r="AY104" s="6" t="s">
        <v>7122</v>
      </c>
      <c r="AZ104" s="6" t="s">
        <v>6900</v>
      </c>
      <c r="BA104" s="6" t="s">
        <v>5331</v>
      </c>
      <c r="BB104" s="6" t="s">
        <v>163</v>
      </c>
      <c r="BD104" s="6" t="s">
        <v>168</v>
      </c>
      <c r="BE104" s="6" t="s">
        <v>7124</v>
      </c>
      <c r="BF104" s="6" t="s">
        <v>168</v>
      </c>
      <c r="BG104" s="6" t="s">
        <v>168</v>
      </c>
      <c r="BH104" s="6" t="s">
        <v>163</v>
      </c>
      <c r="BJ104" s="6" t="s">
        <v>7125</v>
      </c>
      <c r="BK104" s="6" t="s">
        <v>162</v>
      </c>
      <c r="BL104" s="6" t="s">
        <v>162</v>
      </c>
      <c r="BO104" s="6" t="s">
        <v>162</v>
      </c>
      <c r="BP104" s="0" t="n">
        <v>0</v>
      </c>
      <c r="BS104" s="6" t="s">
        <v>7126</v>
      </c>
      <c r="BU104" s="6" t="s">
        <v>4605</v>
      </c>
      <c r="BV104" s="0" t="n">
        <v>143</v>
      </c>
      <c r="BW104" s="6" t="s">
        <v>7118</v>
      </c>
      <c r="BX104" s="6" t="s">
        <v>7127</v>
      </c>
      <c r="CF104" s="6" t="s">
        <v>158</v>
      </c>
      <c r="CK104" s="6" t="s">
        <v>158</v>
      </c>
      <c r="CL104" s="0" t="n">
        <v>44</v>
      </c>
      <c r="CM104" s="0" t="n">
        <v>6</v>
      </c>
      <c r="CN104" s="0" t="n">
        <v>3</v>
      </c>
      <c r="CO104" s="0" t="n">
        <v>15</v>
      </c>
      <c r="CP104" s="0" t="n">
        <v>5</v>
      </c>
      <c r="CQ104" s="0" t="n">
        <v>10</v>
      </c>
      <c r="CR104" s="0" t="n">
        <v>10</v>
      </c>
      <c r="CS104" s="6" t="n">
        <f aca="false">IF(R104="Y",10,0)</f>
        <v>0</v>
      </c>
      <c r="CT104" s="0" t="n">
        <v>-5</v>
      </c>
      <c r="CU104" s="6" t="s">
        <v>163</v>
      </c>
      <c r="CV104" s="6" t="s">
        <v>4843</v>
      </c>
      <c r="CW104" s="6" t="s">
        <v>7128</v>
      </c>
      <c r="CX104" s="6" t="s">
        <v>7129</v>
      </c>
      <c r="DA104" s="6" t="s">
        <v>6236</v>
      </c>
      <c r="DY104" s="0" t="str">
        <f aca="false">IF(ISNUMBER(MATCH(U104,{"queued","contacted","replied","call_booked","call_done","yes_in_principle","materials_sent"},0)),"Y","N")</f>
        <v>N</v>
      </c>
      <c r="DZ104" s="0" t="str">
        <f aca="false">IF(COUNTIFS($AN$2:$AN$1000,AN104,$DY$2:$DY$1000,"Y")+COUNTIFS($AN$2:$AN$1000,AN104,$T$2:$T$1000,"Y")&gt;0,"Y","N")</f>
        <v>N</v>
      </c>
      <c r="EA104" s="0" t="str">
        <f aca="false">IF(AND(U104="new",T104="N",AR104="Y",AQ104="",DZ104="N"),"Y","N")</f>
        <v>Y</v>
      </c>
      <c r="EB104" s="0" t="str">
        <f aca="false">IF(EA104&lt;&gt;"Y","N",IF(COUNTIFS($AN$2:$AN$1000,AN104,$EA$2:$EA$1000,"Y",$J$2:$J$1000,"&gt;"&amp;J104)+COUNTIFS($AN$2:$AN$1000,AN104,$EA$2:$EA$1000,"Y",$J$2:$J$1000,J104,$ED$2:$ED$1000,"&lt;"&amp;ED104)=0,"Y","N"))</f>
        <v>Y</v>
      </c>
      <c r="EC104" s="0" t="str">
        <f aca="false">IF(Y104="","N",IF(Y104&lt;=10,"Y","N"))</f>
        <v>N</v>
      </c>
      <c r="ED104" s="6" t="n">
        <f aca="false">ROW()-1</f>
        <v>103</v>
      </c>
    </row>
    <row r="105" customFormat="false" ht="15" hidden="false" customHeight="false" outlineLevel="0" collapsed="false">
      <c r="A105" s="0" t="s">
        <v>7130</v>
      </c>
      <c r="B105" s="0" t="s">
        <v>7131</v>
      </c>
      <c r="C105" s="0" t="s">
        <v>7132</v>
      </c>
      <c r="D105" s="0" t="s">
        <v>163</v>
      </c>
      <c r="E105" s="0" t="s">
        <v>4626</v>
      </c>
      <c r="H105" s="5" t="s">
        <v>158</v>
      </c>
      <c r="I105" s="5" t="s">
        <v>159</v>
      </c>
      <c r="J105" s="6" t="n">
        <f aca="false">IF(AU105="pass",CM105+CN105+CO105+CP105+CQ105+CR105+CS105+CT105,0)</f>
        <v>44</v>
      </c>
      <c r="K105" s="6" t="s">
        <v>7133</v>
      </c>
      <c r="M105" s="6" t="s">
        <v>5293</v>
      </c>
      <c r="N105" s="6" t="s">
        <v>598</v>
      </c>
      <c r="O105" s="6" t="s">
        <v>7134</v>
      </c>
      <c r="P105" s="6" t="s">
        <v>7135</v>
      </c>
      <c r="Q105" s="6" t="s">
        <v>3275</v>
      </c>
      <c r="R105" s="5" t="s">
        <v>162</v>
      </c>
      <c r="S105" s="6" t="s">
        <v>163</v>
      </c>
      <c r="T105" s="5" t="s">
        <v>162</v>
      </c>
      <c r="U105" s="5" t="s">
        <v>228</v>
      </c>
      <c r="V105" s="6" t="s">
        <v>7136</v>
      </c>
      <c r="W105" s="6" t="s">
        <v>174</v>
      </c>
      <c r="X105" s="6" t="s">
        <v>4586</v>
      </c>
      <c r="Y105" s="6" t="n">
        <f aca="false">IF(EB105&lt;&gt;"Y","",COUNTIFS($EB$2:$EB$1000,"Y",$J$2:$J$1000,"&gt;"&amp;J105)+COUNTIFS($EB$2:$EB$1000,"Y",$J$2:$J$1000,J105,$ED$2:$ED$1000,"&lt;"&amp;ED105)+1)</f>
        <v>92</v>
      </c>
      <c r="Z105" s="0" t="n">
        <v>104</v>
      </c>
      <c r="AA105" s="6" t="s">
        <v>162</v>
      </c>
      <c r="AB105" s="6" t="s">
        <v>7137</v>
      </c>
      <c r="AC105" s="6" t="s">
        <v>4588</v>
      </c>
      <c r="AD105" s="6" t="s">
        <v>5010</v>
      </c>
      <c r="AE105" s="6" t="s">
        <v>172</v>
      </c>
      <c r="AF105" s="6" t="s">
        <v>7138</v>
      </c>
      <c r="AG105" s="6" t="s">
        <v>174</v>
      </c>
      <c r="AH105" s="6" t="s">
        <v>7139</v>
      </c>
      <c r="AI105" s="6" t="s">
        <v>4977</v>
      </c>
      <c r="AJ105" s="6" t="s">
        <v>7140</v>
      </c>
      <c r="AK105" s="6" t="s">
        <v>7141</v>
      </c>
      <c r="AL105" s="6" t="s">
        <v>168</v>
      </c>
      <c r="AM105" s="6" t="s">
        <v>7142</v>
      </c>
      <c r="AN105" s="6" t="s">
        <v>7130</v>
      </c>
      <c r="AO105" s="5" t="s">
        <v>162</v>
      </c>
      <c r="AR105" s="0" t="str">
        <f aca="false">IF(AND(AU105="pass",AO105&lt;&gt;"Y",C105&lt;&gt;""),"Y","N")</f>
        <v>Y</v>
      </c>
      <c r="AS105" s="0" t="str">
        <f aca="false">_xlfn.TEXTJOIN("; ",TRUE(),IF(AU105&lt;&gt;"pass","gated out",""),IF(AO105="Y","on hold: "&amp;AP105,""),IF(C105="","no contact named on an opened page",""))</f>
        <v/>
      </c>
      <c r="AU105" s="6" t="s">
        <v>181</v>
      </c>
      <c r="AW105" s="6" t="s">
        <v>182</v>
      </c>
      <c r="AX105" s="6" t="s">
        <v>6617</v>
      </c>
      <c r="AY105" s="6" t="s">
        <v>7141</v>
      </c>
      <c r="AZ105" s="6" t="s">
        <v>4596</v>
      </c>
      <c r="BA105" s="6" t="s">
        <v>4597</v>
      </c>
      <c r="BB105" s="6" t="s">
        <v>163</v>
      </c>
      <c r="BD105" s="6" t="s">
        <v>163</v>
      </c>
      <c r="BE105" s="6" t="s">
        <v>7143</v>
      </c>
      <c r="BF105" s="6" t="s">
        <v>168</v>
      </c>
      <c r="BG105" s="6" t="s">
        <v>168</v>
      </c>
      <c r="BH105" s="6" t="s">
        <v>163</v>
      </c>
      <c r="BJ105" s="6" t="s">
        <v>5145</v>
      </c>
      <c r="BK105" s="6" t="s">
        <v>162</v>
      </c>
      <c r="BL105" s="6" t="s">
        <v>162</v>
      </c>
      <c r="BO105" s="6" t="s">
        <v>162</v>
      </c>
      <c r="BP105" s="0" t="n">
        <v>0</v>
      </c>
      <c r="BS105" s="6" t="s">
        <v>7144</v>
      </c>
      <c r="BU105" s="6" t="s">
        <v>4695</v>
      </c>
      <c r="BV105" s="0" t="n">
        <v>17</v>
      </c>
      <c r="BX105" s="6" t="s">
        <v>7132</v>
      </c>
      <c r="BY105" s="6" t="s">
        <v>7145</v>
      </c>
      <c r="CA105" s="6" t="s">
        <v>7146</v>
      </c>
      <c r="CB105" s="6" t="s">
        <v>7146</v>
      </c>
      <c r="CC105" s="6" t="s">
        <v>163</v>
      </c>
      <c r="CD105" s="6" t="s">
        <v>4626</v>
      </c>
      <c r="CE105" s="6" t="s">
        <v>6725</v>
      </c>
      <c r="CF105" s="6" t="s">
        <v>5010</v>
      </c>
      <c r="CG105" s="6" t="s">
        <v>7145</v>
      </c>
      <c r="CK105" s="6" t="s">
        <v>158</v>
      </c>
      <c r="CL105" s="0" t="n">
        <v>44</v>
      </c>
      <c r="CM105" s="0" t="n">
        <v>6</v>
      </c>
      <c r="CN105" s="0" t="n">
        <v>20</v>
      </c>
      <c r="CO105" s="0" t="n">
        <v>8</v>
      </c>
      <c r="CP105" s="0" t="n">
        <v>5</v>
      </c>
      <c r="CQ105" s="0" t="n">
        <v>7</v>
      </c>
      <c r="CR105" s="0" t="n">
        <v>3</v>
      </c>
      <c r="CS105" s="6" t="n">
        <f aca="false">IF(R105="Y",10,0)</f>
        <v>0</v>
      </c>
      <c r="CT105" s="0" t="n">
        <v>-5</v>
      </c>
      <c r="CU105" s="6" t="s">
        <v>7147</v>
      </c>
      <c r="CV105" s="6" t="s">
        <v>5152</v>
      </c>
      <c r="CW105" s="6" t="s">
        <v>7148</v>
      </c>
      <c r="CX105" s="6" t="s">
        <v>7149</v>
      </c>
      <c r="CZ105" s="6" t="s">
        <v>7138</v>
      </c>
      <c r="DA105" s="6" t="s">
        <v>6236</v>
      </c>
      <c r="DC105" s="6" t="s">
        <v>172</v>
      </c>
      <c r="DY105" s="0" t="str">
        <f aca="false">IF(ISNUMBER(MATCH(U105,{"queued","contacted","replied","call_booked","call_done","yes_in_principle","materials_sent"},0)),"Y","N")</f>
        <v>N</v>
      </c>
      <c r="DZ105" s="0" t="str">
        <f aca="false">IF(COUNTIFS($AN$2:$AN$1000,AN105,$DY$2:$DY$1000,"Y")+COUNTIFS($AN$2:$AN$1000,AN105,$T$2:$T$1000,"Y")&gt;0,"Y","N")</f>
        <v>N</v>
      </c>
      <c r="EA105" s="0" t="str">
        <f aca="false">IF(AND(U105="new",T105="N",AR105="Y",AQ105="",DZ105="N"),"Y","N")</f>
        <v>Y</v>
      </c>
      <c r="EB105" s="0" t="str">
        <f aca="false">IF(EA105&lt;&gt;"Y","N",IF(COUNTIFS($AN$2:$AN$1000,AN105,$EA$2:$EA$1000,"Y",$J$2:$J$1000,"&gt;"&amp;J105)+COUNTIFS($AN$2:$AN$1000,AN105,$EA$2:$EA$1000,"Y",$J$2:$J$1000,J105,$ED$2:$ED$1000,"&lt;"&amp;ED105)=0,"Y","N"))</f>
        <v>Y</v>
      </c>
      <c r="EC105" s="0" t="str">
        <f aca="false">IF(Y105="","N",IF(Y105&lt;=10,"Y","N"))</f>
        <v>N</v>
      </c>
      <c r="ED105" s="6" t="n">
        <f aca="false">ROW()-1</f>
        <v>104</v>
      </c>
    </row>
    <row r="106" customFormat="false" ht="15" hidden="false" customHeight="false" outlineLevel="0" collapsed="false">
      <c r="A106" s="0" t="s">
        <v>7150</v>
      </c>
      <c r="B106" s="0" t="s">
        <v>7151</v>
      </c>
      <c r="H106" s="5" t="s">
        <v>158</v>
      </c>
      <c r="I106" s="5"/>
      <c r="J106" s="6" t="n">
        <f aca="false">IF(AU106="pass",CM106+CN106+CO106+CP106+CQ106+CR106+CS106+CT106,0)</f>
        <v>44</v>
      </c>
      <c r="K106" s="6" t="s">
        <v>7152</v>
      </c>
      <c r="M106" s="6" t="s">
        <v>5293</v>
      </c>
      <c r="N106" s="6" t="s">
        <v>598</v>
      </c>
      <c r="O106" s="6" t="s">
        <v>7153</v>
      </c>
      <c r="P106" s="6" t="s">
        <v>7154</v>
      </c>
      <c r="Q106" s="6" t="s">
        <v>7155</v>
      </c>
      <c r="R106" s="5" t="s">
        <v>162</v>
      </c>
      <c r="S106" s="6" t="s">
        <v>163</v>
      </c>
      <c r="T106" s="5" t="s">
        <v>162</v>
      </c>
      <c r="U106" s="5" t="s">
        <v>228</v>
      </c>
      <c r="V106" s="6" t="s">
        <v>7156</v>
      </c>
      <c r="W106" s="6" t="s">
        <v>166</v>
      </c>
      <c r="X106" s="6" t="s">
        <v>4586</v>
      </c>
      <c r="Y106" s="0" t="str">
        <f aca="false">IF(EB106&lt;&gt;"Y","",COUNTIFS($EB$2:$EB$1000,"Y",$J$2:$J$1000,"&gt;"&amp;J106)+COUNTIFS($EB$2:$EB$1000,"Y",$J$2:$J$1000,J106,$ED$2:$ED$1000,"&lt;"&amp;ED106)+1)</f>
        <v/>
      </c>
      <c r="Z106" s="0" t="n">
        <v>105</v>
      </c>
      <c r="AA106" s="6" t="s">
        <v>162</v>
      </c>
      <c r="AB106" s="6" t="s">
        <v>7157</v>
      </c>
      <c r="AD106" s="6" t="s">
        <v>158</v>
      </c>
      <c r="AH106" s="6" t="s">
        <v>7158</v>
      </c>
      <c r="AI106" s="6" t="s">
        <v>5738</v>
      </c>
      <c r="AJ106" s="6" t="s">
        <v>4635</v>
      </c>
      <c r="AK106" s="6" t="s">
        <v>7159</v>
      </c>
      <c r="AL106" s="6" t="s">
        <v>168</v>
      </c>
      <c r="AM106" s="6" t="s">
        <v>7160</v>
      </c>
      <c r="AN106" s="6" t="s">
        <v>7150</v>
      </c>
      <c r="AO106" s="5" t="s">
        <v>162</v>
      </c>
      <c r="AR106" s="0" t="str">
        <f aca="false">IF(AND(AU106="pass",AO106&lt;&gt;"Y",C106&lt;&gt;""),"Y","N")</f>
        <v>N</v>
      </c>
      <c r="AS106" s="0" t="str">
        <f aca="false">_xlfn.TEXTJOIN("; ",TRUE(),IF(AU106&lt;&gt;"pass","gated out",""),IF(AO106="Y","on hold: "&amp;AP106,""),IF(C106="","no contact named on an opened page",""))</f>
        <v>no contact named on an opened page</v>
      </c>
      <c r="AU106" s="6" t="s">
        <v>181</v>
      </c>
      <c r="AW106" s="6" t="s">
        <v>182</v>
      </c>
      <c r="AX106" s="6" t="s">
        <v>6617</v>
      </c>
      <c r="AY106" s="6" t="s">
        <v>7159</v>
      </c>
      <c r="AZ106" s="6" t="s">
        <v>4596</v>
      </c>
      <c r="BA106" s="6" t="s">
        <v>4597</v>
      </c>
      <c r="BB106" s="6" t="s">
        <v>163</v>
      </c>
      <c r="BD106" s="6" t="s">
        <v>168</v>
      </c>
      <c r="BE106" s="6" t="s">
        <v>7161</v>
      </c>
      <c r="BF106" s="6" t="s">
        <v>168</v>
      </c>
      <c r="BG106" s="6" t="s">
        <v>168</v>
      </c>
      <c r="BH106" s="6" t="s">
        <v>163</v>
      </c>
      <c r="BJ106" s="6" t="s">
        <v>5551</v>
      </c>
      <c r="BK106" s="6" t="s">
        <v>162</v>
      </c>
      <c r="BL106" s="6" t="s">
        <v>162</v>
      </c>
      <c r="BO106" s="6" t="s">
        <v>162</v>
      </c>
      <c r="BP106" s="0" t="n">
        <v>0</v>
      </c>
      <c r="BS106" s="6" t="s">
        <v>7162</v>
      </c>
      <c r="BT106" s="6" t="s">
        <v>7154</v>
      </c>
      <c r="BU106" s="6" t="s">
        <v>4695</v>
      </c>
      <c r="BV106" s="0" t="n">
        <v>115</v>
      </c>
      <c r="CF106" s="6" t="s">
        <v>158</v>
      </c>
      <c r="CK106" s="6" t="s">
        <v>158</v>
      </c>
      <c r="CL106" s="0" t="n">
        <v>44</v>
      </c>
      <c r="CM106" s="0" t="n">
        <v>6</v>
      </c>
      <c r="CN106" s="0" t="n">
        <v>20</v>
      </c>
      <c r="CO106" s="0" t="n">
        <v>8</v>
      </c>
      <c r="CP106" s="0" t="n">
        <v>5</v>
      </c>
      <c r="CQ106" s="0" t="n">
        <v>10</v>
      </c>
      <c r="CR106" s="0" t="n">
        <v>0</v>
      </c>
      <c r="CS106" s="6" t="n">
        <f aca="false">IF(R106="Y",10,0)</f>
        <v>0</v>
      </c>
      <c r="CT106" s="0" t="n">
        <v>-5</v>
      </c>
      <c r="CU106" s="6" t="s">
        <v>163</v>
      </c>
      <c r="CV106" s="6" t="s">
        <v>5564</v>
      </c>
      <c r="CW106" s="6" t="s">
        <v>7163</v>
      </c>
      <c r="CX106" s="6" t="s">
        <v>7164</v>
      </c>
      <c r="CY106" s="6" t="s">
        <v>7165</v>
      </c>
      <c r="DA106" s="6" t="s">
        <v>6236</v>
      </c>
      <c r="DY106" s="0" t="str">
        <f aca="false">IF(ISNUMBER(MATCH(U106,{"queued","contacted","replied","call_booked","call_done","yes_in_principle","materials_sent"},0)),"Y","N")</f>
        <v>N</v>
      </c>
      <c r="DZ106" s="0" t="str">
        <f aca="false">IF(COUNTIFS($AN$2:$AN$1000,AN106,$DY$2:$DY$1000,"Y")+COUNTIFS($AN$2:$AN$1000,AN106,$T$2:$T$1000,"Y")&gt;0,"Y","N")</f>
        <v>N</v>
      </c>
      <c r="EA106" s="0" t="str">
        <f aca="false">IF(AND(U106="new",T106="N",AR106="Y",AQ106="",DZ106="N"),"Y","N")</f>
        <v>N</v>
      </c>
      <c r="EB106" s="0" t="str">
        <f aca="false">IF(EA106&lt;&gt;"Y","N",IF(COUNTIFS($AN$2:$AN$1000,AN106,$EA$2:$EA$1000,"Y",$J$2:$J$1000,"&gt;"&amp;J106)+COUNTIFS($AN$2:$AN$1000,AN106,$EA$2:$EA$1000,"Y",$J$2:$J$1000,J106,$ED$2:$ED$1000,"&lt;"&amp;ED106)=0,"Y","N"))</f>
        <v>N</v>
      </c>
      <c r="EC106" s="0" t="str">
        <f aca="false">IF(Y106="","N",IF(Y106&lt;=10,"Y","N"))</f>
        <v>N</v>
      </c>
      <c r="ED106" s="6" t="n">
        <f aca="false">ROW()-1</f>
        <v>105</v>
      </c>
    </row>
    <row r="107" customFormat="false" ht="15" hidden="false" customHeight="false" outlineLevel="0" collapsed="false">
      <c r="A107" s="0" t="s">
        <v>7166</v>
      </c>
      <c r="B107" s="0" t="s">
        <v>7167</v>
      </c>
      <c r="C107" s="0" t="s">
        <v>7168</v>
      </c>
      <c r="D107" s="0" t="s">
        <v>7169</v>
      </c>
      <c r="E107" s="0" t="s">
        <v>4626</v>
      </c>
      <c r="H107" s="5" t="s">
        <v>158</v>
      </c>
      <c r="I107" s="5" t="s">
        <v>159</v>
      </c>
      <c r="J107" s="6" t="n">
        <f aca="false">IF(AU107="pass",CM107+CN107+CO107+CP107+CQ107+CR107+CS107+CT107,0)</f>
        <v>43</v>
      </c>
      <c r="K107" s="6" t="s">
        <v>7170</v>
      </c>
      <c r="M107" s="6" t="s">
        <v>4581</v>
      </c>
      <c r="N107" s="6" t="s">
        <v>4582</v>
      </c>
      <c r="O107" s="6" t="s">
        <v>7171</v>
      </c>
      <c r="P107" s="6" t="s">
        <v>7172</v>
      </c>
      <c r="Q107" s="6" t="s">
        <v>3275</v>
      </c>
      <c r="R107" s="5" t="s">
        <v>162</v>
      </c>
      <c r="S107" s="6" t="s">
        <v>163</v>
      </c>
      <c r="T107" s="5" t="s">
        <v>162</v>
      </c>
      <c r="U107" s="5" t="s">
        <v>228</v>
      </c>
      <c r="V107" s="6" t="s">
        <v>7172</v>
      </c>
      <c r="W107" s="6" t="s">
        <v>166</v>
      </c>
      <c r="X107" s="6" t="s">
        <v>4586</v>
      </c>
      <c r="Y107" s="6" t="n">
        <f aca="false">IF(EB107&lt;&gt;"Y","",COUNTIFS($EB$2:$EB$1000,"Y",$J$2:$J$1000,"&gt;"&amp;J107)+COUNTIFS($EB$2:$EB$1000,"Y",$J$2:$J$1000,J107,$ED$2:$ED$1000,"&lt;"&amp;ED107)+1)</f>
        <v>93</v>
      </c>
      <c r="Z107" s="0" t="n">
        <v>106</v>
      </c>
      <c r="AA107" s="6" t="s">
        <v>162</v>
      </c>
      <c r="AB107" s="6" t="s">
        <v>7173</v>
      </c>
      <c r="AC107" s="6" t="s">
        <v>4588</v>
      </c>
      <c r="AD107" s="6" t="s">
        <v>171</v>
      </c>
      <c r="AE107" s="6" t="s">
        <v>1190</v>
      </c>
      <c r="AF107" s="6" t="s">
        <v>7172</v>
      </c>
      <c r="AG107" s="6" t="s">
        <v>166</v>
      </c>
      <c r="AH107" s="6" t="s">
        <v>7174</v>
      </c>
      <c r="AI107" s="6" t="s">
        <v>4724</v>
      </c>
      <c r="AJ107" s="6" t="s">
        <v>192</v>
      </c>
      <c r="AK107" s="6" t="s">
        <v>7175</v>
      </c>
      <c r="AL107" s="6" t="s">
        <v>168</v>
      </c>
      <c r="AM107" s="6" t="s">
        <v>7176</v>
      </c>
      <c r="AN107" s="6" t="s">
        <v>7166</v>
      </c>
      <c r="AO107" s="5" t="s">
        <v>162</v>
      </c>
      <c r="AR107" s="0" t="str">
        <f aca="false">IF(AND(AU107="pass",AO107&lt;&gt;"Y",C107&lt;&gt;""),"Y","N")</f>
        <v>Y</v>
      </c>
      <c r="AS107" s="0" t="str">
        <f aca="false">_xlfn.TEXTJOIN("; ",TRUE(),IF(AU107&lt;&gt;"pass","gated out",""),IF(AO107="Y","on hold: "&amp;AP107,""),IF(C107="","no contact named on an opened page",""))</f>
        <v/>
      </c>
      <c r="AU107" s="6" t="s">
        <v>181</v>
      </c>
      <c r="AW107" s="6" t="s">
        <v>182</v>
      </c>
      <c r="AX107" s="6" t="s">
        <v>7177</v>
      </c>
      <c r="AY107" s="6" t="s">
        <v>7175</v>
      </c>
      <c r="AZ107" s="6" t="s">
        <v>4596</v>
      </c>
      <c r="BA107" s="6" t="s">
        <v>4597</v>
      </c>
      <c r="BB107" s="6" t="s">
        <v>7178</v>
      </c>
      <c r="BC107" s="6" t="s">
        <v>7179</v>
      </c>
      <c r="BD107" s="6" t="s">
        <v>264</v>
      </c>
      <c r="BE107" s="6" t="s">
        <v>7180</v>
      </c>
      <c r="BF107" s="6" t="s">
        <v>168</v>
      </c>
      <c r="BG107" s="6" t="s">
        <v>168</v>
      </c>
      <c r="BH107" s="6" t="s">
        <v>7181</v>
      </c>
      <c r="BI107" s="6" t="s">
        <v>6459</v>
      </c>
      <c r="BJ107" s="6" t="s">
        <v>7182</v>
      </c>
      <c r="BK107" s="6" t="s">
        <v>162</v>
      </c>
      <c r="BL107" s="6" t="s">
        <v>162</v>
      </c>
      <c r="BN107" s="0" t="n">
        <v>0</v>
      </c>
      <c r="BO107" s="6" t="s">
        <v>168</v>
      </c>
      <c r="BP107" s="0" t="n">
        <v>3</v>
      </c>
      <c r="BQ107" s="6" t="s">
        <v>4670</v>
      </c>
      <c r="BS107" s="6" t="s">
        <v>7183</v>
      </c>
      <c r="BT107" s="6" t="s">
        <v>7184</v>
      </c>
      <c r="BU107" s="6" t="s">
        <v>4605</v>
      </c>
      <c r="BV107" s="0" t="n">
        <v>17</v>
      </c>
      <c r="BX107" s="6" t="s">
        <v>7185</v>
      </c>
      <c r="CA107" s="6" t="s">
        <v>7186</v>
      </c>
      <c r="CE107" s="6" t="s">
        <v>6262</v>
      </c>
      <c r="CF107" s="6" t="s">
        <v>598</v>
      </c>
      <c r="CG107" s="6" t="s">
        <v>7107</v>
      </c>
      <c r="CK107" s="6" t="s">
        <v>158</v>
      </c>
      <c r="CL107" s="0" t="n">
        <v>43</v>
      </c>
      <c r="CM107" s="0" t="n">
        <v>25</v>
      </c>
      <c r="CN107" s="0" t="n">
        <v>20</v>
      </c>
      <c r="CO107" s="0" t="n">
        <v>15</v>
      </c>
      <c r="CP107" s="0" t="n">
        <v>0</v>
      </c>
      <c r="CQ107" s="0" t="n">
        <v>8</v>
      </c>
      <c r="CR107" s="0" t="n">
        <v>10</v>
      </c>
      <c r="CS107" s="6" t="n">
        <f aca="false">IF(R107="Y",10,0)</f>
        <v>0</v>
      </c>
      <c r="CT107" s="0" t="n">
        <v>-35</v>
      </c>
      <c r="CU107" s="6" t="s">
        <v>7187</v>
      </c>
      <c r="CV107" s="6" t="s">
        <v>4704</v>
      </c>
      <c r="CW107" s="6" t="s">
        <v>7188</v>
      </c>
      <c r="CX107" s="6" t="s">
        <v>7189</v>
      </c>
      <c r="CY107" s="6" t="s">
        <v>7190</v>
      </c>
      <c r="DA107" s="6" t="s">
        <v>6236</v>
      </c>
      <c r="DC107" s="6" t="s">
        <v>163</v>
      </c>
      <c r="DY107" s="0" t="str">
        <f aca="false">IF(ISNUMBER(MATCH(U107,{"queued","contacted","replied","call_booked","call_done","yes_in_principle","materials_sent"},0)),"Y","N")</f>
        <v>N</v>
      </c>
      <c r="DZ107" s="0" t="str">
        <f aca="false">IF(COUNTIFS($AN$2:$AN$1000,AN107,$DY$2:$DY$1000,"Y")+COUNTIFS($AN$2:$AN$1000,AN107,$T$2:$T$1000,"Y")&gt;0,"Y","N")</f>
        <v>N</v>
      </c>
      <c r="EA107" s="0" t="str">
        <f aca="false">IF(AND(U107="new",T107="N",AR107="Y",AQ107="",DZ107="N"),"Y","N")</f>
        <v>Y</v>
      </c>
      <c r="EB107" s="0" t="str">
        <f aca="false">IF(EA107&lt;&gt;"Y","N",IF(COUNTIFS($AN$2:$AN$1000,AN107,$EA$2:$EA$1000,"Y",$J$2:$J$1000,"&gt;"&amp;J107)+COUNTIFS($AN$2:$AN$1000,AN107,$EA$2:$EA$1000,"Y",$J$2:$J$1000,J107,$ED$2:$ED$1000,"&lt;"&amp;ED107)=0,"Y","N"))</f>
        <v>Y</v>
      </c>
      <c r="EC107" s="0" t="str">
        <f aca="false">IF(Y107="","N",IF(Y107&lt;=10,"Y","N"))</f>
        <v>N</v>
      </c>
      <c r="ED107" s="6" t="n">
        <f aca="false">ROW()-1</f>
        <v>106</v>
      </c>
    </row>
    <row r="108" customFormat="false" ht="15" hidden="false" customHeight="false" outlineLevel="0" collapsed="false">
      <c r="A108" s="0" t="s">
        <v>7191</v>
      </c>
      <c r="B108" s="0" t="s">
        <v>7192</v>
      </c>
      <c r="C108" s="0" t="s">
        <v>7193</v>
      </c>
      <c r="D108" s="0" t="s">
        <v>7194</v>
      </c>
      <c r="E108" s="0" t="s">
        <v>4773</v>
      </c>
      <c r="H108" s="5" t="s">
        <v>158</v>
      </c>
      <c r="I108" s="5" t="s">
        <v>159</v>
      </c>
      <c r="J108" s="6" t="n">
        <f aca="false">IF(AU108="pass",CM108+CN108+CO108+CP108+CQ108+CR108+CS108+CT108,0)</f>
        <v>43</v>
      </c>
      <c r="K108" s="6" t="s">
        <v>7195</v>
      </c>
      <c r="M108" s="6" t="s">
        <v>4581</v>
      </c>
      <c r="N108" s="6" t="s">
        <v>4582</v>
      </c>
      <c r="O108" s="6" t="s">
        <v>7196</v>
      </c>
      <c r="P108" s="6" t="s">
        <v>7197</v>
      </c>
      <c r="Q108" s="6" t="s">
        <v>6099</v>
      </c>
      <c r="R108" s="5" t="s">
        <v>162</v>
      </c>
      <c r="S108" s="6" t="s">
        <v>163</v>
      </c>
      <c r="T108" s="5" t="s">
        <v>162</v>
      </c>
      <c r="U108" s="5" t="s">
        <v>228</v>
      </c>
      <c r="V108" s="6" t="s">
        <v>7198</v>
      </c>
      <c r="W108" s="6" t="s">
        <v>166</v>
      </c>
      <c r="X108" s="6" t="s">
        <v>4586</v>
      </c>
      <c r="Y108" s="6" t="n">
        <f aca="false">IF(EB108&lt;&gt;"Y","",COUNTIFS($EB$2:$EB$1000,"Y",$J$2:$J$1000,"&gt;"&amp;J108)+COUNTIFS($EB$2:$EB$1000,"Y",$J$2:$J$1000,J108,$ED$2:$ED$1000,"&lt;"&amp;ED108)+1)</f>
        <v>94</v>
      </c>
      <c r="Z108" s="0" t="n">
        <v>107</v>
      </c>
      <c r="AA108" s="6" t="s">
        <v>162</v>
      </c>
      <c r="AB108" s="6" t="s">
        <v>7199</v>
      </c>
      <c r="AC108" s="6" t="s">
        <v>4588</v>
      </c>
      <c r="AD108" s="6" t="s">
        <v>171</v>
      </c>
      <c r="AE108" s="6" t="s">
        <v>172</v>
      </c>
      <c r="AF108" s="6" t="s">
        <v>7198</v>
      </c>
      <c r="AG108" s="6" t="s">
        <v>166</v>
      </c>
      <c r="AH108" s="6" t="s">
        <v>7200</v>
      </c>
      <c r="AI108" s="6" t="s">
        <v>5081</v>
      </c>
      <c r="AJ108" s="6" t="s">
        <v>7201</v>
      </c>
      <c r="AK108" s="6" t="s">
        <v>7202</v>
      </c>
      <c r="AL108" s="6" t="s">
        <v>168</v>
      </c>
      <c r="AM108" s="6" t="s">
        <v>7203</v>
      </c>
      <c r="AN108" s="6" t="s">
        <v>7191</v>
      </c>
      <c r="AO108" s="5" t="s">
        <v>162</v>
      </c>
      <c r="AR108" s="0" t="str">
        <f aca="false">IF(AND(AU108="pass",AO108&lt;&gt;"Y",C108&lt;&gt;""),"Y","N")</f>
        <v>Y</v>
      </c>
      <c r="AS108" s="0" t="str">
        <f aca="false">_xlfn.TEXTJOIN("; ",TRUE(),IF(AU108&lt;&gt;"pass","gated out",""),IF(AO108="Y","on hold: "&amp;AP108,""),IF(C108="","no contact named on an opened page",""))</f>
        <v/>
      </c>
      <c r="AU108" s="6" t="s">
        <v>181</v>
      </c>
      <c r="AW108" s="6" t="s">
        <v>182</v>
      </c>
      <c r="AX108" s="6" t="s">
        <v>5223</v>
      </c>
      <c r="AY108" s="6" t="s">
        <v>7202</v>
      </c>
      <c r="AZ108" s="6" t="s">
        <v>6388</v>
      </c>
      <c r="BA108" s="6" t="s">
        <v>5331</v>
      </c>
      <c r="BB108" s="6" t="s">
        <v>163</v>
      </c>
      <c r="BD108" s="6" t="s">
        <v>264</v>
      </c>
      <c r="BE108" s="6" t="s">
        <v>7204</v>
      </c>
      <c r="BF108" s="6" t="s">
        <v>168</v>
      </c>
      <c r="BG108" s="6" t="s">
        <v>168</v>
      </c>
      <c r="BH108" s="6" t="s">
        <v>163</v>
      </c>
      <c r="BJ108" s="6" t="s">
        <v>163</v>
      </c>
      <c r="BK108" s="6" t="s">
        <v>162</v>
      </c>
      <c r="BL108" s="6" t="s">
        <v>162</v>
      </c>
      <c r="BN108" s="0" t="n">
        <v>0</v>
      </c>
      <c r="BO108" s="6" t="s">
        <v>168</v>
      </c>
      <c r="BP108" s="0" t="n">
        <v>3</v>
      </c>
      <c r="BQ108" s="6" t="s">
        <v>4670</v>
      </c>
      <c r="BS108" s="6" t="s">
        <v>7205</v>
      </c>
      <c r="BT108" s="6" t="s">
        <v>7206</v>
      </c>
      <c r="BU108" s="6" t="s">
        <v>4695</v>
      </c>
      <c r="BV108" s="0" t="n">
        <v>11</v>
      </c>
      <c r="BX108" s="6" t="s">
        <v>7207</v>
      </c>
      <c r="CF108" s="6" t="s">
        <v>158</v>
      </c>
      <c r="CK108" s="6" t="s">
        <v>158</v>
      </c>
      <c r="CL108" s="0" t="n">
        <v>43</v>
      </c>
      <c r="CM108" s="0" t="n">
        <v>25</v>
      </c>
      <c r="CN108" s="0" t="n">
        <v>3</v>
      </c>
      <c r="CO108" s="0" t="n">
        <v>8</v>
      </c>
      <c r="CP108" s="0" t="n">
        <v>5</v>
      </c>
      <c r="CQ108" s="0" t="n">
        <v>8</v>
      </c>
      <c r="CR108" s="0" t="n">
        <v>6</v>
      </c>
      <c r="CS108" s="6" t="n">
        <f aca="false">IF(R108="Y",10,0)</f>
        <v>0</v>
      </c>
      <c r="CT108" s="0" t="n">
        <v>-12</v>
      </c>
      <c r="CU108" s="6" t="s">
        <v>7208</v>
      </c>
      <c r="CV108" s="6" t="s">
        <v>4704</v>
      </c>
      <c r="CW108" s="6" t="s">
        <v>7209</v>
      </c>
      <c r="CX108" s="6" t="s">
        <v>7210</v>
      </c>
      <c r="CY108" s="6" t="s">
        <v>7211</v>
      </c>
      <c r="DA108" s="6" t="s">
        <v>6236</v>
      </c>
      <c r="DY108" s="0" t="str">
        <f aca="false">IF(ISNUMBER(MATCH(U108,{"queued","contacted","replied","call_booked","call_done","yes_in_principle","materials_sent"},0)),"Y","N")</f>
        <v>N</v>
      </c>
      <c r="DZ108" s="0" t="str">
        <f aca="false">IF(COUNTIFS($AN$2:$AN$1000,AN108,$DY$2:$DY$1000,"Y")+COUNTIFS($AN$2:$AN$1000,AN108,$T$2:$T$1000,"Y")&gt;0,"Y","N")</f>
        <v>N</v>
      </c>
      <c r="EA108" s="0" t="str">
        <f aca="false">IF(AND(U108="new",T108="N",AR108="Y",AQ108="",DZ108="N"),"Y","N")</f>
        <v>Y</v>
      </c>
      <c r="EB108" s="0" t="str">
        <f aca="false">IF(EA108&lt;&gt;"Y","N",IF(COUNTIFS($AN$2:$AN$1000,AN108,$EA$2:$EA$1000,"Y",$J$2:$J$1000,"&gt;"&amp;J108)+COUNTIFS($AN$2:$AN$1000,AN108,$EA$2:$EA$1000,"Y",$J$2:$J$1000,J108,$ED$2:$ED$1000,"&lt;"&amp;ED108)=0,"Y","N"))</f>
        <v>Y</v>
      </c>
      <c r="EC108" s="0" t="str">
        <f aca="false">IF(Y108="","N",IF(Y108&lt;=10,"Y","N"))</f>
        <v>N</v>
      </c>
      <c r="ED108" s="6" t="n">
        <f aca="false">ROW()-1</f>
        <v>107</v>
      </c>
    </row>
    <row r="109" customFormat="false" ht="15" hidden="false" customHeight="false" outlineLevel="0" collapsed="false">
      <c r="A109" s="0" t="s">
        <v>7212</v>
      </c>
      <c r="B109" s="0" t="s">
        <v>7213</v>
      </c>
      <c r="H109" s="5" t="s">
        <v>158</v>
      </c>
      <c r="I109" s="5"/>
      <c r="J109" s="6" t="n">
        <f aca="false">IF(AU109="pass",CM109+CN109+CO109+CP109+CQ109+CR109+CS109+CT109,0)</f>
        <v>43</v>
      </c>
      <c r="K109" s="6" t="s">
        <v>7214</v>
      </c>
      <c r="M109" s="6" t="s">
        <v>4581</v>
      </c>
      <c r="N109" s="6" t="s">
        <v>4582</v>
      </c>
      <c r="O109" s="6" t="s">
        <v>7215</v>
      </c>
      <c r="P109" s="6" t="s">
        <v>7216</v>
      </c>
      <c r="Q109" s="6" t="s">
        <v>7217</v>
      </c>
      <c r="R109" s="5" t="s">
        <v>162</v>
      </c>
      <c r="S109" s="6" t="s">
        <v>163</v>
      </c>
      <c r="T109" s="5" t="s">
        <v>162</v>
      </c>
      <c r="U109" s="5" t="s">
        <v>228</v>
      </c>
      <c r="V109" s="6" t="s">
        <v>7218</v>
      </c>
      <c r="W109" s="6" t="s">
        <v>166</v>
      </c>
      <c r="X109" s="6" t="s">
        <v>4586</v>
      </c>
      <c r="Y109" s="0" t="str">
        <f aca="false">IF(EB109&lt;&gt;"Y","",COUNTIFS($EB$2:$EB$1000,"Y",$J$2:$J$1000,"&gt;"&amp;J109)+COUNTIFS($EB$2:$EB$1000,"Y",$J$2:$J$1000,J109,$ED$2:$ED$1000,"&lt;"&amp;ED109)+1)</f>
        <v/>
      </c>
      <c r="Z109" s="0" t="n">
        <v>108</v>
      </c>
      <c r="AA109" s="6" t="s">
        <v>162</v>
      </c>
      <c r="AB109" s="6" t="s">
        <v>7219</v>
      </c>
      <c r="AD109" s="6" t="s">
        <v>158</v>
      </c>
      <c r="AH109" s="6" t="s">
        <v>7220</v>
      </c>
      <c r="AI109" s="6" t="s">
        <v>4665</v>
      </c>
      <c r="AJ109" s="6" t="s">
        <v>7221</v>
      </c>
      <c r="AK109" s="6" t="s">
        <v>7222</v>
      </c>
      <c r="AL109" s="6" t="s">
        <v>168</v>
      </c>
      <c r="AM109" s="6" t="s">
        <v>7223</v>
      </c>
      <c r="AN109" s="6" t="s">
        <v>7212</v>
      </c>
      <c r="AO109" s="5" t="s">
        <v>162</v>
      </c>
      <c r="AR109" s="0" t="str">
        <f aca="false">IF(AND(AU109="pass",AO109&lt;&gt;"Y",C109&lt;&gt;""),"Y","N")</f>
        <v>N</v>
      </c>
      <c r="AS109" s="0" t="str">
        <f aca="false">_xlfn.TEXTJOIN("; ",TRUE(),IF(AU109&lt;&gt;"pass","gated out",""),IF(AO109="Y","on hold: "&amp;AP109,""),IF(C109="","no contact named on an opened page",""))</f>
        <v>no contact named on an opened page</v>
      </c>
      <c r="AU109" s="6" t="s">
        <v>181</v>
      </c>
      <c r="AW109" s="6" t="s">
        <v>182</v>
      </c>
      <c r="AX109" s="6" t="s">
        <v>4595</v>
      </c>
      <c r="AY109" s="6" t="s">
        <v>7222</v>
      </c>
      <c r="AZ109" s="6" t="s">
        <v>7224</v>
      </c>
      <c r="BA109" s="6" t="s">
        <v>5331</v>
      </c>
      <c r="BB109" s="6" t="s">
        <v>163</v>
      </c>
      <c r="BD109" s="6" t="s">
        <v>264</v>
      </c>
      <c r="BE109" s="6" t="s">
        <v>7225</v>
      </c>
      <c r="BF109" s="6" t="s">
        <v>163</v>
      </c>
      <c r="BG109" s="6" t="s">
        <v>168</v>
      </c>
      <c r="BH109" s="6" t="s">
        <v>163</v>
      </c>
      <c r="BJ109" s="6" t="s">
        <v>163</v>
      </c>
      <c r="BK109" s="6" t="s">
        <v>162</v>
      </c>
      <c r="BL109" s="6" t="s">
        <v>162</v>
      </c>
      <c r="BN109" s="0" t="n">
        <v>0</v>
      </c>
      <c r="BO109" s="6" t="s">
        <v>168</v>
      </c>
      <c r="BP109" s="0" t="n">
        <v>3</v>
      </c>
      <c r="BQ109" s="6" t="s">
        <v>4670</v>
      </c>
      <c r="BS109" s="6" t="s">
        <v>4693</v>
      </c>
      <c r="BT109" s="6" t="s">
        <v>7226</v>
      </c>
      <c r="BU109" s="6" t="s">
        <v>4695</v>
      </c>
      <c r="BV109" s="0" t="n">
        <v>23</v>
      </c>
      <c r="CF109" s="6" t="s">
        <v>158</v>
      </c>
      <c r="CK109" s="6" t="s">
        <v>158</v>
      </c>
      <c r="CL109" s="0" t="n">
        <v>43</v>
      </c>
      <c r="CM109" s="0" t="n">
        <v>25</v>
      </c>
      <c r="CN109" s="0" t="n">
        <v>3</v>
      </c>
      <c r="CO109" s="0" t="n">
        <v>8</v>
      </c>
      <c r="CP109" s="0" t="n">
        <v>5</v>
      </c>
      <c r="CQ109" s="0" t="n">
        <v>6</v>
      </c>
      <c r="CR109" s="0" t="n">
        <v>0</v>
      </c>
      <c r="CS109" s="6" t="n">
        <f aca="false">IF(R109="Y",10,0)</f>
        <v>0</v>
      </c>
      <c r="CT109" s="0" t="n">
        <v>-4</v>
      </c>
      <c r="CU109" s="6" t="s">
        <v>7227</v>
      </c>
      <c r="CV109" s="6" t="s">
        <v>4704</v>
      </c>
      <c r="CW109" s="6" t="s">
        <v>7228</v>
      </c>
      <c r="CX109" s="6" t="s">
        <v>7229</v>
      </c>
      <c r="DA109" s="6" t="s">
        <v>6236</v>
      </c>
      <c r="DY109" s="0" t="str">
        <f aca="false">IF(ISNUMBER(MATCH(U109,{"queued","contacted","replied","call_booked","call_done","yes_in_principle","materials_sent"},0)),"Y","N")</f>
        <v>N</v>
      </c>
      <c r="DZ109" s="0" t="str">
        <f aca="false">IF(COUNTIFS($AN$2:$AN$1000,AN109,$DY$2:$DY$1000,"Y")+COUNTIFS($AN$2:$AN$1000,AN109,$T$2:$T$1000,"Y")&gt;0,"Y","N")</f>
        <v>N</v>
      </c>
      <c r="EA109" s="0" t="str">
        <f aca="false">IF(AND(U109="new",T109="N",AR109="Y",AQ109="",DZ109="N"),"Y","N")</f>
        <v>N</v>
      </c>
      <c r="EB109" s="0" t="str">
        <f aca="false">IF(EA109&lt;&gt;"Y","N",IF(COUNTIFS($AN$2:$AN$1000,AN109,$EA$2:$EA$1000,"Y",$J$2:$J$1000,"&gt;"&amp;J109)+COUNTIFS($AN$2:$AN$1000,AN109,$EA$2:$EA$1000,"Y",$J$2:$J$1000,J109,$ED$2:$ED$1000,"&lt;"&amp;ED109)=0,"Y","N"))</f>
        <v>N</v>
      </c>
      <c r="EC109" s="0" t="str">
        <f aca="false">IF(Y109="","N",IF(Y109&lt;=10,"Y","N"))</f>
        <v>N</v>
      </c>
      <c r="ED109" s="6" t="n">
        <f aca="false">ROW()-1</f>
        <v>108</v>
      </c>
    </row>
    <row r="110" customFormat="false" ht="15" hidden="false" customHeight="false" outlineLevel="0" collapsed="false">
      <c r="A110" s="0" t="s">
        <v>7230</v>
      </c>
      <c r="B110" s="0" t="s">
        <v>7231</v>
      </c>
      <c r="C110" s="0" t="s">
        <v>5210</v>
      </c>
      <c r="D110" s="0" t="s">
        <v>7232</v>
      </c>
      <c r="E110" s="0" t="s">
        <v>4657</v>
      </c>
      <c r="H110" s="5" t="s">
        <v>158</v>
      </c>
      <c r="I110" s="5" t="s">
        <v>159</v>
      </c>
      <c r="J110" s="6" t="n">
        <f aca="false">IF(AU110="pass",CM110+CN110+CO110+CP110+CQ110+CR110+CS110+CT110,0)</f>
        <v>43</v>
      </c>
      <c r="K110" s="6" t="s">
        <v>7233</v>
      </c>
      <c r="M110" s="6" t="s">
        <v>5293</v>
      </c>
      <c r="N110" s="6" t="s">
        <v>598</v>
      </c>
      <c r="O110" s="6" t="s">
        <v>7234</v>
      </c>
      <c r="P110" s="6" t="s">
        <v>7235</v>
      </c>
      <c r="Q110" s="6" t="s">
        <v>3864</v>
      </c>
      <c r="R110" s="5" t="s">
        <v>162</v>
      </c>
      <c r="S110" s="6" t="s">
        <v>163</v>
      </c>
      <c r="T110" s="5" t="s">
        <v>162</v>
      </c>
      <c r="U110" s="5" t="s">
        <v>228</v>
      </c>
      <c r="V110" s="6" t="s">
        <v>7235</v>
      </c>
      <c r="W110" s="6" t="s">
        <v>166</v>
      </c>
      <c r="X110" s="6" t="s">
        <v>4586</v>
      </c>
      <c r="Y110" s="6" t="n">
        <f aca="false">IF(EB110&lt;&gt;"Y","",COUNTIFS($EB$2:$EB$1000,"Y",$J$2:$J$1000,"&gt;"&amp;J110)+COUNTIFS($EB$2:$EB$1000,"Y",$J$2:$J$1000,J110,$ED$2:$ED$1000,"&lt;"&amp;ED110)+1)</f>
        <v>95</v>
      </c>
      <c r="Z110" s="0" t="n">
        <v>109</v>
      </c>
      <c r="AA110" s="6" t="s">
        <v>162</v>
      </c>
      <c r="AB110" s="6" t="s">
        <v>7236</v>
      </c>
      <c r="AC110" s="6" t="s">
        <v>4588</v>
      </c>
      <c r="AD110" s="6" t="s">
        <v>171</v>
      </c>
      <c r="AE110" s="6" t="s">
        <v>1190</v>
      </c>
      <c r="AF110" s="6" t="s">
        <v>7235</v>
      </c>
      <c r="AG110" s="6" t="s">
        <v>166</v>
      </c>
      <c r="AH110" s="6" t="s">
        <v>7237</v>
      </c>
      <c r="AI110" s="6" t="s">
        <v>5463</v>
      </c>
      <c r="AJ110" s="6" t="s">
        <v>7238</v>
      </c>
      <c r="AK110" s="6" t="s">
        <v>7239</v>
      </c>
      <c r="AL110" s="6" t="s">
        <v>168</v>
      </c>
      <c r="AM110" s="6" t="s">
        <v>7240</v>
      </c>
      <c r="AN110" s="6" t="s">
        <v>7230</v>
      </c>
      <c r="AO110" s="5" t="s">
        <v>162</v>
      </c>
      <c r="AR110" s="0" t="str">
        <f aca="false">IF(AND(AU110="pass",AO110&lt;&gt;"Y",C110&lt;&gt;""),"Y","N")</f>
        <v>Y</v>
      </c>
      <c r="AS110" s="0" t="str">
        <f aca="false">_xlfn.TEXTJOIN("; ",TRUE(),IF(AU110&lt;&gt;"pass","gated out",""),IF(AO110="Y","on hold: "&amp;AP110,""),IF(C110="","no contact named on an opened page",""))</f>
        <v/>
      </c>
      <c r="AU110" s="6" t="s">
        <v>181</v>
      </c>
      <c r="AW110" s="6" t="s">
        <v>182</v>
      </c>
      <c r="AX110" s="6" t="s">
        <v>283</v>
      </c>
      <c r="AY110" s="6" t="s">
        <v>7239</v>
      </c>
      <c r="AZ110" s="6" t="s">
        <v>7241</v>
      </c>
      <c r="BA110" s="6" t="s">
        <v>5331</v>
      </c>
      <c r="BB110" s="6" t="s">
        <v>163</v>
      </c>
      <c r="BD110" s="6" t="s">
        <v>168</v>
      </c>
      <c r="BE110" s="6" t="s">
        <v>7242</v>
      </c>
      <c r="BF110" s="6" t="s">
        <v>168</v>
      </c>
      <c r="BG110" s="6" t="s">
        <v>168</v>
      </c>
      <c r="BH110" s="6" t="s">
        <v>163</v>
      </c>
      <c r="BJ110" s="6" t="s">
        <v>163</v>
      </c>
      <c r="BK110" s="6" t="s">
        <v>162</v>
      </c>
      <c r="BL110" s="6" t="s">
        <v>162</v>
      </c>
      <c r="BO110" s="6" t="s">
        <v>162</v>
      </c>
      <c r="BP110" s="0" t="n">
        <v>0</v>
      </c>
      <c r="BS110" s="6" t="s">
        <v>7243</v>
      </c>
      <c r="BT110" s="6" t="s">
        <v>7235</v>
      </c>
      <c r="BU110" s="6" t="s">
        <v>4605</v>
      </c>
      <c r="BV110" s="0" t="n">
        <v>4</v>
      </c>
      <c r="BX110" s="6" t="s">
        <v>7244</v>
      </c>
      <c r="CF110" s="6" t="s">
        <v>158</v>
      </c>
      <c r="CK110" s="6" t="s">
        <v>158</v>
      </c>
      <c r="CL110" s="0" t="n">
        <v>43</v>
      </c>
      <c r="CM110" s="0" t="n">
        <v>6</v>
      </c>
      <c r="CN110" s="0" t="n">
        <v>3</v>
      </c>
      <c r="CO110" s="0" t="n">
        <v>15</v>
      </c>
      <c r="CP110" s="0" t="n">
        <v>5</v>
      </c>
      <c r="CQ110" s="0" t="n">
        <v>10</v>
      </c>
      <c r="CR110" s="0" t="n">
        <v>6</v>
      </c>
      <c r="CS110" s="6" t="n">
        <f aca="false">IF(R110="Y",10,0)</f>
        <v>0</v>
      </c>
      <c r="CT110" s="0" t="n">
        <v>-2</v>
      </c>
      <c r="CU110" s="6" t="s">
        <v>163</v>
      </c>
      <c r="CV110" s="6" t="s">
        <v>4843</v>
      </c>
      <c r="CW110" s="6" t="s">
        <v>7245</v>
      </c>
      <c r="CX110" s="6" t="s">
        <v>7246</v>
      </c>
      <c r="CY110" s="6" t="s">
        <v>7247</v>
      </c>
      <c r="DA110" s="6" t="s">
        <v>6236</v>
      </c>
      <c r="DY110" s="0" t="str">
        <f aca="false">IF(ISNUMBER(MATCH(U110,{"queued","contacted","replied","call_booked","call_done","yes_in_principle","materials_sent"},0)),"Y","N")</f>
        <v>N</v>
      </c>
      <c r="DZ110" s="0" t="str">
        <f aca="false">IF(COUNTIFS($AN$2:$AN$1000,AN110,$DY$2:$DY$1000,"Y")+COUNTIFS($AN$2:$AN$1000,AN110,$T$2:$T$1000,"Y")&gt;0,"Y","N")</f>
        <v>N</v>
      </c>
      <c r="EA110" s="0" t="str">
        <f aca="false">IF(AND(U110="new",T110="N",AR110="Y",AQ110="",DZ110="N"),"Y","N")</f>
        <v>Y</v>
      </c>
      <c r="EB110" s="0" t="str">
        <f aca="false">IF(EA110&lt;&gt;"Y","N",IF(COUNTIFS($AN$2:$AN$1000,AN110,$EA$2:$EA$1000,"Y",$J$2:$J$1000,"&gt;"&amp;J110)+COUNTIFS($AN$2:$AN$1000,AN110,$EA$2:$EA$1000,"Y",$J$2:$J$1000,J110,$ED$2:$ED$1000,"&lt;"&amp;ED110)=0,"Y","N"))</f>
        <v>Y</v>
      </c>
      <c r="EC110" s="0" t="str">
        <f aca="false">IF(Y110="","N",IF(Y110&lt;=10,"Y","N"))</f>
        <v>N</v>
      </c>
      <c r="ED110" s="6" t="n">
        <f aca="false">ROW()-1</f>
        <v>109</v>
      </c>
    </row>
    <row r="111" customFormat="false" ht="15" hidden="false" customHeight="false" outlineLevel="0" collapsed="false">
      <c r="A111" s="0" t="s">
        <v>7248</v>
      </c>
      <c r="B111" s="0" t="s">
        <v>7249</v>
      </c>
      <c r="C111" s="0" t="s">
        <v>7250</v>
      </c>
      <c r="D111" s="0" t="s">
        <v>7251</v>
      </c>
      <c r="E111" s="0" t="s">
        <v>4773</v>
      </c>
      <c r="H111" s="5" t="s">
        <v>158</v>
      </c>
      <c r="I111" s="5" t="s">
        <v>159</v>
      </c>
      <c r="J111" s="6" t="n">
        <f aca="false">IF(AU111="pass",CM111+CN111+CO111+CP111+CQ111+CR111+CS111+CT111,0)</f>
        <v>43</v>
      </c>
      <c r="K111" s="6" t="s">
        <v>7252</v>
      </c>
      <c r="M111" s="6" t="s">
        <v>5293</v>
      </c>
      <c r="N111" s="6" t="s">
        <v>598</v>
      </c>
      <c r="O111" s="6" t="s">
        <v>7253</v>
      </c>
      <c r="P111" s="6" t="s">
        <v>5295</v>
      </c>
      <c r="Q111" s="6" t="s">
        <v>1776</v>
      </c>
      <c r="R111" s="5" t="s">
        <v>162</v>
      </c>
      <c r="S111" s="6" t="s">
        <v>168</v>
      </c>
      <c r="T111" s="5" t="s">
        <v>162</v>
      </c>
      <c r="U111" s="5" t="s">
        <v>228</v>
      </c>
      <c r="V111" s="6" t="s">
        <v>7254</v>
      </c>
      <c r="W111" s="6" t="s">
        <v>174</v>
      </c>
      <c r="X111" s="6" t="s">
        <v>4586</v>
      </c>
      <c r="Y111" s="6" t="n">
        <f aca="false">IF(EB111&lt;&gt;"Y","",COUNTIFS($EB$2:$EB$1000,"Y",$J$2:$J$1000,"&gt;"&amp;J111)+COUNTIFS($EB$2:$EB$1000,"Y",$J$2:$J$1000,J111,$ED$2:$ED$1000,"&lt;"&amp;ED111)+1)</f>
        <v>96</v>
      </c>
      <c r="Z111" s="0" t="n">
        <v>110</v>
      </c>
      <c r="AA111" s="6" t="s">
        <v>162</v>
      </c>
      <c r="AB111" s="6" t="s">
        <v>7255</v>
      </c>
      <c r="AC111" s="6" t="s">
        <v>4588</v>
      </c>
      <c r="AD111" s="6" t="s">
        <v>171</v>
      </c>
      <c r="AE111" s="6" t="s">
        <v>1190</v>
      </c>
      <c r="AF111" s="6" t="s">
        <v>6199</v>
      </c>
      <c r="AG111" s="6" t="s">
        <v>174</v>
      </c>
      <c r="AH111" s="6" t="s">
        <v>7256</v>
      </c>
      <c r="AI111" s="6" t="s">
        <v>4828</v>
      </c>
      <c r="AJ111" s="6" t="s">
        <v>7257</v>
      </c>
      <c r="AK111" s="6" t="s">
        <v>7258</v>
      </c>
      <c r="AL111" s="6" t="s">
        <v>168</v>
      </c>
      <c r="AM111" s="6" t="s">
        <v>7259</v>
      </c>
      <c r="AN111" s="6" t="s">
        <v>7248</v>
      </c>
      <c r="AO111" s="5" t="s">
        <v>162</v>
      </c>
      <c r="AR111" s="0" t="str">
        <f aca="false">IF(AND(AU111="pass",AO111&lt;&gt;"Y",C111&lt;&gt;""),"Y","N")</f>
        <v>Y</v>
      </c>
      <c r="AS111" s="0" t="str">
        <f aca="false">_xlfn.TEXTJOIN("; ",TRUE(),IF(AU111&lt;&gt;"pass","gated out",""),IF(AO111="Y","on hold: "&amp;AP111,""),IF(C111="","no contact named on an opened page",""))</f>
        <v/>
      </c>
      <c r="AU111" s="6" t="s">
        <v>181</v>
      </c>
      <c r="AW111" s="6" t="s">
        <v>182</v>
      </c>
      <c r="AX111" s="6" t="s">
        <v>283</v>
      </c>
      <c r="AY111" s="6" t="s">
        <v>7260</v>
      </c>
      <c r="AZ111" s="6" t="s">
        <v>5330</v>
      </c>
      <c r="BA111" s="6" t="s">
        <v>5331</v>
      </c>
      <c r="BB111" s="6" t="s">
        <v>163</v>
      </c>
      <c r="BD111" s="6" t="s">
        <v>168</v>
      </c>
      <c r="BE111" s="6" t="s">
        <v>7261</v>
      </c>
      <c r="BF111" s="6" t="s">
        <v>168</v>
      </c>
      <c r="BG111" s="6" t="s">
        <v>168</v>
      </c>
      <c r="BH111" s="6" t="s">
        <v>163</v>
      </c>
      <c r="BJ111" s="6" t="s">
        <v>7262</v>
      </c>
      <c r="BK111" s="6" t="s">
        <v>162</v>
      </c>
      <c r="BL111" s="6" t="s">
        <v>162</v>
      </c>
      <c r="BO111" s="6" t="s">
        <v>162</v>
      </c>
      <c r="BP111" s="0" t="n">
        <v>0</v>
      </c>
      <c r="BS111" s="6" t="s">
        <v>7263</v>
      </c>
      <c r="BU111" s="6" t="s">
        <v>4605</v>
      </c>
      <c r="BV111" s="0" t="n">
        <v>144</v>
      </c>
      <c r="BW111" s="6" t="s">
        <v>5136</v>
      </c>
      <c r="BX111" s="6" t="s">
        <v>7264</v>
      </c>
      <c r="CF111" s="6" t="s">
        <v>158</v>
      </c>
      <c r="CK111" s="6" t="s">
        <v>158</v>
      </c>
      <c r="CL111" s="0" t="n">
        <v>43</v>
      </c>
      <c r="CM111" s="0" t="n">
        <v>6</v>
      </c>
      <c r="CN111" s="0" t="n">
        <v>3</v>
      </c>
      <c r="CO111" s="0" t="n">
        <v>15</v>
      </c>
      <c r="CP111" s="0" t="n">
        <v>5</v>
      </c>
      <c r="CQ111" s="0" t="n">
        <v>10</v>
      </c>
      <c r="CR111" s="0" t="n">
        <v>6</v>
      </c>
      <c r="CS111" s="6" t="n">
        <f aca="false">IF(R111="Y",10,0)</f>
        <v>0</v>
      </c>
      <c r="CT111" s="0" t="n">
        <v>-2</v>
      </c>
      <c r="CU111" s="6" t="s">
        <v>7265</v>
      </c>
      <c r="CV111" s="6" t="s">
        <v>5152</v>
      </c>
      <c r="CW111" s="6" t="s">
        <v>7266</v>
      </c>
      <c r="CX111" s="6" t="s">
        <v>7267</v>
      </c>
      <c r="DA111" s="6" t="s">
        <v>6236</v>
      </c>
      <c r="DY111" s="0" t="str">
        <f aca="false">IF(ISNUMBER(MATCH(U111,{"queued","contacted","replied","call_booked","call_done","yes_in_principle","materials_sent"},0)),"Y","N")</f>
        <v>N</v>
      </c>
      <c r="DZ111" s="0" t="str">
        <f aca="false">IF(COUNTIFS($AN$2:$AN$1000,AN111,$DY$2:$DY$1000,"Y")+COUNTIFS($AN$2:$AN$1000,AN111,$T$2:$T$1000,"Y")&gt;0,"Y","N")</f>
        <v>N</v>
      </c>
      <c r="EA111" s="0" t="str">
        <f aca="false">IF(AND(U111="new",T111="N",AR111="Y",AQ111="",DZ111="N"),"Y","N")</f>
        <v>Y</v>
      </c>
      <c r="EB111" s="0" t="str">
        <f aca="false">IF(EA111&lt;&gt;"Y","N",IF(COUNTIFS($AN$2:$AN$1000,AN111,$EA$2:$EA$1000,"Y",$J$2:$J$1000,"&gt;"&amp;J111)+COUNTIFS($AN$2:$AN$1000,AN111,$EA$2:$EA$1000,"Y",$J$2:$J$1000,J111,$ED$2:$ED$1000,"&lt;"&amp;ED111)=0,"Y","N"))</f>
        <v>Y</v>
      </c>
      <c r="EC111" s="0" t="str">
        <f aca="false">IF(Y111="","N",IF(Y111&lt;=10,"Y","N"))</f>
        <v>N</v>
      </c>
      <c r="ED111" s="6" t="n">
        <f aca="false">ROW()-1</f>
        <v>110</v>
      </c>
    </row>
    <row r="112" customFormat="false" ht="15" hidden="false" customHeight="false" outlineLevel="0" collapsed="false">
      <c r="A112" s="0" t="s">
        <v>7268</v>
      </c>
      <c r="B112" s="0" t="s">
        <v>7269</v>
      </c>
      <c r="C112" s="0" t="s">
        <v>7270</v>
      </c>
      <c r="D112" s="0" t="s">
        <v>7271</v>
      </c>
      <c r="E112" s="0" t="s">
        <v>4912</v>
      </c>
      <c r="H112" s="5" t="s">
        <v>158</v>
      </c>
      <c r="I112" s="5" t="s">
        <v>159</v>
      </c>
      <c r="J112" s="6" t="n">
        <f aca="false">IF(AU112="pass",CM112+CN112+CO112+CP112+CQ112+CR112+CS112+CT112,0)</f>
        <v>43</v>
      </c>
      <c r="K112" s="6" t="s">
        <v>7272</v>
      </c>
      <c r="M112" s="6" t="s">
        <v>5293</v>
      </c>
      <c r="N112" s="6" t="s">
        <v>598</v>
      </c>
      <c r="O112" s="6" t="s">
        <v>7273</v>
      </c>
      <c r="P112" s="6" t="s">
        <v>5734</v>
      </c>
      <c r="Q112" s="6" t="s">
        <v>3103</v>
      </c>
      <c r="R112" s="5" t="s">
        <v>162</v>
      </c>
      <c r="S112" s="6" t="s">
        <v>168</v>
      </c>
      <c r="T112" s="5" t="s">
        <v>162</v>
      </c>
      <c r="U112" s="5" t="s">
        <v>228</v>
      </c>
      <c r="V112" s="6" t="s">
        <v>7274</v>
      </c>
      <c r="W112" s="6" t="s">
        <v>166</v>
      </c>
      <c r="X112" s="6" t="s">
        <v>4586</v>
      </c>
      <c r="Y112" s="6" t="n">
        <f aca="false">IF(EB112&lt;&gt;"Y","",COUNTIFS($EB$2:$EB$1000,"Y",$J$2:$J$1000,"&gt;"&amp;J112)+COUNTIFS($EB$2:$EB$1000,"Y",$J$2:$J$1000,J112,$ED$2:$ED$1000,"&lt;"&amp;ED112)+1)</f>
        <v>97</v>
      </c>
      <c r="Z112" s="0" t="n">
        <v>111</v>
      </c>
      <c r="AA112" s="6" t="s">
        <v>162</v>
      </c>
      <c r="AB112" s="6" t="s">
        <v>7275</v>
      </c>
      <c r="AC112" s="6" t="s">
        <v>4588</v>
      </c>
      <c r="AD112" s="6" t="s">
        <v>171</v>
      </c>
      <c r="AE112" s="6" t="s">
        <v>172</v>
      </c>
      <c r="AF112" s="6" t="s">
        <v>7274</v>
      </c>
      <c r="AG112" s="6" t="s">
        <v>166</v>
      </c>
      <c r="AH112" s="6" t="s">
        <v>7276</v>
      </c>
      <c r="AI112" s="6" t="s">
        <v>5738</v>
      </c>
      <c r="AJ112" s="6" t="s">
        <v>7277</v>
      </c>
      <c r="AK112" s="6" t="s">
        <v>7278</v>
      </c>
      <c r="AL112" s="6" t="s">
        <v>168</v>
      </c>
      <c r="AM112" s="6" t="s">
        <v>7279</v>
      </c>
      <c r="AN112" s="6" t="s">
        <v>7268</v>
      </c>
      <c r="AO112" s="5" t="s">
        <v>162</v>
      </c>
      <c r="AR112" s="0" t="str">
        <f aca="false">IF(AND(AU112="pass",AO112&lt;&gt;"Y",C112&lt;&gt;""),"Y","N")</f>
        <v>Y</v>
      </c>
      <c r="AS112" s="0" t="str">
        <f aca="false">_xlfn.TEXTJOIN("; ",TRUE(),IF(AU112&lt;&gt;"pass","gated out",""),IF(AO112="Y","on hold: "&amp;AP112,""),IF(C112="","no contact named on an opened page",""))</f>
        <v/>
      </c>
      <c r="AU112" s="6" t="s">
        <v>181</v>
      </c>
      <c r="AW112" s="6" t="s">
        <v>182</v>
      </c>
      <c r="AX112" s="6" t="s">
        <v>283</v>
      </c>
      <c r="AY112" s="6" t="s">
        <v>7278</v>
      </c>
      <c r="AZ112" s="6" t="s">
        <v>5659</v>
      </c>
      <c r="BA112" s="6" t="s">
        <v>5331</v>
      </c>
      <c r="BB112" s="6" t="s">
        <v>163</v>
      </c>
      <c r="BD112" s="6" t="s">
        <v>168</v>
      </c>
      <c r="BE112" s="6" t="s">
        <v>7280</v>
      </c>
      <c r="BF112" s="6" t="s">
        <v>168</v>
      </c>
      <c r="BG112" s="6" t="s">
        <v>168</v>
      </c>
      <c r="BH112" s="6" t="s">
        <v>163</v>
      </c>
      <c r="BJ112" s="6" t="s">
        <v>5551</v>
      </c>
      <c r="BK112" s="6" t="s">
        <v>162</v>
      </c>
      <c r="BL112" s="6" t="s">
        <v>162</v>
      </c>
      <c r="BO112" s="6" t="s">
        <v>162</v>
      </c>
      <c r="BP112" s="0" t="n">
        <v>0</v>
      </c>
      <c r="BS112" s="6" t="s">
        <v>7281</v>
      </c>
      <c r="BT112" s="6" t="s">
        <v>7282</v>
      </c>
      <c r="BU112" s="6" t="s">
        <v>4605</v>
      </c>
      <c r="BV112" s="0" t="n">
        <v>79</v>
      </c>
      <c r="BW112" s="6" t="s">
        <v>5734</v>
      </c>
      <c r="BX112" s="6" t="s">
        <v>7283</v>
      </c>
      <c r="CF112" s="6" t="s">
        <v>158</v>
      </c>
      <c r="CK112" s="6" t="s">
        <v>158</v>
      </c>
      <c r="CL112" s="0" t="n">
        <v>43</v>
      </c>
      <c r="CM112" s="0" t="n">
        <v>6</v>
      </c>
      <c r="CN112" s="0" t="n">
        <v>3</v>
      </c>
      <c r="CO112" s="0" t="n">
        <v>15</v>
      </c>
      <c r="CP112" s="0" t="n">
        <v>5</v>
      </c>
      <c r="CQ112" s="0" t="n">
        <v>10</v>
      </c>
      <c r="CR112" s="0" t="n">
        <v>6</v>
      </c>
      <c r="CS112" s="6" t="n">
        <f aca="false">IF(R112="Y",10,0)</f>
        <v>0</v>
      </c>
      <c r="CT112" s="0" t="n">
        <v>-2</v>
      </c>
      <c r="CU112" s="6" t="s">
        <v>163</v>
      </c>
      <c r="CV112" s="6" t="s">
        <v>5564</v>
      </c>
      <c r="CW112" s="6" t="s">
        <v>7284</v>
      </c>
      <c r="CX112" s="6" t="s">
        <v>7285</v>
      </c>
      <c r="DA112" s="6" t="s">
        <v>6236</v>
      </c>
      <c r="DY112" s="0" t="str">
        <f aca="false">IF(ISNUMBER(MATCH(U112,{"queued","contacted","replied","call_booked","call_done","yes_in_principle","materials_sent"},0)),"Y","N")</f>
        <v>N</v>
      </c>
      <c r="DZ112" s="0" t="str">
        <f aca="false">IF(COUNTIFS($AN$2:$AN$1000,AN112,$DY$2:$DY$1000,"Y")+COUNTIFS($AN$2:$AN$1000,AN112,$T$2:$T$1000,"Y")&gt;0,"Y","N")</f>
        <v>N</v>
      </c>
      <c r="EA112" s="0" t="str">
        <f aca="false">IF(AND(U112="new",T112="N",AR112="Y",AQ112="",DZ112="N"),"Y","N")</f>
        <v>Y</v>
      </c>
      <c r="EB112" s="0" t="str">
        <f aca="false">IF(EA112&lt;&gt;"Y","N",IF(COUNTIFS($AN$2:$AN$1000,AN112,$EA$2:$EA$1000,"Y",$J$2:$J$1000,"&gt;"&amp;J112)+COUNTIFS($AN$2:$AN$1000,AN112,$EA$2:$EA$1000,"Y",$J$2:$J$1000,J112,$ED$2:$ED$1000,"&lt;"&amp;ED112)=0,"Y","N"))</f>
        <v>Y</v>
      </c>
      <c r="EC112" s="0" t="str">
        <f aca="false">IF(Y112="","N",IF(Y112&lt;=10,"Y","N"))</f>
        <v>N</v>
      </c>
      <c r="ED112" s="6" t="n">
        <f aca="false">ROW()-1</f>
        <v>111</v>
      </c>
    </row>
    <row r="113" customFormat="false" ht="15" hidden="false" customHeight="false" outlineLevel="0" collapsed="false">
      <c r="A113" s="0" t="s">
        <v>7286</v>
      </c>
      <c r="B113" s="0" t="s">
        <v>7287</v>
      </c>
      <c r="C113" s="0" t="s">
        <v>7288</v>
      </c>
      <c r="D113" s="0" t="s">
        <v>7289</v>
      </c>
      <c r="E113" s="0" t="s">
        <v>4626</v>
      </c>
      <c r="H113" s="5" t="s">
        <v>158</v>
      </c>
      <c r="I113" s="5" t="s">
        <v>159</v>
      </c>
      <c r="J113" s="6" t="n">
        <f aca="false">IF(AU113="pass",CM113+CN113+CO113+CP113+CQ113+CR113+CS113+CT113,0)</f>
        <v>43</v>
      </c>
      <c r="K113" s="6" t="s">
        <v>7290</v>
      </c>
      <c r="M113" s="6" t="s">
        <v>5293</v>
      </c>
      <c r="N113" s="6" t="s">
        <v>598</v>
      </c>
      <c r="O113" s="6" t="s">
        <v>7291</v>
      </c>
      <c r="P113" s="6" t="s">
        <v>7292</v>
      </c>
      <c r="Q113" s="6" t="s">
        <v>3529</v>
      </c>
      <c r="R113" s="5" t="s">
        <v>162</v>
      </c>
      <c r="S113" s="6" t="s">
        <v>168</v>
      </c>
      <c r="T113" s="5" t="s">
        <v>162</v>
      </c>
      <c r="U113" s="5" t="s">
        <v>228</v>
      </c>
      <c r="V113" s="6" t="s">
        <v>7293</v>
      </c>
      <c r="W113" s="6" t="s">
        <v>166</v>
      </c>
      <c r="X113" s="6" t="s">
        <v>4586</v>
      </c>
      <c r="Y113" s="6" t="n">
        <f aca="false">IF(EB113&lt;&gt;"Y","",COUNTIFS($EB$2:$EB$1000,"Y",$J$2:$J$1000,"&gt;"&amp;J113)+COUNTIFS($EB$2:$EB$1000,"Y",$J$2:$J$1000,J113,$ED$2:$ED$1000,"&lt;"&amp;ED113)+1)</f>
        <v>98</v>
      </c>
      <c r="Z113" s="0" t="n">
        <v>112</v>
      </c>
      <c r="AA113" s="6" t="s">
        <v>162</v>
      </c>
      <c r="AB113" s="6" t="s">
        <v>7294</v>
      </c>
      <c r="AC113" s="6" t="s">
        <v>4588</v>
      </c>
      <c r="AD113" s="6" t="s">
        <v>171</v>
      </c>
      <c r="AE113" s="6" t="s">
        <v>172</v>
      </c>
      <c r="AF113" s="6" t="s">
        <v>7293</v>
      </c>
      <c r="AG113" s="6" t="s">
        <v>166</v>
      </c>
      <c r="AH113" s="6" t="s">
        <v>7295</v>
      </c>
      <c r="AI113" s="6" t="s">
        <v>4634</v>
      </c>
      <c r="AJ113" s="6" t="s">
        <v>7296</v>
      </c>
      <c r="AK113" s="6" t="s">
        <v>7297</v>
      </c>
      <c r="AL113" s="6" t="s">
        <v>162</v>
      </c>
      <c r="AN113" s="6" t="s">
        <v>7286</v>
      </c>
      <c r="AO113" s="5" t="s">
        <v>162</v>
      </c>
      <c r="AR113" s="0" t="str">
        <f aca="false">IF(AND(AU113="pass",AO113&lt;&gt;"Y",C113&lt;&gt;""),"Y","N")</f>
        <v>Y</v>
      </c>
      <c r="AS113" s="0" t="str">
        <f aca="false">_xlfn.TEXTJOIN("; ",TRUE(),IF(AU113&lt;&gt;"pass","gated out",""),IF(AO113="Y","on hold: "&amp;AP113,""),IF(C113="","no contact named on an opened page",""))</f>
        <v/>
      </c>
      <c r="AU113" s="6" t="s">
        <v>181</v>
      </c>
      <c r="AW113" s="6" t="s">
        <v>182</v>
      </c>
      <c r="AY113" s="6" t="s">
        <v>7297</v>
      </c>
      <c r="AZ113" s="6" t="s">
        <v>5875</v>
      </c>
      <c r="BA113" s="6" t="s">
        <v>5331</v>
      </c>
      <c r="BB113" s="6" t="s">
        <v>163</v>
      </c>
      <c r="BD113" s="6" t="s">
        <v>168</v>
      </c>
      <c r="BE113" s="6" t="s">
        <v>7298</v>
      </c>
      <c r="BF113" s="6" t="s">
        <v>163</v>
      </c>
      <c r="BG113" s="6" t="s">
        <v>168</v>
      </c>
      <c r="BH113" s="6" t="s">
        <v>163</v>
      </c>
      <c r="BJ113" s="6" t="s">
        <v>163</v>
      </c>
      <c r="BK113" s="6" t="s">
        <v>162</v>
      </c>
      <c r="BL113" s="6" t="s">
        <v>162</v>
      </c>
      <c r="BO113" s="6" t="s">
        <v>162</v>
      </c>
      <c r="BP113" s="0" t="n">
        <v>0</v>
      </c>
      <c r="BR113" s="6" t="s">
        <v>6764</v>
      </c>
      <c r="BS113" s="6" t="s">
        <v>6811</v>
      </c>
      <c r="BT113" s="6" t="s">
        <v>7299</v>
      </c>
      <c r="BU113" s="6" t="s">
        <v>4605</v>
      </c>
      <c r="BV113" s="0" t="n">
        <v>37</v>
      </c>
      <c r="BW113" s="6" t="s">
        <v>5734</v>
      </c>
      <c r="BX113" s="6" t="s">
        <v>7300</v>
      </c>
      <c r="CA113" s="6" t="s">
        <v>7301</v>
      </c>
      <c r="CB113" s="6" t="s">
        <v>7302</v>
      </c>
      <c r="CC113" s="6" t="s">
        <v>7303</v>
      </c>
      <c r="CD113" s="6" t="s">
        <v>4626</v>
      </c>
      <c r="CE113" s="6" t="s">
        <v>6725</v>
      </c>
      <c r="CF113" s="6" t="s">
        <v>171</v>
      </c>
      <c r="CK113" s="6" t="s">
        <v>158</v>
      </c>
      <c r="CL113" s="0" t="n">
        <v>43</v>
      </c>
      <c r="CM113" s="0" t="n">
        <v>6</v>
      </c>
      <c r="CN113" s="0" t="n">
        <v>3</v>
      </c>
      <c r="CO113" s="0" t="n">
        <v>15</v>
      </c>
      <c r="CP113" s="0" t="n">
        <v>5</v>
      </c>
      <c r="CQ113" s="0" t="n">
        <v>8</v>
      </c>
      <c r="CR113" s="0" t="n">
        <v>6</v>
      </c>
      <c r="CS113" s="6" t="n">
        <f aca="false">IF(R113="Y",10,0)</f>
        <v>0</v>
      </c>
      <c r="CT113" s="0" t="n">
        <v>0</v>
      </c>
      <c r="CU113" s="6" t="s">
        <v>7304</v>
      </c>
      <c r="CV113" s="6" t="s">
        <v>4843</v>
      </c>
      <c r="CW113" s="6" t="s">
        <v>7305</v>
      </c>
      <c r="CX113" s="6" t="s">
        <v>7306</v>
      </c>
      <c r="CY113" s="6" t="s">
        <v>7307</v>
      </c>
      <c r="CZ113" s="6" t="s">
        <v>7293</v>
      </c>
      <c r="DA113" s="6" t="s">
        <v>6236</v>
      </c>
      <c r="DC113" s="6" t="s">
        <v>172</v>
      </c>
      <c r="DY113" s="0" t="str">
        <f aca="false">IF(ISNUMBER(MATCH(U113,{"queued","contacted","replied","call_booked","call_done","yes_in_principle","materials_sent"},0)),"Y","N")</f>
        <v>N</v>
      </c>
      <c r="DZ113" s="0" t="str">
        <f aca="false">IF(COUNTIFS($AN$2:$AN$1000,AN113,$DY$2:$DY$1000,"Y")+COUNTIFS($AN$2:$AN$1000,AN113,$T$2:$T$1000,"Y")&gt;0,"Y","N")</f>
        <v>N</v>
      </c>
      <c r="EA113" s="0" t="str">
        <f aca="false">IF(AND(U113="new",T113="N",AR113="Y",AQ113="",DZ113="N"),"Y","N")</f>
        <v>Y</v>
      </c>
      <c r="EB113" s="0" t="str">
        <f aca="false">IF(EA113&lt;&gt;"Y","N",IF(COUNTIFS($AN$2:$AN$1000,AN113,$EA$2:$EA$1000,"Y",$J$2:$J$1000,"&gt;"&amp;J113)+COUNTIFS($AN$2:$AN$1000,AN113,$EA$2:$EA$1000,"Y",$J$2:$J$1000,J113,$ED$2:$ED$1000,"&lt;"&amp;ED113)=0,"Y","N"))</f>
        <v>Y</v>
      </c>
      <c r="EC113" s="0" t="str">
        <f aca="false">IF(Y113="","N",IF(Y113&lt;=10,"Y","N"))</f>
        <v>N</v>
      </c>
      <c r="ED113" s="6" t="n">
        <f aca="false">ROW()-1</f>
        <v>112</v>
      </c>
    </row>
    <row r="114" customFormat="false" ht="15" hidden="false" customHeight="false" outlineLevel="0" collapsed="false">
      <c r="A114" s="0" t="s">
        <v>7308</v>
      </c>
      <c r="B114" s="0" t="s">
        <v>7309</v>
      </c>
      <c r="C114" s="0" t="s">
        <v>7310</v>
      </c>
      <c r="D114" s="0" t="s">
        <v>7311</v>
      </c>
      <c r="E114" s="0" t="s">
        <v>5318</v>
      </c>
      <c r="H114" s="5" t="s">
        <v>158</v>
      </c>
      <c r="I114" s="5" t="s">
        <v>159</v>
      </c>
      <c r="J114" s="6" t="n">
        <f aca="false">IF(AU114="pass",CM114+CN114+CO114+CP114+CQ114+CR114+CS114+CT114,0)</f>
        <v>43</v>
      </c>
      <c r="K114" s="6" t="s">
        <v>7312</v>
      </c>
      <c r="M114" s="6" t="s">
        <v>5293</v>
      </c>
      <c r="N114" s="6" t="s">
        <v>598</v>
      </c>
      <c r="O114" s="6" t="s">
        <v>7313</v>
      </c>
      <c r="P114" s="6" t="s">
        <v>7314</v>
      </c>
      <c r="Q114" s="6" t="s">
        <v>3529</v>
      </c>
      <c r="R114" s="5" t="s">
        <v>162</v>
      </c>
      <c r="S114" s="6" t="s">
        <v>163</v>
      </c>
      <c r="T114" s="5" t="s">
        <v>162</v>
      </c>
      <c r="U114" s="5" t="s">
        <v>228</v>
      </c>
      <c r="V114" s="6" t="s">
        <v>7315</v>
      </c>
      <c r="W114" s="6" t="s">
        <v>166</v>
      </c>
      <c r="X114" s="6" t="s">
        <v>4586</v>
      </c>
      <c r="Y114" s="6" t="n">
        <f aca="false">IF(EB114&lt;&gt;"Y","",COUNTIFS($EB$2:$EB$1000,"Y",$J$2:$J$1000,"&gt;"&amp;J114)+COUNTIFS($EB$2:$EB$1000,"Y",$J$2:$J$1000,J114,$ED$2:$ED$1000,"&lt;"&amp;ED114)+1)</f>
        <v>99</v>
      </c>
      <c r="Z114" s="0" t="n">
        <v>113</v>
      </c>
      <c r="AA114" s="6" t="s">
        <v>162</v>
      </c>
      <c r="AB114" s="6" t="s">
        <v>7316</v>
      </c>
      <c r="AC114" s="6" t="s">
        <v>4588</v>
      </c>
      <c r="AD114" s="6" t="s">
        <v>171</v>
      </c>
      <c r="AE114" s="6" t="s">
        <v>172</v>
      </c>
      <c r="AF114" s="6" t="s">
        <v>7317</v>
      </c>
      <c r="AG114" s="6" t="s">
        <v>166</v>
      </c>
      <c r="AH114" s="6" t="s">
        <v>7318</v>
      </c>
      <c r="AI114" s="6" t="s">
        <v>4828</v>
      </c>
      <c r="AJ114" s="6" t="s">
        <v>7319</v>
      </c>
      <c r="AK114" s="6" t="s">
        <v>7320</v>
      </c>
      <c r="AL114" s="6" t="s">
        <v>162</v>
      </c>
      <c r="AN114" s="6" t="s">
        <v>7308</v>
      </c>
      <c r="AO114" s="5" t="s">
        <v>162</v>
      </c>
      <c r="AR114" s="0" t="str">
        <f aca="false">IF(AND(AU114="pass",AO114&lt;&gt;"Y",C114&lt;&gt;""),"Y","N")</f>
        <v>Y</v>
      </c>
      <c r="AS114" s="0" t="str">
        <f aca="false">_xlfn.TEXTJOIN("; ",TRUE(),IF(AU114&lt;&gt;"pass","gated out",""),IF(AO114="Y","on hold: "&amp;AP114,""),IF(C114="","no contact named on an opened page",""))</f>
        <v/>
      </c>
      <c r="AU114" s="6" t="s">
        <v>181</v>
      </c>
      <c r="AW114" s="6" t="s">
        <v>182</v>
      </c>
      <c r="AY114" s="6" t="s">
        <v>7321</v>
      </c>
      <c r="AZ114" s="6" t="s">
        <v>7322</v>
      </c>
      <c r="BA114" s="6" t="s">
        <v>4925</v>
      </c>
      <c r="BB114" s="6" t="s">
        <v>163</v>
      </c>
      <c r="BD114" s="6" t="s">
        <v>168</v>
      </c>
      <c r="BE114" s="6" t="s">
        <v>7323</v>
      </c>
      <c r="BF114" s="6" t="s">
        <v>168</v>
      </c>
      <c r="BG114" s="6" t="s">
        <v>168</v>
      </c>
      <c r="BH114" s="6" t="s">
        <v>163</v>
      </c>
      <c r="BJ114" s="6" t="s">
        <v>163</v>
      </c>
      <c r="BK114" s="6" t="s">
        <v>162</v>
      </c>
      <c r="BL114" s="6" t="s">
        <v>162</v>
      </c>
      <c r="BO114" s="6" t="s">
        <v>162</v>
      </c>
      <c r="BP114" s="0" t="n">
        <v>0</v>
      </c>
      <c r="BR114" s="6" t="s">
        <v>6764</v>
      </c>
      <c r="BS114" s="6" t="s">
        <v>7324</v>
      </c>
      <c r="BT114" s="6" t="s">
        <v>7325</v>
      </c>
      <c r="BU114" s="6" t="s">
        <v>4695</v>
      </c>
      <c r="BV114" s="0" t="n">
        <v>37</v>
      </c>
      <c r="BX114" s="6" t="s">
        <v>7326</v>
      </c>
      <c r="CF114" s="6" t="s">
        <v>158</v>
      </c>
      <c r="CK114" s="6" t="s">
        <v>158</v>
      </c>
      <c r="CL114" s="0" t="n">
        <v>43</v>
      </c>
      <c r="CM114" s="0" t="n">
        <v>6</v>
      </c>
      <c r="CN114" s="0" t="n">
        <v>8</v>
      </c>
      <c r="CO114" s="0" t="n">
        <v>8</v>
      </c>
      <c r="CP114" s="0" t="n">
        <v>5</v>
      </c>
      <c r="CQ114" s="0" t="n">
        <v>10</v>
      </c>
      <c r="CR114" s="0" t="n">
        <v>6</v>
      </c>
      <c r="CS114" s="6" t="n">
        <f aca="false">IF(R114="Y",10,0)</f>
        <v>0</v>
      </c>
      <c r="CT114" s="0" t="n">
        <v>0</v>
      </c>
      <c r="CU114" s="6" t="s">
        <v>7327</v>
      </c>
      <c r="CV114" s="6" t="s">
        <v>4843</v>
      </c>
      <c r="CW114" s="6" t="s">
        <v>7328</v>
      </c>
      <c r="CX114" s="6" t="s">
        <v>7329</v>
      </c>
      <c r="CY114" s="6" t="s">
        <v>7330</v>
      </c>
      <c r="DA114" s="6" t="s">
        <v>6236</v>
      </c>
      <c r="DY114" s="0" t="str">
        <f aca="false">IF(ISNUMBER(MATCH(U114,{"queued","contacted","replied","call_booked","call_done","yes_in_principle","materials_sent"},0)),"Y","N")</f>
        <v>N</v>
      </c>
      <c r="DZ114" s="0" t="str">
        <f aca="false">IF(COUNTIFS($AN$2:$AN$1000,AN114,$DY$2:$DY$1000,"Y")+COUNTIFS($AN$2:$AN$1000,AN114,$T$2:$T$1000,"Y")&gt;0,"Y","N")</f>
        <v>N</v>
      </c>
      <c r="EA114" s="0" t="str">
        <f aca="false">IF(AND(U114="new",T114="N",AR114="Y",AQ114="",DZ114="N"),"Y","N")</f>
        <v>Y</v>
      </c>
      <c r="EB114" s="0" t="str">
        <f aca="false">IF(EA114&lt;&gt;"Y","N",IF(COUNTIFS($AN$2:$AN$1000,AN114,$EA$2:$EA$1000,"Y",$J$2:$J$1000,"&gt;"&amp;J114)+COUNTIFS($AN$2:$AN$1000,AN114,$EA$2:$EA$1000,"Y",$J$2:$J$1000,J114,$ED$2:$ED$1000,"&lt;"&amp;ED114)=0,"Y","N"))</f>
        <v>Y</v>
      </c>
      <c r="EC114" s="0" t="str">
        <f aca="false">IF(Y114="","N",IF(Y114&lt;=10,"Y","N"))</f>
        <v>N</v>
      </c>
      <c r="ED114" s="6" t="n">
        <f aca="false">ROW()-1</f>
        <v>113</v>
      </c>
    </row>
    <row r="115" customFormat="false" ht="15" hidden="false" customHeight="false" outlineLevel="0" collapsed="false">
      <c r="A115" s="0" t="s">
        <v>7331</v>
      </c>
      <c r="B115" s="0" t="s">
        <v>7332</v>
      </c>
      <c r="C115" s="0" t="s">
        <v>7333</v>
      </c>
      <c r="D115" s="0" t="s">
        <v>7334</v>
      </c>
      <c r="E115" s="0" t="s">
        <v>4773</v>
      </c>
      <c r="H115" s="5" t="s">
        <v>158</v>
      </c>
      <c r="I115" s="5" t="s">
        <v>159</v>
      </c>
      <c r="J115" s="6" t="n">
        <f aca="false">IF(AU115="pass",CM115+CN115+CO115+CP115+CQ115+CR115+CS115+CT115,0)</f>
        <v>43</v>
      </c>
      <c r="K115" s="6" t="s">
        <v>7335</v>
      </c>
      <c r="M115" s="6" t="s">
        <v>5293</v>
      </c>
      <c r="N115" s="6" t="s">
        <v>598</v>
      </c>
      <c r="O115" s="6" t="s">
        <v>7336</v>
      </c>
      <c r="P115" s="6" t="s">
        <v>7337</v>
      </c>
      <c r="Q115" s="6" t="s">
        <v>4160</v>
      </c>
      <c r="R115" s="5" t="s">
        <v>162</v>
      </c>
      <c r="S115" s="6" t="s">
        <v>163</v>
      </c>
      <c r="T115" s="5" t="s">
        <v>162</v>
      </c>
      <c r="U115" s="5" t="s">
        <v>228</v>
      </c>
      <c r="V115" s="6" t="s">
        <v>7338</v>
      </c>
      <c r="W115" s="6" t="s">
        <v>166</v>
      </c>
      <c r="X115" s="6" t="s">
        <v>4586</v>
      </c>
      <c r="Y115" s="6" t="n">
        <f aca="false">IF(EB115&lt;&gt;"Y","",COUNTIFS($EB$2:$EB$1000,"Y",$J$2:$J$1000,"&gt;"&amp;J115)+COUNTIFS($EB$2:$EB$1000,"Y",$J$2:$J$1000,J115,$ED$2:$ED$1000,"&lt;"&amp;ED115)+1)</f>
        <v>100</v>
      </c>
      <c r="Z115" s="0" t="n">
        <v>114</v>
      </c>
      <c r="AA115" s="6" t="s">
        <v>162</v>
      </c>
      <c r="AB115" s="6" t="s">
        <v>7339</v>
      </c>
      <c r="AC115" s="6" t="s">
        <v>4588</v>
      </c>
      <c r="AD115" s="6" t="s">
        <v>171</v>
      </c>
      <c r="AE115" s="6" t="s">
        <v>172</v>
      </c>
      <c r="AF115" s="6" t="s">
        <v>7338</v>
      </c>
      <c r="AG115" s="6" t="s">
        <v>166</v>
      </c>
      <c r="AH115" s="6" t="s">
        <v>7340</v>
      </c>
      <c r="AI115" s="6" t="s">
        <v>4665</v>
      </c>
      <c r="AJ115" s="6" t="s">
        <v>7341</v>
      </c>
      <c r="AK115" s="6" t="s">
        <v>7342</v>
      </c>
      <c r="AL115" s="6" t="s">
        <v>168</v>
      </c>
      <c r="AM115" s="6" t="s">
        <v>7343</v>
      </c>
      <c r="AN115" s="6" t="s">
        <v>7331</v>
      </c>
      <c r="AO115" s="5" t="s">
        <v>162</v>
      </c>
      <c r="AR115" s="0" t="str">
        <f aca="false">IF(AND(AU115="pass",AO115&lt;&gt;"Y",C115&lt;&gt;""),"Y","N")</f>
        <v>Y</v>
      </c>
      <c r="AS115" s="0" t="str">
        <f aca="false">_xlfn.TEXTJOIN("; ",TRUE(),IF(AU115&lt;&gt;"pass","gated out",""),IF(AO115="Y","on hold: "&amp;AP115,""),IF(C115="","no contact named on an opened page",""))</f>
        <v/>
      </c>
      <c r="AU115" s="6" t="s">
        <v>181</v>
      </c>
      <c r="AW115" s="6" t="s">
        <v>182</v>
      </c>
      <c r="AX115" s="6" t="s">
        <v>6033</v>
      </c>
      <c r="AY115" s="6" t="s">
        <v>7342</v>
      </c>
      <c r="AZ115" s="6" t="s">
        <v>4596</v>
      </c>
      <c r="BA115" s="6" t="s">
        <v>4597</v>
      </c>
      <c r="BB115" s="6" t="s">
        <v>163</v>
      </c>
      <c r="BD115" s="6" t="s">
        <v>264</v>
      </c>
      <c r="BE115" s="6" t="s">
        <v>7344</v>
      </c>
      <c r="BF115" s="6" t="s">
        <v>168</v>
      </c>
      <c r="BG115" s="6" t="s">
        <v>168</v>
      </c>
      <c r="BH115" s="6" t="s">
        <v>163</v>
      </c>
      <c r="BJ115" s="6" t="s">
        <v>163</v>
      </c>
      <c r="BK115" s="6" t="s">
        <v>162</v>
      </c>
      <c r="BL115" s="6" t="s">
        <v>162</v>
      </c>
      <c r="BO115" s="6" t="s">
        <v>162</v>
      </c>
      <c r="BP115" s="0" t="n">
        <v>0</v>
      </c>
      <c r="BS115" s="6" t="s">
        <v>7345</v>
      </c>
      <c r="BT115" s="6" t="s">
        <v>7346</v>
      </c>
      <c r="BU115" s="6" t="s">
        <v>4695</v>
      </c>
      <c r="BV115" s="0" t="n">
        <v>2</v>
      </c>
      <c r="BX115" s="6" t="s">
        <v>7347</v>
      </c>
      <c r="CF115" s="6" t="s">
        <v>158</v>
      </c>
      <c r="CK115" s="6" t="s">
        <v>158</v>
      </c>
      <c r="CL115" s="0" t="n">
        <v>43</v>
      </c>
      <c r="CM115" s="0" t="n">
        <v>6</v>
      </c>
      <c r="CN115" s="0" t="n">
        <v>20</v>
      </c>
      <c r="CO115" s="0" t="n">
        <v>8</v>
      </c>
      <c r="CP115" s="0" t="n">
        <v>5</v>
      </c>
      <c r="CQ115" s="0" t="n">
        <v>8</v>
      </c>
      <c r="CR115" s="0" t="n">
        <v>6</v>
      </c>
      <c r="CS115" s="6" t="n">
        <f aca="false">IF(R115="Y",10,0)</f>
        <v>0</v>
      </c>
      <c r="CT115" s="0" t="n">
        <v>-10</v>
      </c>
      <c r="CU115" s="6" t="s">
        <v>7348</v>
      </c>
      <c r="CV115" s="6" t="s">
        <v>4704</v>
      </c>
      <c r="CW115" s="6" t="s">
        <v>7349</v>
      </c>
      <c r="CX115" s="6" t="s">
        <v>7350</v>
      </c>
      <c r="CY115" s="6" t="s">
        <v>7351</v>
      </c>
      <c r="DA115" s="6" t="s">
        <v>6236</v>
      </c>
      <c r="DY115" s="0" t="str">
        <f aca="false">IF(ISNUMBER(MATCH(U115,{"queued","contacted","replied","call_booked","call_done","yes_in_principle","materials_sent"},0)),"Y","N")</f>
        <v>N</v>
      </c>
      <c r="DZ115" s="0" t="str">
        <f aca="false">IF(COUNTIFS($AN$2:$AN$1000,AN115,$DY$2:$DY$1000,"Y")+COUNTIFS($AN$2:$AN$1000,AN115,$T$2:$T$1000,"Y")&gt;0,"Y","N")</f>
        <v>N</v>
      </c>
      <c r="EA115" s="0" t="str">
        <f aca="false">IF(AND(U115="new",T115="N",AR115="Y",AQ115="",DZ115="N"),"Y","N")</f>
        <v>Y</v>
      </c>
      <c r="EB115" s="0" t="str">
        <f aca="false">IF(EA115&lt;&gt;"Y","N",IF(COUNTIFS($AN$2:$AN$1000,AN115,$EA$2:$EA$1000,"Y",$J$2:$J$1000,"&gt;"&amp;J115)+COUNTIFS($AN$2:$AN$1000,AN115,$EA$2:$EA$1000,"Y",$J$2:$J$1000,J115,$ED$2:$ED$1000,"&lt;"&amp;ED115)=0,"Y","N"))</f>
        <v>Y</v>
      </c>
      <c r="EC115" s="0" t="str">
        <f aca="false">IF(Y115="","N",IF(Y115&lt;=10,"Y","N"))</f>
        <v>N</v>
      </c>
      <c r="ED115" s="6" t="n">
        <f aca="false">ROW()-1</f>
        <v>114</v>
      </c>
    </row>
    <row r="116" customFormat="false" ht="15" hidden="false" customHeight="false" outlineLevel="0" collapsed="false">
      <c r="A116" s="0" t="s">
        <v>7352</v>
      </c>
      <c r="B116" s="0" t="s">
        <v>7353</v>
      </c>
      <c r="C116" s="0" t="s">
        <v>7354</v>
      </c>
      <c r="D116" s="0" t="s">
        <v>7355</v>
      </c>
      <c r="E116" s="0" t="s">
        <v>7356</v>
      </c>
      <c r="H116" s="5" t="s">
        <v>158</v>
      </c>
      <c r="I116" s="5" t="s">
        <v>159</v>
      </c>
      <c r="J116" s="6" t="n">
        <f aca="false">IF(AU116="pass",CM116+CN116+CO116+CP116+CQ116+CR116+CS116+CT116,0)</f>
        <v>43</v>
      </c>
      <c r="K116" s="6" t="s">
        <v>7357</v>
      </c>
      <c r="M116" s="6" t="s">
        <v>5293</v>
      </c>
      <c r="N116" s="6" t="s">
        <v>598</v>
      </c>
      <c r="O116" s="6" t="s">
        <v>7358</v>
      </c>
      <c r="P116" s="6" t="s">
        <v>7359</v>
      </c>
      <c r="Q116" s="6" t="s">
        <v>4120</v>
      </c>
      <c r="R116" s="5" t="s">
        <v>162</v>
      </c>
      <c r="S116" s="6" t="s">
        <v>168</v>
      </c>
      <c r="T116" s="5" t="s">
        <v>162</v>
      </c>
      <c r="U116" s="5" t="s">
        <v>228</v>
      </c>
      <c r="V116" s="6" t="s">
        <v>7360</v>
      </c>
      <c r="W116" s="6" t="s">
        <v>166</v>
      </c>
      <c r="X116" s="6" t="s">
        <v>4586</v>
      </c>
      <c r="Y116" s="6" t="n">
        <f aca="false">IF(EB116&lt;&gt;"Y","",COUNTIFS($EB$2:$EB$1000,"Y",$J$2:$J$1000,"&gt;"&amp;J116)+COUNTIFS($EB$2:$EB$1000,"Y",$J$2:$J$1000,J116,$ED$2:$ED$1000,"&lt;"&amp;ED116)+1)</f>
        <v>101</v>
      </c>
      <c r="Z116" s="0" t="n">
        <v>115</v>
      </c>
      <c r="AA116" s="6" t="s">
        <v>162</v>
      </c>
      <c r="AB116" s="6" t="s">
        <v>7361</v>
      </c>
      <c r="AC116" s="6" t="s">
        <v>4588</v>
      </c>
      <c r="AD116" s="6" t="s">
        <v>171</v>
      </c>
      <c r="AE116" s="6" t="s">
        <v>1190</v>
      </c>
      <c r="AF116" s="6" t="s">
        <v>7362</v>
      </c>
      <c r="AG116" s="6" t="s">
        <v>166</v>
      </c>
      <c r="AH116" s="6" t="s">
        <v>7363</v>
      </c>
      <c r="AI116" s="6" t="s">
        <v>5463</v>
      </c>
      <c r="AJ116" s="6" t="s">
        <v>7364</v>
      </c>
      <c r="AK116" s="6" t="s">
        <v>7365</v>
      </c>
      <c r="AL116" s="6" t="s">
        <v>162</v>
      </c>
      <c r="AN116" s="6" t="s">
        <v>7352</v>
      </c>
      <c r="AO116" s="5" t="s">
        <v>162</v>
      </c>
      <c r="AR116" s="0" t="str">
        <f aca="false">IF(AND(AU116="pass",AO116&lt;&gt;"Y",C116&lt;&gt;""),"Y","N")</f>
        <v>Y</v>
      </c>
      <c r="AS116" s="0" t="str">
        <f aca="false">_xlfn.TEXTJOIN("; ",TRUE(),IF(AU116&lt;&gt;"pass","gated out",""),IF(AO116="Y","on hold: "&amp;AP116,""),IF(C116="","no contact named on an opened page",""))</f>
        <v/>
      </c>
      <c r="AU116" s="6" t="s">
        <v>181</v>
      </c>
      <c r="AW116" s="6" t="s">
        <v>182</v>
      </c>
      <c r="AY116" s="6" t="s">
        <v>7365</v>
      </c>
      <c r="AZ116" s="6" t="s">
        <v>6691</v>
      </c>
      <c r="BA116" s="6" t="s">
        <v>5193</v>
      </c>
      <c r="BB116" s="6" t="s">
        <v>163</v>
      </c>
      <c r="BD116" s="6" t="s">
        <v>168</v>
      </c>
      <c r="BE116" s="6" t="s">
        <v>7366</v>
      </c>
      <c r="BF116" s="6" t="s">
        <v>168</v>
      </c>
      <c r="BG116" s="6" t="s">
        <v>168</v>
      </c>
      <c r="BH116" s="6" t="s">
        <v>163</v>
      </c>
      <c r="BJ116" s="6" t="s">
        <v>163</v>
      </c>
      <c r="BK116" s="6" t="s">
        <v>162</v>
      </c>
      <c r="BL116" s="6" t="s">
        <v>162</v>
      </c>
      <c r="BO116" s="6" t="s">
        <v>162</v>
      </c>
      <c r="BP116" s="0" t="n">
        <v>0</v>
      </c>
      <c r="BS116" s="6" t="s">
        <v>7367</v>
      </c>
      <c r="BT116" s="6" t="s">
        <v>7368</v>
      </c>
      <c r="BU116" s="6" t="s">
        <v>4695</v>
      </c>
      <c r="BV116" s="0" t="n">
        <v>80</v>
      </c>
      <c r="BW116" s="6" t="s">
        <v>7362</v>
      </c>
      <c r="BX116" s="6" t="s">
        <v>7369</v>
      </c>
      <c r="CF116" s="6" t="s">
        <v>158</v>
      </c>
      <c r="CK116" s="6" t="s">
        <v>158</v>
      </c>
      <c r="CL116" s="0" t="n">
        <v>43</v>
      </c>
      <c r="CM116" s="0" t="n">
        <v>6</v>
      </c>
      <c r="CN116" s="0" t="n">
        <v>8</v>
      </c>
      <c r="CO116" s="0" t="n">
        <v>8</v>
      </c>
      <c r="CP116" s="0" t="n">
        <v>5</v>
      </c>
      <c r="CQ116" s="0" t="n">
        <v>10</v>
      </c>
      <c r="CR116" s="0" t="n">
        <v>6</v>
      </c>
      <c r="CS116" s="6" t="n">
        <f aca="false">IF(R116="Y",10,0)</f>
        <v>0</v>
      </c>
      <c r="CT116" s="0" t="n">
        <v>0</v>
      </c>
      <c r="CU116" s="6" t="s">
        <v>163</v>
      </c>
      <c r="CV116" s="6" t="s">
        <v>4843</v>
      </c>
      <c r="CW116" s="6" t="s">
        <v>7370</v>
      </c>
      <c r="CX116" s="6" t="s">
        <v>7371</v>
      </c>
      <c r="CY116" s="6" t="s">
        <v>7372</v>
      </c>
      <c r="DA116" s="6" t="s">
        <v>6236</v>
      </c>
      <c r="DY116" s="0" t="str">
        <f aca="false">IF(ISNUMBER(MATCH(U116,{"queued","contacted","replied","call_booked","call_done","yes_in_principle","materials_sent"},0)),"Y","N")</f>
        <v>N</v>
      </c>
      <c r="DZ116" s="0" t="str">
        <f aca="false">IF(COUNTIFS($AN$2:$AN$1000,AN116,$DY$2:$DY$1000,"Y")+COUNTIFS($AN$2:$AN$1000,AN116,$T$2:$T$1000,"Y")&gt;0,"Y","N")</f>
        <v>N</v>
      </c>
      <c r="EA116" s="0" t="str">
        <f aca="false">IF(AND(U116="new",T116="N",AR116="Y",AQ116="",DZ116="N"),"Y","N")</f>
        <v>Y</v>
      </c>
      <c r="EB116" s="0" t="str">
        <f aca="false">IF(EA116&lt;&gt;"Y","N",IF(COUNTIFS($AN$2:$AN$1000,AN116,$EA$2:$EA$1000,"Y",$J$2:$J$1000,"&gt;"&amp;J116)+COUNTIFS($AN$2:$AN$1000,AN116,$EA$2:$EA$1000,"Y",$J$2:$J$1000,J116,$ED$2:$ED$1000,"&lt;"&amp;ED116)=0,"Y","N"))</f>
        <v>Y</v>
      </c>
      <c r="EC116" s="0" t="str">
        <f aca="false">IF(Y116="","N",IF(Y116&lt;=10,"Y","N"))</f>
        <v>N</v>
      </c>
      <c r="ED116" s="6" t="n">
        <f aca="false">ROW()-1</f>
        <v>115</v>
      </c>
    </row>
    <row r="117" customFormat="false" ht="15" hidden="false" customHeight="false" outlineLevel="0" collapsed="false">
      <c r="A117" s="0" t="s">
        <v>7373</v>
      </c>
      <c r="B117" s="0" t="s">
        <v>7374</v>
      </c>
      <c r="H117" s="5" t="s">
        <v>158</v>
      </c>
      <c r="I117" s="5"/>
      <c r="J117" s="6" t="n">
        <f aca="false">IF(AU117="pass",CM117+CN117+CO117+CP117+CQ117+CR117+CS117+CT117,0)</f>
        <v>43</v>
      </c>
      <c r="K117" s="6" t="s">
        <v>7375</v>
      </c>
      <c r="M117" s="6" t="s">
        <v>5293</v>
      </c>
      <c r="N117" s="6" t="s">
        <v>598</v>
      </c>
      <c r="O117" s="6" t="s">
        <v>7376</v>
      </c>
      <c r="P117" s="6" t="s">
        <v>7377</v>
      </c>
      <c r="Q117" s="6" t="s">
        <v>5681</v>
      </c>
      <c r="R117" s="5" t="s">
        <v>162</v>
      </c>
      <c r="S117" s="6" t="s">
        <v>163</v>
      </c>
      <c r="T117" s="5" t="s">
        <v>162</v>
      </c>
      <c r="U117" s="5" t="s">
        <v>228</v>
      </c>
      <c r="V117" s="6" t="s">
        <v>7378</v>
      </c>
      <c r="W117" s="6" t="s">
        <v>166</v>
      </c>
      <c r="X117" s="6" t="s">
        <v>4586</v>
      </c>
      <c r="Y117" s="0" t="str">
        <f aca="false">IF(EB117&lt;&gt;"Y","",COUNTIFS($EB$2:$EB$1000,"Y",$J$2:$J$1000,"&gt;"&amp;J117)+COUNTIFS($EB$2:$EB$1000,"Y",$J$2:$J$1000,J117,$ED$2:$ED$1000,"&lt;"&amp;ED117)+1)</f>
        <v/>
      </c>
      <c r="Z117" s="0" t="n">
        <v>116</v>
      </c>
      <c r="AA117" s="6" t="s">
        <v>162</v>
      </c>
      <c r="AB117" s="6" t="s">
        <v>6317</v>
      </c>
      <c r="AC117" s="6" t="s">
        <v>4588</v>
      </c>
      <c r="AD117" s="6" t="s">
        <v>598</v>
      </c>
      <c r="AE117" s="6" t="s">
        <v>163</v>
      </c>
      <c r="AG117" s="6" t="s">
        <v>166</v>
      </c>
      <c r="AH117" s="6" t="s">
        <v>7379</v>
      </c>
      <c r="AI117" s="6" t="s">
        <v>5738</v>
      </c>
      <c r="AJ117" s="6" t="s">
        <v>192</v>
      </c>
      <c r="AK117" s="6" t="s">
        <v>7378</v>
      </c>
      <c r="AL117" s="6" t="s">
        <v>168</v>
      </c>
      <c r="AM117" s="6" t="s">
        <v>7380</v>
      </c>
      <c r="AN117" s="6" t="s">
        <v>7373</v>
      </c>
      <c r="AO117" s="5" t="s">
        <v>162</v>
      </c>
      <c r="AR117" s="0" t="str">
        <f aca="false">IF(AND(AU117="pass",AO117&lt;&gt;"Y",C117&lt;&gt;""),"Y","N")</f>
        <v>N</v>
      </c>
      <c r="AS117" s="0" t="str">
        <f aca="false">_xlfn.TEXTJOIN("; ",TRUE(),IF(AU117&lt;&gt;"pass","gated out",""),IF(AO117="Y","on hold: "&amp;AP117,""),IF(C117="","no contact named on an opened page",""))</f>
        <v>no contact named on an opened page</v>
      </c>
      <c r="AU117" s="6" t="s">
        <v>181</v>
      </c>
      <c r="AW117" s="6" t="s">
        <v>182</v>
      </c>
      <c r="AX117" s="6" t="s">
        <v>283</v>
      </c>
      <c r="AY117" s="6" t="s">
        <v>7378</v>
      </c>
      <c r="AZ117" s="6" t="s">
        <v>4596</v>
      </c>
      <c r="BA117" s="6" t="s">
        <v>4597</v>
      </c>
      <c r="BB117" s="6" t="s">
        <v>163</v>
      </c>
      <c r="BD117" s="6" t="s">
        <v>163</v>
      </c>
      <c r="BE117" s="6" t="s">
        <v>5929</v>
      </c>
      <c r="BF117" s="6" t="s">
        <v>168</v>
      </c>
      <c r="BG117" s="6" t="s">
        <v>168</v>
      </c>
      <c r="BH117" s="6" t="s">
        <v>163</v>
      </c>
      <c r="BJ117" s="6" t="s">
        <v>5551</v>
      </c>
      <c r="BK117" s="6" t="s">
        <v>162</v>
      </c>
      <c r="BL117" s="6" t="s">
        <v>162</v>
      </c>
      <c r="BO117" s="6" t="s">
        <v>162</v>
      </c>
      <c r="BP117" s="0" t="n">
        <v>0</v>
      </c>
      <c r="BS117" s="6" t="s">
        <v>7162</v>
      </c>
      <c r="BT117" s="6" t="s">
        <v>7381</v>
      </c>
      <c r="BU117" s="6" t="s">
        <v>4695</v>
      </c>
      <c r="BV117" s="0" t="n">
        <v>211</v>
      </c>
      <c r="BX117" s="6" t="s">
        <v>7382</v>
      </c>
      <c r="BY117" s="6" t="s">
        <v>7383</v>
      </c>
      <c r="CF117" s="6" t="s">
        <v>158</v>
      </c>
      <c r="CK117" s="6" t="s">
        <v>158</v>
      </c>
      <c r="CL117" s="0" t="n">
        <v>43</v>
      </c>
      <c r="CM117" s="0" t="n">
        <v>6</v>
      </c>
      <c r="CN117" s="0" t="n">
        <v>20</v>
      </c>
      <c r="CO117" s="0" t="n">
        <v>4</v>
      </c>
      <c r="CP117" s="0" t="n">
        <v>5</v>
      </c>
      <c r="CQ117" s="0" t="n">
        <v>7</v>
      </c>
      <c r="CR117" s="0" t="n">
        <v>3</v>
      </c>
      <c r="CS117" s="6" t="n">
        <f aca="false">IF(R117="Y",10,0)</f>
        <v>0</v>
      </c>
      <c r="CT117" s="0" t="n">
        <v>-2</v>
      </c>
      <c r="CU117" s="6" t="s">
        <v>7384</v>
      </c>
      <c r="CV117" s="6" t="s">
        <v>5564</v>
      </c>
      <c r="CW117" s="6" t="s">
        <v>7385</v>
      </c>
      <c r="CX117" s="6" t="s">
        <v>7386</v>
      </c>
      <c r="CY117" s="6" t="s">
        <v>7387</v>
      </c>
      <c r="DA117" s="6" t="s">
        <v>6236</v>
      </c>
      <c r="DY117" s="0" t="str">
        <f aca="false">IF(ISNUMBER(MATCH(U117,{"queued","contacted","replied","call_booked","call_done","yes_in_principle","materials_sent"},0)),"Y","N")</f>
        <v>N</v>
      </c>
      <c r="DZ117" s="0" t="str">
        <f aca="false">IF(COUNTIFS($AN$2:$AN$1000,AN117,$DY$2:$DY$1000,"Y")+COUNTIFS($AN$2:$AN$1000,AN117,$T$2:$T$1000,"Y")&gt;0,"Y","N")</f>
        <v>N</v>
      </c>
      <c r="EA117" s="0" t="str">
        <f aca="false">IF(AND(U117="new",T117="N",AR117="Y",AQ117="",DZ117="N"),"Y","N")</f>
        <v>N</v>
      </c>
      <c r="EB117" s="0" t="str">
        <f aca="false">IF(EA117&lt;&gt;"Y","N",IF(COUNTIFS($AN$2:$AN$1000,AN117,$EA$2:$EA$1000,"Y",$J$2:$J$1000,"&gt;"&amp;J117)+COUNTIFS($AN$2:$AN$1000,AN117,$EA$2:$EA$1000,"Y",$J$2:$J$1000,J117,$ED$2:$ED$1000,"&lt;"&amp;ED117)=0,"Y","N"))</f>
        <v>N</v>
      </c>
      <c r="EC117" s="0" t="str">
        <f aca="false">IF(Y117="","N",IF(Y117&lt;=10,"Y","N"))</f>
        <v>N</v>
      </c>
      <c r="ED117" s="6" t="n">
        <f aca="false">ROW()-1</f>
        <v>116</v>
      </c>
    </row>
    <row r="118" customFormat="false" ht="15" hidden="false" customHeight="false" outlineLevel="0" collapsed="false">
      <c r="A118" s="0" t="s">
        <v>7388</v>
      </c>
      <c r="B118" s="0" t="s">
        <v>7389</v>
      </c>
      <c r="H118" s="5" t="s">
        <v>158</v>
      </c>
      <c r="I118" s="5"/>
      <c r="J118" s="6" t="n">
        <f aca="false">IF(AU118="pass",CM118+CN118+CO118+CP118+CQ118+CR118+CS118+CT118,0)</f>
        <v>42</v>
      </c>
      <c r="K118" s="6" t="s">
        <v>7390</v>
      </c>
      <c r="M118" s="6" t="s">
        <v>4581</v>
      </c>
      <c r="N118" s="6" t="s">
        <v>4582</v>
      </c>
      <c r="O118" s="6" t="s">
        <v>7391</v>
      </c>
      <c r="P118" s="6" t="s">
        <v>7392</v>
      </c>
      <c r="Q118" s="6" t="s">
        <v>6935</v>
      </c>
      <c r="R118" s="5" t="s">
        <v>162</v>
      </c>
      <c r="S118" s="6" t="s">
        <v>163</v>
      </c>
      <c r="T118" s="5" t="s">
        <v>162</v>
      </c>
      <c r="U118" s="5" t="s">
        <v>228</v>
      </c>
      <c r="V118" s="6" t="s">
        <v>7393</v>
      </c>
      <c r="W118" s="6" t="s">
        <v>166</v>
      </c>
      <c r="X118" s="6" t="s">
        <v>4586</v>
      </c>
      <c r="Y118" s="0" t="str">
        <f aca="false">IF(EB118&lt;&gt;"Y","",COUNTIFS($EB$2:$EB$1000,"Y",$J$2:$J$1000,"&gt;"&amp;J118)+COUNTIFS($EB$2:$EB$1000,"Y",$J$2:$J$1000,J118,$ED$2:$ED$1000,"&lt;"&amp;ED118)+1)</f>
        <v/>
      </c>
      <c r="Z118" s="0" t="n">
        <v>117</v>
      </c>
      <c r="AA118" s="6" t="s">
        <v>162</v>
      </c>
      <c r="AB118" s="6" t="s">
        <v>7394</v>
      </c>
      <c r="AD118" s="6" t="s">
        <v>158</v>
      </c>
      <c r="AH118" s="6" t="s">
        <v>7395</v>
      </c>
      <c r="AI118" s="6" t="s">
        <v>4634</v>
      </c>
      <c r="AJ118" s="6" t="s">
        <v>7396</v>
      </c>
      <c r="AK118" s="6" t="s">
        <v>7397</v>
      </c>
      <c r="AL118" s="6" t="s">
        <v>168</v>
      </c>
      <c r="AM118" s="6" t="s">
        <v>7398</v>
      </c>
      <c r="AN118" s="6" t="s">
        <v>7388</v>
      </c>
      <c r="AO118" s="5" t="s">
        <v>162</v>
      </c>
      <c r="AR118" s="0" t="str">
        <f aca="false">IF(AND(AU118="pass",AO118&lt;&gt;"Y",C118&lt;&gt;""),"Y","N")</f>
        <v>N</v>
      </c>
      <c r="AS118" s="0" t="str">
        <f aca="false">_xlfn.TEXTJOIN("; ",TRUE(),IF(AU118&lt;&gt;"pass","gated out",""),IF(AO118="Y","on hold: "&amp;AP118,""),IF(C118="","no contact named on an opened page",""))</f>
        <v>no contact named on an opened page</v>
      </c>
      <c r="AU118" s="6" t="s">
        <v>181</v>
      </c>
      <c r="AW118" s="6" t="s">
        <v>182</v>
      </c>
      <c r="AX118" s="6" t="s">
        <v>6033</v>
      </c>
      <c r="AY118" s="6" t="s">
        <v>7397</v>
      </c>
      <c r="AZ118" s="6" t="s">
        <v>4924</v>
      </c>
      <c r="BA118" s="6" t="s">
        <v>5193</v>
      </c>
      <c r="BB118" s="6" t="s">
        <v>163</v>
      </c>
      <c r="BD118" s="6" t="s">
        <v>168</v>
      </c>
      <c r="BE118" s="6" t="s">
        <v>7399</v>
      </c>
      <c r="BF118" s="6" t="s">
        <v>168</v>
      </c>
      <c r="BG118" s="6" t="s">
        <v>168</v>
      </c>
      <c r="BH118" s="6" t="s">
        <v>163</v>
      </c>
      <c r="BJ118" s="6" t="s">
        <v>163</v>
      </c>
      <c r="BK118" s="6" t="s">
        <v>162</v>
      </c>
      <c r="BL118" s="6" t="s">
        <v>162</v>
      </c>
      <c r="BN118" s="0" t="n">
        <v>0</v>
      </c>
      <c r="BO118" s="6" t="s">
        <v>168</v>
      </c>
      <c r="BP118" s="0" t="n">
        <v>3</v>
      </c>
      <c r="BQ118" s="6" t="s">
        <v>4670</v>
      </c>
      <c r="BR118" s="6" t="s">
        <v>4671</v>
      </c>
      <c r="BS118" s="6" t="s">
        <v>7400</v>
      </c>
      <c r="BT118" s="6" t="s">
        <v>7401</v>
      </c>
      <c r="BU118" s="6" t="s">
        <v>4695</v>
      </c>
      <c r="BV118" s="0" t="n">
        <v>255</v>
      </c>
      <c r="CF118" s="6" t="s">
        <v>158</v>
      </c>
      <c r="CK118" s="6" t="s">
        <v>158</v>
      </c>
      <c r="CL118" s="0" t="n">
        <v>42</v>
      </c>
      <c r="CM118" s="0" t="n">
        <v>25</v>
      </c>
      <c r="CN118" s="0" t="n">
        <v>8</v>
      </c>
      <c r="CO118" s="0" t="n">
        <v>4</v>
      </c>
      <c r="CP118" s="0" t="n">
        <v>5</v>
      </c>
      <c r="CQ118" s="0" t="n">
        <v>10</v>
      </c>
      <c r="CR118" s="0" t="n">
        <v>0</v>
      </c>
      <c r="CS118" s="6" t="n">
        <f aca="false">IF(R118="Y",10,0)</f>
        <v>0</v>
      </c>
      <c r="CT118" s="0" t="n">
        <v>-10</v>
      </c>
      <c r="CV118" s="6" t="s">
        <v>4616</v>
      </c>
      <c r="CW118" s="6" t="s">
        <v>7402</v>
      </c>
      <c r="CX118" s="6" t="s">
        <v>7403</v>
      </c>
      <c r="CY118" s="6" t="s">
        <v>7404</v>
      </c>
      <c r="DA118" s="6" t="s">
        <v>6236</v>
      </c>
      <c r="DY118" s="0" t="str">
        <f aca="false">IF(ISNUMBER(MATCH(U118,{"queued","contacted","replied","call_booked","call_done","yes_in_principle","materials_sent"},0)),"Y","N")</f>
        <v>N</v>
      </c>
      <c r="DZ118" s="0" t="str">
        <f aca="false">IF(COUNTIFS($AN$2:$AN$1000,AN118,$DY$2:$DY$1000,"Y")+COUNTIFS($AN$2:$AN$1000,AN118,$T$2:$T$1000,"Y")&gt;0,"Y","N")</f>
        <v>N</v>
      </c>
      <c r="EA118" s="0" t="str">
        <f aca="false">IF(AND(U118="new",T118="N",AR118="Y",AQ118="",DZ118="N"),"Y","N")</f>
        <v>N</v>
      </c>
      <c r="EB118" s="0" t="str">
        <f aca="false">IF(EA118&lt;&gt;"Y","N",IF(COUNTIFS($AN$2:$AN$1000,AN118,$EA$2:$EA$1000,"Y",$J$2:$J$1000,"&gt;"&amp;J118)+COUNTIFS($AN$2:$AN$1000,AN118,$EA$2:$EA$1000,"Y",$J$2:$J$1000,J118,$ED$2:$ED$1000,"&lt;"&amp;ED118)=0,"Y","N"))</f>
        <v>N</v>
      </c>
      <c r="EC118" s="0" t="str">
        <f aca="false">IF(Y118="","N",IF(Y118&lt;=10,"Y","N"))</f>
        <v>N</v>
      </c>
      <c r="ED118" s="6" t="n">
        <f aca="false">ROW()-1</f>
        <v>117</v>
      </c>
    </row>
    <row r="119" customFormat="false" ht="15" hidden="false" customHeight="false" outlineLevel="0" collapsed="false">
      <c r="A119" s="0" t="s">
        <v>7405</v>
      </c>
      <c r="B119" s="0" t="s">
        <v>7406</v>
      </c>
      <c r="H119" s="5" t="s">
        <v>158</v>
      </c>
      <c r="I119" s="5"/>
      <c r="J119" s="6" t="n">
        <f aca="false">IF(AU119="pass",CM119+CN119+CO119+CP119+CQ119+CR119+CS119+CT119,0)</f>
        <v>42</v>
      </c>
      <c r="K119" s="6" t="s">
        <v>7407</v>
      </c>
      <c r="M119" s="6" t="s">
        <v>4581</v>
      </c>
      <c r="N119" s="6" t="s">
        <v>4582</v>
      </c>
      <c r="R119" s="5" t="s">
        <v>162</v>
      </c>
      <c r="S119" s="6" t="s">
        <v>163</v>
      </c>
      <c r="T119" s="5" t="s">
        <v>162</v>
      </c>
      <c r="U119" s="5" t="s">
        <v>228</v>
      </c>
      <c r="V119" s="6" t="s">
        <v>7408</v>
      </c>
      <c r="W119" s="6" t="s">
        <v>166</v>
      </c>
      <c r="X119" s="6" t="s">
        <v>4586</v>
      </c>
      <c r="Y119" s="0" t="str">
        <f aca="false">IF(EB119&lt;&gt;"Y","",COUNTIFS($EB$2:$EB$1000,"Y",$J$2:$J$1000,"&gt;"&amp;J119)+COUNTIFS($EB$2:$EB$1000,"Y",$J$2:$J$1000,J119,$ED$2:$ED$1000,"&lt;"&amp;ED119)+1)</f>
        <v/>
      </c>
      <c r="Z119" s="0" t="n">
        <v>118</v>
      </c>
      <c r="AA119" s="6" t="s">
        <v>162</v>
      </c>
      <c r="AB119" s="6" t="s">
        <v>7409</v>
      </c>
      <c r="AC119" s="6" t="s">
        <v>4588</v>
      </c>
      <c r="AD119" s="6" t="s">
        <v>598</v>
      </c>
      <c r="AE119" s="6" t="s">
        <v>163</v>
      </c>
      <c r="AG119" s="6" t="s">
        <v>166</v>
      </c>
      <c r="AH119" s="6" t="s">
        <v>7410</v>
      </c>
      <c r="AI119" s="6" t="s">
        <v>4724</v>
      </c>
      <c r="AJ119" s="6" t="s">
        <v>7411</v>
      </c>
      <c r="AL119" s="6" t="s">
        <v>168</v>
      </c>
      <c r="AM119" s="6" t="s">
        <v>7412</v>
      </c>
      <c r="AN119" s="6" t="s">
        <v>7405</v>
      </c>
      <c r="AO119" s="5" t="s">
        <v>162</v>
      </c>
      <c r="AR119" s="0" t="str">
        <f aca="false">IF(AND(AU119="pass",AO119&lt;&gt;"Y",C119&lt;&gt;""),"Y","N")</f>
        <v>N</v>
      </c>
      <c r="AS119" s="0" t="str">
        <f aca="false">_xlfn.TEXTJOIN("; ",TRUE(),IF(AU119&lt;&gt;"pass","gated out",""),IF(AO119="Y","on hold: "&amp;AP119,""),IF(C119="","no contact named on an opened page",""))</f>
        <v>no contact named on an opened page</v>
      </c>
      <c r="AU119" s="6" t="s">
        <v>181</v>
      </c>
      <c r="AW119" s="6" t="s">
        <v>182</v>
      </c>
      <c r="AX119" s="6" t="s">
        <v>283</v>
      </c>
      <c r="AY119" s="6" t="s">
        <v>7413</v>
      </c>
      <c r="AZ119" s="6" t="s">
        <v>4924</v>
      </c>
      <c r="BA119" s="6" t="s">
        <v>5193</v>
      </c>
      <c r="BB119" s="6" t="s">
        <v>163</v>
      </c>
      <c r="BD119" s="6" t="s">
        <v>163</v>
      </c>
      <c r="BE119" s="6" t="s">
        <v>7414</v>
      </c>
      <c r="BF119" s="6" t="s">
        <v>163</v>
      </c>
      <c r="BG119" s="6" t="s">
        <v>163</v>
      </c>
      <c r="BH119" s="6" t="s">
        <v>163</v>
      </c>
      <c r="BJ119" s="6" t="s">
        <v>163</v>
      </c>
      <c r="BK119" s="6" t="s">
        <v>162</v>
      </c>
      <c r="BL119" s="6" t="s">
        <v>162</v>
      </c>
      <c r="BN119" s="0" t="n">
        <v>0</v>
      </c>
      <c r="BO119" s="6" t="s">
        <v>168</v>
      </c>
      <c r="BP119" s="0" t="n">
        <v>1</v>
      </c>
      <c r="BQ119" s="6" t="s">
        <v>4982</v>
      </c>
      <c r="BR119" s="6" t="s">
        <v>4671</v>
      </c>
      <c r="BS119" s="6" t="s">
        <v>7415</v>
      </c>
      <c r="BT119" s="6" t="s">
        <v>7416</v>
      </c>
      <c r="BU119" s="6" t="s">
        <v>158</v>
      </c>
      <c r="BX119" s="6" t="s">
        <v>7417</v>
      </c>
      <c r="BY119" s="6" t="s">
        <v>7383</v>
      </c>
      <c r="CF119" s="6" t="s">
        <v>158</v>
      </c>
      <c r="CK119" s="6" t="s">
        <v>158</v>
      </c>
      <c r="CL119" s="0" t="n">
        <v>42</v>
      </c>
      <c r="CM119" s="0" t="n">
        <v>25</v>
      </c>
      <c r="CN119" s="0" t="n">
        <v>8</v>
      </c>
      <c r="CO119" s="0" t="n">
        <v>0</v>
      </c>
      <c r="CP119" s="0" t="n">
        <v>5</v>
      </c>
      <c r="CQ119" s="0" t="n">
        <v>3</v>
      </c>
      <c r="CR119" s="0" t="n">
        <v>3</v>
      </c>
      <c r="CS119" s="6" t="n">
        <f aca="false">IF(R119="Y",10,0)</f>
        <v>0</v>
      </c>
      <c r="CT119" s="0" t="n">
        <v>-2</v>
      </c>
      <c r="CV119" s="6" t="s">
        <v>4616</v>
      </c>
      <c r="CW119" s="6" t="s">
        <v>7418</v>
      </c>
      <c r="CX119" s="6" t="s">
        <v>7419</v>
      </c>
      <c r="CY119" s="6" t="s">
        <v>7420</v>
      </c>
      <c r="DA119" s="6" t="s">
        <v>6236</v>
      </c>
      <c r="DY119" s="0" t="str">
        <f aca="false">IF(ISNUMBER(MATCH(U119,{"queued","contacted","replied","call_booked","call_done","yes_in_principle","materials_sent"},0)),"Y","N")</f>
        <v>N</v>
      </c>
      <c r="DZ119" s="0" t="str">
        <f aca="false">IF(COUNTIFS($AN$2:$AN$1000,AN119,$DY$2:$DY$1000,"Y")+COUNTIFS($AN$2:$AN$1000,AN119,$T$2:$T$1000,"Y")&gt;0,"Y","N")</f>
        <v>N</v>
      </c>
      <c r="EA119" s="0" t="str">
        <f aca="false">IF(AND(U119="new",T119="N",AR119="Y",AQ119="",DZ119="N"),"Y","N")</f>
        <v>N</v>
      </c>
      <c r="EB119" s="0" t="str">
        <f aca="false">IF(EA119&lt;&gt;"Y","N",IF(COUNTIFS($AN$2:$AN$1000,AN119,$EA$2:$EA$1000,"Y",$J$2:$J$1000,"&gt;"&amp;J119)+COUNTIFS($AN$2:$AN$1000,AN119,$EA$2:$EA$1000,"Y",$J$2:$J$1000,J119,$ED$2:$ED$1000,"&lt;"&amp;ED119)=0,"Y","N"))</f>
        <v>N</v>
      </c>
      <c r="EC119" s="0" t="str">
        <f aca="false">IF(Y119="","N",IF(Y119&lt;=10,"Y","N"))</f>
        <v>N</v>
      </c>
      <c r="ED119" s="6" t="n">
        <f aca="false">ROW()-1</f>
        <v>118</v>
      </c>
    </row>
    <row r="120" customFormat="false" ht="15" hidden="false" customHeight="false" outlineLevel="0" collapsed="false">
      <c r="A120" s="0" t="s">
        <v>7421</v>
      </c>
      <c r="B120" s="0" t="s">
        <v>7422</v>
      </c>
      <c r="C120" s="0" t="s">
        <v>7423</v>
      </c>
      <c r="D120" s="0" t="s">
        <v>1079</v>
      </c>
      <c r="E120" s="0" t="s">
        <v>4626</v>
      </c>
      <c r="H120" s="5" t="s">
        <v>158</v>
      </c>
      <c r="I120" s="5" t="s">
        <v>159</v>
      </c>
      <c r="J120" s="6" t="n">
        <f aca="false">IF(AU120="pass",CM120+CN120+CO120+CP120+CQ120+CR120+CS120+CT120,0)</f>
        <v>42</v>
      </c>
      <c r="K120" s="6" t="s">
        <v>7424</v>
      </c>
      <c r="M120" s="6" t="s">
        <v>4581</v>
      </c>
      <c r="N120" s="6" t="s">
        <v>4582</v>
      </c>
      <c r="R120" s="5" t="s">
        <v>162</v>
      </c>
      <c r="S120" s="6" t="s">
        <v>163</v>
      </c>
      <c r="T120" s="5" t="s">
        <v>162</v>
      </c>
      <c r="U120" s="5" t="s">
        <v>228</v>
      </c>
      <c r="V120" s="6" t="s">
        <v>7425</v>
      </c>
      <c r="W120" s="6" t="s">
        <v>166</v>
      </c>
      <c r="X120" s="6" t="s">
        <v>4586</v>
      </c>
      <c r="Y120" s="6" t="n">
        <f aca="false">IF(EB120&lt;&gt;"Y","",COUNTIFS($EB$2:$EB$1000,"Y",$J$2:$J$1000,"&gt;"&amp;J120)+COUNTIFS($EB$2:$EB$1000,"Y",$J$2:$J$1000,J120,$ED$2:$ED$1000,"&lt;"&amp;ED120)+1)</f>
        <v>102</v>
      </c>
      <c r="Z120" s="0" t="n">
        <v>119</v>
      </c>
      <c r="AA120" s="6" t="s">
        <v>162</v>
      </c>
      <c r="AB120" s="6" t="s">
        <v>7426</v>
      </c>
      <c r="AC120" s="6" t="s">
        <v>4588</v>
      </c>
      <c r="AD120" s="6" t="s">
        <v>171</v>
      </c>
      <c r="AE120" s="6" t="s">
        <v>172</v>
      </c>
      <c r="AF120" s="6" t="s">
        <v>7427</v>
      </c>
      <c r="AG120" s="6" t="s">
        <v>166</v>
      </c>
      <c r="AH120" s="6" t="s">
        <v>7428</v>
      </c>
      <c r="AI120" s="6" t="s">
        <v>4634</v>
      </c>
      <c r="AJ120" s="6" t="s">
        <v>7429</v>
      </c>
      <c r="AL120" s="6" t="s">
        <v>168</v>
      </c>
      <c r="AM120" s="6" t="s">
        <v>7430</v>
      </c>
      <c r="AN120" s="6" t="s">
        <v>7421</v>
      </c>
      <c r="AO120" s="5" t="s">
        <v>162</v>
      </c>
      <c r="AR120" s="0" t="str">
        <f aca="false">IF(AND(AU120="pass",AO120&lt;&gt;"Y",C120&lt;&gt;""),"Y","N")</f>
        <v>Y</v>
      </c>
      <c r="AS120" s="0" t="str">
        <f aca="false">_xlfn.TEXTJOIN("; ",TRUE(),IF(AU120&lt;&gt;"pass","gated out",""),IF(AO120="Y","on hold: "&amp;AP120,""),IF(C120="","no contact named on an opened page",""))</f>
        <v/>
      </c>
      <c r="AU120" s="6" t="s">
        <v>181</v>
      </c>
      <c r="AW120" s="6" t="s">
        <v>182</v>
      </c>
      <c r="AX120" s="6" t="s">
        <v>283</v>
      </c>
      <c r="AY120" s="6" t="s">
        <v>7431</v>
      </c>
      <c r="AZ120" s="6" t="s">
        <v>5490</v>
      </c>
      <c r="BA120" s="6" t="s">
        <v>5331</v>
      </c>
      <c r="BB120" s="6" t="s">
        <v>163</v>
      </c>
      <c r="BD120" s="6" t="s">
        <v>168</v>
      </c>
      <c r="BE120" s="6" t="s">
        <v>7432</v>
      </c>
      <c r="BF120" s="6" t="s">
        <v>162</v>
      </c>
      <c r="BG120" s="6" t="s">
        <v>163</v>
      </c>
      <c r="BH120" s="6" t="s">
        <v>163</v>
      </c>
      <c r="BJ120" s="6" t="s">
        <v>163</v>
      </c>
      <c r="BK120" s="6" t="s">
        <v>162</v>
      </c>
      <c r="BL120" s="6" t="s">
        <v>162</v>
      </c>
      <c r="BN120" s="0" t="n">
        <v>0</v>
      </c>
      <c r="BO120" s="6" t="s">
        <v>168</v>
      </c>
      <c r="BP120" s="0" t="n">
        <v>2</v>
      </c>
      <c r="BQ120" s="6" t="s">
        <v>4783</v>
      </c>
      <c r="BS120" s="6" t="s">
        <v>4983</v>
      </c>
      <c r="BT120" s="6" t="s">
        <v>7433</v>
      </c>
      <c r="BU120" s="6" t="s">
        <v>158</v>
      </c>
      <c r="BX120" s="6" t="s">
        <v>7434</v>
      </c>
      <c r="CA120" s="6" t="s">
        <v>7435</v>
      </c>
      <c r="CB120" s="6" t="s">
        <v>7436</v>
      </c>
      <c r="CC120" s="6" t="s">
        <v>7437</v>
      </c>
      <c r="CD120" s="6" t="s">
        <v>4626</v>
      </c>
      <c r="CE120" s="6" t="s">
        <v>6725</v>
      </c>
      <c r="CF120" s="6" t="s">
        <v>171</v>
      </c>
      <c r="CK120" s="6" t="s">
        <v>158</v>
      </c>
      <c r="CL120" s="0" t="n">
        <v>42</v>
      </c>
      <c r="CM120" s="0" t="n">
        <v>25</v>
      </c>
      <c r="CN120" s="0" t="n">
        <v>3</v>
      </c>
      <c r="CO120" s="0" t="n">
        <v>0</v>
      </c>
      <c r="CP120" s="0" t="n">
        <v>5</v>
      </c>
      <c r="CQ120" s="0" t="n">
        <v>5</v>
      </c>
      <c r="CR120" s="0" t="n">
        <v>6</v>
      </c>
      <c r="CS120" s="6" t="n">
        <f aca="false">IF(R120="Y",10,0)</f>
        <v>0</v>
      </c>
      <c r="CT120" s="0" t="n">
        <v>-2</v>
      </c>
      <c r="CU120" s="6" t="s">
        <v>163</v>
      </c>
      <c r="CV120" s="6" t="s">
        <v>4843</v>
      </c>
      <c r="CW120" s="6" t="s">
        <v>7438</v>
      </c>
      <c r="CX120" s="6" t="s">
        <v>7439</v>
      </c>
      <c r="CY120" s="6" t="s">
        <v>7440</v>
      </c>
      <c r="CZ120" s="6" t="s">
        <v>7427</v>
      </c>
      <c r="DA120" s="6" t="s">
        <v>6236</v>
      </c>
      <c r="DC120" s="6" t="s">
        <v>172</v>
      </c>
      <c r="DY120" s="0" t="str">
        <f aca="false">IF(ISNUMBER(MATCH(U120,{"queued","contacted","replied","call_booked","call_done","yes_in_principle","materials_sent"},0)),"Y","N")</f>
        <v>N</v>
      </c>
      <c r="DZ120" s="0" t="str">
        <f aca="false">IF(COUNTIFS($AN$2:$AN$1000,AN120,$DY$2:$DY$1000,"Y")+COUNTIFS($AN$2:$AN$1000,AN120,$T$2:$T$1000,"Y")&gt;0,"Y","N")</f>
        <v>N</v>
      </c>
      <c r="EA120" s="0" t="str">
        <f aca="false">IF(AND(U120="new",T120="N",AR120="Y",AQ120="",DZ120="N"),"Y","N")</f>
        <v>Y</v>
      </c>
      <c r="EB120" s="0" t="str">
        <f aca="false">IF(EA120&lt;&gt;"Y","N",IF(COUNTIFS($AN$2:$AN$1000,AN120,$EA$2:$EA$1000,"Y",$J$2:$J$1000,"&gt;"&amp;J120)+COUNTIFS($AN$2:$AN$1000,AN120,$EA$2:$EA$1000,"Y",$J$2:$J$1000,J120,$ED$2:$ED$1000,"&lt;"&amp;ED120)=0,"Y","N"))</f>
        <v>Y</v>
      </c>
      <c r="EC120" s="0" t="str">
        <f aca="false">IF(Y120="","N",IF(Y120&lt;=10,"Y","N"))</f>
        <v>N</v>
      </c>
      <c r="ED120" s="6" t="n">
        <f aca="false">ROW()-1</f>
        <v>119</v>
      </c>
    </row>
    <row r="121" customFormat="false" ht="15" hidden="false" customHeight="false" outlineLevel="0" collapsed="false">
      <c r="A121" s="0" t="s">
        <v>7441</v>
      </c>
      <c r="B121" s="0" t="s">
        <v>7442</v>
      </c>
      <c r="H121" s="5" t="s">
        <v>158</v>
      </c>
      <c r="I121" s="5"/>
      <c r="J121" s="6" t="n">
        <f aca="false">IF(AU121="pass",CM121+CN121+CO121+CP121+CQ121+CR121+CS121+CT121,0)</f>
        <v>42</v>
      </c>
      <c r="K121" s="6" t="s">
        <v>7443</v>
      </c>
      <c r="M121" s="6" t="s">
        <v>4581</v>
      </c>
      <c r="N121" s="6" t="s">
        <v>4582</v>
      </c>
      <c r="R121" s="5" t="s">
        <v>162</v>
      </c>
      <c r="S121" s="6" t="s">
        <v>163</v>
      </c>
      <c r="T121" s="5" t="s">
        <v>162</v>
      </c>
      <c r="U121" s="5" t="s">
        <v>228</v>
      </c>
      <c r="V121" s="6" t="s">
        <v>7444</v>
      </c>
      <c r="W121" s="6" t="s">
        <v>166</v>
      </c>
      <c r="X121" s="6" t="s">
        <v>4586</v>
      </c>
      <c r="Y121" s="0" t="str">
        <f aca="false">IF(EB121&lt;&gt;"Y","",COUNTIFS($EB$2:$EB$1000,"Y",$J$2:$J$1000,"&gt;"&amp;J121)+COUNTIFS($EB$2:$EB$1000,"Y",$J$2:$J$1000,J121,$ED$2:$ED$1000,"&lt;"&amp;ED121)+1)</f>
        <v/>
      </c>
      <c r="Z121" s="0" t="n">
        <v>120</v>
      </c>
      <c r="AA121" s="6" t="s">
        <v>162</v>
      </c>
      <c r="AB121" s="6" t="s">
        <v>7445</v>
      </c>
      <c r="AC121" s="6" t="s">
        <v>4588</v>
      </c>
      <c r="AD121" s="6" t="s">
        <v>598</v>
      </c>
      <c r="AE121" s="6" t="s">
        <v>163</v>
      </c>
      <c r="AG121" s="6" t="s">
        <v>166</v>
      </c>
      <c r="AH121" s="6" t="s">
        <v>7446</v>
      </c>
      <c r="AI121" s="6" t="s">
        <v>5463</v>
      </c>
      <c r="AJ121" s="6" t="s">
        <v>7447</v>
      </c>
      <c r="AL121" s="6" t="s">
        <v>168</v>
      </c>
      <c r="AM121" s="6" t="s">
        <v>7448</v>
      </c>
      <c r="AN121" s="6" t="s">
        <v>7441</v>
      </c>
      <c r="AO121" s="5" t="s">
        <v>162</v>
      </c>
      <c r="AR121" s="0" t="str">
        <f aca="false">IF(AND(AU121="pass",AO121&lt;&gt;"Y",C121&lt;&gt;""),"Y","N")</f>
        <v>N</v>
      </c>
      <c r="AS121" s="0" t="str">
        <f aca="false">_xlfn.TEXTJOIN("; ",TRUE(),IF(AU121&lt;&gt;"pass","gated out",""),IF(AO121="Y","on hold: "&amp;AP121,""),IF(C121="","no contact named on an opened page",""))</f>
        <v>no contact named on an opened page</v>
      </c>
      <c r="AU121" s="6" t="s">
        <v>181</v>
      </c>
      <c r="AW121" s="6" t="s">
        <v>182</v>
      </c>
      <c r="AX121" s="6" t="s">
        <v>283</v>
      </c>
      <c r="AY121" s="6" t="s">
        <v>7449</v>
      </c>
      <c r="AZ121" s="6" t="s">
        <v>7450</v>
      </c>
      <c r="BA121" s="6" t="s">
        <v>5331</v>
      </c>
      <c r="BB121" s="6" t="s">
        <v>163</v>
      </c>
      <c r="BD121" s="6" t="s">
        <v>168</v>
      </c>
      <c r="BE121" s="6" t="s">
        <v>5466</v>
      </c>
      <c r="BF121" s="6" t="s">
        <v>168</v>
      </c>
      <c r="BG121" s="6" t="s">
        <v>163</v>
      </c>
      <c r="BH121" s="6" t="s">
        <v>163</v>
      </c>
      <c r="BJ121" s="6" t="s">
        <v>163</v>
      </c>
      <c r="BK121" s="6" t="s">
        <v>162</v>
      </c>
      <c r="BL121" s="6" t="s">
        <v>162</v>
      </c>
      <c r="BN121" s="0" t="n">
        <v>0</v>
      </c>
      <c r="BO121" s="6" t="s">
        <v>168</v>
      </c>
      <c r="BP121" s="0" t="n">
        <v>2</v>
      </c>
      <c r="BQ121" s="6" t="s">
        <v>4783</v>
      </c>
      <c r="BS121" s="6" t="s">
        <v>4983</v>
      </c>
      <c r="BT121" s="6" t="s">
        <v>7451</v>
      </c>
      <c r="BU121" s="6" t="s">
        <v>158</v>
      </c>
      <c r="BX121" s="6" t="s">
        <v>7452</v>
      </c>
      <c r="BY121" s="6" t="s">
        <v>7453</v>
      </c>
      <c r="CF121" s="6" t="s">
        <v>158</v>
      </c>
      <c r="CK121" s="6" t="s">
        <v>158</v>
      </c>
      <c r="CL121" s="0" t="n">
        <v>42</v>
      </c>
      <c r="CM121" s="0" t="n">
        <v>25</v>
      </c>
      <c r="CN121" s="0" t="n">
        <v>3</v>
      </c>
      <c r="CO121" s="0" t="n">
        <v>0</v>
      </c>
      <c r="CP121" s="0" t="n">
        <v>5</v>
      </c>
      <c r="CQ121" s="0" t="n">
        <v>8</v>
      </c>
      <c r="CR121" s="0" t="n">
        <v>3</v>
      </c>
      <c r="CS121" s="6" t="n">
        <f aca="false">IF(R121="Y",10,0)</f>
        <v>0</v>
      </c>
      <c r="CT121" s="0" t="n">
        <v>-2</v>
      </c>
      <c r="CU121" s="6" t="s">
        <v>163</v>
      </c>
      <c r="CV121" s="6" t="s">
        <v>4843</v>
      </c>
      <c r="CW121" s="6" t="s">
        <v>7454</v>
      </c>
      <c r="CX121" s="6" t="s">
        <v>7455</v>
      </c>
      <c r="CY121" s="6" t="s">
        <v>7456</v>
      </c>
      <c r="DA121" s="6" t="s">
        <v>6236</v>
      </c>
      <c r="DY121" s="0" t="str">
        <f aca="false">IF(ISNUMBER(MATCH(U121,{"queued","contacted","replied","call_booked","call_done","yes_in_principle","materials_sent"},0)),"Y","N")</f>
        <v>N</v>
      </c>
      <c r="DZ121" s="0" t="str">
        <f aca="false">IF(COUNTIFS($AN$2:$AN$1000,AN121,$DY$2:$DY$1000,"Y")+COUNTIFS($AN$2:$AN$1000,AN121,$T$2:$T$1000,"Y")&gt;0,"Y","N")</f>
        <v>N</v>
      </c>
      <c r="EA121" s="0" t="str">
        <f aca="false">IF(AND(U121="new",T121="N",AR121="Y",AQ121="",DZ121="N"),"Y","N")</f>
        <v>N</v>
      </c>
      <c r="EB121" s="0" t="str">
        <f aca="false">IF(EA121&lt;&gt;"Y","N",IF(COUNTIFS($AN$2:$AN$1000,AN121,$EA$2:$EA$1000,"Y",$J$2:$J$1000,"&gt;"&amp;J121)+COUNTIFS($AN$2:$AN$1000,AN121,$EA$2:$EA$1000,"Y",$J$2:$J$1000,J121,$ED$2:$ED$1000,"&lt;"&amp;ED121)=0,"Y","N"))</f>
        <v>N</v>
      </c>
      <c r="EC121" s="0" t="str">
        <f aca="false">IF(Y121="","N",IF(Y121&lt;=10,"Y","N"))</f>
        <v>N</v>
      </c>
      <c r="ED121" s="6" t="n">
        <f aca="false">ROW()-1</f>
        <v>120</v>
      </c>
    </row>
    <row r="122" customFormat="false" ht="15" hidden="false" customHeight="false" outlineLevel="0" collapsed="false">
      <c r="A122" s="0" t="s">
        <v>7457</v>
      </c>
      <c r="B122" s="0" t="s">
        <v>7458</v>
      </c>
      <c r="H122" s="5" t="s">
        <v>158</v>
      </c>
      <c r="I122" s="5"/>
      <c r="J122" s="6" t="n">
        <f aca="false">IF(AU122="pass",CM122+CN122+CO122+CP122+CQ122+CR122+CS122+CT122,0)</f>
        <v>42</v>
      </c>
      <c r="K122" s="6" t="s">
        <v>7459</v>
      </c>
      <c r="M122" s="6" t="s">
        <v>5293</v>
      </c>
      <c r="N122" s="6" t="s">
        <v>598</v>
      </c>
      <c r="O122" s="6" t="s">
        <v>7460</v>
      </c>
      <c r="P122" s="6" t="s">
        <v>5600</v>
      </c>
      <c r="Q122" s="6" t="s">
        <v>2614</v>
      </c>
      <c r="R122" s="5" t="s">
        <v>162</v>
      </c>
      <c r="S122" s="6" t="s">
        <v>163</v>
      </c>
      <c r="T122" s="5" t="s">
        <v>162</v>
      </c>
      <c r="U122" s="5" t="s">
        <v>228</v>
      </c>
      <c r="V122" s="6" t="s">
        <v>5600</v>
      </c>
      <c r="W122" s="6" t="s">
        <v>174</v>
      </c>
      <c r="X122" s="6" t="s">
        <v>4586</v>
      </c>
      <c r="Y122" s="0" t="str">
        <f aca="false">IF(EB122&lt;&gt;"Y","",COUNTIFS($EB$2:$EB$1000,"Y",$J$2:$J$1000,"&gt;"&amp;J122)+COUNTIFS($EB$2:$EB$1000,"Y",$J$2:$J$1000,J122,$ED$2:$ED$1000,"&lt;"&amp;ED122)+1)</f>
        <v/>
      </c>
      <c r="Z122" s="0" t="n">
        <v>121</v>
      </c>
      <c r="AA122" s="6" t="s">
        <v>162</v>
      </c>
      <c r="AB122" s="6" t="s">
        <v>6317</v>
      </c>
      <c r="AD122" s="6" t="s">
        <v>158</v>
      </c>
      <c r="AH122" s="6" t="s">
        <v>7461</v>
      </c>
      <c r="AI122" s="6" t="s">
        <v>4665</v>
      </c>
      <c r="AJ122" s="6" t="s">
        <v>7462</v>
      </c>
      <c r="AK122" s="6" t="s">
        <v>7463</v>
      </c>
      <c r="AL122" s="6" t="s">
        <v>168</v>
      </c>
      <c r="AM122" s="6" t="s">
        <v>7464</v>
      </c>
      <c r="AN122" s="6" t="s">
        <v>7457</v>
      </c>
      <c r="AO122" s="5" t="s">
        <v>162</v>
      </c>
      <c r="AR122" s="0" t="str">
        <f aca="false">IF(AND(AU122="pass",AO122&lt;&gt;"Y",C122&lt;&gt;""),"Y","N")</f>
        <v>N</v>
      </c>
      <c r="AS122" s="0" t="str">
        <f aca="false">_xlfn.TEXTJOIN("; ",TRUE(),IF(AU122&lt;&gt;"pass","gated out",""),IF(AO122="Y","on hold: "&amp;AP122,""),IF(C122="","no contact named on an opened page",""))</f>
        <v>no contact named on an opened page</v>
      </c>
      <c r="AU122" s="6" t="s">
        <v>181</v>
      </c>
      <c r="AW122" s="6" t="s">
        <v>182</v>
      </c>
      <c r="AX122" s="6" t="s">
        <v>283</v>
      </c>
      <c r="AY122" s="6" t="s">
        <v>7463</v>
      </c>
      <c r="AZ122" s="6" t="s">
        <v>6034</v>
      </c>
      <c r="BA122" s="6" t="s">
        <v>5193</v>
      </c>
      <c r="BB122" s="6" t="s">
        <v>163</v>
      </c>
      <c r="BD122" s="6" t="s">
        <v>168</v>
      </c>
      <c r="BE122" s="6" t="s">
        <v>7465</v>
      </c>
      <c r="BF122" s="6" t="s">
        <v>168</v>
      </c>
      <c r="BG122" s="6" t="s">
        <v>168</v>
      </c>
      <c r="BH122" s="6" t="s">
        <v>163</v>
      </c>
      <c r="BJ122" s="6" t="s">
        <v>5145</v>
      </c>
      <c r="BK122" s="6" t="s">
        <v>162</v>
      </c>
      <c r="BL122" s="6" t="s">
        <v>162</v>
      </c>
      <c r="BO122" s="6" t="s">
        <v>162</v>
      </c>
      <c r="BP122" s="0" t="n">
        <v>0</v>
      </c>
      <c r="BS122" s="6" t="s">
        <v>163</v>
      </c>
      <c r="BU122" s="6" t="s">
        <v>4605</v>
      </c>
      <c r="BV122" s="0" t="n">
        <v>5</v>
      </c>
      <c r="CF122" s="6" t="s">
        <v>158</v>
      </c>
      <c r="CK122" s="6" t="s">
        <v>158</v>
      </c>
      <c r="CL122" s="0" t="n">
        <v>42</v>
      </c>
      <c r="CM122" s="0" t="n">
        <v>6</v>
      </c>
      <c r="CN122" s="0" t="n">
        <v>8</v>
      </c>
      <c r="CO122" s="0" t="n">
        <v>15</v>
      </c>
      <c r="CP122" s="0" t="n">
        <v>5</v>
      </c>
      <c r="CQ122" s="0" t="n">
        <v>10</v>
      </c>
      <c r="CR122" s="0" t="n">
        <v>0</v>
      </c>
      <c r="CS122" s="6" t="n">
        <f aca="false">IF(R122="Y",10,0)</f>
        <v>0</v>
      </c>
      <c r="CT122" s="0" t="n">
        <v>-2</v>
      </c>
      <c r="CU122" s="6" t="s">
        <v>7466</v>
      </c>
      <c r="CV122" s="6" t="s">
        <v>5152</v>
      </c>
      <c r="CW122" s="6" t="s">
        <v>7467</v>
      </c>
      <c r="CX122" s="6" t="s">
        <v>7468</v>
      </c>
      <c r="DA122" s="6" t="s">
        <v>6236</v>
      </c>
      <c r="DY122" s="0" t="str">
        <f aca="false">IF(ISNUMBER(MATCH(U122,{"queued","contacted","replied","call_booked","call_done","yes_in_principle","materials_sent"},0)),"Y","N")</f>
        <v>N</v>
      </c>
      <c r="DZ122" s="0" t="str">
        <f aca="false">IF(COUNTIFS($AN$2:$AN$1000,AN122,$DY$2:$DY$1000,"Y")+COUNTIFS($AN$2:$AN$1000,AN122,$T$2:$T$1000,"Y")&gt;0,"Y","N")</f>
        <v>N</v>
      </c>
      <c r="EA122" s="0" t="str">
        <f aca="false">IF(AND(U122="new",T122="N",AR122="Y",AQ122="",DZ122="N"),"Y","N")</f>
        <v>N</v>
      </c>
      <c r="EB122" s="0" t="str">
        <f aca="false">IF(EA122&lt;&gt;"Y","N",IF(COUNTIFS($AN$2:$AN$1000,AN122,$EA$2:$EA$1000,"Y",$J$2:$J$1000,"&gt;"&amp;J122)+COUNTIFS($AN$2:$AN$1000,AN122,$EA$2:$EA$1000,"Y",$J$2:$J$1000,J122,$ED$2:$ED$1000,"&lt;"&amp;ED122)=0,"Y","N"))</f>
        <v>N</v>
      </c>
      <c r="EC122" s="0" t="str">
        <f aca="false">IF(Y122="","N",IF(Y122&lt;=10,"Y","N"))</f>
        <v>N</v>
      </c>
      <c r="ED122" s="6" t="n">
        <f aca="false">ROW()-1</f>
        <v>121</v>
      </c>
    </row>
    <row r="123" customFormat="false" ht="15" hidden="false" customHeight="false" outlineLevel="0" collapsed="false">
      <c r="A123" s="0" t="s">
        <v>7469</v>
      </c>
      <c r="B123" s="0" t="s">
        <v>7470</v>
      </c>
      <c r="F123" s="0" t="s">
        <v>7471</v>
      </c>
      <c r="H123" s="5" t="s">
        <v>158</v>
      </c>
      <c r="I123" s="5"/>
      <c r="J123" s="6" t="n">
        <f aca="false">IF(AU123="pass",CM123+CN123+CO123+CP123+CQ123+CR123+CS123+CT123,0)</f>
        <v>42</v>
      </c>
      <c r="K123" s="6" t="s">
        <v>7472</v>
      </c>
      <c r="M123" s="6" t="s">
        <v>5293</v>
      </c>
      <c r="N123" s="6" t="s">
        <v>598</v>
      </c>
      <c r="O123" s="6" t="s">
        <v>7473</v>
      </c>
      <c r="P123" s="6" t="s">
        <v>6708</v>
      </c>
      <c r="Q123" s="6" t="s">
        <v>6709</v>
      </c>
      <c r="R123" s="5" t="s">
        <v>162</v>
      </c>
      <c r="S123" s="6" t="s">
        <v>168</v>
      </c>
      <c r="T123" s="5" t="s">
        <v>162</v>
      </c>
      <c r="U123" s="5" t="s">
        <v>228</v>
      </c>
      <c r="V123" s="6" t="s">
        <v>7474</v>
      </c>
      <c r="W123" s="6" t="s">
        <v>166</v>
      </c>
      <c r="X123" s="6" t="s">
        <v>4586</v>
      </c>
      <c r="Y123" s="0" t="str">
        <f aca="false">IF(EB123&lt;&gt;"Y","",COUNTIFS($EB$2:$EB$1000,"Y",$J$2:$J$1000,"&gt;"&amp;J123)+COUNTIFS($EB$2:$EB$1000,"Y",$J$2:$J$1000,J123,$ED$2:$ED$1000,"&lt;"&amp;ED123)+1)</f>
        <v/>
      </c>
      <c r="Z123" s="0" t="n">
        <v>122</v>
      </c>
      <c r="AA123" s="6" t="s">
        <v>162</v>
      </c>
      <c r="AB123" s="6" t="s">
        <v>7475</v>
      </c>
      <c r="AC123" s="6" t="s">
        <v>4588</v>
      </c>
      <c r="AD123" s="6" t="s">
        <v>598</v>
      </c>
      <c r="AE123" s="6" t="s">
        <v>163</v>
      </c>
      <c r="AG123" s="6" t="s">
        <v>166</v>
      </c>
      <c r="AH123" s="6" t="s">
        <v>7476</v>
      </c>
      <c r="AI123" s="6" t="s">
        <v>5765</v>
      </c>
      <c r="AJ123" s="6" t="s">
        <v>7477</v>
      </c>
      <c r="AK123" s="6" t="s">
        <v>7478</v>
      </c>
      <c r="AL123" s="6" t="s">
        <v>168</v>
      </c>
      <c r="AM123" s="6" t="s">
        <v>7479</v>
      </c>
      <c r="AN123" s="6" t="s">
        <v>7469</v>
      </c>
      <c r="AO123" s="5" t="s">
        <v>162</v>
      </c>
      <c r="AR123" s="0" t="str">
        <f aca="false">IF(AND(AU123="pass",AO123&lt;&gt;"Y",C123&lt;&gt;""),"Y","N")</f>
        <v>N</v>
      </c>
      <c r="AS123" s="0" t="str">
        <f aca="false">_xlfn.TEXTJOIN("; ",TRUE(),IF(AU123&lt;&gt;"pass","gated out",""),IF(AO123="Y","on hold: "&amp;AP123,""),IF(C123="","no contact named on an opened page",""))</f>
        <v>no contact named on an opened page</v>
      </c>
      <c r="AU123" s="6" t="s">
        <v>181</v>
      </c>
      <c r="AW123" s="6" t="s">
        <v>182</v>
      </c>
      <c r="AX123" s="6" t="s">
        <v>6129</v>
      </c>
      <c r="AY123" s="6" t="s">
        <v>7478</v>
      </c>
      <c r="AZ123" s="6" t="s">
        <v>6478</v>
      </c>
      <c r="BA123" s="6" t="s">
        <v>5193</v>
      </c>
      <c r="BB123" s="6" t="s">
        <v>7480</v>
      </c>
      <c r="BC123" s="6" t="s">
        <v>7474</v>
      </c>
      <c r="BD123" s="6" t="s">
        <v>168</v>
      </c>
      <c r="BE123" s="6" t="s">
        <v>7481</v>
      </c>
      <c r="BF123" s="6" t="s">
        <v>168</v>
      </c>
      <c r="BG123" s="6" t="s">
        <v>168</v>
      </c>
      <c r="BH123" s="6" t="s">
        <v>163</v>
      </c>
      <c r="BJ123" s="6" t="s">
        <v>7482</v>
      </c>
      <c r="BK123" s="6" t="s">
        <v>162</v>
      </c>
      <c r="BL123" s="6" t="s">
        <v>162</v>
      </c>
      <c r="BO123" s="6" t="s">
        <v>162</v>
      </c>
      <c r="BP123" s="0" t="n">
        <v>0</v>
      </c>
      <c r="BS123" s="6" t="s">
        <v>7483</v>
      </c>
      <c r="BU123" s="6" t="s">
        <v>4605</v>
      </c>
      <c r="BV123" s="0" t="n">
        <v>61</v>
      </c>
      <c r="BW123" s="6" t="s">
        <v>5734</v>
      </c>
      <c r="BX123" s="6" t="s">
        <v>7484</v>
      </c>
      <c r="BZ123" s="6" t="s">
        <v>7485</v>
      </c>
      <c r="CF123" s="6" t="s">
        <v>158</v>
      </c>
      <c r="CK123" s="6" t="s">
        <v>158</v>
      </c>
      <c r="CL123" s="0" t="n">
        <v>42</v>
      </c>
      <c r="CM123" s="0" t="n">
        <v>6</v>
      </c>
      <c r="CN123" s="0" t="n">
        <v>8</v>
      </c>
      <c r="CO123" s="0" t="n">
        <v>15</v>
      </c>
      <c r="CP123" s="0" t="n">
        <v>5</v>
      </c>
      <c r="CQ123" s="0" t="n">
        <v>10</v>
      </c>
      <c r="CR123" s="0" t="n">
        <v>3</v>
      </c>
      <c r="CS123" s="6" t="n">
        <f aca="false">IF(R123="Y",10,0)</f>
        <v>0</v>
      </c>
      <c r="CT123" s="0" t="n">
        <v>-5</v>
      </c>
      <c r="CV123" s="6" t="s">
        <v>4616</v>
      </c>
      <c r="CW123" s="6" t="s">
        <v>7486</v>
      </c>
      <c r="CX123" s="6" t="s">
        <v>7487</v>
      </c>
      <c r="CY123" s="6" t="s">
        <v>7488</v>
      </c>
      <c r="DA123" s="6" t="s">
        <v>6236</v>
      </c>
      <c r="DY123" s="0" t="str">
        <f aca="false">IF(ISNUMBER(MATCH(U123,{"queued","contacted","replied","call_booked","call_done","yes_in_principle","materials_sent"},0)),"Y","N")</f>
        <v>N</v>
      </c>
      <c r="DZ123" s="0" t="str">
        <f aca="false">IF(COUNTIFS($AN$2:$AN$1000,AN123,$DY$2:$DY$1000,"Y")+COUNTIFS($AN$2:$AN$1000,AN123,$T$2:$T$1000,"Y")&gt;0,"Y","N")</f>
        <v>N</v>
      </c>
      <c r="EA123" s="0" t="str">
        <f aca="false">IF(AND(U123="new",T123="N",AR123="Y",AQ123="",DZ123="N"),"Y","N")</f>
        <v>N</v>
      </c>
      <c r="EB123" s="0" t="str">
        <f aca="false">IF(EA123&lt;&gt;"Y","N",IF(COUNTIFS($AN$2:$AN$1000,AN123,$EA$2:$EA$1000,"Y",$J$2:$J$1000,"&gt;"&amp;J123)+COUNTIFS($AN$2:$AN$1000,AN123,$EA$2:$EA$1000,"Y",$J$2:$J$1000,J123,$ED$2:$ED$1000,"&lt;"&amp;ED123)=0,"Y","N"))</f>
        <v>N</v>
      </c>
      <c r="EC123" s="0" t="str">
        <f aca="false">IF(Y123="","N",IF(Y123&lt;=10,"Y","N"))</f>
        <v>N</v>
      </c>
      <c r="ED123" s="6" t="n">
        <f aca="false">ROW()-1</f>
        <v>122</v>
      </c>
    </row>
    <row r="124" customFormat="false" ht="15" hidden="false" customHeight="false" outlineLevel="0" collapsed="false">
      <c r="A124" s="0" t="s">
        <v>7489</v>
      </c>
      <c r="B124" s="0" t="s">
        <v>7490</v>
      </c>
      <c r="H124" s="5" t="s">
        <v>158</v>
      </c>
      <c r="I124" s="5"/>
      <c r="J124" s="6" t="n">
        <f aca="false">IF(AU124="pass",CM124+CN124+CO124+CP124+CQ124+CR124+CS124+CT124,0)</f>
        <v>42</v>
      </c>
      <c r="K124" s="6" t="s">
        <v>7491</v>
      </c>
      <c r="M124" s="6" t="s">
        <v>5293</v>
      </c>
      <c r="N124" s="6" t="s">
        <v>598</v>
      </c>
      <c r="O124" s="6" t="s">
        <v>7492</v>
      </c>
      <c r="P124" s="6" t="s">
        <v>7493</v>
      </c>
      <c r="Q124" s="6" t="s">
        <v>885</v>
      </c>
      <c r="R124" s="5" t="s">
        <v>162</v>
      </c>
      <c r="S124" s="6" t="s">
        <v>163</v>
      </c>
      <c r="T124" s="5" t="s">
        <v>162</v>
      </c>
      <c r="U124" s="5" t="s">
        <v>228</v>
      </c>
      <c r="V124" s="6" t="s">
        <v>7494</v>
      </c>
      <c r="W124" s="6" t="s">
        <v>166</v>
      </c>
      <c r="X124" s="6" t="s">
        <v>4586</v>
      </c>
      <c r="Y124" s="0" t="str">
        <f aca="false">IF(EB124&lt;&gt;"Y","",COUNTIFS($EB$2:$EB$1000,"Y",$J$2:$J$1000,"&gt;"&amp;J124)+COUNTIFS($EB$2:$EB$1000,"Y",$J$2:$J$1000,J124,$ED$2:$ED$1000,"&lt;"&amp;ED124)+1)</f>
        <v/>
      </c>
      <c r="Z124" s="0" t="n">
        <v>123</v>
      </c>
      <c r="AA124" s="6" t="s">
        <v>162</v>
      </c>
      <c r="AB124" s="6" t="s">
        <v>6317</v>
      </c>
      <c r="AD124" s="6" t="s">
        <v>158</v>
      </c>
      <c r="AH124" s="6" t="s">
        <v>7495</v>
      </c>
      <c r="AI124" s="6" t="s">
        <v>4724</v>
      </c>
      <c r="AJ124" s="6" t="s">
        <v>7496</v>
      </c>
      <c r="AK124" s="6" t="s">
        <v>7497</v>
      </c>
      <c r="AL124" s="6" t="s">
        <v>168</v>
      </c>
      <c r="AM124" s="6" t="s">
        <v>7498</v>
      </c>
      <c r="AN124" s="6" t="s">
        <v>7489</v>
      </c>
      <c r="AO124" s="5" t="s">
        <v>162</v>
      </c>
      <c r="AR124" s="0" t="str">
        <f aca="false">IF(AND(AU124="pass",AO124&lt;&gt;"Y",C124&lt;&gt;""),"Y","N")</f>
        <v>N</v>
      </c>
      <c r="AS124" s="0" t="str">
        <f aca="false">_xlfn.TEXTJOIN("; ",TRUE(),IF(AU124&lt;&gt;"pass","gated out",""),IF(AO124="Y","on hold: "&amp;AP124,""),IF(C124="","no contact named on an opened page",""))</f>
        <v>no contact named on an opened page</v>
      </c>
      <c r="AU124" s="6" t="s">
        <v>181</v>
      </c>
      <c r="AW124" s="6" t="s">
        <v>182</v>
      </c>
      <c r="AX124" s="6" t="s">
        <v>283</v>
      </c>
      <c r="AY124" s="6" t="s">
        <v>7497</v>
      </c>
      <c r="AZ124" s="6" t="s">
        <v>4596</v>
      </c>
      <c r="BA124" s="6" t="s">
        <v>4597</v>
      </c>
      <c r="BB124" s="6" t="s">
        <v>163</v>
      </c>
      <c r="BD124" s="6" t="s">
        <v>163</v>
      </c>
      <c r="BE124" s="6" t="s">
        <v>7499</v>
      </c>
      <c r="BF124" s="6" t="s">
        <v>163</v>
      </c>
      <c r="BG124" s="6" t="s">
        <v>168</v>
      </c>
      <c r="BH124" s="6" t="s">
        <v>163</v>
      </c>
      <c r="BJ124" s="6" t="s">
        <v>163</v>
      </c>
      <c r="BK124" s="6" t="s">
        <v>162</v>
      </c>
      <c r="BL124" s="6" t="s">
        <v>162</v>
      </c>
      <c r="BO124" s="6" t="s">
        <v>162</v>
      </c>
      <c r="BP124" s="0" t="n">
        <v>0</v>
      </c>
      <c r="BT124" s="6" t="s">
        <v>7500</v>
      </c>
      <c r="BU124" s="6" t="s">
        <v>4695</v>
      </c>
      <c r="BV124" s="0" t="n">
        <v>45</v>
      </c>
      <c r="CF124" s="6" t="s">
        <v>158</v>
      </c>
      <c r="CK124" s="6" t="s">
        <v>158</v>
      </c>
      <c r="CL124" s="0" t="n">
        <v>42</v>
      </c>
      <c r="CM124" s="0" t="n">
        <v>6</v>
      </c>
      <c r="CN124" s="0" t="n">
        <v>20</v>
      </c>
      <c r="CO124" s="0" t="n">
        <v>8</v>
      </c>
      <c r="CP124" s="0" t="n">
        <v>5</v>
      </c>
      <c r="CQ124" s="0" t="n">
        <v>5</v>
      </c>
      <c r="CR124" s="0" t="n">
        <v>0</v>
      </c>
      <c r="CS124" s="6" t="n">
        <f aca="false">IF(R124="Y",10,0)</f>
        <v>0</v>
      </c>
      <c r="CT124" s="0" t="n">
        <v>-2</v>
      </c>
      <c r="CU124" s="6" t="s">
        <v>7501</v>
      </c>
      <c r="CV124" s="6" t="s">
        <v>4704</v>
      </c>
      <c r="CW124" s="6" t="s">
        <v>7502</v>
      </c>
      <c r="CX124" s="6" t="s">
        <v>7503</v>
      </c>
      <c r="DA124" s="6" t="s">
        <v>6236</v>
      </c>
      <c r="DY124" s="0" t="str">
        <f aca="false">IF(ISNUMBER(MATCH(U124,{"queued","contacted","replied","call_booked","call_done","yes_in_principle","materials_sent"},0)),"Y","N")</f>
        <v>N</v>
      </c>
      <c r="DZ124" s="0" t="str">
        <f aca="false">IF(COUNTIFS($AN$2:$AN$1000,AN124,$DY$2:$DY$1000,"Y")+COUNTIFS($AN$2:$AN$1000,AN124,$T$2:$T$1000,"Y")&gt;0,"Y","N")</f>
        <v>N</v>
      </c>
      <c r="EA124" s="0" t="str">
        <f aca="false">IF(AND(U124="new",T124="N",AR124="Y",AQ124="",DZ124="N"),"Y","N")</f>
        <v>N</v>
      </c>
      <c r="EB124" s="0" t="str">
        <f aca="false">IF(EA124&lt;&gt;"Y","N",IF(COUNTIFS($AN$2:$AN$1000,AN124,$EA$2:$EA$1000,"Y",$J$2:$J$1000,"&gt;"&amp;J124)+COUNTIFS($AN$2:$AN$1000,AN124,$EA$2:$EA$1000,"Y",$J$2:$J$1000,J124,$ED$2:$ED$1000,"&lt;"&amp;ED124)=0,"Y","N"))</f>
        <v>N</v>
      </c>
      <c r="EC124" s="0" t="str">
        <f aca="false">IF(Y124="","N",IF(Y124&lt;=10,"Y","N"))</f>
        <v>N</v>
      </c>
      <c r="ED124" s="6" t="n">
        <f aca="false">ROW()-1</f>
        <v>123</v>
      </c>
    </row>
    <row r="125" customFormat="false" ht="15" hidden="false" customHeight="false" outlineLevel="0" collapsed="false">
      <c r="A125" s="0" t="s">
        <v>7504</v>
      </c>
      <c r="B125" s="0" t="s">
        <v>7505</v>
      </c>
      <c r="H125" s="5" t="s">
        <v>158</v>
      </c>
      <c r="I125" s="5"/>
      <c r="J125" s="6" t="n">
        <f aca="false">IF(AU125="pass",CM125+CN125+CO125+CP125+CQ125+CR125+CS125+CT125,0)</f>
        <v>42</v>
      </c>
      <c r="K125" s="6" t="s">
        <v>7506</v>
      </c>
      <c r="M125" s="6" t="s">
        <v>5293</v>
      </c>
      <c r="N125" s="6" t="s">
        <v>598</v>
      </c>
      <c r="O125" s="6" t="s">
        <v>7507</v>
      </c>
      <c r="P125" s="6" t="s">
        <v>7508</v>
      </c>
      <c r="Q125" s="6" t="s">
        <v>7509</v>
      </c>
      <c r="R125" s="5" t="s">
        <v>162</v>
      </c>
      <c r="S125" s="6" t="s">
        <v>163</v>
      </c>
      <c r="T125" s="5" t="s">
        <v>162</v>
      </c>
      <c r="U125" s="5" t="s">
        <v>228</v>
      </c>
      <c r="V125" s="6" t="s">
        <v>6645</v>
      </c>
      <c r="W125" s="6" t="s">
        <v>174</v>
      </c>
      <c r="X125" s="6" t="s">
        <v>4586</v>
      </c>
      <c r="Y125" s="0" t="str">
        <f aca="false">IF(EB125&lt;&gt;"Y","",COUNTIFS($EB$2:$EB$1000,"Y",$J$2:$J$1000,"&gt;"&amp;J125)+COUNTIFS($EB$2:$EB$1000,"Y",$J$2:$J$1000,J125,$ED$2:$ED$1000,"&lt;"&amp;ED125)+1)</f>
        <v/>
      </c>
      <c r="Z125" s="0" t="n">
        <v>124</v>
      </c>
      <c r="AA125" s="6" t="s">
        <v>162</v>
      </c>
      <c r="AB125" s="6" t="s">
        <v>7475</v>
      </c>
      <c r="AD125" s="6" t="s">
        <v>158</v>
      </c>
      <c r="AH125" s="6" t="s">
        <v>7510</v>
      </c>
      <c r="AI125" s="6" t="s">
        <v>4665</v>
      </c>
      <c r="AJ125" s="6" t="s">
        <v>4635</v>
      </c>
      <c r="AK125" s="6" t="s">
        <v>7511</v>
      </c>
      <c r="AL125" s="6" t="s">
        <v>168</v>
      </c>
      <c r="AM125" s="6" t="s">
        <v>7512</v>
      </c>
      <c r="AN125" s="6" t="s">
        <v>7504</v>
      </c>
      <c r="AO125" s="5" t="s">
        <v>162</v>
      </c>
      <c r="AR125" s="0" t="str">
        <f aca="false">IF(AND(AU125="pass",AO125&lt;&gt;"Y",C125&lt;&gt;""),"Y","N")</f>
        <v>N</v>
      </c>
      <c r="AS125" s="0" t="str">
        <f aca="false">_xlfn.TEXTJOIN("; ",TRUE(),IF(AU125&lt;&gt;"pass","gated out",""),IF(AO125="Y","on hold: "&amp;AP125,""),IF(C125="","no contact named on an opened page",""))</f>
        <v>no contact named on an opened page</v>
      </c>
      <c r="AU125" s="6" t="s">
        <v>181</v>
      </c>
      <c r="AW125" s="6" t="s">
        <v>182</v>
      </c>
      <c r="AX125" s="6" t="s">
        <v>6129</v>
      </c>
      <c r="AY125" s="6" t="s">
        <v>7511</v>
      </c>
      <c r="AZ125" s="6" t="s">
        <v>4596</v>
      </c>
      <c r="BA125" s="6" t="s">
        <v>4597</v>
      </c>
      <c r="BB125" s="6" t="s">
        <v>163</v>
      </c>
      <c r="BD125" s="6" t="s">
        <v>168</v>
      </c>
      <c r="BE125" s="6" t="s">
        <v>7513</v>
      </c>
      <c r="BF125" s="6" t="s">
        <v>163</v>
      </c>
      <c r="BG125" s="6" t="s">
        <v>168</v>
      </c>
      <c r="BH125" s="6" t="s">
        <v>163</v>
      </c>
      <c r="BJ125" s="6" t="s">
        <v>5145</v>
      </c>
      <c r="BK125" s="6" t="s">
        <v>162</v>
      </c>
      <c r="BL125" s="6" t="s">
        <v>162</v>
      </c>
      <c r="BO125" s="6" t="s">
        <v>162</v>
      </c>
      <c r="BP125" s="0" t="n">
        <v>0</v>
      </c>
      <c r="BS125" s="6" t="s">
        <v>163</v>
      </c>
      <c r="BU125" s="6" t="s">
        <v>4695</v>
      </c>
      <c r="BV125" s="0" t="n">
        <v>20</v>
      </c>
      <c r="CF125" s="6" t="s">
        <v>158</v>
      </c>
      <c r="CK125" s="6" t="s">
        <v>158</v>
      </c>
      <c r="CL125" s="0" t="n">
        <v>42</v>
      </c>
      <c r="CM125" s="0" t="n">
        <v>6</v>
      </c>
      <c r="CN125" s="0" t="n">
        <v>20</v>
      </c>
      <c r="CO125" s="0" t="n">
        <v>8</v>
      </c>
      <c r="CP125" s="0" t="n">
        <v>5</v>
      </c>
      <c r="CQ125" s="0" t="n">
        <v>8</v>
      </c>
      <c r="CR125" s="0" t="n">
        <v>0</v>
      </c>
      <c r="CS125" s="6" t="n">
        <f aca="false">IF(R125="Y",10,0)</f>
        <v>0</v>
      </c>
      <c r="CT125" s="0" t="n">
        <v>-5</v>
      </c>
      <c r="CU125" s="6" t="s">
        <v>7514</v>
      </c>
      <c r="CV125" s="6" t="s">
        <v>5152</v>
      </c>
      <c r="CW125" s="6" t="s">
        <v>7515</v>
      </c>
      <c r="CX125" s="6" t="s">
        <v>7516</v>
      </c>
      <c r="DA125" s="6" t="s">
        <v>6236</v>
      </c>
      <c r="DY125" s="0" t="str">
        <f aca="false">IF(ISNUMBER(MATCH(U125,{"queued","contacted","replied","call_booked","call_done","yes_in_principle","materials_sent"},0)),"Y","N")</f>
        <v>N</v>
      </c>
      <c r="DZ125" s="0" t="str">
        <f aca="false">IF(COUNTIFS($AN$2:$AN$1000,AN125,$DY$2:$DY$1000,"Y")+COUNTIFS($AN$2:$AN$1000,AN125,$T$2:$T$1000,"Y")&gt;0,"Y","N")</f>
        <v>N</v>
      </c>
      <c r="EA125" s="0" t="str">
        <f aca="false">IF(AND(U125="new",T125="N",AR125="Y",AQ125="",DZ125="N"),"Y","N")</f>
        <v>N</v>
      </c>
      <c r="EB125" s="0" t="str">
        <f aca="false">IF(EA125&lt;&gt;"Y","N",IF(COUNTIFS($AN$2:$AN$1000,AN125,$EA$2:$EA$1000,"Y",$J$2:$J$1000,"&gt;"&amp;J125)+COUNTIFS($AN$2:$AN$1000,AN125,$EA$2:$EA$1000,"Y",$J$2:$J$1000,J125,$ED$2:$ED$1000,"&lt;"&amp;ED125)=0,"Y","N"))</f>
        <v>N</v>
      </c>
      <c r="EC125" s="0" t="str">
        <f aca="false">IF(Y125="","N",IF(Y125&lt;=10,"Y","N"))</f>
        <v>N</v>
      </c>
      <c r="ED125" s="6" t="n">
        <f aca="false">ROW()-1</f>
        <v>124</v>
      </c>
    </row>
    <row r="126" customFormat="false" ht="15" hidden="false" customHeight="false" outlineLevel="0" collapsed="false">
      <c r="A126" s="0" t="s">
        <v>7517</v>
      </c>
      <c r="B126" s="0" t="s">
        <v>7518</v>
      </c>
      <c r="H126" s="5" t="s">
        <v>158</v>
      </c>
      <c r="I126" s="5"/>
      <c r="J126" s="6" t="n">
        <f aca="false">IF(AU126="pass",CM126+CN126+CO126+CP126+CQ126+CR126+CS126+CT126,0)</f>
        <v>42</v>
      </c>
      <c r="K126" s="6" t="s">
        <v>7519</v>
      </c>
      <c r="M126" s="6" t="s">
        <v>5293</v>
      </c>
      <c r="N126" s="6" t="s">
        <v>598</v>
      </c>
      <c r="O126" s="6" t="s">
        <v>7520</v>
      </c>
      <c r="P126" s="6" t="s">
        <v>7521</v>
      </c>
      <c r="Q126" s="6" t="s">
        <v>5726</v>
      </c>
      <c r="R126" s="5" t="s">
        <v>162</v>
      </c>
      <c r="S126" s="6" t="s">
        <v>163</v>
      </c>
      <c r="T126" s="5" t="s">
        <v>162</v>
      </c>
      <c r="U126" s="5" t="s">
        <v>228</v>
      </c>
      <c r="V126" s="6" t="s">
        <v>7522</v>
      </c>
      <c r="W126" s="6" t="s">
        <v>166</v>
      </c>
      <c r="X126" s="6" t="s">
        <v>4586</v>
      </c>
      <c r="Y126" s="0" t="str">
        <f aca="false">IF(EB126&lt;&gt;"Y","",COUNTIFS($EB$2:$EB$1000,"Y",$J$2:$J$1000,"&gt;"&amp;J126)+COUNTIFS($EB$2:$EB$1000,"Y",$J$2:$J$1000,J126,$ED$2:$ED$1000,"&lt;"&amp;ED126)+1)</f>
        <v/>
      </c>
      <c r="Z126" s="0" t="n">
        <v>125</v>
      </c>
      <c r="AA126" s="6" t="s">
        <v>162</v>
      </c>
      <c r="AB126" s="6" t="s">
        <v>6917</v>
      </c>
      <c r="AD126" s="6" t="s">
        <v>158</v>
      </c>
      <c r="AH126" s="6" t="s">
        <v>7523</v>
      </c>
      <c r="AI126" s="6" t="s">
        <v>5765</v>
      </c>
      <c r="AJ126" s="6" t="s">
        <v>192</v>
      </c>
      <c r="AK126" s="6" t="s">
        <v>7522</v>
      </c>
      <c r="AL126" s="6" t="s">
        <v>168</v>
      </c>
      <c r="AM126" s="6" t="s">
        <v>7524</v>
      </c>
      <c r="AN126" s="6" t="s">
        <v>7517</v>
      </c>
      <c r="AO126" s="5" t="s">
        <v>162</v>
      </c>
      <c r="AR126" s="0" t="str">
        <f aca="false">IF(AND(AU126="pass",AO126&lt;&gt;"Y",C126&lt;&gt;""),"Y","N")</f>
        <v>N</v>
      </c>
      <c r="AS126" s="0" t="str">
        <f aca="false">_xlfn.TEXTJOIN("; ",TRUE(),IF(AU126&lt;&gt;"pass","gated out",""),IF(AO126="Y","on hold: "&amp;AP126,""),IF(C126="","no contact named on an opened page",""))</f>
        <v>no contact named on an opened page</v>
      </c>
      <c r="AU126" s="6" t="s">
        <v>181</v>
      </c>
      <c r="AW126" s="6" t="s">
        <v>182</v>
      </c>
      <c r="AX126" s="6" t="s">
        <v>4595</v>
      </c>
      <c r="AY126" s="6" t="s">
        <v>7522</v>
      </c>
      <c r="AZ126" s="6" t="s">
        <v>4596</v>
      </c>
      <c r="BA126" s="6" t="s">
        <v>4597</v>
      </c>
      <c r="BB126" s="6" t="s">
        <v>163</v>
      </c>
      <c r="BD126" s="6" t="s">
        <v>163</v>
      </c>
      <c r="BE126" s="6" t="s">
        <v>5929</v>
      </c>
      <c r="BF126" s="6" t="s">
        <v>168</v>
      </c>
      <c r="BG126" s="6" t="s">
        <v>168</v>
      </c>
      <c r="BH126" s="6" t="s">
        <v>163</v>
      </c>
      <c r="BJ126" s="6" t="s">
        <v>5551</v>
      </c>
      <c r="BK126" s="6" t="s">
        <v>162</v>
      </c>
      <c r="BL126" s="6" t="s">
        <v>162</v>
      </c>
      <c r="BO126" s="6" t="s">
        <v>162</v>
      </c>
      <c r="BP126" s="0" t="n">
        <v>0</v>
      </c>
      <c r="BS126" s="6" t="s">
        <v>7162</v>
      </c>
      <c r="BT126" s="6" t="s">
        <v>7525</v>
      </c>
      <c r="BU126" s="6" t="s">
        <v>4695</v>
      </c>
      <c r="BV126" s="0" t="n">
        <v>26</v>
      </c>
      <c r="CF126" s="6" t="s">
        <v>158</v>
      </c>
      <c r="CK126" s="6" t="s">
        <v>158</v>
      </c>
      <c r="CL126" s="0" t="n">
        <v>42</v>
      </c>
      <c r="CM126" s="0" t="n">
        <v>6</v>
      </c>
      <c r="CN126" s="0" t="n">
        <v>20</v>
      </c>
      <c r="CO126" s="0" t="n">
        <v>8</v>
      </c>
      <c r="CP126" s="0" t="n">
        <v>5</v>
      </c>
      <c r="CQ126" s="0" t="n">
        <v>7</v>
      </c>
      <c r="CR126" s="0" t="n">
        <v>0</v>
      </c>
      <c r="CS126" s="6" t="n">
        <f aca="false">IF(R126="Y",10,0)</f>
        <v>0</v>
      </c>
      <c r="CT126" s="0" t="n">
        <v>-4</v>
      </c>
      <c r="CU126" s="6" t="s">
        <v>163</v>
      </c>
      <c r="CV126" s="6" t="s">
        <v>5564</v>
      </c>
      <c r="CW126" s="6" t="s">
        <v>7526</v>
      </c>
      <c r="CX126" s="6" t="s">
        <v>7527</v>
      </c>
      <c r="CY126" s="6" t="s">
        <v>7528</v>
      </c>
      <c r="DA126" s="6" t="s">
        <v>6236</v>
      </c>
      <c r="DY126" s="0" t="str">
        <f aca="false">IF(ISNUMBER(MATCH(U126,{"queued","contacted","replied","call_booked","call_done","yes_in_principle","materials_sent"},0)),"Y","N")</f>
        <v>N</v>
      </c>
      <c r="DZ126" s="0" t="str">
        <f aca="false">IF(COUNTIFS($AN$2:$AN$1000,AN126,$DY$2:$DY$1000,"Y")+COUNTIFS($AN$2:$AN$1000,AN126,$T$2:$T$1000,"Y")&gt;0,"Y","N")</f>
        <v>N</v>
      </c>
      <c r="EA126" s="0" t="str">
        <f aca="false">IF(AND(U126="new",T126="N",AR126="Y",AQ126="",DZ126="N"),"Y","N")</f>
        <v>N</v>
      </c>
      <c r="EB126" s="0" t="str">
        <f aca="false">IF(EA126&lt;&gt;"Y","N",IF(COUNTIFS($AN$2:$AN$1000,AN126,$EA$2:$EA$1000,"Y",$J$2:$J$1000,"&gt;"&amp;J126)+COUNTIFS($AN$2:$AN$1000,AN126,$EA$2:$EA$1000,"Y",$J$2:$J$1000,J126,$ED$2:$ED$1000,"&lt;"&amp;ED126)=0,"Y","N"))</f>
        <v>N</v>
      </c>
      <c r="EC126" s="0" t="str">
        <f aca="false">IF(Y126="","N",IF(Y126&lt;=10,"Y","N"))</f>
        <v>N</v>
      </c>
      <c r="ED126" s="6" t="n">
        <f aca="false">ROW()-1</f>
        <v>125</v>
      </c>
    </row>
    <row r="127" customFormat="false" ht="15" hidden="false" customHeight="false" outlineLevel="0" collapsed="false">
      <c r="A127" s="0" t="s">
        <v>7529</v>
      </c>
      <c r="B127" s="0" t="s">
        <v>7530</v>
      </c>
      <c r="C127" s="0" t="s">
        <v>321</v>
      </c>
      <c r="D127" s="0" t="s">
        <v>7531</v>
      </c>
      <c r="E127" s="0" t="s">
        <v>4773</v>
      </c>
      <c r="H127" s="5" t="s">
        <v>158</v>
      </c>
      <c r="I127" s="5" t="s">
        <v>159</v>
      </c>
      <c r="J127" s="6" t="n">
        <f aca="false">IF(AU127="pass",CM127+CN127+CO127+CP127+CQ127+CR127+CS127+CT127,0)</f>
        <v>42</v>
      </c>
      <c r="K127" s="6" t="s">
        <v>7532</v>
      </c>
      <c r="M127" s="6" t="s">
        <v>5293</v>
      </c>
      <c r="N127" s="6" t="s">
        <v>598</v>
      </c>
      <c r="O127" s="6" t="s">
        <v>7533</v>
      </c>
      <c r="P127" s="6" t="s">
        <v>7534</v>
      </c>
      <c r="Q127" s="6" t="s">
        <v>4160</v>
      </c>
      <c r="R127" s="5" t="s">
        <v>162</v>
      </c>
      <c r="S127" s="6" t="s">
        <v>163</v>
      </c>
      <c r="T127" s="5" t="s">
        <v>162</v>
      </c>
      <c r="U127" s="5" t="s">
        <v>228</v>
      </c>
      <c r="V127" s="6" t="s">
        <v>7535</v>
      </c>
      <c r="W127" s="6" t="s">
        <v>166</v>
      </c>
      <c r="X127" s="6" t="s">
        <v>4586</v>
      </c>
      <c r="Y127" s="6" t="n">
        <f aca="false">IF(EB127&lt;&gt;"Y","",COUNTIFS($EB$2:$EB$1000,"Y",$J$2:$J$1000,"&gt;"&amp;J127)+COUNTIFS($EB$2:$EB$1000,"Y",$J$2:$J$1000,J127,$ED$2:$ED$1000,"&lt;"&amp;ED127)+1)</f>
        <v>103</v>
      </c>
      <c r="Z127" s="0" t="n">
        <v>126</v>
      </c>
      <c r="AA127" s="6" t="s">
        <v>162</v>
      </c>
      <c r="AB127" s="6" t="s">
        <v>7536</v>
      </c>
      <c r="AC127" s="6" t="s">
        <v>4588</v>
      </c>
      <c r="AD127" s="6" t="s">
        <v>171</v>
      </c>
      <c r="AE127" s="6" t="s">
        <v>172</v>
      </c>
      <c r="AF127" s="6" t="s">
        <v>7535</v>
      </c>
      <c r="AG127" s="6" t="s">
        <v>166</v>
      </c>
      <c r="AH127" s="6" t="s">
        <v>7537</v>
      </c>
      <c r="AI127" s="6" t="s">
        <v>4634</v>
      </c>
      <c r="AJ127" s="6" t="s">
        <v>7538</v>
      </c>
      <c r="AK127" s="6" t="s">
        <v>7539</v>
      </c>
      <c r="AL127" s="6" t="s">
        <v>168</v>
      </c>
      <c r="AM127" s="6" t="s">
        <v>7540</v>
      </c>
      <c r="AN127" s="6" t="s">
        <v>7529</v>
      </c>
      <c r="AO127" s="5" t="s">
        <v>162</v>
      </c>
      <c r="AR127" s="0" t="str">
        <f aca="false">IF(AND(AU127="pass",AO127&lt;&gt;"Y",C127&lt;&gt;""),"Y","N")</f>
        <v>Y</v>
      </c>
      <c r="AS127" s="0" t="str">
        <f aca="false">_xlfn.TEXTJOIN("; ",TRUE(),IF(AU127&lt;&gt;"pass","gated out",""),IF(AO127="Y","on hold: "&amp;AP127,""),IF(C127="","no contact named on an opened page",""))</f>
        <v/>
      </c>
      <c r="AU127" s="6" t="s">
        <v>181</v>
      </c>
      <c r="AW127" s="6" t="s">
        <v>182</v>
      </c>
      <c r="AX127" s="6" t="s">
        <v>5518</v>
      </c>
      <c r="AY127" s="6" t="s">
        <v>7539</v>
      </c>
      <c r="AZ127" s="6" t="s">
        <v>4596</v>
      </c>
      <c r="BA127" s="6" t="s">
        <v>4953</v>
      </c>
      <c r="BB127" s="6" t="s">
        <v>163</v>
      </c>
      <c r="BD127" s="6" t="s">
        <v>168</v>
      </c>
      <c r="BE127" s="6" t="s">
        <v>7541</v>
      </c>
      <c r="BF127" s="6" t="s">
        <v>163</v>
      </c>
      <c r="BG127" s="6" t="s">
        <v>168</v>
      </c>
      <c r="BH127" s="6" t="s">
        <v>163</v>
      </c>
      <c r="BJ127" s="6" t="s">
        <v>163</v>
      </c>
      <c r="BK127" s="6" t="s">
        <v>162</v>
      </c>
      <c r="BL127" s="6" t="s">
        <v>162</v>
      </c>
      <c r="BO127" s="6" t="s">
        <v>162</v>
      </c>
      <c r="BP127" s="0" t="n">
        <v>0</v>
      </c>
      <c r="BS127" s="6" t="s">
        <v>7542</v>
      </c>
      <c r="BT127" s="6" t="s">
        <v>7543</v>
      </c>
      <c r="BU127" s="6" t="s">
        <v>4695</v>
      </c>
      <c r="BV127" s="0" t="n">
        <v>2</v>
      </c>
      <c r="BX127" s="6" t="s">
        <v>7544</v>
      </c>
      <c r="CF127" s="6" t="s">
        <v>158</v>
      </c>
      <c r="CK127" s="6" t="s">
        <v>158</v>
      </c>
      <c r="CL127" s="0" t="n">
        <v>42</v>
      </c>
      <c r="CM127" s="0" t="n">
        <v>6</v>
      </c>
      <c r="CN127" s="0" t="n">
        <v>13</v>
      </c>
      <c r="CO127" s="0" t="n">
        <v>8</v>
      </c>
      <c r="CP127" s="0" t="n">
        <v>5</v>
      </c>
      <c r="CQ127" s="0" t="n">
        <v>8</v>
      </c>
      <c r="CR127" s="0" t="n">
        <v>6</v>
      </c>
      <c r="CS127" s="6" t="n">
        <f aca="false">IF(R127="Y",10,0)</f>
        <v>0</v>
      </c>
      <c r="CT127" s="0" t="n">
        <v>-4</v>
      </c>
      <c r="CV127" s="6" t="s">
        <v>4616</v>
      </c>
      <c r="CW127" s="6" t="s">
        <v>7545</v>
      </c>
      <c r="CX127" s="6" t="s">
        <v>7546</v>
      </c>
      <c r="CY127" s="6" t="s">
        <v>7547</v>
      </c>
      <c r="DA127" s="6" t="s">
        <v>6236</v>
      </c>
      <c r="DY127" s="0" t="str">
        <f aca="false">IF(ISNUMBER(MATCH(U127,{"queued","contacted","replied","call_booked","call_done","yes_in_principle","materials_sent"},0)),"Y","N")</f>
        <v>N</v>
      </c>
      <c r="DZ127" s="0" t="str">
        <f aca="false">IF(COUNTIFS($AN$2:$AN$1000,AN127,$DY$2:$DY$1000,"Y")+COUNTIFS($AN$2:$AN$1000,AN127,$T$2:$T$1000,"Y")&gt;0,"Y","N")</f>
        <v>N</v>
      </c>
      <c r="EA127" s="0" t="str">
        <f aca="false">IF(AND(U127="new",T127="N",AR127="Y",AQ127="",DZ127="N"),"Y","N")</f>
        <v>Y</v>
      </c>
      <c r="EB127" s="0" t="str">
        <f aca="false">IF(EA127&lt;&gt;"Y","N",IF(COUNTIFS($AN$2:$AN$1000,AN127,$EA$2:$EA$1000,"Y",$J$2:$J$1000,"&gt;"&amp;J127)+COUNTIFS($AN$2:$AN$1000,AN127,$EA$2:$EA$1000,"Y",$J$2:$J$1000,J127,$ED$2:$ED$1000,"&lt;"&amp;ED127)=0,"Y","N"))</f>
        <v>Y</v>
      </c>
      <c r="EC127" s="0" t="str">
        <f aca="false">IF(Y127="","N",IF(Y127&lt;=10,"Y","N"))</f>
        <v>N</v>
      </c>
      <c r="ED127" s="6" t="n">
        <f aca="false">ROW()-1</f>
        <v>126</v>
      </c>
    </row>
    <row r="128" customFormat="false" ht="15" hidden="false" customHeight="false" outlineLevel="0" collapsed="false">
      <c r="A128" s="0" t="s">
        <v>7548</v>
      </c>
      <c r="B128" s="0" t="s">
        <v>7549</v>
      </c>
      <c r="C128" s="0" t="s">
        <v>5890</v>
      </c>
      <c r="D128" s="0" t="s">
        <v>7550</v>
      </c>
      <c r="E128" s="0" t="s">
        <v>4773</v>
      </c>
      <c r="H128" s="5" t="s">
        <v>158</v>
      </c>
      <c r="I128" s="5" t="s">
        <v>159</v>
      </c>
      <c r="J128" s="6" t="n">
        <f aca="false">IF(AU128="pass",CM128+CN128+CO128+CP128+CQ128+CR128+CS128+CT128,0)</f>
        <v>42</v>
      </c>
      <c r="K128" s="6" t="s">
        <v>7551</v>
      </c>
      <c r="M128" s="6" t="s">
        <v>5293</v>
      </c>
      <c r="N128" s="6" t="s">
        <v>598</v>
      </c>
      <c r="O128" s="6" t="s">
        <v>7552</v>
      </c>
      <c r="P128" s="6" t="s">
        <v>7553</v>
      </c>
      <c r="Q128" s="6" t="s">
        <v>7554</v>
      </c>
      <c r="R128" s="5" t="s">
        <v>162</v>
      </c>
      <c r="S128" s="6" t="s">
        <v>168</v>
      </c>
      <c r="T128" s="5" t="s">
        <v>162</v>
      </c>
      <c r="U128" s="5" t="s">
        <v>228</v>
      </c>
      <c r="V128" s="6" t="s">
        <v>7555</v>
      </c>
      <c r="W128" s="6" t="s">
        <v>166</v>
      </c>
      <c r="X128" s="6" t="s">
        <v>4586</v>
      </c>
      <c r="Y128" s="6" t="n">
        <f aca="false">IF(EB128&lt;&gt;"Y","",COUNTIFS($EB$2:$EB$1000,"Y",$J$2:$J$1000,"&gt;"&amp;J128)+COUNTIFS($EB$2:$EB$1000,"Y",$J$2:$J$1000,J128,$ED$2:$ED$1000,"&lt;"&amp;ED128)+1)</f>
        <v>104</v>
      </c>
      <c r="Z128" s="0" t="n">
        <v>127</v>
      </c>
      <c r="AA128" s="6" t="s">
        <v>162</v>
      </c>
      <c r="AB128" s="6" t="s">
        <v>7556</v>
      </c>
      <c r="AC128" s="6" t="s">
        <v>4588</v>
      </c>
      <c r="AD128" s="6" t="s">
        <v>171</v>
      </c>
      <c r="AE128" s="6" t="s">
        <v>1190</v>
      </c>
      <c r="AF128" s="6" t="s">
        <v>7553</v>
      </c>
      <c r="AG128" s="6" t="s">
        <v>166</v>
      </c>
      <c r="AH128" s="6" t="s">
        <v>7557</v>
      </c>
      <c r="AI128" s="6" t="s">
        <v>5463</v>
      </c>
      <c r="AJ128" s="6" t="s">
        <v>192</v>
      </c>
      <c r="AK128" s="6" t="s">
        <v>7558</v>
      </c>
      <c r="AL128" s="6" t="s">
        <v>168</v>
      </c>
      <c r="AM128" s="6" t="s">
        <v>7559</v>
      </c>
      <c r="AN128" s="6" t="s">
        <v>7548</v>
      </c>
      <c r="AO128" s="5" t="s">
        <v>162</v>
      </c>
      <c r="AR128" s="0" t="str">
        <f aca="false">IF(AND(AU128="pass",AO128&lt;&gt;"Y",C128&lt;&gt;""),"Y","N")</f>
        <v>Y</v>
      </c>
      <c r="AS128" s="0" t="str">
        <f aca="false">_xlfn.TEXTJOIN("; ",TRUE(),IF(AU128&lt;&gt;"pass","gated out",""),IF(AO128="Y","on hold: "&amp;AP128,""),IF(C128="","no contact named on an opened page",""))</f>
        <v/>
      </c>
      <c r="AU128" s="6" t="s">
        <v>181</v>
      </c>
      <c r="AW128" s="6" t="s">
        <v>182</v>
      </c>
      <c r="AX128" s="6" t="s">
        <v>6129</v>
      </c>
      <c r="AY128" s="6" t="s">
        <v>7558</v>
      </c>
      <c r="AZ128" s="6" t="s">
        <v>4596</v>
      </c>
      <c r="BA128" s="6" t="s">
        <v>4597</v>
      </c>
      <c r="BB128" s="6" t="s">
        <v>7560</v>
      </c>
      <c r="BC128" s="6" t="s">
        <v>7553</v>
      </c>
      <c r="BD128" s="6" t="s">
        <v>168</v>
      </c>
      <c r="BE128" s="6" t="s">
        <v>7561</v>
      </c>
      <c r="BF128" s="6" t="s">
        <v>168</v>
      </c>
      <c r="BG128" s="6" t="s">
        <v>168</v>
      </c>
      <c r="BH128" s="6" t="s">
        <v>163</v>
      </c>
      <c r="BJ128" s="6" t="s">
        <v>7562</v>
      </c>
      <c r="BK128" s="6" t="s">
        <v>162</v>
      </c>
      <c r="BL128" s="6" t="s">
        <v>162</v>
      </c>
      <c r="BO128" s="6" t="s">
        <v>162</v>
      </c>
      <c r="BP128" s="0" t="n">
        <v>0</v>
      </c>
      <c r="BR128" s="6" t="s">
        <v>6764</v>
      </c>
      <c r="BS128" s="6" t="s">
        <v>7563</v>
      </c>
      <c r="BT128" s="6" t="s">
        <v>7564</v>
      </c>
      <c r="BU128" s="6" t="s">
        <v>598</v>
      </c>
      <c r="BV128" s="0" t="n">
        <v>110</v>
      </c>
      <c r="BW128" s="6" t="s">
        <v>7553</v>
      </c>
      <c r="BX128" s="6" t="s">
        <v>7565</v>
      </c>
      <c r="CF128" s="6" t="s">
        <v>158</v>
      </c>
      <c r="CK128" s="6" t="s">
        <v>158</v>
      </c>
      <c r="CL128" s="0" t="n">
        <v>42</v>
      </c>
      <c r="CM128" s="0" t="n">
        <v>6</v>
      </c>
      <c r="CN128" s="0" t="n">
        <v>20</v>
      </c>
      <c r="CO128" s="0" t="n">
        <v>0</v>
      </c>
      <c r="CP128" s="0" t="n">
        <v>5</v>
      </c>
      <c r="CQ128" s="0" t="n">
        <v>10</v>
      </c>
      <c r="CR128" s="0" t="n">
        <v>6</v>
      </c>
      <c r="CS128" s="6" t="n">
        <f aca="false">IF(R128="Y",10,0)</f>
        <v>0</v>
      </c>
      <c r="CT128" s="0" t="n">
        <v>-5</v>
      </c>
      <c r="CU128" s="6" t="s">
        <v>7566</v>
      </c>
      <c r="CV128" s="6" t="s">
        <v>4843</v>
      </c>
      <c r="CW128" s="6" t="s">
        <v>7567</v>
      </c>
      <c r="CX128" s="6" t="s">
        <v>7568</v>
      </c>
      <c r="CY128" s="6" t="s">
        <v>7569</v>
      </c>
      <c r="DA128" s="6" t="s">
        <v>6236</v>
      </c>
      <c r="DY128" s="0" t="str">
        <f aca="false">IF(ISNUMBER(MATCH(U128,{"queued","contacted","replied","call_booked","call_done","yes_in_principle","materials_sent"},0)),"Y","N")</f>
        <v>N</v>
      </c>
      <c r="DZ128" s="0" t="str">
        <f aca="false">IF(COUNTIFS($AN$2:$AN$1000,AN128,$DY$2:$DY$1000,"Y")+COUNTIFS($AN$2:$AN$1000,AN128,$T$2:$T$1000,"Y")&gt;0,"Y","N")</f>
        <v>N</v>
      </c>
      <c r="EA128" s="0" t="str">
        <f aca="false">IF(AND(U128="new",T128="N",AR128="Y",AQ128="",DZ128="N"),"Y","N")</f>
        <v>Y</v>
      </c>
      <c r="EB128" s="0" t="str">
        <f aca="false">IF(EA128&lt;&gt;"Y","N",IF(COUNTIFS($AN$2:$AN$1000,AN128,$EA$2:$EA$1000,"Y",$J$2:$J$1000,"&gt;"&amp;J128)+COUNTIFS($AN$2:$AN$1000,AN128,$EA$2:$EA$1000,"Y",$J$2:$J$1000,J128,$ED$2:$ED$1000,"&lt;"&amp;ED128)=0,"Y","N"))</f>
        <v>Y</v>
      </c>
      <c r="EC128" s="0" t="str">
        <f aca="false">IF(Y128="","N",IF(Y128&lt;=10,"Y","N"))</f>
        <v>N</v>
      </c>
      <c r="ED128" s="6" t="n">
        <f aca="false">ROW()-1</f>
        <v>127</v>
      </c>
    </row>
    <row r="129" customFormat="false" ht="15" hidden="false" customHeight="false" outlineLevel="0" collapsed="false">
      <c r="A129" s="0" t="s">
        <v>7570</v>
      </c>
      <c r="B129" s="0" t="s">
        <v>7571</v>
      </c>
      <c r="H129" s="5" t="s">
        <v>158</v>
      </c>
      <c r="I129" s="5"/>
      <c r="J129" s="6" t="n">
        <f aca="false">IF(AU129="pass",CM129+CN129+CO129+CP129+CQ129+CR129+CS129+CT129,0)</f>
        <v>41</v>
      </c>
      <c r="K129" s="6" t="s">
        <v>7572</v>
      </c>
      <c r="M129" s="6" t="s">
        <v>4628</v>
      </c>
      <c r="N129" s="6" t="s">
        <v>4582</v>
      </c>
      <c r="O129" s="6" t="s">
        <v>7573</v>
      </c>
      <c r="P129" s="6" t="s">
        <v>7574</v>
      </c>
      <c r="Q129" s="6" t="s">
        <v>5785</v>
      </c>
      <c r="R129" s="5" t="s">
        <v>162</v>
      </c>
      <c r="S129" s="6" t="s">
        <v>163</v>
      </c>
      <c r="T129" s="5" t="s">
        <v>162</v>
      </c>
      <c r="U129" s="5" t="s">
        <v>228</v>
      </c>
      <c r="V129" s="6" t="s">
        <v>7575</v>
      </c>
      <c r="W129" s="6" t="s">
        <v>166</v>
      </c>
      <c r="X129" s="6" t="s">
        <v>4586</v>
      </c>
      <c r="Y129" s="0" t="str">
        <f aca="false">IF(EB129&lt;&gt;"Y","",COUNTIFS($EB$2:$EB$1000,"Y",$J$2:$J$1000,"&gt;"&amp;J129)+COUNTIFS($EB$2:$EB$1000,"Y",$J$2:$J$1000,J129,$ED$2:$ED$1000,"&lt;"&amp;ED129)+1)</f>
        <v/>
      </c>
      <c r="Z129" s="0" t="n">
        <v>128</v>
      </c>
      <c r="AA129" s="6" t="s">
        <v>162</v>
      </c>
      <c r="AB129" s="6" t="s">
        <v>7576</v>
      </c>
      <c r="AD129" s="6" t="s">
        <v>158</v>
      </c>
      <c r="AH129" s="6" t="s">
        <v>7577</v>
      </c>
      <c r="AI129" s="6" t="s">
        <v>4634</v>
      </c>
      <c r="AJ129" s="6" t="s">
        <v>7578</v>
      </c>
      <c r="AK129" s="6" t="s">
        <v>7579</v>
      </c>
      <c r="AL129" s="6" t="s">
        <v>168</v>
      </c>
      <c r="AM129" s="6" t="s">
        <v>7580</v>
      </c>
      <c r="AN129" s="6" t="s">
        <v>7570</v>
      </c>
      <c r="AO129" s="5" t="s">
        <v>162</v>
      </c>
      <c r="AR129" s="0" t="str">
        <f aca="false">IF(AND(AU129="pass",AO129&lt;&gt;"Y",C129&lt;&gt;""),"Y","N")</f>
        <v>N</v>
      </c>
      <c r="AS129" s="0" t="str">
        <f aca="false">_xlfn.TEXTJOIN("; ",TRUE(),IF(AU129&lt;&gt;"pass","gated out",""),IF(AO129="Y","on hold: "&amp;AP129,""),IF(C129="","no contact named on an opened page",""))</f>
        <v>no contact named on an opened page</v>
      </c>
      <c r="AU129" s="6" t="s">
        <v>181</v>
      </c>
      <c r="AW129" s="6" t="s">
        <v>182</v>
      </c>
      <c r="AX129" s="6" t="s">
        <v>7581</v>
      </c>
      <c r="AY129" s="6" t="s">
        <v>7579</v>
      </c>
      <c r="AZ129" s="6" t="s">
        <v>6691</v>
      </c>
      <c r="BA129" s="6" t="s">
        <v>5193</v>
      </c>
      <c r="BB129" s="6" t="s">
        <v>7582</v>
      </c>
      <c r="BD129" s="6" t="s">
        <v>168</v>
      </c>
      <c r="BE129" s="6" t="s">
        <v>7583</v>
      </c>
      <c r="BF129" s="6" t="s">
        <v>162</v>
      </c>
      <c r="BG129" s="6" t="s">
        <v>168</v>
      </c>
      <c r="BH129" s="6" t="s">
        <v>163</v>
      </c>
      <c r="BJ129" s="6" t="s">
        <v>163</v>
      </c>
      <c r="BK129" s="6" t="s">
        <v>162</v>
      </c>
      <c r="BL129" s="6" t="s">
        <v>162</v>
      </c>
      <c r="BN129" s="0" t="n">
        <v>0</v>
      </c>
      <c r="BO129" s="6" t="s">
        <v>168</v>
      </c>
      <c r="BP129" s="0" t="n">
        <v>1</v>
      </c>
      <c r="BQ129" s="6" t="s">
        <v>4638</v>
      </c>
      <c r="BS129" s="6" t="s">
        <v>7584</v>
      </c>
      <c r="BT129" s="6" t="s">
        <v>7585</v>
      </c>
      <c r="BU129" s="6" t="s">
        <v>4695</v>
      </c>
      <c r="BV129" s="0" t="n">
        <v>8</v>
      </c>
      <c r="CF129" s="6" t="s">
        <v>158</v>
      </c>
      <c r="CK129" s="6" t="s">
        <v>158</v>
      </c>
      <c r="CL129" s="0" t="n">
        <v>41</v>
      </c>
      <c r="CM129" s="0" t="n">
        <v>25</v>
      </c>
      <c r="CN129" s="0" t="n">
        <v>8</v>
      </c>
      <c r="CO129" s="0" t="n">
        <v>8</v>
      </c>
      <c r="CP129" s="0" t="n">
        <v>5</v>
      </c>
      <c r="CQ129" s="0" t="n">
        <v>7</v>
      </c>
      <c r="CR129" s="0" t="n">
        <v>0</v>
      </c>
      <c r="CS129" s="6" t="n">
        <f aca="false">IF(R129="Y",10,0)</f>
        <v>0</v>
      </c>
      <c r="CT129" s="0" t="n">
        <v>-12</v>
      </c>
      <c r="CU129" s="6" t="s">
        <v>163</v>
      </c>
      <c r="CV129" s="6" t="s">
        <v>4843</v>
      </c>
      <c r="CW129" s="6" t="s">
        <v>7586</v>
      </c>
      <c r="CX129" s="6" t="s">
        <v>7587</v>
      </c>
      <c r="DA129" s="6" t="s">
        <v>6236</v>
      </c>
      <c r="DY129" s="0" t="str">
        <f aca="false">IF(ISNUMBER(MATCH(U129,{"queued","contacted","replied","call_booked","call_done","yes_in_principle","materials_sent"},0)),"Y","N")</f>
        <v>N</v>
      </c>
      <c r="DZ129" s="0" t="str">
        <f aca="false">IF(COUNTIFS($AN$2:$AN$1000,AN129,$DY$2:$DY$1000,"Y")+COUNTIFS($AN$2:$AN$1000,AN129,$T$2:$T$1000,"Y")&gt;0,"Y","N")</f>
        <v>N</v>
      </c>
      <c r="EA129" s="0" t="str">
        <f aca="false">IF(AND(U129="new",T129="N",AR129="Y",AQ129="",DZ129="N"),"Y","N")</f>
        <v>N</v>
      </c>
      <c r="EB129" s="0" t="str">
        <f aca="false">IF(EA129&lt;&gt;"Y","N",IF(COUNTIFS($AN$2:$AN$1000,AN129,$EA$2:$EA$1000,"Y",$J$2:$J$1000,"&gt;"&amp;J129)+COUNTIFS($AN$2:$AN$1000,AN129,$EA$2:$EA$1000,"Y",$J$2:$J$1000,J129,$ED$2:$ED$1000,"&lt;"&amp;ED129)=0,"Y","N"))</f>
        <v>N</v>
      </c>
      <c r="EC129" s="0" t="str">
        <f aca="false">IF(Y129="","N",IF(Y129&lt;=10,"Y","N"))</f>
        <v>N</v>
      </c>
      <c r="ED129" s="6" t="n">
        <f aca="false">ROW()-1</f>
        <v>128</v>
      </c>
    </row>
    <row r="130" customFormat="false" ht="15" hidden="false" customHeight="false" outlineLevel="0" collapsed="false">
      <c r="A130" s="0" t="s">
        <v>7588</v>
      </c>
      <c r="B130" s="0" t="s">
        <v>7589</v>
      </c>
      <c r="C130" s="0" t="s">
        <v>7590</v>
      </c>
      <c r="D130" s="0" t="s">
        <v>163</v>
      </c>
      <c r="E130" s="0" t="s">
        <v>4773</v>
      </c>
      <c r="H130" s="5" t="s">
        <v>158</v>
      </c>
      <c r="I130" s="5" t="s">
        <v>159</v>
      </c>
      <c r="J130" s="6" t="n">
        <f aca="false">IF(AU130="pass",CM130+CN130+CO130+CP130+CQ130+CR130+CS130+CT130,0)</f>
        <v>41</v>
      </c>
      <c r="K130" s="6" t="s">
        <v>7591</v>
      </c>
      <c r="M130" s="6" t="s">
        <v>4628</v>
      </c>
      <c r="N130" s="6" t="s">
        <v>4582</v>
      </c>
      <c r="R130" s="5" t="s">
        <v>162</v>
      </c>
      <c r="S130" s="6" t="s">
        <v>163</v>
      </c>
      <c r="T130" s="5" t="s">
        <v>162</v>
      </c>
      <c r="U130" s="5" t="s">
        <v>228</v>
      </c>
      <c r="V130" s="6" t="s">
        <v>7592</v>
      </c>
      <c r="W130" s="6" t="s">
        <v>166</v>
      </c>
      <c r="X130" s="6" t="s">
        <v>4586</v>
      </c>
      <c r="Y130" s="6" t="n">
        <f aca="false">IF(EB130&lt;&gt;"Y","",COUNTIFS($EB$2:$EB$1000,"Y",$J$2:$J$1000,"&gt;"&amp;J130)+COUNTIFS($EB$2:$EB$1000,"Y",$J$2:$J$1000,J130,$ED$2:$ED$1000,"&lt;"&amp;ED130)+1)</f>
        <v>105</v>
      </c>
      <c r="Z130" s="0" t="n">
        <v>129</v>
      </c>
      <c r="AA130" s="6" t="s">
        <v>162</v>
      </c>
      <c r="AB130" s="6" t="s">
        <v>7593</v>
      </c>
      <c r="AC130" s="6" t="s">
        <v>4588</v>
      </c>
      <c r="AD130" s="6" t="s">
        <v>5010</v>
      </c>
      <c r="AE130" s="6" t="s">
        <v>172</v>
      </c>
      <c r="AF130" s="6" t="s">
        <v>7592</v>
      </c>
      <c r="AG130" s="6" t="s">
        <v>166</v>
      </c>
      <c r="AH130" s="6" t="s">
        <v>7594</v>
      </c>
      <c r="AI130" s="6" t="s">
        <v>4724</v>
      </c>
      <c r="AJ130" s="6" t="s">
        <v>7595</v>
      </c>
      <c r="AL130" s="6" t="s">
        <v>168</v>
      </c>
      <c r="AM130" s="6" t="s">
        <v>7596</v>
      </c>
      <c r="AN130" s="6" t="s">
        <v>7588</v>
      </c>
      <c r="AO130" s="5" t="s">
        <v>162</v>
      </c>
      <c r="AR130" s="0" t="str">
        <f aca="false">IF(AND(AU130="pass",AO130&lt;&gt;"Y",C130&lt;&gt;""),"Y","N")</f>
        <v>Y</v>
      </c>
      <c r="AS130" s="0" t="str">
        <f aca="false">_xlfn.TEXTJOIN("; ",TRUE(),IF(AU130&lt;&gt;"pass","gated out",""),IF(AO130="Y","on hold: "&amp;AP130,""),IF(C130="","no contact named on an opened page",""))</f>
        <v/>
      </c>
      <c r="AU130" s="6" t="s">
        <v>181</v>
      </c>
      <c r="AW130" s="6" t="s">
        <v>182</v>
      </c>
      <c r="AX130" s="6" t="s">
        <v>7597</v>
      </c>
      <c r="AY130" s="6" t="s">
        <v>7598</v>
      </c>
      <c r="AZ130" s="6" t="s">
        <v>4596</v>
      </c>
      <c r="BA130" s="6" t="s">
        <v>4953</v>
      </c>
      <c r="BB130" s="6" t="s">
        <v>163</v>
      </c>
      <c r="BD130" s="6" t="s">
        <v>163</v>
      </c>
      <c r="BE130" s="6" t="s">
        <v>7599</v>
      </c>
      <c r="BF130" s="6" t="s">
        <v>163</v>
      </c>
      <c r="BG130" s="6" t="s">
        <v>163</v>
      </c>
      <c r="BH130" s="6" t="s">
        <v>163</v>
      </c>
      <c r="BJ130" s="6" t="s">
        <v>163</v>
      </c>
      <c r="BK130" s="6" t="s">
        <v>162</v>
      </c>
      <c r="BL130" s="6" t="s">
        <v>162</v>
      </c>
      <c r="BN130" s="0" t="n">
        <v>0</v>
      </c>
      <c r="BO130" s="6" t="s">
        <v>168</v>
      </c>
      <c r="BP130" s="0" t="n">
        <v>1</v>
      </c>
      <c r="BQ130" s="6" t="s">
        <v>4638</v>
      </c>
      <c r="BS130" s="6" t="s">
        <v>7600</v>
      </c>
      <c r="BT130" s="6" t="s">
        <v>7601</v>
      </c>
      <c r="BU130" s="6" t="s">
        <v>158</v>
      </c>
      <c r="BX130" s="6" t="s">
        <v>7590</v>
      </c>
      <c r="BY130" s="6" t="s">
        <v>7602</v>
      </c>
      <c r="CF130" s="6" t="s">
        <v>158</v>
      </c>
      <c r="CK130" s="6" t="s">
        <v>158</v>
      </c>
      <c r="CL130" s="0" t="n">
        <v>41</v>
      </c>
      <c r="CM130" s="0" t="n">
        <v>25</v>
      </c>
      <c r="CN130" s="0" t="n">
        <v>13</v>
      </c>
      <c r="CO130" s="0" t="n">
        <v>0</v>
      </c>
      <c r="CP130" s="0" t="n">
        <v>5</v>
      </c>
      <c r="CQ130" s="0" t="n">
        <v>3</v>
      </c>
      <c r="CR130" s="0" t="n">
        <v>3</v>
      </c>
      <c r="CS130" s="6" t="n">
        <f aca="false">IF(R130="Y",10,0)</f>
        <v>0</v>
      </c>
      <c r="CT130" s="0" t="n">
        <v>-8</v>
      </c>
      <c r="CU130" s="6" t="s">
        <v>7603</v>
      </c>
      <c r="CV130" s="6" t="s">
        <v>4704</v>
      </c>
      <c r="CW130" s="6" t="s">
        <v>7604</v>
      </c>
      <c r="CX130" s="6" t="s">
        <v>7605</v>
      </c>
      <c r="DA130" s="6" t="s">
        <v>6236</v>
      </c>
      <c r="DY130" s="0" t="str">
        <f aca="false">IF(ISNUMBER(MATCH(U130,{"queued","contacted","replied","call_booked","call_done","yes_in_principle","materials_sent"},0)),"Y","N")</f>
        <v>N</v>
      </c>
      <c r="DZ130" s="0" t="str">
        <f aca="false">IF(COUNTIFS($AN$2:$AN$1000,AN130,$DY$2:$DY$1000,"Y")+COUNTIFS($AN$2:$AN$1000,AN130,$T$2:$T$1000,"Y")&gt;0,"Y","N")</f>
        <v>N</v>
      </c>
      <c r="EA130" s="0" t="str">
        <f aca="false">IF(AND(U130="new",T130="N",AR130="Y",AQ130="",DZ130="N"),"Y","N")</f>
        <v>Y</v>
      </c>
      <c r="EB130" s="0" t="str">
        <f aca="false">IF(EA130&lt;&gt;"Y","N",IF(COUNTIFS($AN$2:$AN$1000,AN130,$EA$2:$EA$1000,"Y",$J$2:$J$1000,"&gt;"&amp;J130)+COUNTIFS($AN$2:$AN$1000,AN130,$EA$2:$EA$1000,"Y",$J$2:$J$1000,J130,$ED$2:$ED$1000,"&lt;"&amp;ED130)=0,"Y","N"))</f>
        <v>Y</v>
      </c>
      <c r="EC130" s="0" t="str">
        <f aca="false">IF(Y130="","N",IF(Y130&lt;=10,"Y","N"))</f>
        <v>N</v>
      </c>
      <c r="ED130" s="6" t="n">
        <f aca="false">ROW()-1</f>
        <v>129</v>
      </c>
    </row>
    <row r="131" customFormat="false" ht="15" hidden="false" customHeight="false" outlineLevel="0" collapsed="false">
      <c r="A131" s="0" t="s">
        <v>7606</v>
      </c>
      <c r="B131" s="0" t="s">
        <v>7607</v>
      </c>
      <c r="C131" s="0" t="s">
        <v>806</v>
      </c>
      <c r="D131" s="0" t="s">
        <v>7608</v>
      </c>
      <c r="E131" s="0" t="s">
        <v>4626</v>
      </c>
      <c r="H131" s="5" t="s">
        <v>158</v>
      </c>
      <c r="I131" s="5" t="s">
        <v>159</v>
      </c>
      <c r="J131" s="6" t="n">
        <f aca="false">IF(AU131="pass",CM131+CN131+CO131+CP131+CQ131+CR131+CS131+CT131,0)</f>
        <v>41</v>
      </c>
      <c r="K131" s="6" t="s">
        <v>7609</v>
      </c>
      <c r="M131" s="6" t="s">
        <v>4581</v>
      </c>
      <c r="N131" s="6" t="s">
        <v>4582</v>
      </c>
      <c r="R131" s="5" t="s">
        <v>162</v>
      </c>
      <c r="S131" s="6" t="s">
        <v>163</v>
      </c>
      <c r="T131" s="5" t="s">
        <v>162</v>
      </c>
      <c r="U131" s="5" t="s">
        <v>228</v>
      </c>
      <c r="V131" s="6" t="s">
        <v>7610</v>
      </c>
      <c r="W131" s="6" t="s">
        <v>166</v>
      </c>
      <c r="X131" s="6" t="s">
        <v>4586</v>
      </c>
      <c r="Y131" s="6" t="n">
        <f aca="false">IF(EB131&lt;&gt;"Y","",COUNTIFS($EB$2:$EB$1000,"Y",$J$2:$J$1000,"&gt;"&amp;J131)+COUNTIFS($EB$2:$EB$1000,"Y",$J$2:$J$1000,J131,$ED$2:$ED$1000,"&lt;"&amp;ED131)+1)</f>
        <v>106</v>
      </c>
      <c r="Z131" s="0" t="n">
        <v>130</v>
      </c>
      <c r="AA131" s="6" t="s">
        <v>162</v>
      </c>
      <c r="AB131" s="6" t="s">
        <v>7611</v>
      </c>
      <c r="AC131" s="6" t="s">
        <v>4588</v>
      </c>
      <c r="AD131" s="6" t="s">
        <v>171</v>
      </c>
      <c r="AE131" s="6" t="s">
        <v>172</v>
      </c>
      <c r="AF131" s="6" t="s">
        <v>7610</v>
      </c>
      <c r="AG131" s="6" t="s">
        <v>166</v>
      </c>
      <c r="AH131" s="6" t="s">
        <v>7612</v>
      </c>
      <c r="AI131" s="6" t="s">
        <v>4665</v>
      </c>
      <c r="AJ131" s="6" t="s">
        <v>7613</v>
      </c>
      <c r="AK131" s="6" t="s">
        <v>7614</v>
      </c>
      <c r="AL131" s="6" t="s">
        <v>168</v>
      </c>
      <c r="AM131" s="6" t="s">
        <v>7615</v>
      </c>
      <c r="AN131" s="6" t="s">
        <v>7606</v>
      </c>
      <c r="AO131" s="5" t="s">
        <v>162</v>
      </c>
      <c r="AR131" s="0" t="str">
        <f aca="false">IF(AND(AU131="pass",AO131&lt;&gt;"Y",C131&lt;&gt;""),"Y","N")</f>
        <v>Y</v>
      </c>
      <c r="AS131" s="0" t="str">
        <f aca="false">_xlfn.TEXTJOIN("; ",TRUE(),IF(AU131&lt;&gt;"pass","gated out",""),IF(AO131="Y","on hold: "&amp;AP131,""),IF(C131="","no contact named on an opened page",""))</f>
        <v/>
      </c>
      <c r="AU131" s="6" t="s">
        <v>181</v>
      </c>
      <c r="AW131" s="6" t="s">
        <v>182</v>
      </c>
      <c r="AX131" s="6" t="s">
        <v>7616</v>
      </c>
      <c r="AY131" s="6" t="s">
        <v>7614</v>
      </c>
      <c r="AZ131" s="6" t="s">
        <v>4596</v>
      </c>
      <c r="BA131" s="6" t="s">
        <v>4597</v>
      </c>
      <c r="BB131" s="6" t="s">
        <v>7617</v>
      </c>
      <c r="BD131" s="6" t="s">
        <v>168</v>
      </c>
      <c r="BE131" s="6" t="s">
        <v>7618</v>
      </c>
      <c r="BF131" s="6" t="s">
        <v>168</v>
      </c>
      <c r="BG131" s="6" t="s">
        <v>168</v>
      </c>
      <c r="BH131" s="6" t="s">
        <v>163</v>
      </c>
      <c r="BJ131" s="6" t="s">
        <v>163</v>
      </c>
      <c r="BK131" s="6" t="s">
        <v>162</v>
      </c>
      <c r="BL131" s="6" t="s">
        <v>162</v>
      </c>
      <c r="BN131" s="0" t="n">
        <v>0</v>
      </c>
      <c r="BO131" s="6" t="s">
        <v>168</v>
      </c>
      <c r="BP131" s="0" t="n">
        <v>3</v>
      </c>
      <c r="BQ131" s="6" t="s">
        <v>4670</v>
      </c>
      <c r="BR131" s="6" t="s">
        <v>4671</v>
      </c>
      <c r="BS131" s="6" t="s">
        <v>7619</v>
      </c>
      <c r="BT131" s="6" t="s">
        <v>7620</v>
      </c>
      <c r="BU131" s="6" t="s">
        <v>158</v>
      </c>
      <c r="BX131" s="6" t="s">
        <v>7621</v>
      </c>
      <c r="CF131" s="6" t="s">
        <v>158</v>
      </c>
      <c r="CK131" s="6" t="s">
        <v>158</v>
      </c>
      <c r="CL131" s="0" t="n">
        <v>41</v>
      </c>
      <c r="CM131" s="0" t="n">
        <v>25</v>
      </c>
      <c r="CN131" s="0" t="n">
        <v>20</v>
      </c>
      <c r="CO131" s="0" t="n">
        <v>0</v>
      </c>
      <c r="CP131" s="0" t="n">
        <v>5</v>
      </c>
      <c r="CQ131" s="0" t="n">
        <v>10</v>
      </c>
      <c r="CR131" s="0" t="n">
        <v>6</v>
      </c>
      <c r="CS131" s="6" t="n">
        <f aca="false">IF(R131="Y",10,0)</f>
        <v>0</v>
      </c>
      <c r="CT131" s="0" t="n">
        <v>-25</v>
      </c>
      <c r="CV131" s="6" t="s">
        <v>4616</v>
      </c>
      <c r="CW131" s="6" t="s">
        <v>7622</v>
      </c>
      <c r="CX131" s="6" t="s">
        <v>7623</v>
      </c>
      <c r="CY131" s="6" t="s">
        <v>7624</v>
      </c>
      <c r="DA131" s="6" t="s">
        <v>6236</v>
      </c>
      <c r="DY131" s="0" t="str">
        <f aca="false">IF(ISNUMBER(MATCH(U131,{"queued","contacted","replied","call_booked","call_done","yes_in_principle","materials_sent"},0)),"Y","N")</f>
        <v>N</v>
      </c>
      <c r="DZ131" s="0" t="str">
        <f aca="false">IF(COUNTIFS($AN$2:$AN$1000,AN131,$DY$2:$DY$1000,"Y")+COUNTIFS($AN$2:$AN$1000,AN131,$T$2:$T$1000,"Y")&gt;0,"Y","N")</f>
        <v>N</v>
      </c>
      <c r="EA131" s="0" t="str">
        <f aca="false">IF(AND(U131="new",T131="N",AR131="Y",AQ131="",DZ131="N"),"Y","N")</f>
        <v>Y</v>
      </c>
      <c r="EB131" s="0" t="str">
        <f aca="false">IF(EA131&lt;&gt;"Y","N",IF(COUNTIFS($AN$2:$AN$1000,AN131,$EA$2:$EA$1000,"Y",$J$2:$J$1000,"&gt;"&amp;J131)+COUNTIFS($AN$2:$AN$1000,AN131,$EA$2:$EA$1000,"Y",$J$2:$J$1000,J131,$ED$2:$ED$1000,"&lt;"&amp;ED131)=0,"Y","N"))</f>
        <v>Y</v>
      </c>
      <c r="EC131" s="0" t="str">
        <f aca="false">IF(Y131="","N",IF(Y131&lt;=10,"Y","N"))</f>
        <v>N</v>
      </c>
      <c r="ED131" s="6" t="n">
        <f aca="false">ROW()-1</f>
        <v>130</v>
      </c>
    </row>
    <row r="132" customFormat="false" ht="15" hidden="false" customHeight="false" outlineLevel="0" collapsed="false">
      <c r="A132" s="0" t="s">
        <v>7625</v>
      </c>
      <c r="B132" s="0" t="s">
        <v>7626</v>
      </c>
      <c r="C132" s="0" t="s">
        <v>7627</v>
      </c>
      <c r="D132" s="0" t="s">
        <v>163</v>
      </c>
      <c r="E132" s="0" t="s">
        <v>4773</v>
      </c>
      <c r="H132" s="5" t="s">
        <v>158</v>
      </c>
      <c r="I132" s="5" t="s">
        <v>159</v>
      </c>
      <c r="J132" s="6" t="n">
        <f aca="false">IF(AU132="pass",CM132+CN132+CO132+CP132+CQ132+CR132+CS132+CT132,0)</f>
        <v>41</v>
      </c>
      <c r="K132" s="6" t="s">
        <v>7628</v>
      </c>
      <c r="M132" s="6" t="s">
        <v>4628</v>
      </c>
      <c r="N132" s="6" t="s">
        <v>4582</v>
      </c>
      <c r="R132" s="5" t="s">
        <v>162</v>
      </c>
      <c r="S132" s="6" t="s">
        <v>163</v>
      </c>
      <c r="T132" s="5" t="s">
        <v>162</v>
      </c>
      <c r="U132" s="5" t="s">
        <v>228</v>
      </c>
      <c r="V132" s="6" t="s">
        <v>7629</v>
      </c>
      <c r="W132" s="6" t="s">
        <v>166</v>
      </c>
      <c r="X132" s="6" t="s">
        <v>4586</v>
      </c>
      <c r="Y132" s="6" t="n">
        <f aca="false">IF(EB132&lt;&gt;"Y","",COUNTIFS($EB$2:$EB$1000,"Y",$J$2:$J$1000,"&gt;"&amp;J132)+COUNTIFS($EB$2:$EB$1000,"Y",$J$2:$J$1000,J132,$ED$2:$ED$1000,"&lt;"&amp;ED132)+1)</f>
        <v>107</v>
      </c>
      <c r="Z132" s="0" t="n">
        <v>131</v>
      </c>
      <c r="AA132" s="6" t="s">
        <v>162</v>
      </c>
      <c r="AB132" s="6" t="s">
        <v>7630</v>
      </c>
      <c r="AC132" s="6" t="s">
        <v>4588</v>
      </c>
      <c r="AD132" s="6" t="s">
        <v>5010</v>
      </c>
      <c r="AE132" s="6" t="s">
        <v>172</v>
      </c>
      <c r="AF132" s="6" t="s">
        <v>7629</v>
      </c>
      <c r="AG132" s="6" t="s">
        <v>166</v>
      </c>
      <c r="AH132" s="6" t="s">
        <v>7631</v>
      </c>
      <c r="AI132" s="6" t="s">
        <v>4634</v>
      </c>
      <c r="AJ132" s="6" t="s">
        <v>6384</v>
      </c>
      <c r="AK132" s="6" t="s">
        <v>7632</v>
      </c>
      <c r="AL132" s="6" t="s">
        <v>168</v>
      </c>
      <c r="AM132" s="6" t="s">
        <v>7633</v>
      </c>
      <c r="AN132" s="6" t="s">
        <v>7625</v>
      </c>
      <c r="AO132" s="5" t="s">
        <v>162</v>
      </c>
      <c r="AR132" s="0" t="str">
        <f aca="false">IF(AND(AU132="pass",AO132&lt;&gt;"Y",C132&lt;&gt;""),"Y","N")</f>
        <v>Y</v>
      </c>
      <c r="AS132" s="0" t="str">
        <f aca="false">_xlfn.TEXTJOIN("; ",TRUE(),IF(AU132&lt;&gt;"pass","gated out",""),IF(AO132="Y","on hold: "&amp;AP132,""),IF(C132="","no contact named on an opened page",""))</f>
        <v/>
      </c>
      <c r="AU132" s="6" t="s">
        <v>181</v>
      </c>
      <c r="AW132" s="6" t="s">
        <v>182</v>
      </c>
      <c r="AX132" s="6" t="s">
        <v>283</v>
      </c>
      <c r="AY132" s="6" t="s">
        <v>7632</v>
      </c>
      <c r="AZ132" s="6" t="s">
        <v>6388</v>
      </c>
      <c r="BA132" s="6" t="s">
        <v>5331</v>
      </c>
      <c r="BB132" s="6" t="s">
        <v>163</v>
      </c>
      <c r="BD132" s="6" t="s">
        <v>168</v>
      </c>
      <c r="BE132" s="6" t="s">
        <v>7634</v>
      </c>
      <c r="BF132" s="6" t="s">
        <v>168</v>
      </c>
      <c r="BG132" s="6" t="s">
        <v>162</v>
      </c>
      <c r="BH132" s="6" t="s">
        <v>163</v>
      </c>
      <c r="BJ132" s="6" t="s">
        <v>163</v>
      </c>
      <c r="BK132" s="6" t="s">
        <v>162</v>
      </c>
      <c r="BL132" s="6" t="s">
        <v>162</v>
      </c>
      <c r="BN132" s="0" t="n">
        <v>0</v>
      </c>
      <c r="BO132" s="6" t="s">
        <v>168</v>
      </c>
      <c r="BP132" s="0" t="n">
        <v>1</v>
      </c>
      <c r="BQ132" s="6" t="s">
        <v>4638</v>
      </c>
      <c r="BS132" s="6" t="s">
        <v>4983</v>
      </c>
      <c r="BT132" s="6" t="s">
        <v>7635</v>
      </c>
      <c r="BU132" s="6" t="s">
        <v>158</v>
      </c>
      <c r="BX132" s="6" t="s">
        <v>7627</v>
      </c>
      <c r="BY132" s="6" t="s">
        <v>7636</v>
      </c>
      <c r="CF132" s="6" t="s">
        <v>158</v>
      </c>
      <c r="CK132" s="6" t="s">
        <v>158</v>
      </c>
      <c r="CL132" s="0" t="n">
        <v>41</v>
      </c>
      <c r="CM132" s="0" t="n">
        <v>25</v>
      </c>
      <c r="CN132" s="0" t="n">
        <v>3</v>
      </c>
      <c r="CO132" s="0" t="n">
        <v>0</v>
      </c>
      <c r="CP132" s="0" t="n">
        <v>5</v>
      </c>
      <c r="CQ132" s="0" t="n">
        <v>7</v>
      </c>
      <c r="CR132" s="0" t="n">
        <v>3</v>
      </c>
      <c r="CS132" s="6" t="n">
        <f aca="false">IF(R132="Y",10,0)</f>
        <v>0</v>
      </c>
      <c r="CT132" s="0" t="n">
        <v>-2</v>
      </c>
      <c r="CU132" s="6" t="s">
        <v>163</v>
      </c>
      <c r="CV132" s="6" t="s">
        <v>4843</v>
      </c>
      <c r="CW132" s="6" t="s">
        <v>7637</v>
      </c>
      <c r="CX132" s="6" t="s">
        <v>7638</v>
      </c>
      <c r="DA132" s="6" t="s">
        <v>6236</v>
      </c>
      <c r="DE132" s="6" t="s">
        <v>7639</v>
      </c>
      <c r="DY132" s="0" t="str">
        <f aca="false">IF(ISNUMBER(MATCH(U132,{"queued","contacted","replied","call_booked","call_done","yes_in_principle","materials_sent"},0)),"Y","N")</f>
        <v>N</v>
      </c>
      <c r="DZ132" s="0" t="str">
        <f aca="false">IF(COUNTIFS($AN$2:$AN$1000,AN132,$DY$2:$DY$1000,"Y")+COUNTIFS($AN$2:$AN$1000,AN132,$T$2:$T$1000,"Y")&gt;0,"Y","N")</f>
        <v>N</v>
      </c>
      <c r="EA132" s="0" t="str">
        <f aca="false">IF(AND(U132="new",T132="N",AR132="Y",AQ132="",DZ132="N"),"Y","N")</f>
        <v>Y</v>
      </c>
      <c r="EB132" s="0" t="str">
        <f aca="false">IF(EA132&lt;&gt;"Y","N",IF(COUNTIFS($AN$2:$AN$1000,AN132,$EA$2:$EA$1000,"Y",$J$2:$J$1000,"&gt;"&amp;J132)+COUNTIFS($AN$2:$AN$1000,AN132,$EA$2:$EA$1000,"Y",$J$2:$J$1000,J132,$ED$2:$ED$1000,"&lt;"&amp;ED132)=0,"Y","N"))</f>
        <v>Y</v>
      </c>
      <c r="EC132" s="0" t="str">
        <f aca="false">IF(Y132="","N",IF(Y132&lt;=10,"Y","N"))</f>
        <v>N</v>
      </c>
      <c r="ED132" s="6" t="n">
        <f aca="false">ROW()-1</f>
        <v>131</v>
      </c>
    </row>
    <row r="133" customFormat="false" ht="15" hidden="false" customHeight="false" outlineLevel="0" collapsed="false">
      <c r="A133" s="0" t="s">
        <v>7640</v>
      </c>
      <c r="B133" s="0" t="s">
        <v>7641</v>
      </c>
      <c r="C133" s="0" t="s">
        <v>7642</v>
      </c>
      <c r="D133" s="0" t="s">
        <v>7643</v>
      </c>
      <c r="E133" s="0" t="s">
        <v>4626</v>
      </c>
      <c r="H133" s="5" t="s">
        <v>158</v>
      </c>
      <c r="I133" s="5" t="s">
        <v>159</v>
      </c>
      <c r="J133" s="6" t="n">
        <f aca="false">IF(AU133="pass",CM133+CN133+CO133+CP133+CQ133+CR133+CS133+CT133,0)</f>
        <v>41</v>
      </c>
      <c r="K133" s="6" t="s">
        <v>7644</v>
      </c>
      <c r="M133" s="6" t="s">
        <v>5293</v>
      </c>
      <c r="N133" s="6" t="s">
        <v>598</v>
      </c>
      <c r="O133" s="6" t="s">
        <v>7645</v>
      </c>
      <c r="P133" s="6" t="s">
        <v>7646</v>
      </c>
      <c r="Q133" s="6" t="s">
        <v>7647</v>
      </c>
      <c r="R133" s="5" t="s">
        <v>162</v>
      </c>
      <c r="S133" s="6" t="s">
        <v>168</v>
      </c>
      <c r="T133" s="5" t="s">
        <v>162</v>
      </c>
      <c r="U133" s="5" t="s">
        <v>228</v>
      </c>
      <c r="V133" s="6" t="s">
        <v>7648</v>
      </c>
      <c r="W133" s="6" t="s">
        <v>166</v>
      </c>
      <c r="X133" s="6" t="s">
        <v>4586</v>
      </c>
      <c r="Y133" s="6" t="n">
        <f aca="false">IF(EB133&lt;&gt;"Y","",COUNTIFS($EB$2:$EB$1000,"Y",$J$2:$J$1000,"&gt;"&amp;J133)+COUNTIFS($EB$2:$EB$1000,"Y",$J$2:$J$1000,J133,$ED$2:$ED$1000,"&lt;"&amp;ED133)+1)</f>
        <v>108</v>
      </c>
      <c r="Z133" s="0" t="n">
        <v>132</v>
      </c>
      <c r="AA133" s="6" t="s">
        <v>162</v>
      </c>
      <c r="AB133" s="6" t="s">
        <v>7649</v>
      </c>
      <c r="AC133" s="6" t="s">
        <v>4588</v>
      </c>
      <c r="AD133" s="6" t="s">
        <v>171</v>
      </c>
      <c r="AE133" s="6" t="s">
        <v>172</v>
      </c>
      <c r="AF133" s="6" t="s">
        <v>7648</v>
      </c>
      <c r="AG133" s="6" t="s">
        <v>166</v>
      </c>
      <c r="AH133" s="6" t="s">
        <v>7650</v>
      </c>
      <c r="AI133" s="6" t="s">
        <v>5463</v>
      </c>
      <c r="AJ133" s="6" t="s">
        <v>5356</v>
      </c>
      <c r="AK133" s="6" t="s">
        <v>7651</v>
      </c>
      <c r="AL133" s="6" t="s">
        <v>168</v>
      </c>
      <c r="AM133" s="6" t="s">
        <v>7652</v>
      </c>
      <c r="AN133" s="6" t="s">
        <v>7640</v>
      </c>
      <c r="AO133" s="5" t="s">
        <v>162</v>
      </c>
      <c r="AR133" s="0" t="str">
        <f aca="false">IF(AND(AU133="pass",AO133&lt;&gt;"Y",C133&lt;&gt;""),"Y","N")</f>
        <v>Y</v>
      </c>
      <c r="AS133" s="0" t="str">
        <f aca="false">_xlfn.TEXTJOIN("; ",TRUE(),IF(AU133&lt;&gt;"pass","gated out",""),IF(AO133="Y","on hold: "&amp;AP133,""),IF(C133="","no contact named on an opened page",""))</f>
        <v/>
      </c>
      <c r="AU133" s="6" t="s">
        <v>181</v>
      </c>
      <c r="AW133" s="6" t="s">
        <v>182</v>
      </c>
      <c r="AX133" s="6" t="s">
        <v>4595</v>
      </c>
      <c r="AY133" s="6" t="s">
        <v>7651</v>
      </c>
      <c r="AZ133" s="6" t="s">
        <v>5358</v>
      </c>
      <c r="BA133" s="6" t="s">
        <v>5331</v>
      </c>
      <c r="BB133" s="6" t="s">
        <v>163</v>
      </c>
      <c r="BD133" s="6" t="s">
        <v>168</v>
      </c>
      <c r="BE133" s="6" t="s">
        <v>7653</v>
      </c>
      <c r="BF133" s="6" t="s">
        <v>168</v>
      </c>
      <c r="BG133" s="6" t="s">
        <v>168</v>
      </c>
      <c r="BH133" s="6" t="s">
        <v>163</v>
      </c>
      <c r="BJ133" s="6" t="s">
        <v>163</v>
      </c>
      <c r="BK133" s="6" t="s">
        <v>162</v>
      </c>
      <c r="BL133" s="6" t="s">
        <v>162</v>
      </c>
      <c r="BO133" s="6" t="s">
        <v>162</v>
      </c>
      <c r="BP133" s="0" t="n">
        <v>0</v>
      </c>
      <c r="BS133" s="6" t="s">
        <v>7654</v>
      </c>
      <c r="BT133" s="6" t="s">
        <v>7655</v>
      </c>
      <c r="BU133" s="6" t="s">
        <v>4605</v>
      </c>
      <c r="BV133" s="0" t="n">
        <v>87</v>
      </c>
      <c r="BW133" s="6" t="s">
        <v>7646</v>
      </c>
      <c r="BX133" s="6" t="s">
        <v>7656</v>
      </c>
      <c r="BY133" s="6" t="s">
        <v>7657</v>
      </c>
      <c r="CA133" s="6" t="s">
        <v>5890</v>
      </c>
      <c r="CB133" s="6" t="s">
        <v>5890</v>
      </c>
      <c r="CC133" s="6" t="s">
        <v>163</v>
      </c>
      <c r="CD133" s="6" t="s">
        <v>4626</v>
      </c>
      <c r="CE133" s="6" t="s">
        <v>6725</v>
      </c>
      <c r="CF133" s="6" t="s">
        <v>5010</v>
      </c>
      <c r="CG133" s="6" t="s">
        <v>7657</v>
      </c>
      <c r="CK133" s="6" t="s">
        <v>158</v>
      </c>
      <c r="CL133" s="0" t="n">
        <v>41</v>
      </c>
      <c r="CM133" s="0" t="n">
        <v>6</v>
      </c>
      <c r="CN133" s="0" t="n">
        <v>3</v>
      </c>
      <c r="CO133" s="0" t="n">
        <v>15</v>
      </c>
      <c r="CP133" s="0" t="n">
        <v>5</v>
      </c>
      <c r="CQ133" s="0" t="n">
        <v>10</v>
      </c>
      <c r="CR133" s="0" t="n">
        <v>6</v>
      </c>
      <c r="CS133" s="6" t="n">
        <f aca="false">IF(R133="Y",10,0)</f>
        <v>0</v>
      </c>
      <c r="CT133" s="0" t="n">
        <v>-4</v>
      </c>
      <c r="CU133" s="6" t="s">
        <v>163</v>
      </c>
      <c r="CV133" s="6" t="s">
        <v>4843</v>
      </c>
      <c r="CW133" s="6" t="s">
        <v>7658</v>
      </c>
      <c r="CX133" s="6" t="s">
        <v>7659</v>
      </c>
      <c r="CY133" s="6" t="s">
        <v>7660</v>
      </c>
      <c r="CZ133" s="6" t="s">
        <v>7648</v>
      </c>
      <c r="DA133" s="6" t="s">
        <v>6236</v>
      </c>
      <c r="DC133" s="6" t="s">
        <v>172</v>
      </c>
      <c r="DY133" s="0" t="str">
        <f aca="false">IF(ISNUMBER(MATCH(U133,{"queued","contacted","replied","call_booked","call_done","yes_in_principle","materials_sent"},0)),"Y","N")</f>
        <v>N</v>
      </c>
      <c r="DZ133" s="0" t="str">
        <f aca="false">IF(COUNTIFS($AN$2:$AN$1000,AN133,$DY$2:$DY$1000,"Y")+COUNTIFS($AN$2:$AN$1000,AN133,$T$2:$T$1000,"Y")&gt;0,"Y","N")</f>
        <v>N</v>
      </c>
      <c r="EA133" s="0" t="str">
        <f aca="false">IF(AND(U133="new",T133="N",AR133="Y",AQ133="",DZ133="N"),"Y","N")</f>
        <v>Y</v>
      </c>
      <c r="EB133" s="0" t="str">
        <f aca="false">IF(EA133&lt;&gt;"Y","N",IF(COUNTIFS($AN$2:$AN$1000,AN133,$EA$2:$EA$1000,"Y",$J$2:$J$1000,"&gt;"&amp;J133)+COUNTIFS($AN$2:$AN$1000,AN133,$EA$2:$EA$1000,"Y",$J$2:$J$1000,J133,$ED$2:$ED$1000,"&lt;"&amp;ED133)=0,"Y","N"))</f>
        <v>Y</v>
      </c>
      <c r="EC133" s="0" t="str">
        <f aca="false">IF(Y133="","N",IF(Y133&lt;=10,"Y","N"))</f>
        <v>N</v>
      </c>
      <c r="ED133" s="6" t="n">
        <f aca="false">ROW()-1</f>
        <v>132</v>
      </c>
    </row>
    <row r="134" customFormat="false" ht="15" hidden="false" customHeight="false" outlineLevel="0" collapsed="false">
      <c r="A134" s="0" t="s">
        <v>7661</v>
      </c>
      <c r="B134" s="0" t="s">
        <v>7662</v>
      </c>
      <c r="C134" s="0" t="s">
        <v>7663</v>
      </c>
      <c r="D134" s="0" t="s">
        <v>3194</v>
      </c>
      <c r="E134" s="0" t="s">
        <v>4773</v>
      </c>
      <c r="H134" s="5" t="s">
        <v>158</v>
      </c>
      <c r="I134" s="5" t="s">
        <v>159</v>
      </c>
      <c r="J134" s="6" t="n">
        <f aca="false">IF(AU134="pass",CM134+CN134+CO134+CP134+CQ134+CR134+CS134+CT134,0)</f>
        <v>41</v>
      </c>
      <c r="K134" s="6" t="s">
        <v>7664</v>
      </c>
      <c r="M134" s="6" t="s">
        <v>5293</v>
      </c>
      <c r="N134" s="6" t="s">
        <v>598</v>
      </c>
      <c r="O134" s="6" t="s">
        <v>7665</v>
      </c>
      <c r="P134" s="6" t="s">
        <v>7666</v>
      </c>
      <c r="Q134" s="6" t="s">
        <v>3388</v>
      </c>
      <c r="R134" s="5" t="s">
        <v>162</v>
      </c>
      <c r="S134" s="6" t="s">
        <v>163</v>
      </c>
      <c r="T134" s="5" t="s">
        <v>162</v>
      </c>
      <c r="U134" s="5" t="s">
        <v>228</v>
      </c>
      <c r="V134" s="6" t="s">
        <v>7667</v>
      </c>
      <c r="W134" s="6" t="s">
        <v>166</v>
      </c>
      <c r="X134" s="6" t="s">
        <v>4586</v>
      </c>
      <c r="Y134" s="6" t="n">
        <f aca="false">IF(EB134&lt;&gt;"Y","",COUNTIFS($EB$2:$EB$1000,"Y",$J$2:$J$1000,"&gt;"&amp;J134)+COUNTIFS($EB$2:$EB$1000,"Y",$J$2:$J$1000,J134,$ED$2:$ED$1000,"&lt;"&amp;ED134)+1)</f>
        <v>109</v>
      </c>
      <c r="Z134" s="0" t="n">
        <v>133</v>
      </c>
      <c r="AA134" s="6" t="s">
        <v>162</v>
      </c>
      <c r="AB134" s="6" t="s">
        <v>7668</v>
      </c>
      <c r="AC134" s="6" t="s">
        <v>4588</v>
      </c>
      <c r="AD134" s="6" t="s">
        <v>171</v>
      </c>
      <c r="AE134" s="6" t="s">
        <v>1190</v>
      </c>
      <c r="AF134" s="6" t="s">
        <v>7669</v>
      </c>
      <c r="AG134" s="6" t="s">
        <v>166</v>
      </c>
      <c r="AH134" s="6" t="s">
        <v>7670</v>
      </c>
      <c r="AI134" s="6" t="s">
        <v>5738</v>
      </c>
      <c r="AJ134" s="6" t="s">
        <v>2955</v>
      </c>
      <c r="AK134" s="6" t="s">
        <v>7671</v>
      </c>
      <c r="AL134" s="6" t="s">
        <v>168</v>
      </c>
      <c r="AM134" s="6" t="s">
        <v>7672</v>
      </c>
      <c r="AN134" s="6" t="s">
        <v>7661</v>
      </c>
      <c r="AO134" s="5" t="s">
        <v>162</v>
      </c>
      <c r="AR134" s="0" t="str">
        <f aca="false">IF(AND(AU134="pass",AO134&lt;&gt;"Y",C134&lt;&gt;""),"Y","N")</f>
        <v>Y</v>
      </c>
      <c r="AS134" s="0" t="str">
        <f aca="false">_xlfn.TEXTJOIN("; ",TRUE(),IF(AU134&lt;&gt;"pass","gated out",""),IF(AO134="Y","on hold: "&amp;AP134,""),IF(C134="","no contact named on an opened page",""))</f>
        <v/>
      </c>
      <c r="AU134" s="6" t="s">
        <v>181</v>
      </c>
      <c r="AW134" s="6" t="s">
        <v>182</v>
      </c>
      <c r="AX134" s="6" t="s">
        <v>4595</v>
      </c>
      <c r="AY134" s="6" t="s">
        <v>7671</v>
      </c>
      <c r="AZ134" s="6" t="s">
        <v>5659</v>
      </c>
      <c r="BA134" s="6" t="s">
        <v>5331</v>
      </c>
      <c r="BB134" s="6" t="s">
        <v>163</v>
      </c>
      <c r="BD134" s="6" t="s">
        <v>168</v>
      </c>
      <c r="BE134" s="6" t="s">
        <v>7673</v>
      </c>
      <c r="BF134" s="6" t="s">
        <v>168</v>
      </c>
      <c r="BG134" s="6" t="s">
        <v>168</v>
      </c>
      <c r="BH134" s="6" t="s">
        <v>163</v>
      </c>
      <c r="BJ134" s="6" t="s">
        <v>5551</v>
      </c>
      <c r="BK134" s="6" t="s">
        <v>162</v>
      </c>
      <c r="BL134" s="6" t="s">
        <v>162</v>
      </c>
      <c r="BO134" s="6" t="s">
        <v>162</v>
      </c>
      <c r="BP134" s="0" t="n">
        <v>0</v>
      </c>
      <c r="BS134" s="6" t="s">
        <v>7674</v>
      </c>
      <c r="BT134" s="6" t="s">
        <v>7675</v>
      </c>
      <c r="BU134" s="6" t="s">
        <v>4605</v>
      </c>
      <c r="BV134" s="0" t="n">
        <v>137</v>
      </c>
      <c r="BX134" s="6" t="s">
        <v>7676</v>
      </c>
      <c r="CF134" s="6" t="s">
        <v>158</v>
      </c>
      <c r="CK134" s="6" t="s">
        <v>158</v>
      </c>
      <c r="CL134" s="0" t="n">
        <v>41</v>
      </c>
      <c r="CM134" s="0" t="n">
        <v>6</v>
      </c>
      <c r="CN134" s="0" t="n">
        <v>3</v>
      </c>
      <c r="CO134" s="0" t="n">
        <v>15</v>
      </c>
      <c r="CP134" s="0" t="n">
        <v>5</v>
      </c>
      <c r="CQ134" s="0" t="n">
        <v>10</v>
      </c>
      <c r="CR134" s="0" t="n">
        <v>6</v>
      </c>
      <c r="CS134" s="6" t="n">
        <f aca="false">IF(R134="Y",10,0)</f>
        <v>0</v>
      </c>
      <c r="CT134" s="0" t="n">
        <v>-4</v>
      </c>
      <c r="CU134" s="6" t="s">
        <v>7677</v>
      </c>
      <c r="CV134" s="6" t="s">
        <v>5564</v>
      </c>
      <c r="CW134" s="6" t="s">
        <v>7678</v>
      </c>
      <c r="CX134" s="6" t="s">
        <v>7679</v>
      </c>
      <c r="CY134" s="6" t="s">
        <v>7680</v>
      </c>
      <c r="DA134" s="6" t="s">
        <v>6236</v>
      </c>
      <c r="DY134" s="0" t="str">
        <f aca="false">IF(ISNUMBER(MATCH(U134,{"queued","contacted","replied","call_booked","call_done","yes_in_principle","materials_sent"},0)),"Y","N")</f>
        <v>N</v>
      </c>
      <c r="DZ134" s="0" t="str">
        <f aca="false">IF(COUNTIFS($AN$2:$AN$1000,AN134,$DY$2:$DY$1000,"Y")+COUNTIFS($AN$2:$AN$1000,AN134,$T$2:$T$1000,"Y")&gt;0,"Y","N")</f>
        <v>N</v>
      </c>
      <c r="EA134" s="0" t="str">
        <f aca="false">IF(AND(U134="new",T134="N",AR134="Y",AQ134="",DZ134="N"),"Y","N")</f>
        <v>Y</v>
      </c>
      <c r="EB134" s="0" t="str">
        <f aca="false">IF(EA134&lt;&gt;"Y","N",IF(COUNTIFS($AN$2:$AN$1000,AN134,$EA$2:$EA$1000,"Y",$J$2:$J$1000,"&gt;"&amp;J134)+COUNTIFS($AN$2:$AN$1000,AN134,$EA$2:$EA$1000,"Y",$J$2:$J$1000,J134,$ED$2:$ED$1000,"&lt;"&amp;ED134)=0,"Y","N"))</f>
        <v>Y</v>
      </c>
      <c r="EC134" s="0" t="str">
        <f aca="false">IF(Y134="","N",IF(Y134&lt;=10,"Y","N"))</f>
        <v>N</v>
      </c>
      <c r="ED134" s="6" t="n">
        <f aca="false">ROW()-1</f>
        <v>133</v>
      </c>
    </row>
    <row r="135" customFormat="false" ht="15" hidden="false" customHeight="false" outlineLevel="0" collapsed="false">
      <c r="A135" s="0" t="s">
        <v>7681</v>
      </c>
      <c r="B135" s="0" t="s">
        <v>7682</v>
      </c>
      <c r="C135" s="0" t="s">
        <v>4839</v>
      </c>
      <c r="D135" s="0" t="s">
        <v>7683</v>
      </c>
      <c r="E135" s="0" t="s">
        <v>4773</v>
      </c>
      <c r="H135" s="5" t="s">
        <v>158</v>
      </c>
      <c r="I135" s="5" t="s">
        <v>159</v>
      </c>
      <c r="J135" s="6" t="n">
        <f aca="false">IF(AU135="pass",CM135+CN135+CO135+CP135+CQ135+CR135+CS135+CT135,0)</f>
        <v>41</v>
      </c>
      <c r="K135" s="6" t="s">
        <v>7684</v>
      </c>
      <c r="M135" s="6" t="s">
        <v>5293</v>
      </c>
      <c r="N135" s="6" t="s">
        <v>598</v>
      </c>
      <c r="O135" s="6" t="s">
        <v>7685</v>
      </c>
      <c r="P135" s="6" t="s">
        <v>7686</v>
      </c>
      <c r="Q135" s="6" t="s">
        <v>7687</v>
      </c>
      <c r="R135" s="5" t="s">
        <v>162</v>
      </c>
      <c r="S135" s="6" t="s">
        <v>163</v>
      </c>
      <c r="T135" s="5" t="s">
        <v>162</v>
      </c>
      <c r="U135" s="5" t="s">
        <v>228</v>
      </c>
      <c r="V135" s="6" t="s">
        <v>7688</v>
      </c>
      <c r="W135" s="6" t="s">
        <v>174</v>
      </c>
      <c r="X135" s="6" t="s">
        <v>4586</v>
      </c>
      <c r="Y135" s="6" t="n">
        <f aca="false">IF(EB135&lt;&gt;"Y","",COUNTIFS($EB$2:$EB$1000,"Y",$J$2:$J$1000,"&gt;"&amp;J135)+COUNTIFS($EB$2:$EB$1000,"Y",$J$2:$J$1000,J135,$ED$2:$ED$1000,"&lt;"&amp;ED135)+1)</f>
        <v>110</v>
      </c>
      <c r="Z135" s="0" t="n">
        <v>134</v>
      </c>
      <c r="AA135" s="6" t="s">
        <v>162</v>
      </c>
      <c r="AB135" s="6" t="s">
        <v>7689</v>
      </c>
      <c r="AC135" s="6" t="s">
        <v>4588</v>
      </c>
      <c r="AD135" s="6" t="s">
        <v>171</v>
      </c>
      <c r="AE135" s="6" t="s">
        <v>1190</v>
      </c>
      <c r="AF135" s="6" t="s">
        <v>7688</v>
      </c>
      <c r="AG135" s="6" t="s">
        <v>174</v>
      </c>
      <c r="AH135" s="6" t="s">
        <v>7690</v>
      </c>
      <c r="AI135" s="6" t="s">
        <v>4665</v>
      </c>
      <c r="AJ135" s="6" t="s">
        <v>7691</v>
      </c>
      <c r="AK135" s="6" t="s">
        <v>7692</v>
      </c>
      <c r="AL135" s="6" t="s">
        <v>168</v>
      </c>
      <c r="AM135" s="6" t="s">
        <v>7693</v>
      </c>
      <c r="AN135" s="6" t="s">
        <v>7681</v>
      </c>
      <c r="AO135" s="5" t="s">
        <v>162</v>
      </c>
      <c r="AR135" s="0" t="str">
        <f aca="false">IF(AND(AU135="pass",AO135&lt;&gt;"Y",C135&lt;&gt;""),"Y","N")</f>
        <v>Y</v>
      </c>
      <c r="AS135" s="0" t="str">
        <f aca="false">_xlfn.TEXTJOIN("; ",TRUE(),IF(AU135&lt;&gt;"pass","gated out",""),IF(AO135="Y","on hold: "&amp;AP135,""),IF(C135="","no contact named on an opened page",""))</f>
        <v/>
      </c>
      <c r="AU135" s="6" t="s">
        <v>181</v>
      </c>
      <c r="AW135" s="6" t="s">
        <v>182</v>
      </c>
      <c r="AX135" s="6" t="s">
        <v>283</v>
      </c>
      <c r="AY135" s="6" t="s">
        <v>7692</v>
      </c>
      <c r="AZ135" s="6" t="s">
        <v>7694</v>
      </c>
      <c r="BA135" s="6" t="s">
        <v>5193</v>
      </c>
      <c r="BB135" s="6" t="s">
        <v>163</v>
      </c>
      <c r="BD135" s="6" t="s">
        <v>168</v>
      </c>
      <c r="BE135" s="6" t="s">
        <v>7695</v>
      </c>
      <c r="BF135" s="6" t="s">
        <v>168</v>
      </c>
      <c r="BG135" s="6" t="s">
        <v>168</v>
      </c>
      <c r="BH135" s="6" t="s">
        <v>163</v>
      </c>
      <c r="BJ135" s="6" t="s">
        <v>5145</v>
      </c>
      <c r="BK135" s="6" t="s">
        <v>162</v>
      </c>
      <c r="BL135" s="6" t="s">
        <v>162</v>
      </c>
      <c r="BO135" s="6" t="s">
        <v>162</v>
      </c>
      <c r="BP135" s="0" t="n">
        <v>0</v>
      </c>
      <c r="BR135" s="6" t="s">
        <v>7696</v>
      </c>
      <c r="BS135" s="6" t="s">
        <v>7697</v>
      </c>
      <c r="BT135" s="6" t="s">
        <v>7698</v>
      </c>
      <c r="BU135" s="6" t="s">
        <v>4695</v>
      </c>
      <c r="BV135" s="0" t="n">
        <v>14</v>
      </c>
      <c r="BX135" s="6" t="s">
        <v>7699</v>
      </c>
      <c r="CA135" s="6" t="s">
        <v>7700</v>
      </c>
      <c r="CB135" s="6" t="s">
        <v>7701</v>
      </c>
      <c r="CC135" s="6" t="s">
        <v>7683</v>
      </c>
      <c r="CD135" s="6" t="s">
        <v>4773</v>
      </c>
      <c r="CE135" s="6" t="s">
        <v>6725</v>
      </c>
      <c r="CF135" s="6" t="s">
        <v>171</v>
      </c>
      <c r="CK135" s="6" t="s">
        <v>158</v>
      </c>
      <c r="CL135" s="0" t="n">
        <v>41</v>
      </c>
      <c r="CM135" s="0" t="n">
        <v>6</v>
      </c>
      <c r="CN135" s="0" t="n">
        <v>8</v>
      </c>
      <c r="CO135" s="0" t="n">
        <v>8</v>
      </c>
      <c r="CP135" s="0" t="n">
        <v>5</v>
      </c>
      <c r="CQ135" s="0" t="n">
        <v>10</v>
      </c>
      <c r="CR135" s="0" t="n">
        <v>6</v>
      </c>
      <c r="CS135" s="6" t="n">
        <f aca="false">IF(R135="Y",10,0)</f>
        <v>0</v>
      </c>
      <c r="CT135" s="0" t="n">
        <v>-2</v>
      </c>
      <c r="CU135" s="6" t="s">
        <v>7702</v>
      </c>
      <c r="CV135" s="6" t="s">
        <v>5152</v>
      </c>
      <c r="CW135" s="6" t="s">
        <v>7703</v>
      </c>
      <c r="CX135" s="6" t="s">
        <v>7704</v>
      </c>
      <c r="CZ135" s="6" t="s">
        <v>7688</v>
      </c>
      <c r="DA135" s="6" t="s">
        <v>6236</v>
      </c>
      <c r="DC135" s="6" t="s">
        <v>1190</v>
      </c>
      <c r="DY135" s="0" t="str">
        <f aca="false">IF(ISNUMBER(MATCH(U135,{"queued","contacted","replied","call_booked","call_done","yes_in_principle","materials_sent"},0)),"Y","N")</f>
        <v>N</v>
      </c>
      <c r="DZ135" s="0" t="str">
        <f aca="false">IF(COUNTIFS($AN$2:$AN$1000,AN135,$DY$2:$DY$1000,"Y")+COUNTIFS($AN$2:$AN$1000,AN135,$T$2:$T$1000,"Y")&gt;0,"Y","N")</f>
        <v>N</v>
      </c>
      <c r="EA135" s="0" t="str">
        <f aca="false">IF(AND(U135="new",T135="N",AR135="Y",AQ135="",DZ135="N"),"Y","N")</f>
        <v>Y</v>
      </c>
      <c r="EB135" s="0" t="str">
        <f aca="false">IF(EA135&lt;&gt;"Y","N",IF(COUNTIFS($AN$2:$AN$1000,AN135,$EA$2:$EA$1000,"Y",$J$2:$J$1000,"&gt;"&amp;J135)+COUNTIFS($AN$2:$AN$1000,AN135,$EA$2:$EA$1000,"Y",$J$2:$J$1000,J135,$ED$2:$ED$1000,"&lt;"&amp;ED135)=0,"Y","N"))</f>
        <v>Y</v>
      </c>
      <c r="EC135" s="0" t="str">
        <f aca="false">IF(Y135="","N",IF(Y135&lt;=10,"Y","N"))</f>
        <v>N</v>
      </c>
      <c r="ED135" s="6" t="n">
        <f aca="false">ROW()-1</f>
        <v>134</v>
      </c>
    </row>
    <row r="136" customFormat="false" ht="15" hidden="false" customHeight="false" outlineLevel="0" collapsed="false">
      <c r="A136" s="0" t="s">
        <v>7705</v>
      </c>
      <c r="B136" s="0" t="s">
        <v>7706</v>
      </c>
      <c r="C136" s="0" t="s">
        <v>7707</v>
      </c>
      <c r="D136" s="0" t="s">
        <v>7708</v>
      </c>
      <c r="E136" s="0" t="s">
        <v>7709</v>
      </c>
      <c r="H136" s="5" t="s">
        <v>158</v>
      </c>
      <c r="I136" s="5" t="s">
        <v>159</v>
      </c>
      <c r="J136" s="6" t="n">
        <f aca="false">IF(AU136="pass",CM136+CN136+CO136+CP136+CQ136+CR136+CS136+CT136,0)</f>
        <v>41</v>
      </c>
      <c r="K136" s="6" t="s">
        <v>7710</v>
      </c>
      <c r="M136" s="6" t="s">
        <v>5293</v>
      </c>
      <c r="N136" s="6" t="s">
        <v>598</v>
      </c>
      <c r="O136" s="6" t="s">
        <v>7711</v>
      </c>
      <c r="P136" s="6" t="s">
        <v>7712</v>
      </c>
      <c r="Q136" s="6" t="s">
        <v>5992</v>
      </c>
      <c r="R136" s="5" t="s">
        <v>162</v>
      </c>
      <c r="S136" s="6" t="s">
        <v>163</v>
      </c>
      <c r="T136" s="5" t="s">
        <v>162</v>
      </c>
      <c r="U136" s="5" t="s">
        <v>228</v>
      </c>
      <c r="V136" s="6" t="s">
        <v>7713</v>
      </c>
      <c r="W136" s="6" t="s">
        <v>166</v>
      </c>
      <c r="X136" s="6" t="s">
        <v>4586</v>
      </c>
      <c r="Y136" s="6" t="n">
        <f aca="false">IF(EB136&lt;&gt;"Y","",COUNTIFS($EB$2:$EB$1000,"Y",$J$2:$J$1000,"&gt;"&amp;J136)+COUNTIFS($EB$2:$EB$1000,"Y",$J$2:$J$1000,J136,$ED$2:$ED$1000,"&lt;"&amp;ED136)+1)</f>
        <v>111</v>
      </c>
      <c r="Z136" s="0" t="n">
        <v>135</v>
      </c>
      <c r="AA136" s="6" t="s">
        <v>162</v>
      </c>
      <c r="AB136" s="6" t="s">
        <v>7714</v>
      </c>
      <c r="AC136" s="6" t="s">
        <v>4588</v>
      </c>
      <c r="AD136" s="6" t="s">
        <v>171</v>
      </c>
      <c r="AE136" s="6" t="s">
        <v>172</v>
      </c>
      <c r="AF136" s="6" t="s">
        <v>7715</v>
      </c>
      <c r="AG136" s="6" t="s">
        <v>166</v>
      </c>
      <c r="AH136" s="6" t="s">
        <v>7716</v>
      </c>
      <c r="AI136" s="6" t="s">
        <v>5765</v>
      </c>
      <c r="AJ136" s="6" t="s">
        <v>7717</v>
      </c>
      <c r="AK136" s="6" t="s">
        <v>7718</v>
      </c>
      <c r="AL136" s="6" t="s">
        <v>168</v>
      </c>
      <c r="AM136" s="6" t="s">
        <v>7719</v>
      </c>
      <c r="AN136" s="6" t="s">
        <v>7705</v>
      </c>
      <c r="AO136" s="5" t="s">
        <v>162</v>
      </c>
      <c r="AR136" s="0" t="str">
        <f aca="false">IF(AND(AU136="pass",AO136&lt;&gt;"Y",C136&lt;&gt;""),"Y","N")</f>
        <v>Y</v>
      </c>
      <c r="AS136" s="0" t="str">
        <f aca="false">_xlfn.TEXTJOIN("; ",TRUE(),IF(AU136&lt;&gt;"pass","gated out",""),IF(AO136="Y","on hold: "&amp;AP136,""),IF(C136="","no contact named on an opened page",""))</f>
        <v/>
      </c>
      <c r="AU136" s="6" t="s">
        <v>181</v>
      </c>
      <c r="AW136" s="6" t="s">
        <v>182</v>
      </c>
      <c r="AX136" s="6" t="s">
        <v>4595</v>
      </c>
      <c r="AY136" s="6" t="s">
        <v>7720</v>
      </c>
      <c r="AZ136" s="6" t="s">
        <v>4596</v>
      </c>
      <c r="BA136" s="6" t="s">
        <v>4953</v>
      </c>
      <c r="BB136" s="6" t="s">
        <v>7721</v>
      </c>
      <c r="BC136" s="6" t="s">
        <v>7715</v>
      </c>
      <c r="BD136" s="6" t="s">
        <v>163</v>
      </c>
      <c r="BE136" s="6" t="s">
        <v>7722</v>
      </c>
      <c r="BF136" s="6" t="s">
        <v>168</v>
      </c>
      <c r="BG136" s="6" t="s">
        <v>168</v>
      </c>
      <c r="BH136" s="6" t="s">
        <v>163</v>
      </c>
      <c r="BJ136" s="6" t="s">
        <v>5551</v>
      </c>
      <c r="BK136" s="6" t="s">
        <v>162</v>
      </c>
      <c r="BL136" s="6" t="s">
        <v>162</v>
      </c>
      <c r="BO136" s="6" t="s">
        <v>162</v>
      </c>
      <c r="BP136" s="0" t="n">
        <v>0</v>
      </c>
      <c r="BS136" s="6" t="s">
        <v>7723</v>
      </c>
      <c r="BU136" s="6" t="s">
        <v>4695</v>
      </c>
      <c r="BV136" s="0" t="n">
        <v>120</v>
      </c>
      <c r="BX136" s="6" t="s">
        <v>7724</v>
      </c>
      <c r="CF136" s="6" t="s">
        <v>158</v>
      </c>
      <c r="CK136" s="6" t="s">
        <v>158</v>
      </c>
      <c r="CL136" s="0" t="n">
        <v>41</v>
      </c>
      <c r="CM136" s="0" t="n">
        <v>6</v>
      </c>
      <c r="CN136" s="0" t="n">
        <v>13</v>
      </c>
      <c r="CO136" s="0" t="n">
        <v>8</v>
      </c>
      <c r="CP136" s="0" t="n">
        <v>5</v>
      </c>
      <c r="CQ136" s="0" t="n">
        <v>7</v>
      </c>
      <c r="CR136" s="0" t="n">
        <v>6</v>
      </c>
      <c r="CS136" s="6" t="n">
        <f aca="false">IF(R136="Y",10,0)</f>
        <v>0</v>
      </c>
      <c r="CT136" s="0" t="n">
        <v>-4</v>
      </c>
      <c r="CU136" s="6" t="s">
        <v>7725</v>
      </c>
      <c r="CV136" s="6" t="s">
        <v>5564</v>
      </c>
      <c r="CW136" s="6" t="s">
        <v>7726</v>
      </c>
      <c r="CX136" s="6" t="s">
        <v>7727</v>
      </c>
      <c r="CY136" s="6" t="s">
        <v>7728</v>
      </c>
      <c r="DA136" s="6" t="s">
        <v>6236</v>
      </c>
      <c r="DY136" s="0" t="str">
        <f aca="false">IF(ISNUMBER(MATCH(U136,{"queued","contacted","replied","call_booked","call_done","yes_in_principle","materials_sent"},0)),"Y","N")</f>
        <v>N</v>
      </c>
      <c r="DZ136" s="0" t="str">
        <f aca="false">IF(COUNTIFS($AN$2:$AN$1000,AN136,$DY$2:$DY$1000,"Y")+COUNTIFS($AN$2:$AN$1000,AN136,$T$2:$T$1000,"Y")&gt;0,"Y","N")</f>
        <v>N</v>
      </c>
      <c r="EA136" s="0" t="str">
        <f aca="false">IF(AND(U136="new",T136="N",AR136="Y",AQ136="",DZ136="N"),"Y","N")</f>
        <v>Y</v>
      </c>
      <c r="EB136" s="0" t="str">
        <f aca="false">IF(EA136&lt;&gt;"Y","N",IF(COUNTIFS($AN$2:$AN$1000,AN136,$EA$2:$EA$1000,"Y",$J$2:$J$1000,"&gt;"&amp;J136)+COUNTIFS($AN$2:$AN$1000,AN136,$EA$2:$EA$1000,"Y",$J$2:$J$1000,J136,$ED$2:$ED$1000,"&lt;"&amp;ED136)=0,"Y","N"))</f>
        <v>Y</v>
      </c>
      <c r="EC136" s="0" t="str">
        <f aca="false">IF(Y136="","N",IF(Y136&lt;=10,"Y","N"))</f>
        <v>N</v>
      </c>
      <c r="ED136" s="6" t="n">
        <f aca="false">ROW()-1</f>
        <v>135</v>
      </c>
    </row>
    <row r="137" customFormat="false" ht="15" hidden="false" customHeight="false" outlineLevel="0" collapsed="false">
      <c r="A137" s="0" t="s">
        <v>7729</v>
      </c>
      <c r="B137" s="0" t="s">
        <v>7730</v>
      </c>
      <c r="C137" s="0" t="s">
        <v>7731</v>
      </c>
      <c r="D137" s="0" t="s">
        <v>7732</v>
      </c>
      <c r="E137" s="0" t="s">
        <v>7733</v>
      </c>
      <c r="H137" s="5" t="s">
        <v>158</v>
      </c>
      <c r="I137" s="5" t="s">
        <v>159</v>
      </c>
      <c r="J137" s="6" t="n">
        <f aca="false">IF(AU137="pass",CM137+CN137+CO137+CP137+CQ137+CR137+CS137+CT137,0)</f>
        <v>41</v>
      </c>
      <c r="K137" s="6" t="s">
        <v>7734</v>
      </c>
      <c r="M137" s="6" t="s">
        <v>5293</v>
      </c>
      <c r="N137" s="6" t="s">
        <v>598</v>
      </c>
      <c r="O137" s="6" t="s">
        <v>7735</v>
      </c>
      <c r="P137" s="6" t="s">
        <v>7736</v>
      </c>
      <c r="Q137" s="6" t="s">
        <v>3529</v>
      </c>
      <c r="R137" s="5" t="s">
        <v>162</v>
      </c>
      <c r="S137" s="6" t="s">
        <v>163</v>
      </c>
      <c r="T137" s="5" t="s">
        <v>162</v>
      </c>
      <c r="U137" s="5" t="s">
        <v>228</v>
      </c>
      <c r="V137" s="6" t="s">
        <v>7736</v>
      </c>
      <c r="W137" s="6" t="s">
        <v>166</v>
      </c>
      <c r="X137" s="6" t="s">
        <v>4586</v>
      </c>
      <c r="Y137" s="6" t="n">
        <f aca="false">IF(EB137&lt;&gt;"Y","",COUNTIFS($EB$2:$EB$1000,"Y",$J$2:$J$1000,"&gt;"&amp;J137)+COUNTIFS($EB$2:$EB$1000,"Y",$J$2:$J$1000,J137,$ED$2:$ED$1000,"&lt;"&amp;ED137)+1)</f>
        <v>112</v>
      </c>
      <c r="Z137" s="0" t="n">
        <v>136</v>
      </c>
      <c r="AA137" s="6" t="s">
        <v>162</v>
      </c>
      <c r="AB137" s="6" t="s">
        <v>7737</v>
      </c>
      <c r="AC137" s="6" t="s">
        <v>4588</v>
      </c>
      <c r="AD137" s="6" t="s">
        <v>171</v>
      </c>
      <c r="AE137" s="6" t="s">
        <v>1190</v>
      </c>
      <c r="AF137" s="6" t="s">
        <v>7738</v>
      </c>
      <c r="AG137" s="6" t="s">
        <v>166</v>
      </c>
      <c r="AH137" s="6" t="s">
        <v>7739</v>
      </c>
      <c r="AI137" s="6" t="s">
        <v>4665</v>
      </c>
      <c r="AJ137" s="6" t="s">
        <v>7740</v>
      </c>
      <c r="AK137" s="6" t="s">
        <v>7741</v>
      </c>
      <c r="AL137" s="6" t="s">
        <v>168</v>
      </c>
      <c r="AM137" s="6" t="s">
        <v>7742</v>
      </c>
      <c r="AN137" s="6" t="s">
        <v>7729</v>
      </c>
      <c r="AO137" s="5" t="s">
        <v>162</v>
      </c>
      <c r="AR137" s="0" t="str">
        <f aca="false">IF(AND(AU137="pass",AO137&lt;&gt;"Y",C137&lt;&gt;""),"Y","N")</f>
        <v>Y</v>
      </c>
      <c r="AS137" s="0" t="str">
        <f aca="false">_xlfn.TEXTJOIN("; ",TRUE(),IF(AU137&lt;&gt;"pass","gated out",""),IF(AO137="Y","on hold: "&amp;AP137,""),IF(C137="","no contact named on an opened page",""))</f>
        <v/>
      </c>
      <c r="AU137" s="6" t="s">
        <v>181</v>
      </c>
      <c r="AW137" s="6" t="s">
        <v>182</v>
      </c>
      <c r="AX137" s="6" t="s">
        <v>7743</v>
      </c>
      <c r="AY137" s="6" t="s">
        <v>7741</v>
      </c>
      <c r="AZ137" s="6" t="s">
        <v>4596</v>
      </c>
      <c r="BA137" s="6" t="s">
        <v>4597</v>
      </c>
      <c r="BB137" s="6" t="s">
        <v>163</v>
      </c>
      <c r="BD137" s="6" t="s">
        <v>264</v>
      </c>
      <c r="BE137" s="6" t="s">
        <v>7744</v>
      </c>
      <c r="BF137" s="6" t="s">
        <v>163</v>
      </c>
      <c r="BG137" s="6" t="s">
        <v>168</v>
      </c>
      <c r="BH137" s="6" t="s">
        <v>163</v>
      </c>
      <c r="BJ137" s="6" t="s">
        <v>163</v>
      </c>
      <c r="BK137" s="6" t="s">
        <v>162</v>
      </c>
      <c r="BL137" s="6" t="s">
        <v>162</v>
      </c>
      <c r="BO137" s="6" t="s">
        <v>162</v>
      </c>
      <c r="BP137" s="0" t="n">
        <v>0</v>
      </c>
      <c r="BS137" s="6" t="s">
        <v>7745</v>
      </c>
      <c r="BT137" s="6" t="s">
        <v>7746</v>
      </c>
      <c r="BU137" s="6" t="s">
        <v>4695</v>
      </c>
      <c r="BV137" s="0" t="n">
        <v>37</v>
      </c>
      <c r="BX137" s="6" t="s">
        <v>7747</v>
      </c>
      <c r="CF137" s="6" t="s">
        <v>158</v>
      </c>
      <c r="CK137" s="6" t="s">
        <v>158</v>
      </c>
      <c r="CL137" s="0" t="n">
        <v>41</v>
      </c>
      <c r="CM137" s="0" t="n">
        <v>6</v>
      </c>
      <c r="CN137" s="0" t="n">
        <v>20</v>
      </c>
      <c r="CO137" s="0" t="n">
        <v>8</v>
      </c>
      <c r="CP137" s="0" t="n">
        <v>5</v>
      </c>
      <c r="CQ137" s="0" t="n">
        <v>6</v>
      </c>
      <c r="CR137" s="0" t="n">
        <v>6</v>
      </c>
      <c r="CS137" s="6" t="n">
        <f aca="false">IF(R137="Y",10,0)</f>
        <v>0</v>
      </c>
      <c r="CT137" s="0" t="n">
        <v>-10</v>
      </c>
      <c r="CU137" s="6" t="s">
        <v>7748</v>
      </c>
      <c r="CV137" s="6" t="s">
        <v>4704</v>
      </c>
      <c r="CW137" s="6" t="s">
        <v>7749</v>
      </c>
      <c r="CX137" s="6" t="s">
        <v>7750</v>
      </c>
      <c r="CY137" s="6" t="s">
        <v>7751</v>
      </c>
      <c r="DA137" s="6" t="s">
        <v>6236</v>
      </c>
      <c r="DY137" s="0" t="str">
        <f aca="false">IF(ISNUMBER(MATCH(U137,{"queued","contacted","replied","call_booked","call_done","yes_in_principle","materials_sent"},0)),"Y","N")</f>
        <v>N</v>
      </c>
      <c r="DZ137" s="0" t="str">
        <f aca="false">IF(COUNTIFS($AN$2:$AN$1000,AN137,$DY$2:$DY$1000,"Y")+COUNTIFS($AN$2:$AN$1000,AN137,$T$2:$T$1000,"Y")&gt;0,"Y","N")</f>
        <v>N</v>
      </c>
      <c r="EA137" s="0" t="str">
        <f aca="false">IF(AND(U137="new",T137="N",AR137="Y",AQ137="",DZ137="N"),"Y","N")</f>
        <v>Y</v>
      </c>
      <c r="EB137" s="0" t="str">
        <f aca="false">IF(EA137&lt;&gt;"Y","N",IF(COUNTIFS($AN$2:$AN$1000,AN137,$EA$2:$EA$1000,"Y",$J$2:$J$1000,"&gt;"&amp;J137)+COUNTIFS($AN$2:$AN$1000,AN137,$EA$2:$EA$1000,"Y",$J$2:$J$1000,J137,$ED$2:$ED$1000,"&lt;"&amp;ED137)=0,"Y","N"))</f>
        <v>Y</v>
      </c>
      <c r="EC137" s="0" t="str">
        <f aca="false">IF(Y137="","N",IF(Y137&lt;=10,"Y","N"))</f>
        <v>N</v>
      </c>
      <c r="ED137" s="6" t="n">
        <f aca="false">ROW()-1</f>
        <v>136</v>
      </c>
    </row>
    <row r="138" customFormat="false" ht="15" hidden="false" customHeight="false" outlineLevel="0" collapsed="false">
      <c r="A138" s="0" t="s">
        <v>7752</v>
      </c>
      <c r="B138" s="0" t="s">
        <v>7753</v>
      </c>
      <c r="H138" s="5" t="s">
        <v>158</v>
      </c>
      <c r="I138" s="5"/>
      <c r="J138" s="6" t="n">
        <f aca="false">IF(AU138="pass",CM138+CN138+CO138+CP138+CQ138+CR138+CS138+CT138,0)</f>
        <v>41</v>
      </c>
      <c r="K138" s="6" t="s">
        <v>7754</v>
      </c>
      <c r="M138" s="6" t="s">
        <v>5293</v>
      </c>
      <c r="N138" s="6" t="s">
        <v>598</v>
      </c>
      <c r="O138" s="6" t="s">
        <v>7755</v>
      </c>
      <c r="P138" s="6" t="s">
        <v>7756</v>
      </c>
      <c r="Q138" s="6" t="s">
        <v>7757</v>
      </c>
      <c r="R138" s="5" t="s">
        <v>162</v>
      </c>
      <c r="S138" s="6" t="s">
        <v>163</v>
      </c>
      <c r="T138" s="5" t="s">
        <v>162</v>
      </c>
      <c r="U138" s="5" t="s">
        <v>228</v>
      </c>
      <c r="V138" s="6" t="s">
        <v>7758</v>
      </c>
      <c r="W138" s="6" t="s">
        <v>174</v>
      </c>
      <c r="X138" s="6" t="s">
        <v>4586</v>
      </c>
      <c r="Y138" s="0" t="str">
        <f aca="false">IF(EB138&lt;&gt;"Y","",COUNTIFS($EB$2:$EB$1000,"Y",$J$2:$J$1000,"&gt;"&amp;J138)+COUNTIFS($EB$2:$EB$1000,"Y",$J$2:$J$1000,J138,$ED$2:$ED$1000,"&lt;"&amp;ED138)+1)</f>
        <v/>
      </c>
      <c r="Z138" s="0" t="n">
        <v>137</v>
      </c>
      <c r="AA138" s="6" t="s">
        <v>162</v>
      </c>
      <c r="AB138" s="6" t="s">
        <v>7759</v>
      </c>
      <c r="AC138" s="6" t="s">
        <v>4588</v>
      </c>
      <c r="AD138" s="6" t="s">
        <v>598</v>
      </c>
      <c r="AE138" s="6" t="s">
        <v>172</v>
      </c>
      <c r="AF138" s="6" t="s">
        <v>7760</v>
      </c>
      <c r="AG138" s="6" t="s">
        <v>174</v>
      </c>
      <c r="AH138" s="6" t="s">
        <v>7761</v>
      </c>
      <c r="AI138" s="6" t="s">
        <v>4665</v>
      </c>
      <c r="AJ138" s="6" t="s">
        <v>7762</v>
      </c>
      <c r="AK138" s="6" t="s">
        <v>7760</v>
      </c>
      <c r="AL138" s="6" t="s">
        <v>168</v>
      </c>
      <c r="AM138" s="6" t="s">
        <v>7763</v>
      </c>
      <c r="AN138" s="6" t="s">
        <v>7752</v>
      </c>
      <c r="AO138" s="5" t="s">
        <v>162</v>
      </c>
      <c r="AR138" s="0" t="str">
        <f aca="false">IF(AND(AU138="pass",AO138&lt;&gt;"Y",C138&lt;&gt;""),"Y","N")</f>
        <v>N</v>
      </c>
      <c r="AS138" s="0" t="str">
        <f aca="false">_xlfn.TEXTJOIN("; ",TRUE(),IF(AU138&lt;&gt;"pass","gated out",""),IF(AO138="Y","on hold: "&amp;AP138,""),IF(C138="","no contact named on an opened page",""))</f>
        <v>no contact named on an opened page</v>
      </c>
      <c r="AU138" s="6" t="s">
        <v>181</v>
      </c>
      <c r="AW138" s="6" t="s">
        <v>182</v>
      </c>
      <c r="AX138" s="6" t="s">
        <v>7597</v>
      </c>
      <c r="AY138" s="6" t="s">
        <v>7760</v>
      </c>
      <c r="AZ138" s="6" t="s">
        <v>4596</v>
      </c>
      <c r="BA138" s="6" t="s">
        <v>4597</v>
      </c>
      <c r="BB138" s="6" t="s">
        <v>163</v>
      </c>
      <c r="BD138" s="6" t="s">
        <v>163</v>
      </c>
      <c r="BE138" s="6" t="s">
        <v>7764</v>
      </c>
      <c r="BF138" s="6" t="s">
        <v>168</v>
      </c>
      <c r="BG138" s="6" t="s">
        <v>168</v>
      </c>
      <c r="BH138" s="6" t="s">
        <v>163</v>
      </c>
      <c r="BJ138" s="6" t="s">
        <v>5145</v>
      </c>
      <c r="BK138" s="6" t="s">
        <v>162</v>
      </c>
      <c r="BL138" s="6" t="s">
        <v>162</v>
      </c>
      <c r="BO138" s="6" t="s">
        <v>162</v>
      </c>
      <c r="BP138" s="0" t="n">
        <v>0</v>
      </c>
      <c r="BS138" s="6" t="s">
        <v>163</v>
      </c>
      <c r="BU138" s="6" t="s">
        <v>4695</v>
      </c>
      <c r="BV138" s="0" t="n">
        <v>170</v>
      </c>
      <c r="BX138" s="6" t="s">
        <v>7765</v>
      </c>
      <c r="BY138" s="6" t="s">
        <v>7766</v>
      </c>
      <c r="CF138" s="6" t="s">
        <v>158</v>
      </c>
      <c r="CK138" s="6" t="s">
        <v>158</v>
      </c>
      <c r="CL138" s="0" t="n">
        <v>41</v>
      </c>
      <c r="CM138" s="0" t="n">
        <v>6</v>
      </c>
      <c r="CN138" s="0" t="n">
        <v>20</v>
      </c>
      <c r="CO138" s="0" t="n">
        <v>8</v>
      </c>
      <c r="CP138" s="0" t="n">
        <v>5</v>
      </c>
      <c r="CQ138" s="0" t="n">
        <v>7</v>
      </c>
      <c r="CR138" s="0" t="n">
        <v>3</v>
      </c>
      <c r="CS138" s="6" t="n">
        <f aca="false">IF(R138="Y",10,0)</f>
        <v>0</v>
      </c>
      <c r="CT138" s="0" t="n">
        <v>-8</v>
      </c>
      <c r="CU138" s="6" t="s">
        <v>7767</v>
      </c>
      <c r="CV138" s="6" t="s">
        <v>5152</v>
      </c>
      <c r="CW138" s="6" t="s">
        <v>7768</v>
      </c>
      <c r="CX138" s="6" t="s">
        <v>7769</v>
      </c>
      <c r="DA138" s="6" t="s">
        <v>6236</v>
      </c>
      <c r="DY138" s="0" t="str">
        <f aca="false">IF(ISNUMBER(MATCH(U138,{"queued","contacted","replied","call_booked","call_done","yes_in_principle","materials_sent"},0)),"Y","N")</f>
        <v>N</v>
      </c>
      <c r="DZ138" s="0" t="str">
        <f aca="false">IF(COUNTIFS($AN$2:$AN$1000,AN138,$DY$2:$DY$1000,"Y")+COUNTIFS($AN$2:$AN$1000,AN138,$T$2:$T$1000,"Y")&gt;0,"Y","N")</f>
        <v>N</v>
      </c>
      <c r="EA138" s="0" t="str">
        <f aca="false">IF(AND(U138="new",T138="N",AR138="Y",AQ138="",DZ138="N"),"Y","N")</f>
        <v>N</v>
      </c>
      <c r="EB138" s="0" t="str">
        <f aca="false">IF(EA138&lt;&gt;"Y","N",IF(COUNTIFS($AN$2:$AN$1000,AN138,$EA$2:$EA$1000,"Y",$J$2:$J$1000,"&gt;"&amp;J138)+COUNTIFS($AN$2:$AN$1000,AN138,$EA$2:$EA$1000,"Y",$J$2:$J$1000,J138,$ED$2:$ED$1000,"&lt;"&amp;ED138)=0,"Y","N"))</f>
        <v>N</v>
      </c>
      <c r="EC138" s="0" t="str">
        <f aca="false">IF(Y138="","N",IF(Y138&lt;=10,"Y","N"))</f>
        <v>N</v>
      </c>
      <c r="ED138" s="6" t="n">
        <f aca="false">ROW()-1</f>
        <v>137</v>
      </c>
    </row>
    <row r="139" customFormat="false" ht="15" hidden="false" customHeight="false" outlineLevel="0" collapsed="false">
      <c r="A139" s="0" t="s">
        <v>7770</v>
      </c>
      <c r="B139" s="0" t="s">
        <v>7771</v>
      </c>
      <c r="C139" s="0" t="s">
        <v>7772</v>
      </c>
      <c r="D139" s="0" t="s">
        <v>7773</v>
      </c>
      <c r="E139" s="0" t="s">
        <v>4626</v>
      </c>
      <c r="H139" s="5" t="s">
        <v>158</v>
      </c>
      <c r="I139" s="5" t="s">
        <v>159</v>
      </c>
      <c r="J139" s="6" t="n">
        <f aca="false">IF(AU139="pass",CM139+CN139+CO139+CP139+CQ139+CR139+CS139+CT139,0)</f>
        <v>41</v>
      </c>
      <c r="K139" s="6" t="s">
        <v>7774</v>
      </c>
      <c r="M139" s="6" t="s">
        <v>5293</v>
      </c>
      <c r="N139" s="6" t="s">
        <v>598</v>
      </c>
      <c r="O139" s="6" t="s">
        <v>7775</v>
      </c>
      <c r="P139" s="6" t="s">
        <v>7776</v>
      </c>
      <c r="Q139" s="6" t="s">
        <v>4823</v>
      </c>
      <c r="R139" s="5" t="s">
        <v>162</v>
      </c>
      <c r="S139" s="6" t="s">
        <v>163</v>
      </c>
      <c r="T139" s="5" t="s">
        <v>162</v>
      </c>
      <c r="U139" s="5" t="s">
        <v>228</v>
      </c>
      <c r="V139" s="6" t="s">
        <v>7777</v>
      </c>
      <c r="W139" s="6" t="s">
        <v>174</v>
      </c>
      <c r="X139" s="6" t="s">
        <v>4586</v>
      </c>
      <c r="Y139" s="6" t="n">
        <f aca="false">IF(EB139&lt;&gt;"Y","",COUNTIFS($EB$2:$EB$1000,"Y",$J$2:$J$1000,"&gt;"&amp;J139)+COUNTIFS($EB$2:$EB$1000,"Y",$J$2:$J$1000,J139,$ED$2:$ED$1000,"&lt;"&amp;ED139)+1)</f>
        <v>113</v>
      </c>
      <c r="Z139" s="0" t="n">
        <v>138</v>
      </c>
      <c r="AA139" s="6" t="s">
        <v>162</v>
      </c>
      <c r="AB139" s="6" t="s">
        <v>7778</v>
      </c>
      <c r="AC139" s="6" t="s">
        <v>4588</v>
      </c>
      <c r="AD139" s="6" t="s">
        <v>171</v>
      </c>
      <c r="AE139" s="6" t="s">
        <v>172</v>
      </c>
      <c r="AF139" s="6" t="s">
        <v>7779</v>
      </c>
      <c r="AG139" s="6" t="s">
        <v>174</v>
      </c>
      <c r="AH139" s="6" t="s">
        <v>7780</v>
      </c>
      <c r="AI139" s="6" t="s">
        <v>4665</v>
      </c>
      <c r="AJ139" s="6" t="s">
        <v>7781</v>
      </c>
      <c r="AK139" s="6" t="s">
        <v>7782</v>
      </c>
      <c r="AL139" s="6" t="s">
        <v>168</v>
      </c>
      <c r="AM139" s="6" t="s">
        <v>7783</v>
      </c>
      <c r="AN139" s="6" t="s">
        <v>7770</v>
      </c>
      <c r="AO139" s="5" t="s">
        <v>162</v>
      </c>
      <c r="AR139" s="0" t="str">
        <f aca="false">IF(AND(AU139="pass",AO139&lt;&gt;"Y",C139&lt;&gt;""),"Y","N")</f>
        <v>Y</v>
      </c>
      <c r="AS139" s="0" t="str">
        <f aca="false">_xlfn.TEXTJOIN("; ",TRUE(),IF(AU139&lt;&gt;"pass","gated out",""),IF(AO139="Y","on hold: "&amp;AP139,""),IF(C139="","no contact named on an opened page",""))</f>
        <v/>
      </c>
      <c r="AU139" s="6" t="s">
        <v>181</v>
      </c>
      <c r="AW139" s="6" t="s">
        <v>182</v>
      </c>
      <c r="AX139" s="6" t="s">
        <v>283</v>
      </c>
      <c r="AY139" s="6" t="s">
        <v>7782</v>
      </c>
      <c r="AZ139" s="6" t="s">
        <v>6691</v>
      </c>
      <c r="BA139" s="6" t="s">
        <v>5193</v>
      </c>
      <c r="BB139" s="6" t="s">
        <v>163</v>
      </c>
      <c r="BD139" s="6" t="s">
        <v>168</v>
      </c>
      <c r="BE139" s="6" t="s">
        <v>7784</v>
      </c>
      <c r="BF139" s="6" t="s">
        <v>168</v>
      </c>
      <c r="BG139" s="6" t="s">
        <v>168</v>
      </c>
      <c r="BH139" s="6" t="s">
        <v>163</v>
      </c>
      <c r="BJ139" s="6" t="s">
        <v>5145</v>
      </c>
      <c r="BK139" s="6" t="s">
        <v>162</v>
      </c>
      <c r="BL139" s="6" t="s">
        <v>162</v>
      </c>
      <c r="BO139" s="6" t="s">
        <v>162</v>
      </c>
      <c r="BP139" s="0" t="n">
        <v>0</v>
      </c>
      <c r="BS139" s="6" t="s">
        <v>163</v>
      </c>
      <c r="BU139" s="6" t="s">
        <v>4695</v>
      </c>
      <c r="BV139" s="0" t="n">
        <v>12</v>
      </c>
      <c r="BX139" s="6" t="s">
        <v>7785</v>
      </c>
      <c r="CA139" s="6" t="s">
        <v>7786</v>
      </c>
      <c r="CB139" s="6" t="s">
        <v>7787</v>
      </c>
      <c r="CC139" s="6" t="s">
        <v>7788</v>
      </c>
      <c r="CD139" s="6" t="s">
        <v>4626</v>
      </c>
      <c r="CE139" s="6" t="s">
        <v>6725</v>
      </c>
      <c r="CF139" s="6" t="s">
        <v>171</v>
      </c>
      <c r="CK139" s="6" t="s">
        <v>158</v>
      </c>
      <c r="CL139" s="0" t="n">
        <v>41</v>
      </c>
      <c r="CM139" s="0" t="n">
        <v>6</v>
      </c>
      <c r="CN139" s="0" t="n">
        <v>8</v>
      </c>
      <c r="CO139" s="0" t="n">
        <v>8</v>
      </c>
      <c r="CP139" s="0" t="n">
        <v>5</v>
      </c>
      <c r="CQ139" s="0" t="n">
        <v>10</v>
      </c>
      <c r="CR139" s="0" t="n">
        <v>6</v>
      </c>
      <c r="CS139" s="6" t="n">
        <f aca="false">IF(R139="Y",10,0)</f>
        <v>0</v>
      </c>
      <c r="CT139" s="0" t="n">
        <v>-2</v>
      </c>
      <c r="CU139" s="6" t="s">
        <v>7789</v>
      </c>
      <c r="CV139" s="6" t="s">
        <v>5152</v>
      </c>
      <c r="CW139" s="6" t="s">
        <v>7790</v>
      </c>
      <c r="CX139" s="6" t="s">
        <v>7791</v>
      </c>
      <c r="CZ139" s="6" t="s">
        <v>7779</v>
      </c>
      <c r="DA139" s="6" t="s">
        <v>6236</v>
      </c>
      <c r="DC139" s="6" t="s">
        <v>172</v>
      </c>
      <c r="DY139" s="0" t="str">
        <f aca="false">IF(ISNUMBER(MATCH(U139,{"queued","contacted","replied","call_booked","call_done","yes_in_principle","materials_sent"},0)),"Y","N")</f>
        <v>N</v>
      </c>
      <c r="DZ139" s="0" t="str">
        <f aca="false">IF(COUNTIFS($AN$2:$AN$1000,AN139,$DY$2:$DY$1000,"Y")+COUNTIFS($AN$2:$AN$1000,AN139,$T$2:$T$1000,"Y")&gt;0,"Y","N")</f>
        <v>N</v>
      </c>
      <c r="EA139" s="0" t="str">
        <f aca="false">IF(AND(U139="new",T139="N",AR139="Y",AQ139="",DZ139="N"),"Y","N")</f>
        <v>Y</v>
      </c>
      <c r="EB139" s="0" t="str">
        <f aca="false">IF(EA139&lt;&gt;"Y","N",IF(COUNTIFS($AN$2:$AN$1000,AN139,$EA$2:$EA$1000,"Y",$J$2:$J$1000,"&gt;"&amp;J139)+COUNTIFS($AN$2:$AN$1000,AN139,$EA$2:$EA$1000,"Y",$J$2:$J$1000,J139,$ED$2:$ED$1000,"&lt;"&amp;ED139)=0,"Y","N"))</f>
        <v>Y</v>
      </c>
      <c r="EC139" s="0" t="str">
        <f aca="false">IF(Y139="","N",IF(Y139&lt;=10,"Y","N"))</f>
        <v>N</v>
      </c>
      <c r="ED139" s="6" t="n">
        <f aca="false">ROW()-1</f>
        <v>138</v>
      </c>
    </row>
    <row r="140" customFormat="false" ht="15" hidden="false" customHeight="false" outlineLevel="0" collapsed="false">
      <c r="A140" s="0" t="s">
        <v>7792</v>
      </c>
      <c r="B140" s="0" t="s">
        <v>7793</v>
      </c>
      <c r="C140" s="0" t="s">
        <v>5890</v>
      </c>
      <c r="D140" s="0" t="s">
        <v>7794</v>
      </c>
      <c r="E140" s="0" t="s">
        <v>4773</v>
      </c>
      <c r="H140" s="5" t="s">
        <v>158</v>
      </c>
      <c r="I140" s="5" t="s">
        <v>159</v>
      </c>
      <c r="J140" s="6" t="n">
        <f aca="false">IF(AU140="pass",CM140+CN140+CO140+CP140+CQ140+CR140+CS140+CT140,0)</f>
        <v>41</v>
      </c>
      <c r="K140" s="6" t="s">
        <v>7795</v>
      </c>
      <c r="M140" s="6" t="s">
        <v>5293</v>
      </c>
      <c r="N140" s="6" t="s">
        <v>598</v>
      </c>
      <c r="O140" s="6" t="s">
        <v>7796</v>
      </c>
      <c r="P140" s="6" t="s">
        <v>7797</v>
      </c>
      <c r="Q140" s="6" t="s">
        <v>4856</v>
      </c>
      <c r="R140" s="5" t="s">
        <v>162</v>
      </c>
      <c r="S140" s="6" t="s">
        <v>163</v>
      </c>
      <c r="T140" s="5" t="s">
        <v>162</v>
      </c>
      <c r="U140" s="5" t="s">
        <v>228</v>
      </c>
      <c r="V140" s="6" t="s">
        <v>7798</v>
      </c>
      <c r="W140" s="6" t="s">
        <v>166</v>
      </c>
      <c r="X140" s="6" t="s">
        <v>4586</v>
      </c>
      <c r="Y140" s="6" t="n">
        <f aca="false">IF(EB140&lt;&gt;"Y","",COUNTIFS($EB$2:$EB$1000,"Y",$J$2:$J$1000,"&gt;"&amp;J140)+COUNTIFS($EB$2:$EB$1000,"Y",$J$2:$J$1000,J140,$ED$2:$ED$1000,"&lt;"&amp;ED140)+1)</f>
        <v>114</v>
      </c>
      <c r="Z140" s="0" t="n">
        <v>139</v>
      </c>
      <c r="AA140" s="6" t="s">
        <v>162</v>
      </c>
      <c r="AB140" s="6" t="s">
        <v>7799</v>
      </c>
      <c r="AC140" s="6" t="s">
        <v>4588</v>
      </c>
      <c r="AD140" s="6" t="s">
        <v>171</v>
      </c>
      <c r="AE140" s="6" t="s">
        <v>1190</v>
      </c>
      <c r="AF140" s="6" t="s">
        <v>7800</v>
      </c>
      <c r="AG140" s="6" t="s">
        <v>166</v>
      </c>
      <c r="AH140" s="6" t="s">
        <v>7801</v>
      </c>
      <c r="AI140" s="6" t="s">
        <v>4591</v>
      </c>
      <c r="AJ140" s="6" t="s">
        <v>7802</v>
      </c>
      <c r="AK140" s="6" t="s">
        <v>7803</v>
      </c>
      <c r="AL140" s="6" t="s">
        <v>168</v>
      </c>
      <c r="AM140" s="6" t="s">
        <v>7804</v>
      </c>
      <c r="AN140" s="6" t="s">
        <v>7792</v>
      </c>
      <c r="AO140" s="5" t="s">
        <v>162</v>
      </c>
      <c r="AR140" s="0" t="str">
        <f aca="false">IF(AND(AU140="pass",AO140&lt;&gt;"Y",C140&lt;&gt;""),"Y","N")</f>
        <v>Y</v>
      </c>
      <c r="AS140" s="0" t="str">
        <f aca="false">_xlfn.TEXTJOIN("; ",TRUE(),IF(AU140&lt;&gt;"pass","gated out",""),IF(AO140="Y","on hold: "&amp;AP140,""),IF(C140="","no contact named on an opened page",""))</f>
        <v/>
      </c>
      <c r="AU140" s="6" t="s">
        <v>181</v>
      </c>
      <c r="AW140" s="6" t="s">
        <v>182</v>
      </c>
      <c r="AX140" s="6" t="s">
        <v>283</v>
      </c>
      <c r="AY140" s="6" t="s">
        <v>7803</v>
      </c>
      <c r="AZ140" s="6" t="s">
        <v>5192</v>
      </c>
      <c r="BA140" s="6" t="s">
        <v>5193</v>
      </c>
      <c r="BB140" s="6" t="s">
        <v>163</v>
      </c>
      <c r="BD140" s="6" t="s">
        <v>168</v>
      </c>
      <c r="BE140" s="6" t="s">
        <v>7805</v>
      </c>
      <c r="BF140" s="6" t="s">
        <v>168</v>
      </c>
      <c r="BG140" s="6" t="s">
        <v>168</v>
      </c>
      <c r="BH140" s="6" t="s">
        <v>163</v>
      </c>
      <c r="BJ140" s="6" t="s">
        <v>5551</v>
      </c>
      <c r="BK140" s="6" t="s">
        <v>162</v>
      </c>
      <c r="BL140" s="6" t="s">
        <v>162</v>
      </c>
      <c r="BO140" s="6" t="s">
        <v>162</v>
      </c>
      <c r="BP140" s="0" t="n">
        <v>0</v>
      </c>
      <c r="BS140" s="6" t="s">
        <v>6721</v>
      </c>
      <c r="BU140" s="6" t="s">
        <v>4695</v>
      </c>
      <c r="BV140" s="0" t="n">
        <v>241</v>
      </c>
      <c r="BX140" s="6" t="s">
        <v>7806</v>
      </c>
      <c r="CA140" s="6" t="s">
        <v>7807</v>
      </c>
      <c r="CB140" s="6" t="s">
        <v>6563</v>
      </c>
      <c r="CC140" s="6" t="s">
        <v>7808</v>
      </c>
      <c r="CD140" s="6" t="s">
        <v>7809</v>
      </c>
      <c r="CE140" s="6" t="s">
        <v>6262</v>
      </c>
      <c r="CF140" s="6" t="s">
        <v>171</v>
      </c>
      <c r="CK140" s="6" t="s">
        <v>158</v>
      </c>
      <c r="CL140" s="0" t="n">
        <v>41</v>
      </c>
      <c r="CM140" s="0" t="n">
        <v>6</v>
      </c>
      <c r="CN140" s="0" t="n">
        <v>8</v>
      </c>
      <c r="CO140" s="0" t="n">
        <v>4</v>
      </c>
      <c r="CP140" s="0" t="n">
        <v>5</v>
      </c>
      <c r="CQ140" s="0" t="n">
        <v>10</v>
      </c>
      <c r="CR140" s="0" t="n">
        <v>10</v>
      </c>
      <c r="CS140" s="6" t="n">
        <f aca="false">IF(R140="Y",10,0)</f>
        <v>0</v>
      </c>
      <c r="CT140" s="0" t="n">
        <v>-2</v>
      </c>
      <c r="CU140" s="6" t="s">
        <v>7810</v>
      </c>
      <c r="CV140" s="6" t="s">
        <v>5564</v>
      </c>
      <c r="CW140" s="6" t="s">
        <v>7811</v>
      </c>
      <c r="CX140" s="6" t="s">
        <v>7812</v>
      </c>
      <c r="CY140" s="6" t="s">
        <v>7813</v>
      </c>
      <c r="CZ140" s="6" t="s">
        <v>7814</v>
      </c>
      <c r="DA140" s="6" t="s">
        <v>6236</v>
      </c>
      <c r="DC140" s="6" t="s">
        <v>1190</v>
      </c>
      <c r="DY140" s="0" t="str">
        <f aca="false">IF(ISNUMBER(MATCH(U140,{"queued","contacted","replied","call_booked","call_done","yes_in_principle","materials_sent"},0)),"Y","N")</f>
        <v>N</v>
      </c>
      <c r="DZ140" s="0" t="str">
        <f aca="false">IF(COUNTIFS($AN$2:$AN$1000,AN140,$DY$2:$DY$1000,"Y")+COUNTIFS($AN$2:$AN$1000,AN140,$T$2:$T$1000,"Y")&gt;0,"Y","N")</f>
        <v>N</v>
      </c>
      <c r="EA140" s="0" t="str">
        <f aca="false">IF(AND(U140="new",T140="N",AR140="Y",AQ140="",DZ140="N"),"Y","N")</f>
        <v>Y</v>
      </c>
      <c r="EB140" s="0" t="str">
        <f aca="false">IF(EA140&lt;&gt;"Y","N",IF(COUNTIFS($AN$2:$AN$1000,AN140,$EA$2:$EA$1000,"Y",$J$2:$J$1000,"&gt;"&amp;J140)+COUNTIFS($AN$2:$AN$1000,AN140,$EA$2:$EA$1000,"Y",$J$2:$J$1000,J140,$ED$2:$ED$1000,"&lt;"&amp;ED140)=0,"Y","N"))</f>
        <v>Y</v>
      </c>
      <c r="EC140" s="0" t="str">
        <f aca="false">IF(Y140="","N",IF(Y140&lt;=10,"Y","N"))</f>
        <v>N</v>
      </c>
      <c r="ED140" s="6" t="n">
        <f aca="false">ROW()-1</f>
        <v>139</v>
      </c>
    </row>
    <row r="141" customFormat="false" ht="15" hidden="false" customHeight="false" outlineLevel="0" collapsed="false">
      <c r="A141" s="0" t="s">
        <v>7815</v>
      </c>
      <c r="B141" s="0" t="s">
        <v>7816</v>
      </c>
      <c r="C141" s="0" t="s">
        <v>7817</v>
      </c>
      <c r="D141" s="0" t="s">
        <v>7818</v>
      </c>
      <c r="E141" s="0" t="s">
        <v>7819</v>
      </c>
      <c r="H141" s="5" t="s">
        <v>158</v>
      </c>
      <c r="I141" s="5" t="s">
        <v>159</v>
      </c>
      <c r="J141" s="6" t="n">
        <f aca="false">IF(AU141="pass",CM141+CN141+CO141+CP141+CQ141+CR141+CS141+CT141,0)</f>
        <v>41</v>
      </c>
      <c r="K141" s="6" t="s">
        <v>7820</v>
      </c>
      <c r="M141" s="6" t="s">
        <v>5293</v>
      </c>
      <c r="N141" s="6" t="s">
        <v>598</v>
      </c>
      <c r="R141" s="5" t="s">
        <v>162</v>
      </c>
      <c r="S141" s="6" t="s">
        <v>163</v>
      </c>
      <c r="T141" s="5" t="s">
        <v>162</v>
      </c>
      <c r="U141" s="5" t="s">
        <v>228</v>
      </c>
      <c r="V141" s="6" t="s">
        <v>7821</v>
      </c>
      <c r="W141" s="6" t="s">
        <v>166</v>
      </c>
      <c r="X141" s="6" t="s">
        <v>4586</v>
      </c>
      <c r="Y141" s="6" t="n">
        <f aca="false">IF(EB141&lt;&gt;"Y","",COUNTIFS($EB$2:$EB$1000,"Y",$J$2:$J$1000,"&gt;"&amp;J141)+COUNTIFS($EB$2:$EB$1000,"Y",$J$2:$J$1000,J141,$ED$2:$ED$1000,"&lt;"&amp;ED141)+1)</f>
        <v>115</v>
      </c>
      <c r="Z141" s="0" t="n">
        <v>140</v>
      </c>
      <c r="AA141" s="6" t="s">
        <v>162</v>
      </c>
      <c r="AB141" s="6" t="s">
        <v>7822</v>
      </c>
      <c r="AC141" s="6" t="s">
        <v>4588</v>
      </c>
      <c r="AD141" s="6" t="s">
        <v>171</v>
      </c>
      <c r="AE141" s="6" t="s">
        <v>172</v>
      </c>
      <c r="AF141" s="6" t="s">
        <v>7823</v>
      </c>
      <c r="AG141" s="6" t="s">
        <v>166</v>
      </c>
      <c r="AH141" s="6" t="s">
        <v>7824</v>
      </c>
      <c r="AI141" s="6" t="s">
        <v>4665</v>
      </c>
      <c r="AJ141" s="6" t="s">
        <v>4635</v>
      </c>
      <c r="AK141" s="6" t="s">
        <v>7825</v>
      </c>
      <c r="AL141" s="6" t="s">
        <v>168</v>
      </c>
      <c r="AM141" s="6" t="s">
        <v>7826</v>
      </c>
      <c r="AN141" s="6" t="s">
        <v>7815</v>
      </c>
      <c r="AO141" s="5" t="s">
        <v>162</v>
      </c>
      <c r="AR141" s="0" t="str">
        <f aca="false">IF(AND(AU141="pass",AO141&lt;&gt;"Y",C141&lt;&gt;""),"Y","N")</f>
        <v>Y</v>
      </c>
      <c r="AS141" s="0" t="str">
        <f aca="false">_xlfn.TEXTJOIN("; ",TRUE(),IF(AU141&lt;&gt;"pass","gated out",""),IF(AO141="Y","on hold: "&amp;AP141,""),IF(C141="","no contact named on an opened page",""))</f>
        <v/>
      </c>
      <c r="AU141" s="6" t="s">
        <v>181</v>
      </c>
      <c r="AW141" s="6" t="s">
        <v>182</v>
      </c>
      <c r="AX141" s="6" t="s">
        <v>6033</v>
      </c>
      <c r="AY141" s="6" t="s">
        <v>7825</v>
      </c>
      <c r="AZ141" s="6" t="s">
        <v>4596</v>
      </c>
      <c r="BA141" s="6" t="s">
        <v>4597</v>
      </c>
      <c r="BB141" s="6" t="s">
        <v>7827</v>
      </c>
      <c r="BC141" s="6" t="s">
        <v>7821</v>
      </c>
      <c r="BD141" s="6" t="s">
        <v>168</v>
      </c>
      <c r="BE141" s="6" t="s">
        <v>7828</v>
      </c>
      <c r="BF141" s="6" t="s">
        <v>168</v>
      </c>
      <c r="BG141" s="6" t="s">
        <v>168</v>
      </c>
      <c r="BH141" s="6" t="s">
        <v>163</v>
      </c>
      <c r="BJ141" s="6" t="s">
        <v>163</v>
      </c>
      <c r="BK141" s="6" t="s">
        <v>162</v>
      </c>
      <c r="BL141" s="6" t="s">
        <v>162</v>
      </c>
      <c r="BO141" s="6" t="s">
        <v>162</v>
      </c>
      <c r="BP141" s="0" t="n">
        <v>0</v>
      </c>
      <c r="BS141" s="6" t="s">
        <v>7829</v>
      </c>
      <c r="BT141" s="6" t="s">
        <v>7830</v>
      </c>
      <c r="BU141" s="6" t="s">
        <v>158</v>
      </c>
      <c r="BX141" s="6" t="s">
        <v>7831</v>
      </c>
      <c r="CA141" s="6" t="s">
        <v>7832</v>
      </c>
      <c r="CB141" s="6" t="s">
        <v>7833</v>
      </c>
      <c r="CC141" s="6" t="s">
        <v>7834</v>
      </c>
      <c r="CD141" s="6" t="s">
        <v>5338</v>
      </c>
      <c r="CE141" s="6" t="s">
        <v>6262</v>
      </c>
      <c r="CF141" s="6" t="s">
        <v>171</v>
      </c>
      <c r="CK141" s="6" t="s">
        <v>158</v>
      </c>
      <c r="CL141" s="0" t="n">
        <v>41</v>
      </c>
      <c r="CM141" s="0" t="n">
        <v>6</v>
      </c>
      <c r="CN141" s="0" t="n">
        <v>20</v>
      </c>
      <c r="CO141" s="0" t="n">
        <v>0</v>
      </c>
      <c r="CP141" s="0" t="n">
        <v>5</v>
      </c>
      <c r="CQ141" s="0" t="n">
        <v>10</v>
      </c>
      <c r="CR141" s="0" t="n">
        <v>10</v>
      </c>
      <c r="CS141" s="6" t="n">
        <f aca="false">IF(R141="Y",10,0)</f>
        <v>0</v>
      </c>
      <c r="CT141" s="0" t="n">
        <v>-10</v>
      </c>
      <c r="CU141" s="6" t="s">
        <v>7835</v>
      </c>
      <c r="CV141" s="6" t="s">
        <v>4704</v>
      </c>
      <c r="CW141" s="6" t="s">
        <v>7836</v>
      </c>
      <c r="CX141" s="6" t="s">
        <v>7837</v>
      </c>
      <c r="CY141" s="6" t="s">
        <v>7838</v>
      </c>
      <c r="CZ141" s="6" t="s">
        <v>7823</v>
      </c>
      <c r="DA141" s="6" t="s">
        <v>6236</v>
      </c>
      <c r="DC141" s="6" t="s">
        <v>172</v>
      </c>
      <c r="DY141" s="0" t="str">
        <f aca="false">IF(ISNUMBER(MATCH(U141,{"queued","contacted","replied","call_booked","call_done","yes_in_principle","materials_sent"},0)),"Y","N")</f>
        <v>N</v>
      </c>
      <c r="DZ141" s="0" t="str">
        <f aca="false">IF(COUNTIFS($AN$2:$AN$1000,AN141,$DY$2:$DY$1000,"Y")+COUNTIFS($AN$2:$AN$1000,AN141,$T$2:$T$1000,"Y")&gt;0,"Y","N")</f>
        <v>N</v>
      </c>
      <c r="EA141" s="0" t="str">
        <f aca="false">IF(AND(U141="new",T141="N",AR141="Y",AQ141="",DZ141="N"),"Y","N")</f>
        <v>Y</v>
      </c>
      <c r="EB141" s="0" t="str">
        <f aca="false">IF(EA141&lt;&gt;"Y","N",IF(COUNTIFS($AN$2:$AN$1000,AN141,$EA$2:$EA$1000,"Y",$J$2:$J$1000,"&gt;"&amp;J141)+COUNTIFS($AN$2:$AN$1000,AN141,$EA$2:$EA$1000,"Y",$J$2:$J$1000,J141,$ED$2:$ED$1000,"&lt;"&amp;ED141)=0,"Y","N"))</f>
        <v>Y</v>
      </c>
      <c r="EC141" s="0" t="str">
        <f aca="false">IF(Y141="","N",IF(Y141&lt;=10,"Y","N"))</f>
        <v>N</v>
      </c>
      <c r="ED141" s="6" t="n">
        <f aca="false">ROW()-1</f>
        <v>140</v>
      </c>
    </row>
    <row r="142" customFormat="false" ht="15" hidden="false" customHeight="false" outlineLevel="0" collapsed="false">
      <c r="A142" s="0" t="s">
        <v>7839</v>
      </c>
      <c r="B142" s="0" t="s">
        <v>7840</v>
      </c>
      <c r="C142" s="0" t="s">
        <v>7841</v>
      </c>
      <c r="D142" s="0" t="s">
        <v>7842</v>
      </c>
      <c r="E142" s="0" t="s">
        <v>4773</v>
      </c>
      <c r="H142" s="5" t="s">
        <v>158</v>
      </c>
      <c r="I142" s="5" t="s">
        <v>159</v>
      </c>
      <c r="J142" s="6" t="n">
        <f aca="false">IF(AU142="pass",CM142+CN142+CO142+CP142+CQ142+CR142+CS142+CT142,0)</f>
        <v>40</v>
      </c>
      <c r="K142" s="6" t="s">
        <v>7843</v>
      </c>
      <c r="M142" s="6" t="s">
        <v>4628</v>
      </c>
      <c r="N142" s="6" t="s">
        <v>4582</v>
      </c>
      <c r="O142" s="6" t="s">
        <v>7844</v>
      </c>
      <c r="P142" s="6" t="s">
        <v>7845</v>
      </c>
      <c r="Q142" s="6" t="s">
        <v>7846</v>
      </c>
      <c r="R142" s="5" t="s">
        <v>162</v>
      </c>
      <c r="S142" s="6" t="s">
        <v>163</v>
      </c>
      <c r="T142" s="5" t="s">
        <v>162</v>
      </c>
      <c r="U142" s="5" t="s">
        <v>228</v>
      </c>
      <c r="V142" s="6" t="s">
        <v>7847</v>
      </c>
      <c r="W142" s="6" t="s">
        <v>166</v>
      </c>
      <c r="X142" s="6" t="s">
        <v>4586</v>
      </c>
      <c r="Y142" s="6" t="n">
        <f aca="false">IF(EB142&lt;&gt;"Y","",COUNTIFS($EB$2:$EB$1000,"Y",$J$2:$J$1000,"&gt;"&amp;J142)+COUNTIFS($EB$2:$EB$1000,"Y",$J$2:$J$1000,J142,$ED$2:$ED$1000,"&lt;"&amp;ED142)+1)</f>
        <v>116</v>
      </c>
      <c r="Z142" s="0" t="n">
        <v>141</v>
      </c>
      <c r="AA142" s="6" t="s">
        <v>162</v>
      </c>
      <c r="AB142" s="6" t="s">
        <v>7848</v>
      </c>
      <c r="AC142" s="6" t="s">
        <v>4588</v>
      </c>
      <c r="AD142" s="6" t="s">
        <v>171</v>
      </c>
      <c r="AE142" s="6" t="s">
        <v>172</v>
      </c>
      <c r="AF142" s="6" t="s">
        <v>7847</v>
      </c>
      <c r="AG142" s="6" t="s">
        <v>166</v>
      </c>
      <c r="AH142" s="6" t="s">
        <v>7849</v>
      </c>
      <c r="AI142" s="6" t="s">
        <v>4828</v>
      </c>
      <c r="AJ142" s="6" t="s">
        <v>2550</v>
      </c>
      <c r="AK142" s="6" t="s">
        <v>7850</v>
      </c>
      <c r="AL142" s="6" t="s">
        <v>168</v>
      </c>
      <c r="AM142" s="6" t="s">
        <v>7851</v>
      </c>
      <c r="AN142" s="6" t="s">
        <v>7839</v>
      </c>
      <c r="AO142" s="5" t="s">
        <v>162</v>
      </c>
      <c r="AR142" s="0" t="str">
        <f aca="false">IF(AND(AU142="pass",AO142&lt;&gt;"Y",C142&lt;&gt;""),"Y","N")</f>
        <v>Y</v>
      </c>
      <c r="AS142" s="0" t="str">
        <f aca="false">_xlfn.TEXTJOIN("; ",TRUE(),IF(AU142&lt;&gt;"pass","gated out",""),IF(AO142="Y","on hold: "&amp;AP142,""),IF(C142="","no contact named on an opened page",""))</f>
        <v/>
      </c>
      <c r="AU142" s="6" t="s">
        <v>181</v>
      </c>
      <c r="AW142" s="6" t="s">
        <v>182</v>
      </c>
      <c r="AX142" s="6" t="s">
        <v>7743</v>
      </c>
      <c r="AY142" s="6" t="s">
        <v>7850</v>
      </c>
      <c r="AZ142" s="6" t="s">
        <v>5659</v>
      </c>
      <c r="BA142" s="6" t="s">
        <v>5331</v>
      </c>
      <c r="BB142" s="6" t="s">
        <v>163</v>
      </c>
      <c r="BD142" s="6" t="s">
        <v>168</v>
      </c>
      <c r="BE142" s="6" t="s">
        <v>7852</v>
      </c>
      <c r="BF142" s="6" t="s">
        <v>162</v>
      </c>
      <c r="BG142" s="6" t="s">
        <v>168</v>
      </c>
      <c r="BH142" s="6" t="s">
        <v>163</v>
      </c>
      <c r="BJ142" s="6" t="s">
        <v>163</v>
      </c>
      <c r="BK142" s="6" t="s">
        <v>162</v>
      </c>
      <c r="BL142" s="6" t="s">
        <v>162</v>
      </c>
      <c r="BN142" s="0" t="n">
        <v>0</v>
      </c>
      <c r="BO142" s="6" t="s">
        <v>168</v>
      </c>
      <c r="BP142" s="0" t="n">
        <v>1</v>
      </c>
      <c r="BQ142" s="6" t="s">
        <v>4638</v>
      </c>
      <c r="BS142" s="6" t="s">
        <v>7853</v>
      </c>
      <c r="BT142" s="6" t="s">
        <v>7854</v>
      </c>
      <c r="BU142" s="6" t="s">
        <v>4695</v>
      </c>
      <c r="BV142" s="0" t="n">
        <v>327</v>
      </c>
      <c r="BX142" s="6" t="s">
        <v>7855</v>
      </c>
      <c r="CA142" s="6" t="s">
        <v>7856</v>
      </c>
      <c r="CB142" s="6" t="s">
        <v>7857</v>
      </c>
      <c r="CC142" s="6" t="s">
        <v>7858</v>
      </c>
      <c r="CD142" s="6" t="s">
        <v>4773</v>
      </c>
      <c r="CE142" s="6" t="s">
        <v>6725</v>
      </c>
      <c r="CF142" s="6" t="s">
        <v>171</v>
      </c>
      <c r="CK142" s="6" t="s">
        <v>158</v>
      </c>
      <c r="CL142" s="0" t="n">
        <v>40</v>
      </c>
      <c r="CM142" s="0" t="n">
        <v>25</v>
      </c>
      <c r="CN142" s="0" t="n">
        <v>3</v>
      </c>
      <c r="CO142" s="0" t="n">
        <v>4</v>
      </c>
      <c r="CP142" s="0" t="n">
        <v>5</v>
      </c>
      <c r="CQ142" s="0" t="n">
        <v>7</v>
      </c>
      <c r="CR142" s="0" t="n">
        <v>6</v>
      </c>
      <c r="CS142" s="6" t="n">
        <f aca="false">IF(R142="Y",10,0)</f>
        <v>0</v>
      </c>
      <c r="CT142" s="0" t="n">
        <v>-10</v>
      </c>
      <c r="CU142" s="6" t="s">
        <v>163</v>
      </c>
      <c r="CV142" s="6" t="s">
        <v>4843</v>
      </c>
      <c r="CW142" s="6" t="s">
        <v>7859</v>
      </c>
      <c r="CX142" s="6" t="s">
        <v>7860</v>
      </c>
      <c r="CY142" s="6" t="s">
        <v>7861</v>
      </c>
      <c r="CZ142" s="6" t="s">
        <v>7847</v>
      </c>
      <c r="DA142" s="6" t="s">
        <v>6236</v>
      </c>
      <c r="DC142" s="6" t="s">
        <v>172</v>
      </c>
      <c r="DY142" s="0" t="str">
        <f aca="false">IF(ISNUMBER(MATCH(U142,{"queued","contacted","replied","call_booked","call_done","yes_in_principle","materials_sent"},0)),"Y","N")</f>
        <v>N</v>
      </c>
      <c r="DZ142" s="0" t="str">
        <f aca="false">IF(COUNTIFS($AN$2:$AN$1000,AN142,$DY$2:$DY$1000,"Y")+COUNTIFS($AN$2:$AN$1000,AN142,$T$2:$T$1000,"Y")&gt;0,"Y","N")</f>
        <v>N</v>
      </c>
      <c r="EA142" s="0" t="str">
        <f aca="false">IF(AND(U142="new",T142="N",AR142="Y",AQ142="",DZ142="N"),"Y","N")</f>
        <v>Y</v>
      </c>
      <c r="EB142" s="0" t="str">
        <f aca="false">IF(EA142&lt;&gt;"Y","N",IF(COUNTIFS($AN$2:$AN$1000,AN142,$EA$2:$EA$1000,"Y",$J$2:$J$1000,"&gt;"&amp;J142)+COUNTIFS($AN$2:$AN$1000,AN142,$EA$2:$EA$1000,"Y",$J$2:$J$1000,J142,$ED$2:$ED$1000,"&lt;"&amp;ED142)=0,"Y","N"))</f>
        <v>Y</v>
      </c>
      <c r="EC142" s="0" t="str">
        <f aca="false">IF(Y142="","N",IF(Y142&lt;=10,"Y","N"))</f>
        <v>N</v>
      </c>
      <c r="ED142" s="6" t="n">
        <f aca="false">ROW()-1</f>
        <v>141</v>
      </c>
    </row>
    <row r="143" customFormat="false" ht="15" hidden="false" customHeight="false" outlineLevel="0" collapsed="false">
      <c r="A143" s="0" t="s">
        <v>7862</v>
      </c>
      <c r="B143" s="0" t="s">
        <v>7863</v>
      </c>
      <c r="C143" s="0" t="s">
        <v>7864</v>
      </c>
      <c r="D143" s="0" t="s">
        <v>7865</v>
      </c>
      <c r="E143" s="0" t="s">
        <v>6271</v>
      </c>
      <c r="H143" s="5" t="s">
        <v>158</v>
      </c>
      <c r="I143" s="5" t="s">
        <v>159</v>
      </c>
      <c r="J143" s="6" t="n">
        <f aca="false">IF(AU143="pass",CM143+CN143+CO143+CP143+CQ143+CR143+CS143+CT143,0)</f>
        <v>40</v>
      </c>
      <c r="K143" s="6" t="s">
        <v>7866</v>
      </c>
      <c r="M143" s="6" t="s">
        <v>7867</v>
      </c>
      <c r="N143" s="6" t="s">
        <v>5023</v>
      </c>
      <c r="O143" s="6" t="s">
        <v>7868</v>
      </c>
      <c r="P143" s="6" t="s">
        <v>7869</v>
      </c>
      <c r="Q143" s="6" t="s">
        <v>7155</v>
      </c>
      <c r="R143" s="5" t="s">
        <v>162</v>
      </c>
      <c r="S143" s="6" t="s">
        <v>163</v>
      </c>
      <c r="T143" s="5" t="s">
        <v>162</v>
      </c>
      <c r="U143" s="5" t="s">
        <v>228</v>
      </c>
      <c r="V143" s="6" t="s">
        <v>7870</v>
      </c>
      <c r="W143" s="6" t="s">
        <v>166</v>
      </c>
      <c r="X143" s="6" t="s">
        <v>4586</v>
      </c>
      <c r="Y143" s="6" t="n">
        <f aca="false">IF(EB143&lt;&gt;"Y","",COUNTIFS($EB$2:$EB$1000,"Y",$J$2:$J$1000,"&gt;"&amp;J143)+COUNTIFS($EB$2:$EB$1000,"Y",$J$2:$J$1000,J143,$ED$2:$ED$1000,"&lt;"&amp;ED143)+1)</f>
        <v>117</v>
      </c>
      <c r="Z143" s="0" t="n">
        <v>142</v>
      </c>
      <c r="AA143" s="6" t="s">
        <v>162</v>
      </c>
      <c r="AB143" s="6" t="s">
        <v>7871</v>
      </c>
      <c r="AC143" s="6" t="s">
        <v>4588</v>
      </c>
      <c r="AD143" s="6" t="s">
        <v>171</v>
      </c>
      <c r="AE143" s="6" t="s">
        <v>172</v>
      </c>
      <c r="AF143" s="6" t="s">
        <v>7872</v>
      </c>
      <c r="AG143" s="6" t="s">
        <v>166</v>
      </c>
      <c r="AH143" s="6" t="s">
        <v>7873</v>
      </c>
      <c r="AI143" s="6" t="s">
        <v>5765</v>
      </c>
      <c r="AJ143" s="6" t="s">
        <v>7874</v>
      </c>
      <c r="AK143" s="6" t="s">
        <v>7875</v>
      </c>
      <c r="AL143" s="6" t="s">
        <v>168</v>
      </c>
      <c r="AM143" s="6" t="s">
        <v>7876</v>
      </c>
      <c r="AN143" s="6" t="s">
        <v>7862</v>
      </c>
      <c r="AO143" s="5" t="s">
        <v>162</v>
      </c>
      <c r="AR143" s="0" t="str">
        <f aca="false">IF(AND(AU143="pass",AO143&lt;&gt;"Y",C143&lt;&gt;""),"Y","N")</f>
        <v>Y</v>
      </c>
      <c r="AS143" s="0" t="str">
        <f aca="false">_xlfn.TEXTJOIN("; ",TRUE(),IF(AU143&lt;&gt;"pass","gated out",""),IF(AO143="Y","on hold: "&amp;AP143,""),IF(C143="","no contact named on an opened page",""))</f>
        <v/>
      </c>
      <c r="AU143" s="6" t="s">
        <v>181</v>
      </c>
      <c r="AW143" s="6" t="s">
        <v>182</v>
      </c>
      <c r="AX143" s="6" t="s">
        <v>283</v>
      </c>
      <c r="AY143" s="6" t="s">
        <v>7875</v>
      </c>
      <c r="AZ143" s="6" t="s">
        <v>5059</v>
      </c>
      <c r="BA143" s="6" t="s">
        <v>5331</v>
      </c>
      <c r="BB143" s="6" t="s">
        <v>163</v>
      </c>
      <c r="BD143" s="6" t="s">
        <v>163</v>
      </c>
      <c r="BE143" s="6" t="s">
        <v>7877</v>
      </c>
      <c r="BF143" s="6" t="s">
        <v>168</v>
      </c>
      <c r="BG143" s="6" t="s">
        <v>168</v>
      </c>
      <c r="BH143" s="6" t="s">
        <v>163</v>
      </c>
      <c r="BJ143" s="6" t="s">
        <v>5551</v>
      </c>
      <c r="BK143" s="6" t="s">
        <v>162</v>
      </c>
      <c r="BL143" s="6" t="s">
        <v>162</v>
      </c>
      <c r="BN143" s="0" t="n">
        <v>0.9</v>
      </c>
      <c r="BO143" s="6" t="s">
        <v>162</v>
      </c>
      <c r="BP143" s="0" t="n">
        <v>8</v>
      </c>
      <c r="BQ143" s="6" t="s">
        <v>7878</v>
      </c>
      <c r="BS143" s="6" t="s">
        <v>7879</v>
      </c>
      <c r="BT143" s="6" t="s">
        <v>7880</v>
      </c>
      <c r="BU143" s="6" t="s">
        <v>4695</v>
      </c>
      <c r="BV143" s="0" t="n">
        <v>115</v>
      </c>
      <c r="BX143" s="6" t="s">
        <v>7881</v>
      </c>
      <c r="CA143" s="6" t="s">
        <v>7882</v>
      </c>
      <c r="CB143" s="6" t="s">
        <v>7883</v>
      </c>
      <c r="CC143" s="6" t="s">
        <v>7884</v>
      </c>
      <c r="CD143" s="6" t="s">
        <v>7885</v>
      </c>
      <c r="CE143" s="6" t="s">
        <v>6725</v>
      </c>
      <c r="CF143" s="6" t="s">
        <v>171</v>
      </c>
      <c r="CK143" s="6" t="s">
        <v>158</v>
      </c>
      <c r="CL143" s="0" t="n">
        <v>40</v>
      </c>
      <c r="CM143" s="0" t="n">
        <v>13</v>
      </c>
      <c r="CN143" s="0" t="n">
        <v>3</v>
      </c>
      <c r="CO143" s="0" t="n">
        <v>8</v>
      </c>
      <c r="CP143" s="0" t="n">
        <v>5</v>
      </c>
      <c r="CQ143" s="0" t="n">
        <v>7</v>
      </c>
      <c r="CR143" s="0" t="n">
        <v>6</v>
      </c>
      <c r="CS143" s="6" t="n">
        <f aca="false">IF(R143="Y",10,0)</f>
        <v>0</v>
      </c>
      <c r="CT143" s="0" t="n">
        <v>-2</v>
      </c>
      <c r="CU143" s="6" t="s">
        <v>7886</v>
      </c>
      <c r="CV143" s="6" t="s">
        <v>5564</v>
      </c>
      <c r="CW143" s="6" t="s">
        <v>7887</v>
      </c>
      <c r="CX143" s="6" t="s">
        <v>7888</v>
      </c>
      <c r="CY143" s="6" t="s">
        <v>7889</v>
      </c>
      <c r="CZ143" s="6" t="s">
        <v>7872</v>
      </c>
      <c r="DA143" s="6" t="s">
        <v>6236</v>
      </c>
      <c r="DC143" s="6" t="s">
        <v>172</v>
      </c>
      <c r="DY143" s="0" t="str">
        <f aca="false">IF(ISNUMBER(MATCH(U143,{"queued","contacted","replied","call_booked","call_done","yes_in_principle","materials_sent"},0)),"Y","N")</f>
        <v>N</v>
      </c>
      <c r="DZ143" s="0" t="str">
        <f aca="false">IF(COUNTIFS($AN$2:$AN$1000,AN143,$DY$2:$DY$1000,"Y")+COUNTIFS($AN$2:$AN$1000,AN143,$T$2:$T$1000,"Y")&gt;0,"Y","N")</f>
        <v>N</v>
      </c>
      <c r="EA143" s="0" t="str">
        <f aca="false">IF(AND(U143="new",T143="N",AR143="Y",AQ143="",DZ143="N"),"Y","N")</f>
        <v>Y</v>
      </c>
      <c r="EB143" s="0" t="str">
        <f aca="false">IF(EA143&lt;&gt;"Y","N",IF(COUNTIFS($AN$2:$AN$1000,AN143,$EA$2:$EA$1000,"Y",$J$2:$J$1000,"&gt;"&amp;J143)+COUNTIFS($AN$2:$AN$1000,AN143,$EA$2:$EA$1000,"Y",$J$2:$J$1000,J143,$ED$2:$ED$1000,"&lt;"&amp;ED143)=0,"Y","N"))</f>
        <v>Y</v>
      </c>
      <c r="EC143" s="0" t="str">
        <f aca="false">IF(Y143="","N",IF(Y143&lt;=10,"Y","N"))</f>
        <v>N</v>
      </c>
      <c r="ED143" s="6" t="n">
        <f aca="false">ROW()-1</f>
        <v>142</v>
      </c>
    </row>
    <row r="144" customFormat="false" ht="15" hidden="false" customHeight="false" outlineLevel="0" collapsed="false">
      <c r="A144" s="0" t="s">
        <v>7890</v>
      </c>
      <c r="B144" s="0" t="s">
        <v>7891</v>
      </c>
      <c r="C144" s="0" t="s">
        <v>7892</v>
      </c>
      <c r="D144" s="0" t="s">
        <v>7893</v>
      </c>
      <c r="E144" s="0" t="s">
        <v>7894</v>
      </c>
      <c r="H144" s="5" t="s">
        <v>158</v>
      </c>
      <c r="I144" s="5" t="s">
        <v>159</v>
      </c>
      <c r="J144" s="6" t="n">
        <f aca="false">IF(AU144="pass",CM144+CN144+CO144+CP144+CQ144+CR144+CS144+CT144,0)</f>
        <v>40</v>
      </c>
      <c r="K144" s="6" t="s">
        <v>7895</v>
      </c>
      <c r="M144" s="6" t="s">
        <v>5293</v>
      </c>
      <c r="N144" s="6" t="s">
        <v>598</v>
      </c>
      <c r="O144" s="6" t="s">
        <v>7896</v>
      </c>
      <c r="P144" s="6" t="s">
        <v>7897</v>
      </c>
      <c r="Q144" s="6" t="s">
        <v>6736</v>
      </c>
      <c r="R144" s="5" t="s">
        <v>162</v>
      </c>
      <c r="S144" s="6" t="s">
        <v>168</v>
      </c>
      <c r="T144" s="5" t="s">
        <v>162</v>
      </c>
      <c r="U144" s="5" t="s">
        <v>228</v>
      </c>
      <c r="V144" s="6" t="s">
        <v>7898</v>
      </c>
      <c r="W144" s="6" t="s">
        <v>166</v>
      </c>
      <c r="X144" s="6" t="s">
        <v>4586</v>
      </c>
      <c r="Y144" s="6" t="n">
        <f aca="false">IF(EB144&lt;&gt;"Y","",COUNTIFS($EB$2:$EB$1000,"Y",$J$2:$J$1000,"&gt;"&amp;J144)+COUNTIFS($EB$2:$EB$1000,"Y",$J$2:$J$1000,J144,$ED$2:$ED$1000,"&lt;"&amp;ED144)+1)</f>
        <v>118</v>
      </c>
      <c r="Z144" s="0" t="n">
        <v>143</v>
      </c>
      <c r="AA144" s="6" t="s">
        <v>162</v>
      </c>
      <c r="AB144" s="6" t="s">
        <v>7899</v>
      </c>
      <c r="AC144" s="6" t="s">
        <v>4588</v>
      </c>
      <c r="AD144" s="6" t="s">
        <v>171</v>
      </c>
      <c r="AE144" s="6" t="s">
        <v>1190</v>
      </c>
      <c r="AF144" s="6" t="s">
        <v>7900</v>
      </c>
      <c r="AG144" s="6" t="s">
        <v>166</v>
      </c>
      <c r="AH144" s="6" t="s">
        <v>7901</v>
      </c>
      <c r="AI144" s="6" t="s">
        <v>5926</v>
      </c>
      <c r="AJ144" s="6" t="s">
        <v>7902</v>
      </c>
      <c r="AK144" s="6" t="s">
        <v>7903</v>
      </c>
      <c r="AL144" s="6" t="s">
        <v>168</v>
      </c>
      <c r="AM144" s="6" t="s">
        <v>7904</v>
      </c>
      <c r="AN144" s="6" t="s">
        <v>7890</v>
      </c>
      <c r="AO144" s="5" t="s">
        <v>162</v>
      </c>
      <c r="AR144" s="0" t="str">
        <f aca="false">IF(AND(AU144="pass",AO144&lt;&gt;"Y",C144&lt;&gt;""),"Y","N")</f>
        <v>Y</v>
      </c>
      <c r="AS144" s="0" t="str">
        <f aca="false">_xlfn.TEXTJOIN("; ",TRUE(),IF(AU144&lt;&gt;"pass","gated out",""),IF(AO144="Y","on hold: "&amp;AP144,""),IF(C144="","no contact named on an opened page",""))</f>
        <v/>
      </c>
      <c r="AU144" s="6" t="s">
        <v>181</v>
      </c>
      <c r="AW144" s="6" t="s">
        <v>182</v>
      </c>
      <c r="AX144" s="6" t="s">
        <v>5272</v>
      </c>
      <c r="AY144" s="6" t="s">
        <v>7903</v>
      </c>
      <c r="AZ144" s="6" t="s">
        <v>5714</v>
      </c>
      <c r="BA144" s="6" t="s">
        <v>5331</v>
      </c>
      <c r="BB144" s="6" t="s">
        <v>163</v>
      </c>
      <c r="BD144" s="6" t="s">
        <v>168</v>
      </c>
      <c r="BE144" s="6" t="s">
        <v>7905</v>
      </c>
      <c r="BF144" s="6" t="s">
        <v>168</v>
      </c>
      <c r="BG144" s="6" t="s">
        <v>168</v>
      </c>
      <c r="BH144" s="6" t="s">
        <v>163</v>
      </c>
      <c r="BJ144" s="6" t="s">
        <v>5551</v>
      </c>
      <c r="BK144" s="6" t="s">
        <v>162</v>
      </c>
      <c r="BL144" s="6" t="s">
        <v>162</v>
      </c>
      <c r="BO144" s="6" t="s">
        <v>162</v>
      </c>
      <c r="BP144" s="0" t="n">
        <v>0</v>
      </c>
      <c r="BS144" s="6" t="s">
        <v>7162</v>
      </c>
      <c r="BT144" s="6" t="s">
        <v>7906</v>
      </c>
      <c r="BU144" s="6" t="s">
        <v>4605</v>
      </c>
      <c r="BV144" s="0" t="n">
        <v>60</v>
      </c>
      <c r="BW144" s="6" t="s">
        <v>7900</v>
      </c>
      <c r="BX144" s="6" t="s">
        <v>7907</v>
      </c>
      <c r="CA144" s="6" t="s">
        <v>7908</v>
      </c>
      <c r="CB144" s="6" t="s">
        <v>7909</v>
      </c>
      <c r="CC144" s="6" t="s">
        <v>7893</v>
      </c>
      <c r="CD144" s="6" t="s">
        <v>7910</v>
      </c>
      <c r="CE144" s="6" t="s">
        <v>6725</v>
      </c>
      <c r="CF144" s="6" t="s">
        <v>171</v>
      </c>
      <c r="CK144" s="6" t="s">
        <v>158</v>
      </c>
      <c r="CL144" s="0" t="n">
        <v>40</v>
      </c>
      <c r="CM144" s="0" t="n">
        <v>6</v>
      </c>
      <c r="CN144" s="0" t="n">
        <v>3</v>
      </c>
      <c r="CO144" s="0" t="n">
        <v>15</v>
      </c>
      <c r="CP144" s="0" t="n">
        <v>5</v>
      </c>
      <c r="CQ144" s="0" t="n">
        <v>10</v>
      </c>
      <c r="CR144" s="0" t="n">
        <v>6</v>
      </c>
      <c r="CS144" s="6" t="n">
        <f aca="false">IF(R144="Y",10,0)</f>
        <v>0</v>
      </c>
      <c r="CT144" s="0" t="n">
        <v>-5</v>
      </c>
      <c r="CU144" s="6" t="s">
        <v>163</v>
      </c>
      <c r="CV144" s="6" t="s">
        <v>5564</v>
      </c>
      <c r="CW144" s="6" t="s">
        <v>7911</v>
      </c>
      <c r="CX144" s="6" t="s">
        <v>7912</v>
      </c>
      <c r="CY144" s="6" t="s">
        <v>7913</v>
      </c>
      <c r="CZ144" s="6" t="s">
        <v>7900</v>
      </c>
      <c r="DA144" s="6" t="s">
        <v>6236</v>
      </c>
      <c r="DC144" s="6" t="s">
        <v>1190</v>
      </c>
      <c r="DY144" s="0" t="str">
        <f aca="false">IF(ISNUMBER(MATCH(U144,{"queued","contacted","replied","call_booked","call_done","yes_in_principle","materials_sent"},0)),"Y","N")</f>
        <v>N</v>
      </c>
      <c r="DZ144" s="0" t="str">
        <f aca="false">IF(COUNTIFS($AN$2:$AN$1000,AN144,$DY$2:$DY$1000,"Y")+COUNTIFS($AN$2:$AN$1000,AN144,$T$2:$T$1000,"Y")&gt;0,"Y","N")</f>
        <v>N</v>
      </c>
      <c r="EA144" s="0" t="str">
        <f aca="false">IF(AND(U144="new",T144="N",AR144="Y",AQ144="",DZ144="N"),"Y","N")</f>
        <v>Y</v>
      </c>
      <c r="EB144" s="0" t="str">
        <f aca="false">IF(EA144&lt;&gt;"Y","N",IF(COUNTIFS($AN$2:$AN$1000,AN144,$EA$2:$EA$1000,"Y",$J$2:$J$1000,"&gt;"&amp;J144)+COUNTIFS($AN$2:$AN$1000,AN144,$EA$2:$EA$1000,"Y",$J$2:$J$1000,J144,$ED$2:$ED$1000,"&lt;"&amp;ED144)=0,"Y","N"))</f>
        <v>Y</v>
      </c>
      <c r="EC144" s="0" t="str">
        <f aca="false">IF(Y144="","N",IF(Y144&lt;=10,"Y","N"))</f>
        <v>N</v>
      </c>
      <c r="ED144" s="6" t="n">
        <f aca="false">ROW()-1</f>
        <v>143</v>
      </c>
    </row>
    <row r="145" customFormat="false" ht="15" hidden="false" customHeight="false" outlineLevel="0" collapsed="false">
      <c r="A145" s="0" t="s">
        <v>7914</v>
      </c>
      <c r="B145" s="0" t="s">
        <v>7915</v>
      </c>
      <c r="H145" s="5" t="s">
        <v>158</v>
      </c>
      <c r="I145" s="5"/>
      <c r="J145" s="6" t="n">
        <f aca="false">IF(AU145="pass",CM145+CN145+CO145+CP145+CQ145+CR145+CS145+CT145,0)</f>
        <v>40</v>
      </c>
      <c r="K145" s="6" t="s">
        <v>7916</v>
      </c>
      <c r="M145" s="6" t="s">
        <v>5293</v>
      </c>
      <c r="N145" s="6" t="s">
        <v>598</v>
      </c>
      <c r="O145" s="6" t="s">
        <v>7917</v>
      </c>
      <c r="P145" s="6" t="s">
        <v>5136</v>
      </c>
      <c r="Q145" s="6" t="s">
        <v>5137</v>
      </c>
      <c r="R145" s="5" t="s">
        <v>162</v>
      </c>
      <c r="S145" s="6" t="s">
        <v>168</v>
      </c>
      <c r="T145" s="5" t="s">
        <v>162</v>
      </c>
      <c r="U145" s="5" t="s">
        <v>228</v>
      </c>
      <c r="V145" s="6" t="s">
        <v>7918</v>
      </c>
      <c r="W145" s="6" t="s">
        <v>174</v>
      </c>
      <c r="X145" s="6" t="s">
        <v>4586</v>
      </c>
      <c r="Y145" s="0" t="str">
        <f aca="false">IF(EB145&lt;&gt;"Y","",COUNTIFS($EB$2:$EB$1000,"Y",$J$2:$J$1000,"&gt;"&amp;J145)+COUNTIFS($EB$2:$EB$1000,"Y",$J$2:$J$1000,J145,$ED$2:$ED$1000,"&lt;"&amp;ED145)+1)</f>
        <v/>
      </c>
      <c r="Z145" s="0" t="n">
        <v>144</v>
      </c>
      <c r="AA145" s="6" t="s">
        <v>162</v>
      </c>
      <c r="AB145" s="6" t="s">
        <v>6917</v>
      </c>
      <c r="AD145" s="6" t="s">
        <v>158</v>
      </c>
      <c r="AH145" s="6" t="s">
        <v>7919</v>
      </c>
      <c r="AI145" s="6" t="s">
        <v>5385</v>
      </c>
      <c r="AJ145" s="6" t="s">
        <v>163</v>
      </c>
      <c r="AK145" s="6" t="s">
        <v>7920</v>
      </c>
      <c r="AL145" s="6" t="s">
        <v>168</v>
      </c>
      <c r="AM145" s="6" t="s">
        <v>7921</v>
      </c>
      <c r="AN145" s="6" t="s">
        <v>7914</v>
      </c>
      <c r="AO145" s="5" t="s">
        <v>162</v>
      </c>
      <c r="AR145" s="0" t="str">
        <f aca="false">IF(AND(AU145="pass",AO145&lt;&gt;"Y",C145&lt;&gt;""),"Y","N")</f>
        <v>N</v>
      </c>
      <c r="AS145" s="0" t="str">
        <f aca="false">_xlfn.TEXTJOIN("; ",TRUE(),IF(AU145&lt;&gt;"pass","gated out",""),IF(AO145="Y","on hold: "&amp;AP145,""),IF(C145="","no contact named on an opened page",""))</f>
        <v>no contact named on an opened page</v>
      </c>
      <c r="AU145" s="6" t="s">
        <v>181</v>
      </c>
      <c r="AW145" s="6" t="s">
        <v>182</v>
      </c>
      <c r="AX145" s="6" t="s">
        <v>4595</v>
      </c>
      <c r="AY145" s="6" t="s">
        <v>7922</v>
      </c>
      <c r="AZ145" s="6" t="s">
        <v>5192</v>
      </c>
      <c r="BA145" s="6" t="s">
        <v>5193</v>
      </c>
      <c r="BB145" s="6" t="s">
        <v>163</v>
      </c>
      <c r="BD145" s="6" t="s">
        <v>168</v>
      </c>
      <c r="BE145" s="6" t="s">
        <v>7923</v>
      </c>
      <c r="BF145" s="6" t="s">
        <v>168</v>
      </c>
      <c r="BG145" s="6" t="s">
        <v>168</v>
      </c>
      <c r="BH145" s="6" t="s">
        <v>163</v>
      </c>
      <c r="BJ145" s="6" t="s">
        <v>5145</v>
      </c>
      <c r="BK145" s="6" t="s">
        <v>162</v>
      </c>
      <c r="BL145" s="6" t="s">
        <v>162</v>
      </c>
      <c r="BO145" s="6" t="s">
        <v>162</v>
      </c>
      <c r="BP145" s="0" t="n">
        <v>0</v>
      </c>
      <c r="BS145" s="6" t="s">
        <v>163</v>
      </c>
      <c r="BU145" s="6" t="s">
        <v>4605</v>
      </c>
      <c r="BV145" s="0" t="n">
        <v>118</v>
      </c>
      <c r="BW145" s="6" t="s">
        <v>5136</v>
      </c>
      <c r="CF145" s="6" t="s">
        <v>158</v>
      </c>
      <c r="CK145" s="6" t="s">
        <v>158</v>
      </c>
      <c r="CL145" s="0" t="n">
        <v>40</v>
      </c>
      <c r="CM145" s="0" t="n">
        <v>6</v>
      </c>
      <c r="CN145" s="0" t="n">
        <v>8</v>
      </c>
      <c r="CO145" s="0" t="n">
        <v>15</v>
      </c>
      <c r="CP145" s="0" t="n">
        <v>5</v>
      </c>
      <c r="CQ145" s="0" t="n">
        <v>10</v>
      </c>
      <c r="CR145" s="0" t="n">
        <v>0</v>
      </c>
      <c r="CS145" s="6" t="n">
        <f aca="false">IF(R145="Y",10,0)</f>
        <v>0</v>
      </c>
      <c r="CT145" s="0" t="n">
        <v>-4</v>
      </c>
      <c r="CU145" s="6" t="s">
        <v>7924</v>
      </c>
      <c r="CV145" s="6" t="s">
        <v>5152</v>
      </c>
      <c r="CW145" s="6" t="s">
        <v>7925</v>
      </c>
      <c r="CX145" s="6" t="s">
        <v>7926</v>
      </c>
      <c r="CY145" s="6" t="s">
        <v>7927</v>
      </c>
      <c r="DA145" s="6" t="s">
        <v>6236</v>
      </c>
      <c r="DY145" s="0" t="str">
        <f aca="false">IF(ISNUMBER(MATCH(U145,{"queued","contacted","replied","call_booked","call_done","yes_in_principle","materials_sent"},0)),"Y","N")</f>
        <v>N</v>
      </c>
      <c r="DZ145" s="0" t="str">
        <f aca="false">IF(COUNTIFS($AN$2:$AN$1000,AN145,$DY$2:$DY$1000,"Y")+COUNTIFS($AN$2:$AN$1000,AN145,$T$2:$T$1000,"Y")&gt;0,"Y","N")</f>
        <v>N</v>
      </c>
      <c r="EA145" s="0" t="str">
        <f aca="false">IF(AND(U145="new",T145="N",AR145="Y",AQ145="",DZ145="N"),"Y","N")</f>
        <v>N</v>
      </c>
      <c r="EB145" s="0" t="str">
        <f aca="false">IF(EA145&lt;&gt;"Y","N",IF(COUNTIFS($AN$2:$AN$1000,AN145,$EA$2:$EA$1000,"Y",$J$2:$J$1000,"&gt;"&amp;J145)+COUNTIFS($AN$2:$AN$1000,AN145,$EA$2:$EA$1000,"Y",$J$2:$J$1000,J145,$ED$2:$ED$1000,"&lt;"&amp;ED145)=0,"Y","N"))</f>
        <v>N</v>
      </c>
      <c r="EC145" s="0" t="str">
        <f aca="false">IF(Y145="","N",IF(Y145&lt;=10,"Y","N"))</f>
        <v>N</v>
      </c>
      <c r="ED145" s="6" t="n">
        <f aca="false">ROW()-1</f>
        <v>144</v>
      </c>
    </row>
    <row r="146" customFormat="false" ht="15" hidden="false" customHeight="false" outlineLevel="0" collapsed="false">
      <c r="A146" s="0" t="s">
        <v>7928</v>
      </c>
      <c r="B146" s="0" t="s">
        <v>7929</v>
      </c>
      <c r="H146" s="5" t="s">
        <v>158</v>
      </c>
      <c r="I146" s="5"/>
      <c r="J146" s="6" t="n">
        <f aca="false">IF(AU146="pass",CM146+CN146+CO146+CP146+CQ146+CR146+CS146+CT146,0)</f>
        <v>40</v>
      </c>
      <c r="K146" s="6" t="s">
        <v>7916</v>
      </c>
      <c r="M146" s="6" t="s">
        <v>5293</v>
      </c>
      <c r="N146" s="6" t="s">
        <v>598</v>
      </c>
      <c r="O146" s="6" t="s">
        <v>7930</v>
      </c>
      <c r="P146" s="6" t="s">
        <v>7931</v>
      </c>
      <c r="Q146" s="6" t="s">
        <v>5137</v>
      </c>
      <c r="R146" s="5" t="s">
        <v>162</v>
      </c>
      <c r="S146" s="6" t="s">
        <v>163</v>
      </c>
      <c r="T146" s="5" t="s">
        <v>162</v>
      </c>
      <c r="U146" s="5" t="s">
        <v>228</v>
      </c>
      <c r="V146" s="6" t="s">
        <v>7931</v>
      </c>
      <c r="W146" s="6" t="s">
        <v>174</v>
      </c>
      <c r="X146" s="6" t="s">
        <v>4586</v>
      </c>
      <c r="Y146" s="0" t="str">
        <f aca="false">IF(EB146&lt;&gt;"Y","",COUNTIFS($EB$2:$EB$1000,"Y",$J$2:$J$1000,"&gt;"&amp;J146)+COUNTIFS($EB$2:$EB$1000,"Y",$J$2:$J$1000,J146,$ED$2:$ED$1000,"&lt;"&amp;ED146)+1)</f>
        <v/>
      </c>
      <c r="Z146" s="0" t="n">
        <v>145</v>
      </c>
      <c r="AA146" s="6" t="s">
        <v>162</v>
      </c>
      <c r="AB146" s="6" t="s">
        <v>6917</v>
      </c>
      <c r="AD146" s="6" t="s">
        <v>158</v>
      </c>
      <c r="AH146" s="6" t="s">
        <v>7932</v>
      </c>
      <c r="AI146" s="6" t="s">
        <v>4828</v>
      </c>
      <c r="AJ146" s="6" t="s">
        <v>163</v>
      </c>
      <c r="AK146" s="6" t="s">
        <v>7933</v>
      </c>
      <c r="AL146" s="6" t="s">
        <v>168</v>
      </c>
      <c r="AM146" s="6" t="s">
        <v>7934</v>
      </c>
      <c r="AN146" s="6" t="s">
        <v>7928</v>
      </c>
      <c r="AO146" s="5" t="s">
        <v>162</v>
      </c>
      <c r="AR146" s="0" t="str">
        <f aca="false">IF(AND(AU146="pass",AO146&lt;&gt;"Y",C146&lt;&gt;""),"Y","N")</f>
        <v>N</v>
      </c>
      <c r="AS146" s="0" t="str">
        <f aca="false">_xlfn.TEXTJOIN("; ",TRUE(),IF(AU146&lt;&gt;"pass","gated out",""),IF(AO146="Y","on hold: "&amp;AP146,""),IF(C146="","no contact named on an opened page",""))</f>
        <v>no contact named on an opened page</v>
      </c>
      <c r="AU146" s="6" t="s">
        <v>181</v>
      </c>
      <c r="AW146" s="6" t="s">
        <v>182</v>
      </c>
      <c r="AX146" s="6" t="s">
        <v>4595</v>
      </c>
      <c r="AY146" s="6" t="s">
        <v>7935</v>
      </c>
      <c r="AZ146" s="6" t="s">
        <v>4924</v>
      </c>
      <c r="BA146" s="6" t="s">
        <v>5193</v>
      </c>
      <c r="BB146" s="6" t="s">
        <v>163</v>
      </c>
      <c r="BD146" s="6" t="s">
        <v>168</v>
      </c>
      <c r="BE146" s="6" t="s">
        <v>7936</v>
      </c>
      <c r="BF146" s="6" t="s">
        <v>168</v>
      </c>
      <c r="BG146" s="6" t="s">
        <v>168</v>
      </c>
      <c r="BH146" s="6" t="s">
        <v>163</v>
      </c>
      <c r="BJ146" s="6" t="s">
        <v>5145</v>
      </c>
      <c r="BK146" s="6" t="s">
        <v>162</v>
      </c>
      <c r="BL146" s="6" t="s">
        <v>162</v>
      </c>
      <c r="BO146" s="6" t="s">
        <v>162</v>
      </c>
      <c r="BP146" s="0" t="n">
        <v>0</v>
      </c>
      <c r="BS146" s="6" t="s">
        <v>7937</v>
      </c>
      <c r="BU146" s="6" t="s">
        <v>4605</v>
      </c>
      <c r="BV146" s="0" t="n">
        <v>118</v>
      </c>
      <c r="CF146" s="6" t="s">
        <v>158</v>
      </c>
      <c r="CK146" s="6" t="s">
        <v>158</v>
      </c>
      <c r="CL146" s="0" t="n">
        <v>40</v>
      </c>
      <c r="CM146" s="0" t="n">
        <v>6</v>
      </c>
      <c r="CN146" s="0" t="n">
        <v>8</v>
      </c>
      <c r="CO146" s="0" t="n">
        <v>15</v>
      </c>
      <c r="CP146" s="0" t="n">
        <v>5</v>
      </c>
      <c r="CQ146" s="0" t="n">
        <v>10</v>
      </c>
      <c r="CR146" s="0" t="n">
        <v>0</v>
      </c>
      <c r="CS146" s="6" t="n">
        <f aca="false">IF(R146="Y",10,0)</f>
        <v>0</v>
      </c>
      <c r="CT146" s="0" t="n">
        <v>-4</v>
      </c>
      <c r="CU146" s="6" t="s">
        <v>7938</v>
      </c>
      <c r="CV146" s="6" t="s">
        <v>5152</v>
      </c>
      <c r="CW146" s="6" t="s">
        <v>7939</v>
      </c>
      <c r="CX146" s="6" t="s">
        <v>7940</v>
      </c>
      <c r="DA146" s="6" t="s">
        <v>6236</v>
      </c>
      <c r="DY146" s="0" t="str">
        <f aca="false">IF(ISNUMBER(MATCH(U146,{"queued","contacted","replied","call_booked","call_done","yes_in_principle","materials_sent"},0)),"Y","N")</f>
        <v>N</v>
      </c>
      <c r="DZ146" s="0" t="str">
        <f aca="false">IF(COUNTIFS($AN$2:$AN$1000,AN146,$DY$2:$DY$1000,"Y")+COUNTIFS($AN$2:$AN$1000,AN146,$T$2:$T$1000,"Y")&gt;0,"Y","N")</f>
        <v>N</v>
      </c>
      <c r="EA146" s="0" t="str">
        <f aca="false">IF(AND(U146="new",T146="N",AR146="Y",AQ146="",DZ146="N"),"Y","N")</f>
        <v>N</v>
      </c>
      <c r="EB146" s="0" t="str">
        <f aca="false">IF(EA146&lt;&gt;"Y","N",IF(COUNTIFS($AN$2:$AN$1000,AN146,$EA$2:$EA$1000,"Y",$J$2:$J$1000,"&gt;"&amp;J146)+COUNTIFS($AN$2:$AN$1000,AN146,$EA$2:$EA$1000,"Y",$J$2:$J$1000,J146,$ED$2:$ED$1000,"&lt;"&amp;ED146)=0,"Y","N"))</f>
        <v>N</v>
      </c>
      <c r="EC146" s="0" t="str">
        <f aca="false">IF(Y146="","N",IF(Y146&lt;=10,"Y","N"))</f>
        <v>N</v>
      </c>
      <c r="ED146" s="6" t="n">
        <f aca="false">ROW()-1</f>
        <v>145</v>
      </c>
    </row>
    <row r="147" customFormat="false" ht="15" hidden="false" customHeight="false" outlineLevel="0" collapsed="false">
      <c r="A147" s="0" t="s">
        <v>7941</v>
      </c>
      <c r="B147" s="0" t="s">
        <v>7942</v>
      </c>
      <c r="H147" s="5" t="s">
        <v>158</v>
      </c>
      <c r="I147" s="5"/>
      <c r="J147" s="6" t="n">
        <f aca="false">IF(AU147="pass",CM147+CN147+CO147+CP147+CQ147+CR147+CS147+CT147,0)</f>
        <v>40</v>
      </c>
      <c r="K147" s="6" t="s">
        <v>7943</v>
      </c>
      <c r="M147" s="6" t="s">
        <v>5293</v>
      </c>
      <c r="N147" s="6" t="s">
        <v>598</v>
      </c>
      <c r="O147" s="6" t="s">
        <v>7944</v>
      </c>
      <c r="P147" s="6" t="s">
        <v>7945</v>
      </c>
      <c r="Q147" s="6" t="s">
        <v>7946</v>
      </c>
      <c r="R147" s="5" t="s">
        <v>162</v>
      </c>
      <c r="S147" s="6" t="s">
        <v>163</v>
      </c>
      <c r="T147" s="5" t="s">
        <v>162</v>
      </c>
      <c r="U147" s="5" t="s">
        <v>228</v>
      </c>
      <c r="V147" s="6" t="s">
        <v>7947</v>
      </c>
      <c r="W147" s="6" t="s">
        <v>166</v>
      </c>
      <c r="X147" s="6" t="s">
        <v>4586</v>
      </c>
      <c r="Y147" s="0" t="str">
        <f aca="false">IF(EB147&lt;&gt;"Y","",COUNTIFS($EB$2:$EB$1000,"Y",$J$2:$J$1000,"&gt;"&amp;J147)+COUNTIFS($EB$2:$EB$1000,"Y",$J$2:$J$1000,J147,$ED$2:$ED$1000,"&lt;"&amp;ED147)+1)</f>
        <v/>
      </c>
      <c r="Z147" s="0" t="n">
        <v>146</v>
      </c>
      <c r="AA147" s="6" t="s">
        <v>162</v>
      </c>
      <c r="AB147" s="6" t="s">
        <v>6317</v>
      </c>
      <c r="AD147" s="6" t="s">
        <v>158</v>
      </c>
      <c r="AH147" s="6" t="s">
        <v>7948</v>
      </c>
      <c r="AI147" s="6" t="s">
        <v>5655</v>
      </c>
      <c r="AJ147" s="6" t="s">
        <v>7949</v>
      </c>
      <c r="AK147" s="6" t="s">
        <v>7950</v>
      </c>
      <c r="AL147" s="6" t="s">
        <v>168</v>
      </c>
      <c r="AM147" s="6" t="s">
        <v>7951</v>
      </c>
      <c r="AN147" s="6" t="s">
        <v>7941</v>
      </c>
      <c r="AO147" s="5" t="s">
        <v>162</v>
      </c>
      <c r="AR147" s="0" t="str">
        <f aca="false">IF(AND(AU147="pass",AO147&lt;&gt;"Y",C147&lt;&gt;""),"Y","N")</f>
        <v>N</v>
      </c>
      <c r="AS147" s="0" t="str">
        <f aca="false">_xlfn.TEXTJOIN("; ",TRUE(),IF(AU147&lt;&gt;"pass","gated out",""),IF(AO147="Y","on hold: "&amp;AP147,""),IF(C147="","no contact named on an opened page",""))</f>
        <v>no contact named on an opened page</v>
      </c>
      <c r="AU147" s="6" t="s">
        <v>181</v>
      </c>
      <c r="AW147" s="6" t="s">
        <v>182</v>
      </c>
      <c r="AX147" s="6" t="s">
        <v>283</v>
      </c>
      <c r="AY147" s="6" t="s">
        <v>7950</v>
      </c>
      <c r="AZ147" s="6" t="s">
        <v>4596</v>
      </c>
      <c r="BA147" s="6" t="s">
        <v>4953</v>
      </c>
      <c r="BB147" s="6" t="s">
        <v>163</v>
      </c>
      <c r="BD147" s="6" t="s">
        <v>168</v>
      </c>
      <c r="BE147" s="6" t="s">
        <v>7952</v>
      </c>
      <c r="BF147" s="6" t="s">
        <v>168</v>
      </c>
      <c r="BG147" s="6" t="s">
        <v>168</v>
      </c>
      <c r="BH147" s="6" t="s">
        <v>163</v>
      </c>
      <c r="BJ147" s="6" t="s">
        <v>163</v>
      </c>
      <c r="BK147" s="6" t="s">
        <v>162</v>
      </c>
      <c r="BL147" s="6" t="s">
        <v>162</v>
      </c>
      <c r="BO147" s="6" t="s">
        <v>162</v>
      </c>
      <c r="BP147" s="0" t="n">
        <v>0</v>
      </c>
      <c r="BS147" s="6" t="s">
        <v>7953</v>
      </c>
      <c r="BT147" s="6" t="s">
        <v>7954</v>
      </c>
      <c r="BU147" s="6" t="s">
        <v>4605</v>
      </c>
      <c r="BV147" s="0" t="n">
        <v>185</v>
      </c>
      <c r="CF147" s="6" t="s">
        <v>158</v>
      </c>
      <c r="CK147" s="6" t="s">
        <v>158</v>
      </c>
      <c r="CL147" s="0" t="n">
        <v>40</v>
      </c>
      <c r="CM147" s="0" t="n">
        <v>6</v>
      </c>
      <c r="CN147" s="0" t="n">
        <v>13</v>
      </c>
      <c r="CO147" s="0" t="n">
        <v>8</v>
      </c>
      <c r="CP147" s="0" t="n">
        <v>5</v>
      </c>
      <c r="CQ147" s="0" t="n">
        <v>10</v>
      </c>
      <c r="CR147" s="0" t="n">
        <v>0</v>
      </c>
      <c r="CS147" s="6" t="n">
        <f aca="false">IF(R147="Y",10,0)</f>
        <v>0</v>
      </c>
      <c r="CT147" s="0" t="n">
        <v>-2</v>
      </c>
      <c r="CU147" s="6" t="s">
        <v>7955</v>
      </c>
      <c r="CV147" s="6" t="s">
        <v>4616</v>
      </c>
      <c r="CW147" s="6" t="s">
        <v>7956</v>
      </c>
      <c r="CX147" s="6" t="s">
        <v>7957</v>
      </c>
      <c r="CY147" s="6" t="s">
        <v>7958</v>
      </c>
      <c r="DA147" s="6" t="s">
        <v>6236</v>
      </c>
      <c r="DY147" s="0" t="str">
        <f aca="false">IF(ISNUMBER(MATCH(U147,{"queued","contacted","replied","call_booked","call_done","yes_in_principle","materials_sent"},0)),"Y","N")</f>
        <v>N</v>
      </c>
      <c r="DZ147" s="0" t="str">
        <f aca="false">IF(COUNTIFS($AN$2:$AN$1000,AN147,$DY$2:$DY$1000,"Y")+COUNTIFS($AN$2:$AN$1000,AN147,$T$2:$T$1000,"Y")&gt;0,"Y","N")</f>
        <v>N</v>
      </c>
      <c r="EA147" s="0" t="str">
        <f aca="false">IF(AND(U147="new",T147="N",AR147="Y",AQ147="",DZ147="N"),"Y","N")</f>
        <v>N</v>
      </c>
      <c r="EB147" s="0" t="str">
        <f aca="false">IF(EA147&lt;&gt;"Y","N",IF(COUNTIFS($AN$2:$AN$1000,AN147,$EA$2:$EA$1000,"Y",$J$2:$J$1000,"&gt;"&amp;J147)+COUNTIFS($AN$2:$AN$1000,AN147,$EA$2:$EA$1000,"Y",$J$2:$J$1000,J147,$ED$2:$ED$1000,"&lt;"&amp;ED147)=0,"Y","N"))</f>
        <v>N</v>
      </c>
      <c r="EC147" s="0" t="str">
        <f aca="false">IF(Y147="","N",IF(Y147&lt;=10,"Y","N"))</f>
        <v>N</v>
      </c>
      <c r="ED147" s="6" t="n">
        <f aca="false">ROW()-1</f>
        <v>146</v>
      </c>
    </row>
    <row r="148" customFormat="false" ht="15" hidden="false" customHeight="false" outlineLevel="0" collapsed="false">
      <c r="A148" s="0" t="s">
        <v>7959</v>
      </c>
      <c r="B148" s="0" t="s">
        <v>7960</v>
      </c>
      <c r="H148" s="5" t="s">
        <v>158</v>
      </c>
      <c r="I148" s="5"/>
      <c r="J148" s="6" t="n">
        <f aca="false">IF(AU148="pass",CM148+CN148+CO148+CP148+CQ148+CR148+CS148+CT148,0)</f>
        <v>40</v>
      </c>
      <c r="K148" s="6" t="s">
        <v>7961</v>
      </c>
      <c r="M148" s="6" t="s">
        <v>5293</v>
      </c>
      <c r="N148" s="6" t="s">
        <v>598</v>
      </c>
      <c r="O148" s="6" t="s">
        <v>7962</v>
      </c>
      <c r="P148" s="6" t="s">
        <v>7963</v>
      </c>
      <c r="Q148" s="6" t="s">
        <v>7964</v>
      </c>
      <c r="R148" s="5" t="s">
        <v>162</v>
      </c>
      <c r="S148" s="6" t="s">
        <v>163</v>
      </c>
      <c r="T148" s="5" t="s">
        <v>162</v>
      </c>
      <c r="U148" s="5" t="s">
        <v>228</v>
      </c>
      <c r="V148" s="6" t="s">
        <v>7965</v>
      </c>
      <c r="W148" s="6" t="s">
        <v>166</v>
      </c>
      <c r="X148" s="6" t="s">
        <v>4586</v>
      </c>
      <c r="Y148" s="0" t="str">
        <f aca="false">IF(EB148&lt;&gt;"Y","",COUNTIFS($EB$2:$EB$1000,"Y",$J$2:$J$1000,"&gt;"&amp;J148)+COUNTIFS($EB$2:$EB$1000,"Y",$J$2:$J$1000,J148,$ED$2:$ED$1000,"&lt;"&amp;ED148)+1)</f>
        <v/>
      </c>
      <c r="Z148" s="0" t="n">
        <v>147</v>
      </c>
      <c r="AA148" s="6" t="s">
        <v>162</v>
      </c>
      <c r="AB148" s="6" t="s">
        <v>6317</v>
      </c>
      <c r="AC148" s="6" t="s">
        <v>4588</v>
      </c>
      <c r="AD148" s="6" t="s">
        <v>598</v>
      </c>
      <c r="AE148" s="6" t="s">
        <v>172</v>
      </c>
      <c r="AF148" s="6" t="s">
        <v>7966</v>
      </c>
      <c r="AG148" s="6" t="s">
        <v>166</v>
      </c>
      <c r="AH148" s="6" t="s">
        <v>7967</v>
      </c>
      <c r="AI148" s="6" t="s">
        <v>4665</v>
      </c>
      <c r="AJ148" s="6" t="s">
        <v>7968</v>
      </c>
      <c r="AK148" s="6" t="s">
        <v>7969</v>
      </c>
      <c r="AL148" s="6" t="s">
        <v>168</v>
      </c>
      <c r="AM148" s="6" t="s">
        <v>7970</v>
      </c>
      <c r="AN148" s="6" t="s">
        <v>7959</v>
      </c>
      <c r="AO148" s="5" t="s">
        <v>162</v>
      </c>
      <c r="AR148" s="0" t="str">
        <f aca="false">IF(AND(AU148="pass",AO148&lt;&gt;"Y",C148&lt;&gt;""),"Y","N")</f>
        <v>N</v>
      </c>
      <c r="AS148" s="0" t="str">
        <f aca="false">_xlfn.TEXTJOIN("; ",TRUE(),IF(AU148&lt;&gt;"pass","gated out",""),IF(AO148="Y","on hold: "&amp;AP148,""),IF(C148="","no contact named on an opened page",""))</f>
        <v>no contact named on an opened page</v>
      </c>
      <c r="AU148" s="6" t="s">
        <v>181</v>
      </c>
      <c r="AW148" s="6" t="s">
        <v>182</v>
      </c>
      <c r="AX148" s="6" t="s">
        <v>283</v>
      </c>
      <c r="AY148" s="6" t="s">
        <v>7969</v>
      </c>
      <c r="AZ148" s="6" t="s">
        <v>4596</v>
      </c>
      <c r="BA148" s="6" t="s">
        <v>4953</v>
      </c>
      <c r="BB148" s="6" t="s">
        <v>163</v>
      </c>
      <c r="BD148" s="6" t="s">
        <v>163</v>
      </c>
      <c r="BE148" s="6" t="s">
        <v>7971</v>
      </c>
      <c r="BF148" s="6" t="s">
        <v>168</v>
      </c>
      <c r="BG148" s="6" t="s">
        <v>168</v>
      </c>
      <c r="BH148" s="6" t="s">
        <v>163</v>
      </c>
      <c r="BJ148" s="6" t="s">
        <v>163</v>
      </c>
      <c r="BK148" s="6" t="s">
        <v>162</v>
      </c>
      <c r="BL148" s="6" t="s">
        <v>162</v>
      </c>
      <c r="BO148" s="6" t="s">
        <v>162</v>
      </c>
      <c r="BP148" s="0" t="n">
        <v>0</v>
      </c>
      <c r="BS148" s="6" t="s">
        <v>7972</v>
      </c>
      <c r="BU148" s="6" t="s">
        <v>4695</v>
      </c>
      <c r="BV148" s="0" t="n">
        <v>7</v>
      </c>
      <c r="BX148" s="6" t="s">
        <v>7973</v>
      </c>
      <c r="BY148" s="6" t="s">
        <v>7974</v>
      </c>
      <c r="CF148" s="6" t="s">
        <v>158</v>
      </c>
      <c r="CK148" s="6" t="s">
        <v>158</v>
      </c>
      <c r="CL148" s="0" t="n">
        <v>40</v>
      </c>
      <c r="CM148" s="0" t="n">
        <v>6</v>
      </c>
      <c r="CN148" s="0" t="n">
        <v>13</v>
      </c>
      <c r="CO148" s="0" t="n">
        <v>8</v>
      </c>
      <c r="CP148" s="0" t="n">
        <v>5</v>
      </c>
      <c r="CQ148" s="0" t="n">
        <v>7</v>
      </c>
      <c r="CR148" s="0" t="n">
        <v>3</v>
      </c>
      <c r="CS148" s="6" t="n">
        <f aca="false">IF(R148="Y",10,0)</f>
        <v>0</v>
      </c>
      <c r="CT148" s="0" t="n">
        <v>-2</v>
      </c>
      <c r="CU148" s="6" t="s">
        <v>7975</v>
      </c>
      <c r="CV148" s="6" t="s">
        <v>4704</v>
      </c>
      <c r="CW148" s="6" t="s">
        <v>7976</v>
      </c>
      <c r="CX148" s="6" t="s">
        <v>7977</v>
      </c>
      <c r="CY148" s="6" t="s">
        <v>7978</v>
      </c>
      <c r="DA148" s="6" t="s">
        <v>6236</v>
      </c>
      <c r="DY148" s="0" t="str">
        <f aca="false">IF(ISNUMBER(MATCH(U148,{"queued","contacted","replied","call_booked","call_done","yes_in_principle","materials_sent"},0)),"Y","N")</f>
        <v>N</v>
      </c>
      <c r="DZ148" s="0" t="str">
        <f aca="false">IF(COUNTIFS($AN$2:$AN$1000,AN148,$DY$2:$DY$1000,"Y")+COUNTIFS($AN$2:$AN$1000,AN148,$T$2:$T$1000,"Y")&gt;0,"Y","N")</f>
        <v>N</v>
      </c>
      <c r="EA148" s="0" t="str">
        <f aca="false">IF(AND(U148="new",T148="N",AR148="Y",AQ148="",DZ148="N"),"Y","N")</f>
        <v>N</v>
      </c>
      <c r="EB148" s="0" t="str">
        <f aca="false">IF(EA148&lt;&gt;"Y","N",IF(COUNTIFS($AN$2:$AN$1000,AN148,$EA$2:$EA$1000,"Y",$J$2:$J$1000,"&gt;"&amp;J148)+COUNTIFS($AN$2:$AN$1000,AN148,$EA$2:$EA$1000,"Y",$J$2:$J$1000,J148,$ED$2:$ED$1000,"&lt;"&amp;ED148)=0,"Y","N"))</f>
        <v>N</v>
      </c>
      <c r="EC148" s="0" t="str">
        <f aca="false">IF(Y148="","N",IF(Y148&lt;=10,"Y","N"))</f>
        <v>N</v>
      </c>
      <c r="ED148" s="6" t="n">
        <f aca="false">ROW()-1</f>
        <v>147</v>
      </c>
    </row>
    <row r="149" customFormat="false" ht="15" hidden="false" customHeight="false" outlineLevel="0" collapsed="false">
      <c r="A149" s="0" t="s">
        <v>7979</v>
      </c>
      <c r="B149" s="0" t="s">
        <v>7980</v>
      </c>
      <c r="C149" s="0" t="s">
        <v>7981</v>
      </c>
      <c r="D149" s="0" t="s">
        <v>7982</v>
      </c>
      <c r="E149" s="0" t="s">
        <v>4773</v>
      </c>
      <c r="H149" s="5" t="s">
        <v>158</v>
      </c>
      <c r="I149" s="5" t="s">
        <v>159</v>
      </c>
      <c r="J149" s="6" t="n">
        <f aca="false">IF(AU149="pass",CM149+CN149+CO149+CP149+CQ149+CR149+CS149+CT149,0)</f>
        <v>40</v>
      </c>
      <c r="K149" s="6" t="s">
        <v>7983</v>
      </c>
      <c r="M149" s="6" t="s">
        <v>5293</v>
      </c>
      <c r="N149" s="6" t="s">
        <v>598</v>
      </c>
      <c r="R149" s="5" t="s">
        <v>162</v>
      </c>
      <c r="S149" s="6" t="s">
        <v>163</v>
      </c>
      <c r="T149" s="5" t="s">
        <v>162</v>
      </c>
      <c r="U149" s="5" t="s">
        <v>228</v>
      </c>
      <c r="V149" s="6" t="s">
        <v>7984</v>
      </c>
      <c r="W149" s="6" t="s">
        <v>166</v>
      </c>
      <c r="X149" s="6" t="s">
        <v>4586</v>
      </c>
      <c r="Y149" s="6" t="n">
        <f aca="false">IF(EB149&lt;&gt;"Y","",COUNTIFS($EB$2:$EB$1000,"Y",$J$2:$J$1000,"&gt;"&amp;J149)+COUNTIFS($EB$2:$EB$1000,"Y",$J$2:$J$1000,J149,$ED$2:$ED$1000,"&lt;"&amp;ED149)+1)</f>
        <v>119</v>
      </c>
      <c r="Z149" s="0" t="n">
        <v>148</v>
      </c>
      <c r="AA149" s="6" t="s">
        <v>162</v>
      </c>
      <c r="AB149" s="6" t="s">
        <v>7985</v>
      </c>
      <c r="AC149" s="6" t="s">
        <v>4588</v>
      </c>
      <c r="AD149" s="6" t="s">
        <v>171</v>
      </c>
      <c r="AE149" s="6" t="s">
        <v>1190</v>
      </c>
      <c r="AF149" s="6" t="s">
        <v>7986</v>
      </c>
      <c r="AG149" s="6" t="s">
        <v>166</v>
      </c>
      <c r="AH149" s="6" t="s">
        <v>7987</v>
      </c>
      <c r="AI149" s="6" t="s">
        <v>4591</v>
      </c>
      <c r="AJ149" s="6" t="s">
        <v>7988</v>
      </c>
      <c r="AK149" s="6" t="s">
        <v>7989</v>
      </c>
      <c r="AL149" s="6" t="s">
        <v>168</v>
      </c>
      <c r="AM149" s="6" t="s">
        <v>7990</v>
      </c>
      <c r="AN149" s="6" t="s">
        <v>7979</v>
      </c>
      <c r="AO149" s="5" t="s">
        <v>162</v>
      </c>
      <c r="AR149" s="0" t="str">
        <f aca="false">IF(AND(AU149="pass",AO149&lt;&gt;"Y",C149&lt;&gt;""),"Y","N")</f>
        <v>Y</v>
      </c>
      <c r="AS149" s="0" t="str">
        <f aca="false">_xlfn.TEXTJOIN("; ",TRUE(),IF(AU149&lt;&gt;"pass","gated out",""),IF(AO149="Y","on hold: "&amp;AP149,""),IF(C149="","no contact named on an opened page",""))</f>
        <v/>
      </c>
      <c r="AU149" s="6" t="s">
        <v>181</v>
      </c>
      <c r="AW149" s="6" t="s">
        <v>182</v>
      </c>
      <c r="AX149" s="6" t="s">
        <v>4595</v>
      </c>
      <c r="AY149" s="6" t="s">
        <v>7989</v>
      </c>
      <c r="AZ149" s="6" t="s">
        <v>4596</v>
      </c>
      <c r="BA149" s="6" t="s">
        <v>4597</v>
      </c>
      <c r="BB149" s="6" t="s">
        <v>7991</v>
      </c>
      <c r="BC149" s="6" t="s">
        <v>7984</v>
      </c>
      <c r="BD149" s="6" t="s">
        <v>163</v>
      </c>
      <c r="BE149" s="6" t="s">
        <v>5929</v>
      </c>
      <c r="BF149" s="6" t="s">
        <v>168</v>
      </c>
      <c r="BG149" s="6" t="s">
        <v>168</v>
      </c>
      <c r="BH149" s="6" t="s">
        <v>163</v>
      </c>
      <c r="BJ149" s="6" t="s">
        <v>5551</v>
      </c>
      <c r="BK149" s="6" t="s">
        <v>162</v>
      </c>
      <c r="BL149" s="6" t="s">
        <v>162</v>
      </c>
      <c r="BO149" s="6" t="s">
        <v>162</v>
      </c>
      <c r="BP149" s="0" t="n">
        <v>0</v>
      </c>
      <c r="BS149" s="6" t="s">
        <v>7162</v>
      </c>
      <c r="BT149" s="6" t="s">
        <v>7992</v>
      </c>
      <c r="BU149" s="6" t="s">
        <v>158</v>
      </c>
      <c r="BX149" s="6" t="s">
        <v>7993</v>
      </c>
      <c r="CF149" s="6" t="s">
        <v>158</v>
      </c>
      <c r="CK149" s="6" t="s">
        <v>158</v>
      </c>
      <c r="CL149" s="0" t="n">
        <v>40</v>
      </c>
      <c r="CM149" s="0" t="n">
        <v>6</v>
      </c>
      <c r="CN149" s="0" t="n">
        <v>20</v>
      </c>
      <c r="CO149" s="0" t="n">
        <v>0</v>
      </c>
      <c r="CP149" s="0" t="n">
        <v>5</v>
      </c>
      <c r="CQ149" s="0" t="n">
        <v>7</v>
      </c>
      <c r="CR149" s="0" t="n">
        <v>6</v>
      </c>
      <c r="CS149" s="6" t="n">
        <f aca="false">IF(R149="Y",10,0)</f>
        <v>0</v>
      </c>
      <c r="CT149" s="0" t="n">
        <v>-4</v>
      </c>
      <c r="CU149" s="6" t="s">
        <v>7994</v>
      </c>
      <c r="CV149" s="6" t="s">
        <v>5564</v>
      </c>
      <c r="CW149" s="6" t="s">
        <v>7995</v>
      </c>
      <c r="CX149" s="6" t="s">
        <v>7996</v>
      </c>
      <c r="CY149" s="6" t="s">
        <v>7997</v>
      </c>
      <c r="DA149" s="6" t="s">
        <v>6236</v>
      </c>
      <c r="DY149" s="0" t="str">
        <f aca="false">IF(ISNUMBER(MATCH(U149,{"queued","contacted","replied","call_booked","call_done","yes_in_principle","materials_sent"},0)),"Y","N")</f>
        <v>N</v>
      </c>
      <c r="DZ149" s="0" t="str">
        <f aca="false">IF(COUNTIFS($AN$2:$AN$1000,AN149,$DY$2:$DY$1000,"Y")+COUNTIFS($AN$2:$AN$1000,AN149,$T$2:$T$1000,"Y")&gt;0,"Y","N")</f>
        <v>N</v>
      </c>
      <c r="EA149" s="0" t="str">
        <f aca="false">IF(AND(U149="new",T149="N",AR149="Y",AQ149="",DZ149="N"),"Y","N")</f>
        <v>Y</v>
      </c>
      <c r="EB149" s="0" t="str">
        <f aca="false">IF(EA149&lt;&gt;"Y","N",IF(COUNTIFS($AN$2:$AN$1000,AN149,$EA$2:$EA$1000,"Y",$J$2:$J$1000,"&gt;"&amp;J149)+COUNTIFS($AN$2:$AN$1000,AN149,$EA$2:$EA$1000,"Y",$J$2:$J$1000,J149,$ED$2:$ED$1000,"&lt;"&amp;ED149)=0,"Y","N"))</f>
        <v>Y</v>
      </c>
      <c r="EC149" s="0" t="str">
        <f aca="false">IF(Y149="","N",IF(Y149&lt;=10,"Y","N"))</f>
        <v>N</v>
      </c>
      <c r="ED149" s="6" t="n">
        <f aca="false">ROW()-1</f>
        <v>148</v>
      </c>
    </row>
    <row r="150" customFormat="false" ht="15" hidden="false" customHeight="false" outlineLevel="0" collapsed="false">
      <c r="A150" s="0" t="s">
        <v>7998</v>
      </c>
      <c r="B150" s="0" t="s">
        <v>7999</v>
      </c>
      <c r="C150" s="0" t="s">
        <v>8000</v>
      </c>
      <c r="D150" s="0" t="s">
        <v>8001</v>
      </c>
      <c r="E150" s="0" t="s">
        <v>4773</v>
      </c>
      <c r="H150" s="5" t="s">
        <v>158</v>
      </c>
      <c r="I150" s="5" t="s">
        <v>159</v>
      </c>
      <c r="J150" s="6" t="n">
        <f aca="false">IF(AU150="pass",CM150+CN150+CO150+CP150+CQ150+CR150+CS150+CT150,0)</f>
        <v>39</v>
      </c>
      <c r="K150" s="6" t="s">
        <v>8002</v>
      </c>
      <c r="M150" s="6" t="s">
        <v>4581</v>
      </c>
      <c r="N150" s="6" t="s">
        <v>4582</v>
      </c>
      <c r="R150" s="5" t="s">
        <v>162</v>
      </c>
      <c r="S150" s="6" t="s">
        <v>163</v>
      </c>
      <c r="T150" s="5" t="s">
        <v>162</v>
      </c>
      <c r="U150" s="5" t="s">
        <v>228</v>
      </c>
      <c r="V150" s="6" t="s">
        <v>8003</v>
      </c>
      <c r="W150" s="6" t="s">
        <v>166</v>
      </c>
      <c r="X150" s="6" t="s">
        <v>4586</v>
      </c>
      <c r="Y150" s="6" t="n">
        <f aca="false">IF(EB150&lt;&gt;"Y","",COUNTIFS($EB$2:$EB$1000,"Y",$J$2:$J$1000,"&gt;"&amp;J150)+COUNTIFS($EB$2:$EB$1000,"Y",$J$2:$J$1000,J150,$ED$2:$ED$1000,"&lt;"&amp;ED150)+1)</f>
        <v>120</v>
      </c>
      <c r="Z150" s="0" t="n">
        <v>149</v>
      </c>
      <c r="AA150" s="6" t="s">
        <v>162</v>
      </c>
      <c r="AB150" s="6" t="s">
        <v>8004</v>
      </c>
      <c r="AC150" s="6" t="s">
        <v>4588</v>
      </c>
      <c r="AD150" s="6" t="s">
        <v>171</v>
      </c>
      <c r="AE150" s="6" t="s">
        <v>172</v>
      </c>
      <c r="AF150" s="6" t="s">
        <v>8005</v>
      </c>
      <c r="AG150" s="6" t="s">
        <v>166</v>
      </c>
      <c r="AH150" s="6" t="s">
        <v>8006</v>
      </c>
      <c r="AI150" s="6" t="s">
        <v>4665</v>
      </c>
      <c r="AJ150" s="6" t="s">
        <v>8007</v>
      </c>
      <c r="AK150" s="6" t="s">
        <v>8008</v>
      </c>
      <c r="AL150" s="6" t="s">
        <v>168</v>
      </c>
      <c r="AM150" s="6" t="s">
        <v>8009</v>
      </c>
      <c r="AN150" s="6" t="s">
        <v>7998</v>
      </c>
      <c r="AO150" s="5" t="s">
        <v>162</v>
      </c>
      <c r="AR150" s="0" t="str">
        <f aca="false">IF(AND(AU150="pass",AO150&lt;&gt;"Y",C150&lt;&gt;""),"Y","N")</f>
        <v>Y</v>
      </c>
      <c r="AS150" s="0" t="str">
        <f aca="false">_xlfn.TEXTJOIN("; ",TRUE(),IF(AU150&lt;&gt;"pass","gated out",""),IF(AO150="Y","on hold: "&amp;AP150,""),IF(C150="","no contact named on an opened page",""))</f>
        <v/>
      </c>
      <c r="AU150" s="6" t="s">
        <v>181</v>
      </c>
      <c r="AW150" s="6" t="s">
        <v>182</v>
      </c>
      <c r="AX150" s="6" t="s">
        <v>8010</v>
      </c>
      <c r="AY150" s="6" t="s">
        <v>8008</v>
      </c>
      <c r="AZ150" s="6" t="s">
        <v>6478</v>
      </c>
      <c r="BA150" s="6" t="s">
        <v>5193</v>
      </c>
      <c r="BB150" s="6" t="s">
        <v>163</v>
      </c>
      <c r="BD150" s="6" t="s">
        <v>163</v>
      </c>
      <c r="BE150" s="6" t="s">
        <v>8011</v>
      </c>
      <c r="BF150" s="6" t="s">
        <v>163</v>
      </c>
      <c r="BG150" s="6" t="s">
        <v>168</v>
      </c>
      <c r="BH150" s="6" t="s">
        <v>163</v>
      </c>
      <c r="BJ150" s="6" t="s">
        <v>163</v>
      </c>
      <c r="BK150" s="6" t="s">
        <v>162</v>
      </c>
      <c r="BL150" s="6" t="s">
        <v>162</v>
      </c>
      <c r="BN150" s="0" t="n">
        <v>0</v>
      </c>
      <c r="BO150" s="6" t="s">
        <v>168</v>
      </c>
      <c r="BP150" s="0" t="n">
        <v>3</v>
      </c>
      <c r="BQ150" s="6" t="s">
        <v>4670</v>
      </c>
      <c r="BS150" s="6" t="s">
        <v>4693</v>
      </c>
      <c r="BT150" s="6" t="s">
        <v>8012</v>
      </c>
      <c r="BU150" s="6" t="s">
        <v>158</v>
      </c>
      <c r="BX150" s="6" t="s">
        <v>8013</v>
      </c>
      <c r="CF150" s="6" t="s">
        <v>158</v>
      </c>
      <c r="CK150" s="6" t="s">
        <v>158</v>
      </c>
      <c r="CL150" s="0" t="n">
        <v>39</v>
      </c>
      <c r="CM150" s="0" t="n">
        <v>25</v>
      </c>
      <c r="CN150" s="0" t="n">
        <v>8</v>
      </c>
      <c r="CO150" s="0" t="n">
        <v>0</v>
      </c>
      <c r="CP150" s="0" t="n">
        <v>5</v>
      </c>
      <c r="CQ150" s="0" t="n">
        <v>5</v>
      </c>
      <c r="CR150" s="0" t="n">
        <v>6</v>
      </c>
      <c r="CS150" s="6" t="n">
        <f aca="false">IF(R150="Y",10,0)</f>
        <v>0</v>
      </c>
      <c r="CT150" s="0" t="n">
        <v>-10</v>
      </c>
      <c r="CU150" s="6" t="s">
        <v>8014</v>
      </c>
      <c r="CV150" s="6" t="s">
        <v>4704</v>
      </c>
      <c r="CW150" s="6" t="s">
        <v>8015</v>
      </c>
      <c r="CX150" s="6" t="s">
        <v>8016</v>
      </c>
      <c r="CY150" s="6" t="s">
        <v>8017</v>
      </c>
      <c r="DA150" s="6" t="s">
        <v>6236</v>
      </c>
      <c r="DY150" s="0" t="str">
        <f aca="false">IF(ISNUMBER(MATCH(U150,{"queued","contacted","replied","call_booked","call_done","yes_in_principle","materials_sent"},0)),"Y","N")</f>
        <v>N</v>
      </c>
      <c r="DZ150" s="0" t="str">
        <f aca="false">IF(COUNTIFS($AN$2:$AN$1000,AN150,$DY$2:$DY$1000,"Y")+COUNTIFS($AN$2:$AN$1000,AN150,$T$2:$T$1000,"Y")&gt;0,"Y","N")</f>
        <v>N</v>
      </c>
      <c r="EA150" s="0" t="str">
        <f aca="false">IF(AND(U150="new",T150="N",AR150="Y",AQ150="",DZ150="N"),"Y","N")</f>
        <v>Y</v>
      </c>
      <c r="EB150" s="0" t="str">
        <f aca="false">IF(EA150&lt;&gt;"Y","N",IF(COUNTIFS($AN$2:$AN$1000,AN150,$EA$2:$EA$1000,"Y",$J$2:$J$1000,"&gt;"&amp;J150)+COUNTIFS($AN$2:$AN$1000,AN150,$EA$2:$EA$1000,"Y",$J$2:$J$1000,J150,$ED$2:$ED$1000,"&lt;"&amp;ED150)=0,"Y","N"))</f>
        <v>Y</v>
      </c>
      <c r="EC150" s="0" t="str">
        <f aca="false">IF(Y150="","N",IF(Y150&lt;=10,"Y","N"))</f>
        <v>N</v>
      </c>
      <c r="ED150" s="6" t="n">
        <f aca="false">ROW()-1</f>
        <v>149</v>
      </c>
    </row>
    <row r="151" customFormat="false" ht="15" hidden="false" customHeight="false" outlineLevel="0" collapsed="false">
      <c r="A151" s="0" t="s">
        <v>8018</v>
      </c>
      <c r="B151" s="0" t="s">
        <v>8019</v>
      </c>
      <c r="H151" s="5" t="s">
        <v>158</v>
      </c>
      <c r="I151" s="5"/>
      <c r="J151" s="6" t="n">
        <f aca="false">IF(AU151="pass",CM151+CN151+CO151+CP151+CQ151+CR151+CS151+CT151,0)</f>
        <v>39</v>
      </c>
      <c r="K151" s="6" t="s">
        <v>8020</v>
      </c>
      <c r="M151" s="6" t="s">
        <v>4581</v>
      </c>
      <c r="N151" s="6" t="s">
        <v>4582</v>
      </c>
      <c r="O151" s="6" t="s">
        <v>8021</v>
      </c>
      <c r="P151" s="6" t="s">
        <v>8022</v>
      </c>
      <c r="R151" s="5" t="s">
        <v>162</v>
      </c>
      <c r="S151" s="6" t="s">
        <v>163</v>
      </c>
      <c r="T151" s="5" t="s">
        <v>162</v>
      </c>
      <c r="U151" s="5" t="s">
        <v>228</v>
      </c>
      <c r="V151" s="6" t="s">
        <v>8023</v>
      </c>
      <c r="W151" s="6" t="s">
        <v>166</v>
      </c>
      <c r="X151" s="6" t="s">
        <v>4586</v>
      </c>
      <c r="Y151" s="0" t="str">
        <f aca="false">IF(EB151&lt;&gt;"Y","",COUNTIFS($EB$2:$EB$1000,"Y",$J$2:$J$1000,"&gt;"&amp;J151)+COUNTIFS($EB$2:$EB$1000,"Y",$J$2:$J$1000,J151,$ED$2:$ED$1000,"&lt;"&amp;ED151)+1)</f>
        <v/>
      </c>
      <c r="Z151" s="0" t="n">
        <v>150</v>
      </c>
      <c r="AA151" s="6" t="s">
        <v>162</v>
      </c>
      <c r="AB151" s="6" t="s">
        <v>8024</v>
      </c>
      <c r="AC151" s="6" t="s">
        <v>4588</v>
      </c>
      <c r="AD151" s="6" t="s">
        <v>598</v>
      </c>
      <c r="AE151" s="6" t="s">
        <v>163</v>
      </c>
      <c r="AG151" s="6" t="s">
        <v>166</v>
      </c>
      <c r="AH151" s="6" t="s">
        <v>8025</v>
      </c>
      <c r="AI151" s="6" t="s">
        <v>4977</v>
      </c>
      <c r="AJ151" s="6" t="s">
        <v>8026</v>
      </c>
      <c r="AK151" s="6" t="s">
        <v>8023</v>
      </c>
      <c r="AL151" s="6" t="s">
        <v>168</v>
      </c>
      <c r="AM151" s="6" t="s">
        <v>8027</v>
      </c>
      <c r="AN151" s="6" t="s">
        <v>8018</v>
      </c>
      <c r="AO151" s="5" t="s">
        <v>162</v>
      </c>
      <c r="AR151" s="0" t="str">
        <f aca="false">IF(AND(AU151="pass",AO151&lt;&gt;"Y",C151&lt;&gt;""),"Y","N")</f>
        <v>N</v>
      </c>
      <c r="AS151" s="0" t="str">
        <f aca="false">_xlfn.TEXTJOIN("; ",TRUE(),IF(AU151&lt;&gt;"pass","gated out",""),IF(AO151="Y","on hold: "&amp;AP151,""),IF(C151="","no contact named on an opened page",""))</f>
        <v>no contact named on an opened page</v>
      </c>
      <c r="AU151" s="6" t="s">
        <v>181</v>
      </c>
      <c r="AW151" s="6" t="s">
        <v>182</v>
      </c>
      <c r="AX151" s="6" t="s">
        <v>5607</v>
      </c>
      <c r="AY151" s="6" t="s">
        <v>8023</v>
      </c>
      <c r="AZ151" s="6" t="s">
        <v>4924</v>
      </c>
      <c r="BA151" s="6" t="s">
        <v>5193</v>
      </c>
      <c r="BB151" s="6" t="s">
        <v>163</v>
      </c>
      <c r="BD151" s="6" t="s">
        <v>168</v>
      </c>
      <c r="BE151" s="6" t="s">
        <v>8028</v>
      </c>
      <c r="BF151" s="6" t="s">
        <v>168</v>
      </c>
      <c r="BG151" s="6" t="s">
        <v>168</v>
      </c>
      <c r="BH151" s="6" t="s">
        <v>163</v>
      </c>
      <c r="BJ151" s="6" t="s">
        <v>163</v>
      </c>
      <c r="BK151" s="6" t="s">
        <v>162</v>
      </c>
      <c r="BL151" s="6" t="s">
        <v>162</v>
      </c>
      <c r="BN151" s="0" t="n">
        <v>0</v>
      </c>
      <c r="BO151" s="6" t="s">
        <v>168</v>
      </c>
      <c r="BP151" s="0" t="n">
        <v>3</v>
      </c>
      <c r="BQ151" s="6" t="s">
        <v>4670</v>
      </c>
      <c r="BS151" s="6" t="s">
        <v>8029</v>
      </c>
      <c r="BT151" s="6" t="s">
        <v>8030</v>
      </c>
      <c r="BU151" s="6" t="s">
        <v>158</v>
      </c>
      <c r="BX151" s="6" t="s">
        <v>8031</v>
      </c>
      <c r="BY151" s="6" t="s">
        <v>8032</v>
      </c>
      <c r="CA151" s="6" t="s">
        <v>8033</v>
      </c>
      <c r="CE151" s="6" t="s">
        <v>6725</v>
      </c>
      <c r="CF151" s="6" t="s">
        <v>598</v>
      </c>
      <c r="CG151" s="6" t="s">
        <v>8032</v>
      </c>
      <c r="CK151" s="6" t="s">
        <v>158</v>
      </c>
      <c r="CL151" s="0" t="n">
        <v>39</v>
      </c>
      <c r="CM151" s="0" t="n">
        <v>25</v>
      </c>
      <c r="CN151" s="0" t="n">
        <v>8</v>
      </c>
      <c r="CO151" s="0" t="n">
        <v>0</v>
      </c>
      <c r="CP151" s="0" t="n">
        <v>5</v>
      </c>
      <c r="CQ151" s="0" t="n">
        <v>10</v>
      </c>
      <c r="CR151" s="0" t="n">
        <v>3</v>
      </c>
      <c r="CS151" s="6" t="n">
        <f aca="false">IF(R151="Y",10,0)</f>
        <v>0</v>
      </c>
      <c r="CT151" s="0" t="n">
        <v>-12</v>
      </c>
      <c r="CU151" s="6" t="s">
        <v>8034</v>
      </c>
      <c r="CV151" s="6" t="s">
        <v>4843</v>
      </c>
      <c r="CW151" s="6" t="s">
        <v>8035</v>
      </c>
      <c r="CX151" s="6" t="s">
        <v>8036</v>
      </c>
      <c r="CY151" s="6" t="s">
        <v>8037</v>
      </c>
      <c r="DA151" s="6" t="s">
        <v>6236</v>
      </c>
      <c r="DC151" s="6" t="s">
        <v>163</v>
      </c>
      <c r="DY151" s="0" t="str">
        <f aca="false">IF(ISNUMBER(MATCH(U151,{"queued","contacted","replied","call_booked","call_done","yes_in_principle","materials_sent"},0)),"Y","N")</f>
        <v>N</v>
      </c>
      <c r="DZ151" s="0" t="str">
        <f aca="false">IF(COUNTIFS($AN$2:$AN$1000,AN151,$DY$2:$DY$1000,"Y")+COUNTIFS($AN$2:$AN$1000,AN151,$T$2:$T$1000,"Y")&gt;0,"Y","N")</f>
        <v>N</v>
      </c>
      <c r="EA151" s="0" t="str">
        <f aca="false">IF(AND(U151="new",T151="N",AR151="Y",AQ151="",DZ151="N"),"Y","N")</f>
        <v>N</v>
      </c>
      <c r="EB151" s="0" t="str">
        <f aca="false">IF(EA151&lt;&gt;"Y","N",IF(COUNTIFS($AN$2:$AN$1000,AN151,$EA$2:$EA$1000,"Y",$J$2:$J$1000,"&gt;"&amp;J151)+COUNTIFS($AN$2:$AN$1000,AN151,$EA$2:$EA$1000,"Y",$J$2:$J$1000,J151,$ED$2:$ED$1000,"&lt;"&amp;ED151)=0,"Y","N"))</f>
        <v>N</v>
      </c>
      <c r="EC151" s="0" t="str">
        <f aca="false">IF(Y151="","N",IF(Y151&lt;=10,"Y","N"))</f>
        <v>N</v>
      </c>
      <c r="ED151" s="6" t="n">
        <f aca="false">ROW()-1</f>
        <v>150</v>
      </c>
    </row>
    <row r="152" customFormat="false" ht="15" hidden="false" customHeight="false" outlineLevel="0" collapsed="false">
      <c r="A152" s="0" t="s">
        <v>8038</v>
      </c>
      <c r="B152" s="0" t="s">
        <v>8039</v>
      </c>
      <c r="H152" s="5" t="s">
        <v>158</v>
      </c>
      <c r="I152" s="5"/>
      <c r="J152" s="6" t="n">
        <f aca="false">IF(AU152="pass",CM152+CN152+CO152+CP152+CQ152+CR152+CS152+CT152,0)</f>
        <v>39</v>
      </c>
      <c r="K152" s="6" t="s">
        <v>7443</v>
      </c>
      <c r="M152" s="6" t="s">
        <v>4581</v>
      </c>
      <c r="N152" s="6" t="s">
        <v>4582</v>
      </c>
      <c r="R152" s="5" t="s">
        <v>162</v>
      </c>
      <c r="S152" s="6" t="s">
        <v>163</v>
      </c>
      <c r="T152" s="5" t="s">
        <v>162</v>
      </c>
      <c r="U152" s="5" t="s">
        <v>228</v>
      </c>
      <c r="V152" s="6" t="s">
        <v>8040</v>
      </c>
      <c r="W152" s="6" t="s">
        <v>166</v>
      </c>
      <c r="X152" s="6" t="s">
        <v>4586</v>
      </c>
      <c r="Y152" s="0" t="str">
        <f aca="false">IF(EB152&lt;&gt;"Y","",COUNTIFS($EB$2:$EB$1000,"Y",$J$2:$J$1000,"&gt;"&amp;J152)+COUNTIFS($EB$2:$EB$1000,"Y",$J$2:$J$1000,J152,$ED$2:$ED$1000,"&lt;"&amp;ED152)+1)</f>
        <v/>
      </c>
      <c r="Z152" s="0" t="n">
        <v>151</v>
      </c>
      <c r="AA152" s="6" t="s">
        <v>162</v>
      </c>
      <c r="AB152" s="6" t="s">
        <v>8041</v>
      </c>
      <c r="AC152" s="6" t="s">
        <v>4588</v>
      </c>
      <c r="AD152" s="6" t="s">
        <v>598</v>
      </c>
      <c r="AE152" s="6" t="s">
        <v>163</v>
      </c>
      <c r="AG152" s="6" t="s">
        <v>166</v>
      </c>
      <c r="AH152" s="6" t="s">
        <v>8042</v>
      </c>
      <c r="AI152" s="6" t="s">
        <v>4828</v>
      </c>
      <c r="AJ152" s="6" t="s">
        <v>1243</v>
      </c>
      <c r="AL152" s="6" t="s">
        <v>168</v>
      </c>
      <c r="AM152" s="6" t="s">
        <v>8043</v>
      </c>
      <c r="AN152" s="6" t="s">
        <v>8038</v>
      </c>
      <c r="AO152" s="5" t="s">
        <v>162</v>
      </c>
      <c r="AR152" s="0" t="str">
        <f aca="false">IF(AND(AU152="pass",AO152&lt;&gt;"Y",C152&lt;&gt;""),"Y","N")</f>
        <v>N</v>
      </c>
      <c r="AS152" s="0" t="str">
        <f aca="false">_xlfn.TEXTJOIN("; ",TRUE(),IF(AU152&lt;&gt;"pass","gated out",""),IF(AO152="Y","on hold: "&amp;AP152,""),IF(C152="","no contact named on an opened page",""))</f>
        <v>no contact named on an opened page</v>
      </c>
      <c r="AU152" s="6" t="s">
        <v>181</v>
      </c>
      <c r="AW152" s="6" t="s">
        <v>182</v>
      </c>
      <c r="AX152" s="6" t="s">
        <v>283</v>
      </c>
      <c r="AY152" s="6" t="s">
        <v>8044</v>
      </c>
      <c r="AZ152" s="6" t="s">
        <v>5358</v>
      </c>
      <c r="BA152" s="6" t="s">
        <v>5331</v>
      </c>
      <c r="BB152" s="6" t="s">
        <v>163</v>
      </c>
      <c r="BD152" s="6" t="s">
        <v>168</v>
      </c>
      <c r="BE152" s="6" t="s">
        <v>8045</v>
      </c>
      <c r="BF152" s="6" t="s">
        <v>162</v>
      </c>
      <c r="BG152" s="6" t="s">
        <v>163</v>
      </c>
      <c r="BH152" s="6" t="s">
        <v>163</v>
      </c>
      <c r="BJ152" s="6" t="s">
        <v>163</v>
      </c>
      <c r="BK152" s="6" t="s">
        <v>162</v>
      </c>
      <c r="BL152" s="6" t="s">
        <v>162</v>
      </c>
      <c r="BN152" s="0" t="n">
        <v>0</v>
      </c>
      <c r="BO152" s="6" t="s">
        <v>168</v>
      </c>
      <c r="BP152" s="0" t="n">
        <v>3</v>
      </c>
      <c r="BQ152" s="6" t="s">
        <v>4670</v>
      </c>
      <c r="BS152" s="6" t="s">
        <v>4983</v>
      </c>
      <c r="BT152" s="6" t="s">
        <v>8046</v>
      </c>
      <c r="BU152" s="6" t="s">
        <v>158</v>
      </c>
      <c r="BX152" s="6" t="s">
        <v>8047</v>
      </c>
      <c r="BY152" s="6" t="s">
        <v>8048</v>
      </c>
      <c r="CF152" s="6" t="s">
        <v>158</v>
      </c>
      <c r="CK152" s="6" t="s">
        <v>158</v>
      </c>
      <c r="CL152" s="0" t="n">
        <v>39</v>
      </c>
      <c r="CM152" s="0" t="n">
        <v>25</v>
      </c>
      <c r="CN152" s="0" t="n">
        <v>3</v>
      </c>
      <c r="CO152" s="0" t="n">
        <v>0</v>
      </c>
      <c r="CP152" s="0" t="n">
        <v>5</v>
      </c>
      <c r="CQ152" s="0" t="n">
        <v>5</v>
      </c>
      <c r="CR152" s="0" t="n">
        <v>3</v>
      </c>
      <c r="CS152" s="6" t="n">
        <f aca="false">IF(R152="Y",10,0)</f>
        <v>0</v>
      </c>
      <c r="CT152" s="0" t="n">
        <v>-2</v>
      </c>
      <c r="CU152" s="6" t="s">
        <v>163</v>
      </c>
      <c r="CV152" s="6" t="s">
        <v>4843</v>
      </c>
      <c r="CW152" s="6" t="s">
        <v>8049</v>
      </c>
      <c r="CX152" s="6" t="s">
        <v>8050</v>
      </c>
      <c r="CY152" s="6" t="s">
        <v>8051</v>
      </c>
      <c r="DA152" s="6" t="s">
        <v>6236</v>
      </c>
      <c r="DY152" s="0" t="str">
        <f aca="false">IF(ISNUMBER(MATCH(U152,{"queued","contacted","replied","call_booked","call_done","yes_in_principle","materials_sent"},0)),"Y","N")</f>
        <v>N</v>
      </c>
      <c r="DZ152" s="0" t="str">
        <f aca="false">IF(COUNTIFS($AN$2:$AN$1000,AN152,$DY$2:$DY$1000,"Y")+COUNTIFS($AN$2:$AN$1000,AN152,$T$2:$T$1000,"Y")&gt;0,"Y","N")</f>
        <v>N</v>
      </c>
      <c r="EA152" s="0" t="str">
        <f aca="false">IF(AND(U152="new",T152="N",AR152="Y",AQ152="",DZ152="N"),"Y","N")</f>
        <v>N</v>
      </c>
      <c r="EB152" s="0" t="str">
        <f aca="false">IF(EA152&lt;&gt;"Y","N",IF(COUNTIFS($AN$2:$AN$1000,AN152,$EA$2:$EA$1000,"Y",$J$2:$J$1000,"&gt;"&amp;J152)+COUNTIFS($AN$2:$AN$1000,AN152,$EA$2:$EA$1000,"Y",$J$2:$J$1000,J152,$ED$2:$ED$1000,"&lt;"&amp;ED152)=0,"Y","N"))</f>
        <v>N</v>
      </c>
      <c r="EC152" s="0" t="str">
        <f aca="false">IF(Y152="","N",IF(Y152&lt;=10,"Y","N"))</f>
        <v>N</v>
      </c>
      <c r="ED152" s="6" t="n">
        <f aca="false">ROW()-1</f>
        <v>151</v>
      </c>
    </row>
    <row r="153" customFormat="false" ht="15" hidden="false" customHeight="false" outlineLevel="0" collapsed="false">
      <c r="A153" s="0" t="s">
        <v>8052</v>
      </c>
      <c r="B153" s="0" t="s">
        <v>8053</v>
      </c>
      <c r="C153" s="0" t="s">
        <v>8054</v>
      </c>
      <c r="D153" s="0" t="s">
        <v>8055</v>
      </c>
      <c r="E153" s="0" t="s">
        <v>8056</v>
      </c>
      <c r="H153" s="5" t="s">
        <v>158</v>
      </c>
      <c r="I153" s="5" t="s">
        <v>159</v>
      </c>
      <c r="J153" s="6" t="n">
        <f aca="false">IF(AU153="pass",CM153+CN153+CO153+CP153+CQ153+CR153+CS153+CT153,0)</f>
        <v>39</v>
      </c>
      <c r="K153" s="6" t="s">
        <v>8057</v>
      </c>
      <c r="M153" s="6" t="s">
        <v>5293</v>
      </c>
      <c r="N153" s="6" t="s">
        <v>598</v>
      </c>
      <c r="O153" s="6" t="s">
        <v>8058</v>
      </c>
      <c r="P153" s="6" t="s">
        <v>8059</v>
      </c>
      <c r="Q153" s="6" t="s">
        <v>2033</v>
      </c>
      <c r="R153" s="5" t="s">
        <v>162</v>
      </c>
      <c r="S153" s="6" t="s">
        <v>168</v>
      </c>
      <c r="T153" s="5" t="s">
        <v>162</v>
      </c>
      <c r="U153" s="5" t="s">
        <v>228</v>
      </c>
      <c r="V153" s="6" t="s">
        <v>8060</v>
      </c>
      <c r="W153" s="6" t="s">
        <v>166</v>
      </c>
      <c r="X153" s="6" t="s">
        <v>4586</v>
      </c>
      <c r="Y153" s="6" t="n">
        <f aca="false">IF(EB153&lt;&gt;"Y","",COUNTIFS($EB$2:$EB$1000,"Y",$J$2:$J$1000,"&gt;"&amp;J153)+COUNTIFS($EB$2:$EB$1000,"Y",$J$2:$J$1000,J153,$ED$2:$ED$1000,"&lt;"&amp;ED153)+1)</f>
        <v>121</v>
      </c>
      <c r="Z153" s="0" t="n">
        <v>152</v>
      </c>
      <c r="AA153" s="6" t="s">
        <v>162</v>
      </c>
      <c r="AB153" s="6" t="s">
        <v>8061</v>
      </c>
      <c r="AC153" s="6" t="s">
        <v>4588</v>
      </c>
      <c r="AD153" s="6" t="s">
        <v>171</v>
      </c>
      <c r="AE153" s="6" t="s">
        <v>1190</v>
      </c>
      <c r="AF153" s="6" t="s">
        <v>8060</v>
      </c>
      <c r="AG153" s="6" t="s">
        <v>166</v>
      </c>
      <c r="AH153" s="6" t="s">
        <v>8062</v>
      </c>
      <c r="AI153" s="6" t="s">
        <v>5463</v>
      </c>
      <c r="AJ153" s="6" t="s">
        <v>6760</v>
      </c>
      <c r="AK153" s="6" t="s">
        <v>8063</v>
      </c>
      <c r="AL153" s="6" t="s">
        <v>168</v>
      </c>
      <c r="AM153" s="6" t="s">
        <v>8064</v>
      </c>
      <c r="AN153" s="6" t="s">
        <v>8052</v>
      </c>
      <c r="AO153" s="5" t="s">
        <v>162</v>
      </c>
      <c r="AR153" s="0" t="str">
        <f aca="false">IF(AND(AU153="pass",AO153&lt;&gt;"Y",C153&lt;&gt;""),"Y","N")</f>
        <v>Y</v>
      </c>
      <c r="AS153" s="0" t="str">
        <f aca="false">_xlfn.TEXTJOIN("; ",TRUE(),IF(AU153&lt;&gt;"pass","gated out",""),IF(AO153="Y","on hold: "&amp;AP153,""),IF(C153="","no contact named on an opened page",""))</f>
        <v/>
      </c>
      <c r="AU153" s="6" t="s">
        <v>181</v>
      </c>
      <c r="AW153" s="6" t="s">
        <v>182</v>
      </c>
      <c r="AX153" s="6" t="s">
        <v>5272</v>
      </c>
      <c r="AY153" s="6" t="s">
        <v>8065</v>
      </c>
      <c r="AZ153" s="6" t="s">
        <v>6762</v>
      </c>
      <c r="BA153" s="6" t="s">
        <v>5331</v>
      </c>
      <c r="BB153" s="6" t="s">
        <v>163</v>
      </c>
      <c r="BD153" s="6" t="s">
        <v>163</v>
      </c>
      <c r="BE153" s="6" t="s">
        <v>8066</v>
      </c>
      <c r="BF153" s="6" t="s">
        <v>163</v>
      </c>
      <c r="BG153" s="6" t="s">
        <v>168</v>
      </c>
      <c r="BH153" s="6" t="s">
        <v>163</v>
      </c>
      <c r="BJ153" s="6" t="s">
        <v>163</v>
      </c>
      <c r="BK153" s="6" t="s">
        <v>162</v>
      </c>
      <c r="BL153" s="6" t="s">
        <v>162</v>
      </c>
      <c r="BO153" s="6" t="s">
        <v>162</v>
      </c>
      <c r="BP153" s="0" t="n">
        <v>0</v>
      </c>
      <c r="BS153" s="6" t="s">
        <v>8067</v>
      </c>
      <c r="BT153" s="6" t="s">
        <v>8068</v>
      </c>
      <c r="BU153" s="6" t="s">
        <v>4605</v>
      </c>
      <c r="BV153" s="0" t="n">
        <v>32</v>
      </c>
      <c r="BW153" s="6" t="s">
        <v>8060</v>
      </c>
      <c r="BX153" s="6" t="s">
        <v>8069</v>
      </c>
      <c r="CA153" s="6" t="s">
        <v>8070</v>
      </c>
      <c r="CB153" s="6" t="s">
        <v>8071</v>
      </c>
      <c r="CC153" s="6" t="s">
        <v>8072</v>
      </c>
      <c r="CD153" s="6" t="s">
        <v>6307</v>
      </c>
      <c r="CE153" s="6" t="s">
        <v>6262</v>
      </c>
      <c r="CF153" s="6" t="s">
        <v>171</v>
      </c>
      <c r="CK153" s="6" t="s">
        <v>158</v>
      </c>
      <c r="CL153" s="0" t="n">
        <v>39</v>
      </c>
      <c r="CM153" s="0" t="n">
        <v>6</v>
      </c>
      <c r="CN153" s="0" t="n">
        <v>3</v>
      </c>
      <c r="CO153" s="0" t="n">
        <v>15</v>
      </c>
      <c r="CP153" s="0" t="n">
        <v>5</v>
      </c>
      <c r="CQ153" s="0" t="n">
        <v>5</v>
      </c>
      <c r="CR153" s="0" t="n">
        <v>10</v>
      </c>
      <c r="CS153" s="6" t="n">
        <f aca="false">IF(R153="Y",10,0)</f>
        <v>0</v>
      </c>
      <c r="CT153" s="0" t="n">
        <v>-5</v>
      </c>
      <c r="CU153" s="6" t="s">
        <v>163</v>
      </c>
      <c r="CV153" s="6" t="s">
        <v>4843</v>
      </c>
      <c r="CW153" s="6" t="s">
        <v>8073</v>
      </c>
      <c r="CX153" s="6" t="s">
        <v>8074</v>
      </c>
      <c r="CY153" s="6" t="s">
        <v>8075</v>
      </c>
      <c r="CZ153" s="6" t="s">
        <v>8060</v>
      </c>
      <c r="DA153" s="6" t="s">
        <v>6236</v>
      </c>
      <c r="DC153" s="6" t="s">
        <v>1190</v>
      </c>
      <c r="DY153" s="0" t="str">
        <f aca="false">IF(ISNUMBER(MATCH(U153,{"queued","contacted","replied","call_booked","call_done","yes_in_principle","materials_sent"},0)),"Y","N")</f>
        <v>N</v>
      </c>
      <c r="DZ153" s="0" t="str">
        <f aca="false">IF(COUNTIFS($AN$2:$AN$1000,AN153,$DY$2:$DY$1000,"Y")+COUNTIFS($AN$2:$AN$1000,AN153,$T$2:$T$1000,"Y")&gt;0,"Y","N")</f>
        <v>N</v>
      </c>
      <c r="EA153" s="0" t="str">
        <f aca="false">IF(AND(U153="new",T153="N",AR153="Y",AQ153="",DZ153="N"),"Y","N")</f>
        <v>Y</v>
      </c>
      <c r="EB153" s="0" t="str">
        <f aca="false">IF(EA153&lt;&gt;"Y","N",IF(COUNTIFS($AN$2:$AN$1000,AN153,$EA$2:$EA$1000,"Y",$J$2:$J$1000,"&gt;"&amp;J153)+COUNTIFS($AN$2:$AN$1000,AN153,$EA$2:$EA$1000,"Y",$J$2:$J$1000,J153,$ED$2:$ED$1000,"&lt;"&amp;ED153)=0,"Y","N"))</f>
        <v>Y</v>
      </c>
      <c r="EC153" s="0" t="str">
        <f aca="false">IF(Y153="","N",IF(Y153&lt;=10,"Y","N"))</f>
        <v>N</v>
      </c>
      <c r="ED153" s="6" t="n">
        <f aca="false">ROW()-1</f>
        <v>152</v>
      </c>
    </row>
    <row r="154" customFormat="false" ht="15" hidden="false" customHeight="false" outlineLevel="0" collapsed="false">
      <c r="A154" s="0" t="s">
        <v>8076</v>
      </c>
      <c r="B154" s="0" t="s">
        <v>8077</v>
      </c>
      <c r="C154" s="0" t="s">
        <v>8078</v>
      </c>
      <c r="D154" s="0" t="s">
        <v>8079</v>
      </c>
      <c r="E154" s="0" t="s">
        <v>4773</v>
      </c>
      <c r="H154" s="5" t="s">
        <v>158</v>
      </c>
      <c r="I154" s="5" t="s">
        <v>159</v>
      </c>
      <c r="J154" s="6" t="n">
        <f aca="false">IF(AU154="pass",CM154+CN154+CO154+CP154+CQ154+CR154+CS154+CT154,0)</f>
        <v>39</v>
      </c>
      <c r="K154" s="6" t="s">
        <v>8080</v>
      </c>
      <c r="M154" s="6" t="s">
        <v>5293</v>
      </c>
      <c r="N154" s="6" t="s">
        <v>598</v>
      </c>
      <c r="O154" s="6" t="s">
        <v>8081</v>
      </c>
      <c r="P154" s="6" t="s">
        <v>8082</v>
      </c>
      <c r="Q154" s="6" t="s">
        <v>7155</v>
      </c>
      <c r="R154" s="5" t="s">
        <v>162</v>
      </c>
      <c r="S154" s="6" t="s">
        <v>163</v>
      </c>
      <c r="T154" s="5" t="s">
        <v>162</v>
      </c>
      <c r="U154" s="5" t="s">
        <v>228</v>
      </c>
      <c r="V154" s="6" t="s">
        <v>8083</v>
      </c>
      <c r="W154" s="6" t="s">
        <v>166</v>
      </c>
      <c r="X154" s="6" t="s">
        <v>4586</v>
      </c>
      <c r="Y154" s="6" t="n">
        <f aca="false">IF(EB154&lt;&gt;"Y","",COUNTIFS($EB$2:$EB$1000,"Y",$J$2:$J$1000,"&gt;"&amp;J154)+COUNTIFS($EB$2:$EB$1000,"Y",$J$2:$J$1000,J154,$ED$2:$ED$1000,"&lt;"&amp;ED154)+1)</f>
        <v>122</v>
      </c>
      <c r="Z154" s="0" t="n">
        <v>153</v>
      </c>
      <c r="AA154" s="6" t="s">
        <v>162</v>
      </c>
      <c r="AB154" s="6" t="s">
        <v>8084</v>
      </c>
      <c r="AC154" s="6" t="s">
        <v>4588</v>
      </c>
      <c r="AD154" s="6" t="s">
        <v>171</v>
      </c>
      <c r="AE154" s="6" t="s">
        <v>172</v>
      </c>
      <c r="AF154" s="6" t="s">
        <v>8085</v>
      </c>
      <c r="AG154" s="6" t="s">
        <v>166</v>
      </c>
      <c r="AH154" s="6" t="s">
        <v>8086</v>
      </c>
      <c r="AI154" s="6" t="s">
        <v>5765</v>
      </c>
      <c r="AJ154" s="6" t="s">
        <v>8087</v>
      </c>
      <c r="AK154" s="6" t="s">
        <v>8088</v>
      </c>
      <c r="AL154" s="6" t="s">
        <v>168</v>
      </c>
      <c r="AM154" s="6" t="s">
        <v>8089</v>
      </c>
      <c r="AN154" s="6" t="s">
        <v>8076</v>
      </c>
      <c r="AO154" s="5" t="s">
        <v>162</v>
      </c>
      <c r="AR154" s="0" t="str">
        <f aca="false">IF(AND(AU154="pass",AO154&lt;&gt;"Y",C154&lt;&gt;""),"Y","N")</f>
        <v>Y</v>
      </c>
      <c r="AS154" s="0" t="str">
        <f aca="false">_xlfn.TEXTJOIN("; ",TRUE(),IF(AU154&lt;&gt;"pass","gated out",""),IF(AO154="Y","on hold: "&amp;AP154,""),IF(C154="","no contact named on an opened page",""))</f>
        <v/>
      </c>
      <c r="AU154" s="6" t="s">
        <v>181</v>
      </c>
      <c r="AW154" s="6" t="s">
        <v>182</v>
      </c>
      <c r="AX154" s="6" t="s">
        <v>4595</v>
      </c>
      <c r="AY154" s="6" t="s">
        <v>8088</v>
      </c>
      <c r="AZ154" s="6" t="s">
        <v>4924</v>
      </c>
      <c r="BA154" s="6" t="s">
        <v>5193</v>
      </c>
      <c r="BB154" s="6" t="s">
        <v>163</v>
      </c>
      <c r="BD154" s="6" t="s">
        <v>168</v>
      </c>
      <c r="BE154" s="6" t="s">
        <v>8090</v>
      </c>
      <c r="BF154" s="6" t="s">
        <v>168</v>
      </c>
      <c r="BG154" s="6" t="s">
        <v>168</v>
      </c>
      <c r="BH154" s="6" t="s">
        <v>163</v>
      </c>
      <c r="BJ154" s="6" t="s">
        <v>5551</v>
      </c>
      <c r="BK154" s="6" t="s">
        <v>162</v>
      </c>
      <c r="BL154" s="6" t="s">
        <v>162</v>
      </c>
      <c r="BO154" s="6" t="s">
        <v>162</v>
      </c>
      <c r="BP154" s="0" t="n">
        <v>0</v>
      </c>
      <c r="BR154" s="6" t="s">
        <v>8091</v>
      </c>
      <c r="BS154" s="6" t="s">
        <v>8092</v>
      </c>
      <c r="BT154" s="6" t="s">
        <v>8082</v>
      </c>
      <c r="BU154" s="6" t="s">
        <v>4695</v>
      </c>
      <c r="BV154" s="0" t="n">
        <v>115</v>
      </c>
      <c r="BX154" s="6" t="s">
        <v>8093</v>
      </c>
      <c r="CF154" s="6" t="s">
        <v>158</v>
      </c>
      <c r="CK154" s="6" t="s">
        <v>158</v>
      </c>
      <c r="CL154" s="0" t="n">
        <v>39</v>
      </c>
      <c r="CM154" s="0" t="n">
        <v>6</v>
      </c>
      <c r="CN154" s="0" t="n">
        <v>8</v>
      </c>
      <c r="CO154" s="0" t="n">
        <v>8</v>
      </c>
      <c r="CP154" s="0" t="n">
        <v>5</v>
      </c>
      <c r="CQ154" s="0" t="n">
        <v>10</v>
      </c>
      <c r="CR154" s="0" t="n">
        <v>6</v>
      </c>
      <c r="CS154" s="6" t="n">
        <f aca="false">IF(R154="Y",10,0)</f>
        <v>0</v>
      </c>
      <c r="CT154" s="0" t="n">
        <v>-4</v>
      </c>
      <c r="CU154" s="6" t="s">
        <v>163</v>
      </c>
      <c r="CV154" s="6" t="s">
        <v>5564</v>
      </c>
      <c r="CW154" s="6" t="s">
        <v>8094</v>
      </c>
      <c r="CX154" s="6" t="s">
        <v>8095</v>
      </c>
      <c r="CY154" s="6" t="s">
        <v>8096</v>
      </c>
      <c r="DA154" s="6" t="s">
        <v>6236</v>
      </c>
      <c r="DY154" s="0" t="str">
        <f aca="false">IF(ISNUMBER(MATCH(U154,{"queued","contacted","replied","call_booked","call_done","yes_in_principle","materials_sent"},0)),"Y","N")</f>
        <v>N</v>
      </c>
      <c r="DZ154" s="0" t="str">
        <f aca="false">IF(COUNTIFS($AN$2:$AN$1000,AN154,$DY$2:$DY$1000,"Y")+COUNTIFS($AN$2:$AN$1000,AN154,$T$2:$T$1000,"Y")&gt;0,"Y","N")</f>
        <v>N</v>
      </c>
      <c r="EA154" s="0" t="str">
        <f aca="false">IF(AND(U154="new",T154="N",AR154="Y",AQ154="",DZ154="N"),"Y","N")</f>
        <v>Y</v>
      </c>
      <c r="EB154" s="0" t="str">
        <f aca="false">IF(EA154&lt;&gt;"Y","N",IF(COUNTIFS($AN$2:$AN$1000,AN154,$EA$2:$EA$1000,"Y",$J$2:$J$1000,"&gt;"&amp;J154)+COUNTIFS($AN$2:$AN$1000,AN154,$EA$2:$EA$1000,"Y",$J$2:$J$1000,J154,$ED$2:$ED$1000,"&lt;"&amp;ED154)=0,"Y","N"))</f>
        <v>Y</v>
      </c>
      <c r="EC154" s="0" t="str">
        <f aca="false">IF(Y154="","N",IF(Y154&lt;=10,"Y","N"))</f>
        <v>N</v>
      </c>
      <c r="ED154" s="6" t="n">
        <f aca="false">ROW()-1</f>
        <v>153</v>
      </c>
    </row>
    <row r="155" customFormat="false" ht="15" hidden="false" customHeight="false" outlineLevel="0" collapsed="false">
      <c r="A155" s="0" t="s">
        <v>8097</v>
      </c>
      <c r="B155" s="0" t="s">
        <v>8098</v>
      </c>
      <c r="C155" s="0" t="s">
        <v>8099</v>
      </c>
      <c r="D155" s="0" t="s">
        <v>163</v>
      </c>
      <c r="E155" s="0" t="s">
        <v>4773</v>
      </c>
      <c r="H155" s="5" t="s">
        <v>158</v>
      </c>
      <c r="I155" s="5" t="s">
        <v>159</v>
      </c>
      <c r="J155" s="6" t="n">
        <f aca="false">IF(AU155="pass",CM155+CN155+CO155+CP155+CQ155+CR155+CS155+CT155,0)</f>
        <v>39</v>
      </c>
      <c r="K155" s="6" t="s">
        <v>8100</v>
      </c>
      <c r="M155" s="6" t="s">
        <v>5293</v>
      </c>
      <c r="N155" s="6" t="s">
        <v>598</v>
      </c>
      <c r="O155" s="6" t="s">
        <v>8101</v>
      </c>
      <c r="P155" s="6" t="s">
        <v>8102</v>
      </c>
      <c r="Q155" s="6" t="s">
        <v>358</v>
      </c>
      <c r="R155" s="5" t="s">
        <v>162</v>
      </c>
      <c r="S155" s="6" t="s">
        <v>163</v>
      </c>
      <c r="T155" s="5" t="s">
        <v>162</v>
      </c>
      <c r="U155" s="5" t="s">
        <v>228</v>
      </c>
      <c r="V155" s="6" t="s">
        <v>8103</v>
      </c>
      <c r="W155" s="6" t="s">
        <v>174</v>
      </c>
      <c r="X155" s="6" t="s">
        <v>4586</v>
      </c>
      <c r="Y155" s="6" t="n">
        <f aca="false">IF(EB155&lt;&gt;"Y","",COUNTIFS($EB$2:$EB$1000,"Y",$J$2:$J$1000,"&gt;"&amp;J155)+COUNTIFS($EB$2:$EB$1000,"Y",$J$2:$J$1000,J155,$ED$2:$ED$1000,"&lt;"&amp;ED155)+1)</f>
        <v>123</v>
      </c>
      <c r="Z155" s="0" t="n">
        <v>154</v>
      </c>
      <c r="AA155" s="6" t="s">
        <v>162</v>
      </c>
      <c r="AB155" s="6" t="s">
        <v>8104</v>
      </c>
      <c r="AC155" s="6" t="s">
        <v>4588</v>
      </c>
      <c r="AD155" s="6" t="s">
        <v>5010</v>
      </c>
      <c r="AE155" s="6" t="s">
        <v>172</v>
      </c>
      <c r="AF155" s="6" t="s">
        <v>8105</v>
      </c>
      <c r="AG155" s="6" t="s">
        <v>174</v>
      </c>
      <c r="AH155" s="6" t="s">
        <v>8106</v>
      </c>
      <c r="AI155" s="6" t="s">
        <v>4724</v>
      </c>
      <c r="AJ155" s="6" t="s">
        <v>8107</v>
      </c>
      <c r="AK155" s="6" t="s">
        <v>8105</v>
      </c>
      <c r="AL155" s="6" t="s">
        <v>168</v>
      </c>
      <c r="AM155" s="6" t="s">
        <v>8108</v>
      </c>
      <c r="AN155" s="6" t="s">
        <v>8097</v>
      </c>
      <c r="AO155" s="5" t="s">
        <v>162</v>
      </c>
      <c r="AR155" s="0" t="str">
        <f aca="false">IF(AND(AU155="pass",AO155&lt;&gt;"Y",C155&lt;&gt;""),"Y","N")</f>
        <v>Y</v>
      </c>
      <c r="AS155" s="0" t="str">
        <f aca="false">_xlfn.TEXTJOIN("; ",TRUE(),IF(AU155&lt;&gt;"pass","gated out",""),IF(AO155="Y","on hold: "&amp;AP155,""),IF(C155="","no contact named on an opened page",""))</f>
        <v/>
      </c>
      <c r="AU155" s="6" t="s">
        <v>181</v>
      </c>
      <c r="AW155" s="6" t="s">
        <v>182</v>
      </c>
      <c r="AX155" s="6" t="s">
        <v>7597</v>
      </c>
      <c r="AY155" s="6" t="s">
        <v>8105</v>
      </c>
      <c r="AZ155" s="6" t="s">
        <v>4596</v>
      </c>
      <c r="BA155" s="6" t="s">
        <v>4597</v>
      </c>
      <c r="BB155" s="6" t="s">
        <v>163</v>
      </c>
      <c r="BD155" s="6" t="s">
        <v>163</v>
      </c>
      <c r="BE155" s="6" t="s">
        <v>8109</v>
      </c>
      <c r="BF155" s="6" t="s">
        <v>163</v>
      </c>
      <c r="BG155" s="6" t="s">
        <v>168</v>
      </c>
      <c r="BH155" s="6" t="s">
        <v>163</v>
      </c>
      <c r="BJ155" s="6" t="s">
        <v>5145</v>
      </c>
      <c r="BK155" s="6" t="s">
        <v>162</v>
      </c>
      <c r="BL155" s="6" t="s">
        <v>162</v>
      </c>
      <c r="BO155" s="6" t="s">
        <v>162</v>
      </c>
      <c r="BP155" s="0" t="n">
        <v>0</v>
      </c>
      <c r="BR155" s="6" t="s">
        <v>8110</v>
      </c>
      <c r="BS155" s="6" t="s">
        <v>8111</v>
      </c>
      <c r="BU155" s="6" t="s">
        <v>4695</v>
      </c>
      <c r="BV155" s="0" t="n">
        <v>53</v>
      </c>
      <c r="BX155" s="6" t="s">
        <v>8099</v>
      </c>
      <c r="BY155" s="6" t="s">
        <v>6652</v>
      </c>
      <c r="CF155" s="6" t="s">
        <v>158</v>
      </c>
      <c r="CK155" s="6" t="s">
        <v>158</v>
      </c>
      <c r="CL155" s="0" t="n">
        <v>39</v>
      </c>
      <c r="CM155" s="0" t="n">
        <v>6</v>
      </c>
      <c r="CN155" s="0" t="n">
        <v>20</v>
      </c>
      <c r="CO155" s="0" t="n">
        <v>8</v>
      </c>
      <c r="CP155" s="0" t="n">
        <v>5</v>
      </c>
      <c r="CQ155" s="0" t="n">
        <v>5</v>
      </c>
      <c r="CR155" s="0" t="n">
        <v>3</v>
      </c>
      <c r="CS155" s="6" t="n">
        <f aca="false">IF(R155="Y",10,0)</f>
        <v>0</v>
      </c>
      <c r="CT155" s="0" t="n">
        <v>-8</v>
      </c>
      <c r="CU155" s="6" t="s">
        <v>8112</v>
      </c>
      <c r="CV155" s="6" t="s">
        <v>5152</v>
      </c>
      <c r="CW155" s="6" t="s">
        <v>8113</v>
      </c>
      <c r="CX155" s="6" t="s">
        <v>8114</v>
      </c>
      <c r="DA155" s="6" t="s">
        <v>6236</v>
      </c>
      <c r="DY155" s="0" t="str">
        <f aca="false">IF(ISNUMBER(MATCH(U155,{"queued","contacted","replied","call_booked","call_done","yes_in_principle","materials_sent"},0)),"Y","N")</f>
        <v>N</v>
      </c>
      <c r="DZ155" s="0" t="str">
        <f aca="false">IF(COUNTIFS($AN$2:$AN$1000,AN155,$DY$2:$DY$1000,"Y")+COUNTIFS($AN$2:$AN$1000,AN155,$T$2:$T$1000,"Y")&gt;0,"Y","N")</f>
        <v>N</v>
      </c>
      <c r="EA155" s="0" t="str">
        <f aca="false">IF(AND(U155="new",T155="N",AR155="Y",AQ155="",DZ155="N"),"Y","N")</f>
        <v>Y</v>
      </c>
      <c r="EB155" s="0" t="str">
        <f aca="false">IF(EA155&lt;&gt;"Y","N",IF(COUNTIFS($AN$2:$AN$1000,AN155,$EA$2:$EA$1000,"Y",$J$2:$J$1000,"&gt;"&amp;J155)+COUNTIFS($AN$2:$AN$1000,AN155,$EA$2:$EA$1000,"Y",$J$2:$J$1000,J155,$ED$2:$ED$1000,"&lt;"&amp;ED155)=0,"Y","N"))</f>
        <v>Y</v>
      </c>
      <c r="EC155" s="0" t="str">
        <f aca="false">IF(Y155="","N",IF(Y155&lt;=10,"Y","N"))</f>
        <v>N</v>
      </c>
      <c r="ED155" s="6" t="n">
        <f aca="false">ROW()-1</f>
        <v>154</v>
      </c>
    </row>
    <row r="156" customFormat="false" ht="15" hidden="false" customHeight="false" outlineLevel="0" collapsed="false">
      <c r="A156" s="0" t="s">
        <v>8115</v>
      </c>
      <c r="B156" s="0" t="s">
        <v>8116</v>
      </c>
      <c r="C156" s="0" t="s">
        <v>8117</v>
      </c>
      <c r="D156" s="0" t="s">
        <v>8118</v>
      </c>
      <c r="E156" s="0" t="s">
        <v>8119</v>
      </c>
      <c r="H156" s="5" t="s">
        <v>158</v>
      </c>
      <c r="I156" s="5" t="s">
        <v>159</v>
      </c>
      <c r="J156" s="6" t="n">
        <f aca="false">IF(AU156="pass",CM156+CN156+CO156+CP156+CQ156+CR156+CS156+CT156,0)</f>
        <v>39</v>
      </c>
      <c r="K156" s="6" t="s">
        <v>8120</v>
      </c>
      <c r="M156" s="6" t="s">
        <v>5293</v>
      </c>
      <c r="N156" s="6" t="s">
        <v>598</v>
      </c>
      <c r="O156" s="6" t="s">
        <v>8121</v>
      </c>
      <c r="P156" s="6" t="s">
        <v>8122</v>
      </c>
      <c r="Q156" s="6" t="s">
        <v>4686</v>
      </c>
      <c r="R156" s="5" t="s">
        <v>162</v>
      </c>
      <c r="S156" s="6" t="s">
        <v>163</v>
      </c>
      <c r="T156" s="5" t="s">
        <v>162</v>
      </c>
      <c r="U156" s="5" t="s">
        <v>228</v>
      </c>
      <c r="V156" s="6" t="s">
        <v>8123</v>
      </c>
      <c r="W156" s="6" t="s">
        <v>166</v>
      </c>
      <c r="X156" s="6" t="s">
        <v>4586</v>
      </c>
      <c r="Y156" s="6" t="n">
        <f aca="false">IF(EB156&lt;&gt;"Y","",COUNTIFS($EB$2:$EB$1000,"Y",$J$2:$J$1000,"&gt;"&amp;J156)+COUNTIFS($EB$2:$EB$1000,"Y",$J$2:$J$1000,J156,$ED$2:$ED$1000,"&lt;"&amp;ED156)+1)</f>
        <v>124</v>
      </c>
      <c r="Z156" s="0" t="n">
        <v>155</v>
      </c>
      <c r="AA156" s="6" t="s">
        <v>162</v>
      </c>
      <c r="AB156" s="6" t="s">
        <v>8124</v>
      </c>
      <c r="AC156" s="6" t="s">
        <v>4588</v>
      </c>
      <c r="AD156" s="6" t="s">
        <v>171</v>
      </c>
      <c r="AE156" s="6" t="s">
        <v>1190</v>
      </c>
      <c r="AF156" s="6" t="s">
        <v>8125</v>
      </c>
      <c r="AG156" s="6" t="s">
        <v>166</v>
      </c>
      <c r="AH156" s="6" t="s">
        <v>8126</v>
      </c>
      <c r="AI156" s="6" t="s">
        <v>5738</v>
      </c>
      <c r="AJ156" s="6" t="s">
        <v>163</v>
      </c>
      <c r="AK156" s="6" t="s">
        <v>8127</v>
      </c>
      <c r="AL156" s="6" t="s">
        <v>168</v>
      </c>
      <c r="AM156" s="6" t="s">
        <v>8128</v>
      </c>
      <c r="AN156" s="6" t="s">
        <v>8115</v>
      </c>
      <c r="AO156" s="5" t="s">
        <v>162</v>
      </c>
      <c r="AR156" s="0" t="str">
        <f aca="false">IF(AND(AU156="pass",AO156&lt;&gt;"Y",C156&lt;&gt;""),"Y","N")</f>
        <v>Y</v>
      </c>
      <c r="AS156" s="0" t="str">
        <f aca="false">_xlfn.TEXTJOIN("; ",TRUE(),IF(AU156&lt;&gt;"pass","gated out",""),IF(AO156="Y","on hold: "&amp;AP156,""),IF(C156="","no contact named on an opened page",""))</f>
        <v/>
      </c>
      <c r="AU156" s="6" t="s">
        <v>181</v>
      </c>
      <c r="AW156" s="6" t="s">
        <v>182</v>
      </c>
      <c r="AX156" s="6" t="s">
        <v>4595</v>
      </c>
      <c r="AY156" s="6" t="s">
        <v>8127</v>
      </c>
      <c r="AZ156" s="6" t="s">
        <v>163</v>
      </c>
      <c r="BA156" s="6" t="s">
        <v>163</v>
      </c>
      <c r="BB156" s="6" t="s">
        <v>163</v>
      </c>
      <c r="BD156" s="6" t="s">
        <v>168</v>
      </c>
      <c r="BE156" s="6" t="s">
        <v>8129</v>
      </c>
      <c r="BF156" s="6" t="s">
        <v>168</v>
      </c>
      <c r="BG156" s="6" t="s">
        <v>168</v>
      </c>
      <c r="BH156" s="6" t="s">
        <v>163</v>
      </c>
      <c r="BJ156" s="6" t="s">
        <v>5551</v>
      </c>
      <c r="BK156" s="6" t="s">
        <v>162</v>
      </c>
      <c r="BL156" s="6" t="s">
        <v>162</v>
      </c>
      <c r="BO156" s="6" t="s">
        <v>162</v>
      </c>
      <c r="BP156" s="0" t="n">
        <v>0</v>
      </c>
      <c r="BS156" s="6" t="s">
        <v>8130</v>
      </c>
      <c r="BT156" s="6" t="s">
        <v>8131</v>
      </c>
      <c r="BU156" s="6" t="s">
        <v>4695</v>
      </c>
      <c r="BV156" s="0" t="n">
        <v>22</v>
      </c>
      <c r="BX156" s="6" t="s">
        <v>8132</v>
      </c>
      <c r="CA156" s="6" t="s">
        <v>8133</v>
      </c>
      <c r="CB156" s="6" t="s">
        <v>8134</v>
      </c>
      <c r="CC156" s="6" t="s">
        <v>363</v>
      </c>
      <c r="CD156" s="6" t="s">
        <v>8135</v>
      </c>
      <c r="CE156" s="6" t="s">
        <v>6262</v>
      </c>
      <c r="CF156" s="6" t="s">
        <v>171</v>
      </c>
      <c r="CK156" s="6" t="s">
        <v>158</v>
      </c>
      <c r="CL156" s="0" t="n">
        <v>39</v>
      </c>
      <c r="CM156" s="0" t="n">
        <v>6</v>
      </c>
      <c r="CN156" s="0" t="n">
        <v>4</v>
      </c>
      <c r="CO156" s="0" t="n">
        <v>8</v>
      </c>
      <c r="CP156" s="0" t="n">
        <v>5</v>
      </c>
      <c r="CQ156" s="0" t="n">
        <v>10</v>
      </c>
      <c r="CR156" s="0" t="n">
        <v>10</v>
      </c>
      <c r="CS156" s="6" t="n">
        <f aca="false">IF(R156="Y",10,0)</f>
        <v>0</v>
      </c>
      <c r="CT156" s="0" t="n">
        <v>-4</v>
      </c>
      <c r="CU156" s="6" t="s">
        <v>8136</v>
      </c>
      <c r="CV156" s="6" t="s">
        <v>5564</v>
      </c>
      <c r="CW156" s="6" t="s">
        <v>8137</v>
      </c>
      <c r="CX156" s="6" t="s">
        <v>8138</v>
      </c>
      <c r="CY156" s="6" t="s">
        <v>8139</v>
      </c>
      <c r="CZ156" s="6" t="s">
        <v>8140</v>
      </c>
      <c r="DA156" s="6" t="s">
        <v>6236</v>
      </c>
      <c r="DC156" s="6" t="s">
        <v>1190</v>
      </c>
      <c r="DY156" s="0" t="str">
        <f aca="false">IF(ISNUMBER(MATCH(U156,{"queued","contacted","replied","call_booked","call_done","yes_in_principle","materials_sent"},0)),"Y","N")</f>
        <v>N</v>
      </c>
      <c r="DZ156" s="0" t="str">
        <f aca="false">IF(COUNTIFS($AN$2:$AN$1000,AN156,$DY$2:$DY$1000,"Y")+COUNTIFS($AN$2:$AN$1000,AN156,$T$2:$T$1000,"Y")&gt;0,"Y","N")</f>
        <v>N</v>
      </c>
      <c r="EA156" s="0" t="str">
        <f aca="false">IF(AND(U156="new",T156="N",AR156="Y",AQ156="",DZ156="N"),"Y","N")</f>
        <v>Y</v>
      </c>
      <c r="EB156" s="0" t="str">
        <f aca="false">IF(EA156&lt;&gt;"Y","N",IF(COUNTIFS($AN$2:$AN$1000,AN156,$EA$2:$EA$1000,"Y",$J$2:$J$1000,"&gt;"&amp;J156)+COUNTIFS($AN$2:$AN$1000,AN156,$EA$2:$EA$1000,"Y",$J$2:$J$1000,J156,$ED$2:$ED$1000,"&lt;"&amp;ED156)=0,"Y","N"))</f>
        <v>Y</v>
      </c>
      <c r="EC156" s="0" t="str">
        <f aca="false">IF(Y156="","N",IF(Y156&lt;=10,"Y","N"))</f>
        <v>N</v>
      </c>
      <c r="ED156" s="6" t="n">
        <f aca="false">ROW()-1</f>
        <v>155</v>
      </c>
    </row>
    <row r="157" customFormat="false" ht="15" hidden="false" customHeight="false" outlineLevel="0" collapsed="false">
      <c r="A157" s="0" t="s">
        <v>8141</v>
      </c>
      <c r="B157" s="0" t="s">
        <v>8142</v>
      </c>
      <c r="C157" s="0" t="s">
        <v>8143</v>
      </c>
      <c r="D157" s="0" t="s">
        <v>163</v>
      </c>
      <c r="E157" s="0" t="s">
        <v>4626</v>
      </c>
      <c r="H157" s="5" t="s">
        <v>158</v>
      </c>
      <c r="I157" s="5" t="s">
        <v>159</v>
      </c>
      <c r="J157" s="6" t="n">
        <f aca="false">IF(AU157="pass",CM157+CN157+CO157+CP157+CQ157+CR157+CS157+CT157,0)</f>
        <v>39</v>
      </c>
      <c r="K157" s="6" t="s">
        <v>8144</v>
      </c>
      <c r="M157" s="6" t="s">
        <v>5293</v>
      </c>
      <c r="N157" s="6" t="s">
        <v>598</v>
      </c>
      <c r="O157" s="6" t="s">
        <v>8145</v>
      </c>
      <c r="P157" s="6" t="s">
        <v>8146</v>
      </c>
      <c r="Q157" s="6" t="s">
        <v>8147</v>
      </c>
      <c r="R157" s="5" t="s">
        <v>162</v>
      </c>
      <c r="S157" s="6" t="s">
        <v>163</v>
      </c>
      <c r="T157" s="5" t="s">
        <v>162</v>
      </c>
      <c r="U157" s="5" t="s">
        <v>228</v>
      </c>
      <c r="V157" s="6" t="s">
        <v>8148</v>
      </c>
      <c r="W157" s="6" t="s">
        <v>174</v>
      </c>
      <c r="X157" s="6" t="s">
        <v>4586</v>
      </c>
      <c r="Y157" s="6" t="n">
        <f aca="false">IF(EB157&lt;&gt;"Y","",COUNTIFS($EB$2:$EB$1000,"Y",$J$2:$J$1000,"&gt;"&amp;J157)+COUNTIFS($EB$2:$EB$1000,"Y",$J$2:$J$1000,J157,$ED$2:$ED$1000,"&lt;"&amp;ED157)+1)</f>
        <v>125</v>
      </c>
      <c r="Z157" s="0" t="n">
        <v>156</v>
      </c>
      <c r="AA157" s="6" t="s">
        <v>162</v>
      </c>
      <c r="AB157" s="6" t="s">
        <v>8149</v>
      </c>
      <c r="AC157" s="6" t="s">
        <v>4588</v>
      </c>
      <c r="AD157" s="6" t="s">
        <v>5010</v>
      </c>
      <c r="AE157" s="6" t="s">
        <v>1190</v>
      </c>
      <c r="AF157" s="6" t="s">
        <v>8148</v>
      </c>
      <c r="AG157" s="6" t="s">
        <v>174</v>
      </c>
      <c r="AH157" s="6" t="s">
        <v>8150</v>
      </c>
      <c r="AI157" s="6" t="s">
        <v>4828</v>
      </c>
      <c r="AJ157" s="6" t="s">
        <v>8151</v>
      </c>
      <c r="AK157" s="6" t="s">
        <v>8152</v>
      </c>
      <c r="AL157" s="6" t="s">
        <v>168</v>
      </c>
      <c r="AM157" s="6" t="s">
        <v>8153</v>
      </c>
      <c r="AN157" s="6" t="s">
        <v>8141</v>
      </c>
      <c r="AO157" s="5" t="s">
        <v>162</v>
      </c>
      <c r="AR157" s="0" t="str">
        <f aca="false">IF(AND(AU157="pass",AO157&lt;&gt;"Y",C157&lt;&gt;""),"Y","N")</f>
        <v>Y</v>
      </c>
      <c r="AS157" s="0" t="str">
        <f aca="false">_xlfn.TEXTJOIN("; ",TRUE(),IF(AU157&lt;&gt;"pass","gated out",""),IF(AO157="Y","on hold: "&amp;AP157,""),IF(C157="","no contact named on an opened page",""))</f>
        <v/>
      </c>
      <c r="AU157" s="6" t="s">
        <v>181</v>
      </c>
      <c r="AW157" s="6" t="s">
        <v>182</v>
      </c>
      <c r="AX157" s="6" t="s">
        <v>4830</v>
      </c>
      <c r="AY157" s="6" t="s">
        <v>8152</v>
      </c>
      <c r="AZ157" s="6" t="s">
        <v>4596</v>
      </c>
      <c r="BA157" s="6" t="s">
        <v>4953</v>
      </c>
      <c r="BB157" s="6" t="s">
        <v>163</v>
      </c>
      <c r="BD157" s="6" t="s">
        <v>168</v>
      </c>
      <c r="BE157" s="6" t="s">
        <v>8154</v>
      </c>
      <c r="BF157" s="6" t="s">
        <v>163</v>
      </c>
      <c r="BG157" s="6" t="s">
        <v>168</v>
      </c>
      <c r="BH157" s="6" t="s">
        <v>163</v>
      </c>
      <c r="BJ157" s="6" t="s">
        <v>5145</v>
      </c>
      <c r="BK157" s="6" t="s">
        <v>162</v>
      </c>
      <c r="BL157" s="6" t="s">
        <v>162</v>
      </c>
      <c r="BO157" s="6" t="s">
        <v>162</v>
      </c>
      <c r="BP157" s="0" t="n">
        <v>0</v>
      </c>
      <c r="BS157" s="6" t="s">
        <v>8155</v>
      </c>
      <c r="BU157" s="6" t="s">
        <v>4695</v>
      </c>
      <c r="BV157" s="0" t="n">
        <v>63</v>
      </c>
      <c r="BX157" s="6" t="s">
        <v>8143</v>
      </c>
      <c r="BY157" s="6" t="s">
        <v>7145</v>
      </c>
      <c r="CA157" s="6" t="s">
        <v>8156</v>
      </c>
      <c r="CB157" s="6" t="s">
        <v>8156</v>
      </c>
      <c r="CC157" s="6" t="s">
        <v>163</v>
      </c>
      <c r="CD157" s="6" t="s">
        <v>4626</v>
      </c>
      <c r="CE157" s="6" t="s">
        <v>6725</v>
      </c>
      <c r="CF157" s="6" t="s">
        <v>5010</v>
      </c>
      <c r="CG157" s="6" t="s">
        <v>7145</v>
      </c>
      <c r="CK157" s="6" t="s">
        <v>158</v>
      </c>
      <c r="CL157" s="0" t="n">
        <v>39</v>
      </c>
      <c r="CM157" s="0" t="n">
        <v>6</v>
      </c>
      <c r="CN157" s="0" t="n">
        <v>13</v>
      </c>
      <c r="CO157" s="0" t="n">
        <v>8</v>
      </c>
      <c r="CP157" s="0" t="n">
        <v>5</v>
      </c>
      <c r="CQ157" s="0" t="n">
        <v>8</v>
      </c>
      <c r="CR157" s="0" t="n">
        <v>3</v>
      </c>
      <c r="CS157" s="6" t="n">
        <f aca="false">IF(R157="Y",10,0)</f>
        <v>0</v>
      </c>
      <c r="CT157" s="0" t="n">
        <v>-4</v>
      </c>
      <c r="CU157" s="6" t="s">
        <v>8157</v>
      </c>
      <c r="CV157" s="6" t="s">
        <v>5152</v>
      </c>
      <c r="CW157" s="6" t="s">
        <v>8158</v>
      </c>
      <c r="CX157" s="6" t="s">
        <v>8159</v>
      </c>
      <c r="CZ157" s="6" t="s">
        <v>8148</v>
      </c>
      <c r="DA157" s="6" t="s">
        <v>6236</v>
      </c>
      <c r="DC157" s="6" t="s">
        <v>1190</v>
      </c>
      <c r="DY157" s="0" t="str">
        <f aca="false">IF(ISNUMBER(MATCH(U157,{"queued","contacted","replied","call_booked","call_done","yes_in_principle","materials_sent"},0)),"Y","N")</f>
        <v>N</v>
      </c>
      <c r="DZ157" s="0" t="str">
        <f aca="false">IF(COUNTIFS($AN$2:$AN$1000,AN157,$DY$2:$DY$1000,"Y")+COUNTIFS($AN$2:$AN$1000,AN157,$T$2:$T$1000,"Y")&gt;0,"Y","N")</f>
        <v>N</v>
      </c>
      <c r="EA157" s="0" t="str">
        <f aca="false">IF(AND(U157="new",T157="N",AR157="Y",AQ157="",DZ157="N"),"Y","N")</f>
        <v>Y</v>
      </c>
      <c r="EB157" s="0" t="str">
        <f aca="false">IF(EA157&lt;&gt;"Y","N",IF(COUNTIFS($AN$2:$AN$1000,AN157,$EA$2:$EA$1000,"Y",$J$2:$J$1000,"&gt;"&amp;J157)+COUNTIFS($AN$2:$AN$1000,AN157,$EA$2:$EA$1000,"Y",$J$2:$J$1000,J157,$ED$2:$ED$1000,"&lt;"&amp;ED157)=0,"Y","N"))</f>
        <v>Y</v>
      </c>
      <c r="EC157" s="0" t="str">
        <f aca="false">IF(Y157="","N",IF(Y157&lt;=10,"Y","N"))</f>
        <v>N</v>
      </c>
      <c r="ED157" s="6" t="n">
        <f aca="false">ROW()-1</f>
        <v>156</v>
      </c>
    </row>
    <row r="158" customFormat="false" ht="15" hidden="false" customHeight="false" outlineLevel="0" collapsed="false">
      <c r="A158" s="0" t="s">
        <v>8160</v>
      </c>
      <c r="B158" s="0" t="s">
        <v>8161</v>
      </c>
      <c r="C158" s="0" t="s">
        <v>8162</v>
      </c>
      <c r="D158" s="0" t="s">
        <v>8163</v>
      </c>
      <c r="E158" s="0" t="s">
        <v>4773</v>
      </c>
      <c r="H158" s="5" t="s">
        <v>158</v>
      </c>
      <c r="I158" s="5" t="s">
        <v>159</v>
      </c>
      <c r="J158" s="6" t="n">
        <f aca="false">IF(AU158="pass",CM158+CN158+CO158+CP158+CQ158+CR158+CS158+CT158,0)</f>
        <v>39</v>
      </c>
      <c r="K158" s="6" t="s">
        <v>8164</v>
      </c>
      <c r="M158" s="6" t="s">
        <v>5293</v>
      </c>
      <c r="N158" s="6" t="s">
        <v>598</v>
      </c>
      <c r="O158" s="6" t="s">
        <v>8165</v>
      </c>
      <c r="P158" s="6" t="s">
        <v>8166</v>
      </c>
      <c r="Q158" s="6" t="s">
        <v>8167</v>
      </c>
      <c r="R158" s="5" t="s">
        <v>162</v>
      </c>
      <c r="S158" s="6" t="s">
        <v>168</v>
      </c>
      <c r="T158" s="5" t="s">
        <v>162</v>
      </c>
      <c r="U158" s="5" t="s">
        <v>228</v>
      </c>
      <c r="V158" s="6" t="s">
        <v>8166</v>
      </c>
      <c r="W158" s="6" t="s">
        <v>166</v>
      </c>
      <c r="X158" s="6" t="s">
        <v>4586</v>
      </c>
      <c r="Y158" s="6" t="n">
        <f aca="false">IF(EB158&lt;&gt;"Y","",COUNTIFS($EB$2:$EB$1000,"Y",$J$2:$J$1000,"&gt;"&amp;J158)+COUNTIFS($EB$2:$EB$1000,"Y",$J$2:$J$1000,J158,$ED$2:$ED$1000,"&lt;"&amp;ED158)+1)</f>
        <v>126</v>
      </c>
      <c r="Z158" s="0" t="n">
        <v>157</v>
      </c>
      <c r="AA158" s="6" t="s">
        <v>162</v>
      </c>
      <c r="AB158" s="6" t="s">
        <v>8168</v>
      </c>
      <c r="AC158" s="6" t="s">
        <v>4588</v>
      </c>
      <c r="AD158" s="6" t="s">
        <v>171</v>
      </c>
      <c r="AE158" s="6" t="s">
        <v>1190</v>
      </c>
      <c r="AF158" s="6" t="s">
        <v>8166</v>
      </c>
      <c r="AG158" s="6" t="s">
        <v>166</v>
      </c>
      <c r="AH158" s="6" t="s">
        <v>8169</v>
      </c>
      <c r="AI158" s="6" t="s">
        <v>5926</v>
      </c>
      <c r="AJ158" s="6" t="s">
        <v>8170</v>
      </c>
      <c r="AK158" s="6" t="s">
        <v>8171</v>
      </c>
      <c r="AL158" s="6" t="s">
        <v>168</v>
      </c>
      <c r="AM158" s="6" t="s">
        <v>8172</v>
      </c>
      <c r="AN158" s="6" t="s">
        <v>8160</v>
      </c>
      <c r="AO158" s="5" t="s">
        <v>162</v>
      </c>
      <c r="AR158" s="0" t="str">
        <f aca="false">IF(AND(AU158="pass",AO158&lt;&gt;"Y",C158&lt;&gt;""),"Y","N")</f>
        <v>Y</v>
      </c>
      <c r="AS158" s="0" t="str">
        <f aca="false">_xlfn.TEXTJOIN("; ",TRUE(),IF(AU158&lt;&gt;"pass","gated out",""),IF(AO158="Y","on hold: "&amp;AP158,""),IF(C158="","no contact named on an opened page",""))</f>
        <v/>
      </c>
      <c r="AU158" s="6" t="s">
        <v>181</v>
      </c>
      <c r="AW158" s="6" t="s">
        <v>182</v>
      </c>
      <c r="AX158" s="6" t="s">
        <v>4595</v>
      </c>
      <c r="AY158" s="6" t="s">
        <v>8171</v>
      </c>
      <c r="AZ158" s="6" t="s">
        <v>4924</v>
      </c>
      <c r="BA158" s="6" t="s">
        <v>5193</v>
      </c>
      <c r="BB158" s="6" t="s">
        <v>163</v>
      </c>
      <c r="BD158" s="6" t="s">
        <v>168</v>
      </c>
      <c r="BE158" s="6" t="s">
        <v>8173</v>
      </c>
      <c r="BF158" s="6" t="s">
        <v>168</v>
      </c>
      <c r="BG158" s="6" t="s">
        <v>168</v>
      </c>
      <c r="BH158" s="6" t="s">
        <v>163</v>
      </c>
      <c r="BJ158" s="6" t="s">
        <v>8174</v>
      </c>
      <c r="BK158" s="6" t="s">
        <v>162</v>
      </c>
      <c r="BL158" s="6" t="s">
        <v>162</v>
      </c>
      <c r="BO158" s="6" t="s">
        <v>162</v>
      </c>
      <c r="BP158" s="0" t="n">
        <v>0</v>
      </c>
      <c r="BS158" s="6" t="s">
        <v>8175</v>
      </c>
      <c r="BU158" s="6" t="s">
        <v>4605</v>
      </c>
      <c r="BV158" s="0" t="n">
        <v>219</v>
      </c>
      <c r="BW158" s="6" t="s">
        <v>8166</v>
      </c>
      <c r="BX158" s="6" t="s">
        <v>8176</v>
      </c>
      <c r="CF158" s="6" t="s">
        <v>158</v>
      </c>
      <c r="CK158" s="6" t="s">
        <v>158</v>
      </c>
      <c r="CL158" s="0" t="n">
        <v>39</v>
      </c>
      <c r="CM158" s="0" t="n">
        <v>6</v>
      </c>
      <c r="CN158" s="0" t="n">
        <v>8</v>
      </c>
      <c r="CO158" s="0" t="n">
        <v>8</v>
      </c>
      <c r="CP158" s="0" t="n">
        <v>5</v>
      </c>
      <c r="CQ158" s="0" t="n">
        <v>10</v>
      </c>
      <c r="CR158" s="0" t="n">
        <v>6</v>
      </c>
      <c r="CS158" s="6" t="n">
        <f aca="false">IF(R158="Y",10,0)</f>
        <v>0</v>
      </c>
      <c r="CT158" s="0" t="n">
        <v>-4</v>
      </c>
      <c r="CV158" s="6" t="s">
        <v>4616</v>
      </c>
      <c r="CW158" s="6" t="s">
        <v>8177</v>
      </c>
      <c r="CX158" s="6" t="s">
        <v>8178</v>
      </c>
      <c r="CY158" s="6" t="s">
        <v>8179</v>
      </c>
      <c r="DA158" s="6" t="s">
        <v>6236</v>
      </c>
      <c r="DY158" s="0" t="str">
        <f aca="false">IF(ISNUMBER(MATCH(U158,{"queued","contacted","replied","call_booked","call_done","yes_in_principle","materials_sent"},0)),"Y","N")</f>
        <v>N</v>
      </c>
      <c r="DZ158" s="0" t="str">
        <f aca="false">IF(COUNTIFS($AN$2:$AN$1000,AN158,$DY$2:$DY$1000,"Y")+COUNTIFS($AN$2:$AN$1000,AN158,$T$2:$T$1000,"Y")&gt;0,"Y","N")</f>
        <v>N</v>
      </c>
      <c r="EA158" s="0" t="str">
        <f aca="false">IF(AND(U158="new",T158="N",AR158="Y",AQ158="",DZ158="N"),"Y","N")</f>
        <v>Y</v>
      </c>
      <c r="EB158" s="0" t="str">
        <f aca="false">IF(EA158&lt;&gt;"Y","N",IF(COUNTIFS($AN$2:$AN$1000,AN158,$EA$2:$EA$1000,"Y",$J$2:$J$1000,"&gt;"&amp;J158)+COUNTIFS($AN$2:$AN$1000,AN158,$EA$2:$EA$1000,"Y",$J$2:$J$1000,J158,$ED$2:$ED$1000,"&lt;"&amp;ED158)=0,"Y","N"))</f>
        <v>Y</v>
      </c>
      <c r="EC158" s="0" t="str">
        <f aca="false">IF(Y158="","N",IF(Y158&lt;=10,"Y","N"))</f>
        <v>N</v>
      </c>
      <c r="ED158" s="6" t="n">
        <f aca="false">ROW()-1</f>
        <v>157</v>
      </c>
    </row>
    <row r="159" customFormat="false" ht="15" hidden="false" customHeight="false" outlineLevel="0" collapsed="false">
      <c r="A159" s="0" t="s">
        <v>8180</v>
      </c>
      <c r="B159" s="0" t="s">
        <v>8181</v>
      </c>
      <c r="C159" s="0" t="s">
        <v>8182</v>
      </c>
      <c r="D159" s="0" t="s">
        <v>4611</v>
      </c>
      <c r="E159" s="0" t="s">
        <v>4773</v>
      </c>
      <c r="H159" s="5" t="s">
        <v>158</v>
      </c>
      <c r="I159" s="5" t="s">
        <v>159</v>
      </c>
      <c r="J159" s="6" t="n">
        <f aca="false">IF(AU159="pass",CM159+CN159+CO159+CP159+CQ159+CR159+CS159+CT159,0)</f>
        <v>39</v>
      </c>
      <c r="K159" s="6" t="s">
        <v>8183</v>
      </c>
      <c r="M159" s="6" t="s">
        <v>5293</v>
      </c>
      <c r="N159" s="6" t="s">
        <v>598</v>
      </c>
      <c r="O159" s="6" t="s">
        <v>8184</v>
      </c>
      <c r="P159" s="6" t="s">
        <v>8185</v>
      </c>
      <c r="Q159" s="6" t="s">
        <v>4377</v>
      </c>
      <c r="R159" s="5" t="s">
        <v>162</v>
      </c>
      <c r="S159" s="6" t="s">
        <v>163</v>
      </c>
      <c r="T159" s="5" t="s">
        <v>162</v>
      </c>
      <c r="U159" s="5" t="s">
        <v>228</v>
      </c>
      <c r="V159" s="6" t="s">
        <v>8186</v>
      </c>
      <c r="W159" s="6" t="s">
        <v>166</v>
      </c>
      <c r="X159" s="6" t="s">
        <v>4586</v>
      </c>
      <c r="Y159" s="6" t="n">
        <f aca="false">IF(EB159&lt;&gt;"Y","",COUNTIFS($EB$2:$EB$1000,"Y",$J$2:$J$1000,"&gt;"&amp;J159)+COUNTIFS($EB$2:$EB$1000,"Y",$J$2:$J$1000,J159,$ED$2:$ED$1000,"&lt;"&amp;ED159)+1)</f>
        <v>127</v>
      </c>
      <c r="Z159" s="0" t="n">
        <v>158</v>
      </c>
      <c r="AA159" s="6" t="s">
        <v>162</v>
      </c>
      <c r="AB159" s="6" t="s">
        <v>8187</v>
      </c>
      <c r="AC159" s="6" t="s">
        <v>4588</v>
      </c>
      <c r="AD159" s="6" t="s">
        <v>171</v>
      </c>
      <c r="AE159" s="6" t="s">
        <v>172</v>
      </c>
      <c r="AF159" s="6" t="s">
        <v>8186</v>
      </c>
      <c r="AG159" s="6" t="s">
        <v>166</v>
      </c>
      <c r="AH159" s="6" t="s">
        <v>8188</v>
      </c>
      <c r="AI159" s="6" t="s">
        <v>5738</v>
      </c>
      <c r="AJ159" s="6" t="s">
        <v>4635</v>
      </c>
      <c r="AK159" s="6" t="s">
        <v>8189</v>
      </c>
      <c r="AL159" s="6" t="s">
        <v>168</v>
      </c>
      <c r="AM159" s="6" t="s">
        <v>8190</v>
      </c>
      <c r="AN159" s="6" t="s">
        <v>8180</v>
      </c>
      <c r="AO159" s="5" t="s">
        <v>162</v>
      </c>
      <c r="AR159" s="0" t="str">
        <f aca="false">IF(AND(AU159="pass",AO159&lt;&gt;"Y",C159&lt;&gt;""),"Y","N")</f>
        <v>Y</v>
      </c>
      <c r="AS159" s="0" t="str">
        <f aca="false">_xlfn.TEXTJOIN("; ",TRUE(),IF(AU159&lt;&gt;"pass","gated out",""),IF(AO159="Y","on hold: "&amp;AP159,""),IF(C159="","no contact named on an opened page",""))</f>
        <v/>
      </c>
      <c r="AU159" s="6" t="s">
        <v>181</v>
      </c>
      <c r="AW159" s="6" t="s">
        <v>182</v>
      </c>
      <c r="AX159" s="6" t="s">
        <v>8191</v>
      </c>
      <c r="AY159" s="6" t="s">
        <v>8192</v>
      </c>
      <c r="AZ159" s="6" t="s">
        <v>4596</v>
      </c>
      <c r="BA159" s="6" t="s">
        <v>4597</v>
      </c>
      <c r="BB159" s="6" t="s">
        <v>163</v>
      </c>
      <c r="BD159" s="6" t="s">
        <v>168</v>
      </c>
      <c r="BE159" s="6" t="s">
        <v>8193</v>
      </c>
      <c r="BF159" s="6" t="s">
        <v>168</v>
      </c>
      <c r="BG159" s="6" t="s">
        <v>168</v>
      </c>
      <c r="BH159" s="6" t="s">
        <v>163</v>
      </c>
      <c r="BJ159" s="6" t="s">
        <v>8194</v>
      </c>
      <c r="BK159" s="6" t="s">
        <v>162</v>
      </c>
      <c r="BL159" s="6" t="s">
        <v>162</v>
      </c>
      <c r="BO159" s="6" t="s">
        <v>162</v>
      </c>
      <c r="BP159" s="0" t="n">
        <v>0</v>
      </c>
      <c r="BS159" s="6" t="s">
        <v>163</v>
      </c>
      <c r="BU159" s="6" t="s">
        <v>4695</v>
      </c>
      <c r="BV159" s="0" t="n">
        <v>221</v>
      </c>
      <c r="BX159" s="6" t="s">
        <v>8195</v>
      </c>
      <c r="CF159" s="6" t="s">
        <v>158</v>
      </c>
      <c r="CK159" s="6" t="s">
        <v>158</v>
      </c>
      <c r="CL159" s="0" t="n">
        <v>39</v>
      </c>
      <c r="CM159" s="0" t="n">
        <v>6</v>
      </c>
      <c r="CN159" s="0" t="n">
        <v>20</v>
      </c>
      <c r="CO159" s="0" t="n">
        <v>4</v>
      </c>
      <c r="CP159" s="0" t="n">
        <v>5</v>
      </c>
      <c r="CQ159" s="0" t="n">
        <v>10</v>
      </c>
      <c r="CR159" s="0" t="n">
        <v>6</v>
      </c>
      <c r="CS159" s="6" t="n">
        <f aca="false">IF(R159="Y",10,0)</f>
        <v>0</v>
      </c>
      <c r="CT159" s="0" t="n">
        <v>-12</v>
      </c>
      <c r="CU159" s="6" t="s">
        <v>8196</v>
      </c>
      <c r="CV159" s="6" t="s">
        <v>5564</v>
      </c>
      <c r="CW159" s="6" t="s">
        <v>8197</v>
      </c>
      <c r="CX159" s="6" t="s">
        <v>8198</v>
      </c>
      <c r="CY159" s="6" t="s">
        <v>8199</v>
      </c>
      <c r="DA159" s="6" t="s">
        <v>6236</v>
      </c>
      <c r="DY159" s="0" t="str">
        <f aca="false">IF(ISNUMBER(MATCH(U159,{"queued","contacted","replied","call_booked","call_done","yes_in_principle","materials_sent"},0)),"Y","N")</f>
        <v>N</v>
      </c>
      <c r="DZ159" s="0" t="str">
        <f aca="false">IF(COUNTIFS($AN$2:$AN$1000,AN159,$DY$2:$DY$1000,"Y")+COUNTIFS($AN$2:$AN$1000,AN159,$T$2:$T$1000,"Y")&gt;0,"Y","N")</f>
        <v>N</v>
      </c>
      <c r="EA159" s="0" t="str">
        <f aca="false">IF(AND(U159="new",T159="N",AR159="Y",AQ159="",DZ159="N"),"Y","N")</f>
        <v>Y</v>
      </c>
      <c r="EB159" s="0" t="str">
        <f aca="false">IF(EA159&lt;&gt;"Y","N",IF(COUNTIFS($AN$2:$AN$1000,AN159,$EA$2:$EA$1000,"Y",$J$2:$J$1000,"&gt;"&amp;J159)+COUNTIFS($AN$2:$AN$1000,AN159,$EA$2:$EA$1000,"Y",$J$2:$J$1000,J159,$ED$2:$ED$1000,"&lt;"&amp;ED159)=0,"Y","N"))</f>
        <v>Y</v>
      </c>
      <c r="EC159" s="0" t="str">
        <f aca="false">IF(Y159="","N",IF(Y159&lt;=10,"Y","N"))</f>
        <v>N</v>
      </c>
      <c r="ED159" s="6" t="n">
        <f aca="false">ROW()-1</f>
        <v>158</v>
      </c>
    </row>
    <row r="160" customFormat="false" ht="15" hidden="false" customHeight="false" outlineLevel="0" collapsed="false">
      <c r="A160" s="0" t="s">
        <v>8200</v>
      </c>
      <c r="B160" s="0" t="s">
        <v>8201</v>
      </c>
      <c r="H160" s="5" t="s">
        <v>158</v>
      </c>
      <c r="I160" s="5"/>
      <c r="J160" s="6" t="n">
        <f aca="false">IF(AU160="pass",CM160+CN160+CO160+CP160+CQ160+CR160+CS160+CT160,0)</f>
        <v>39</v>
      </c>
      <c r="K160" s="6" t="s">
        <v>8202</v>
      </c>
      <c r="M160" s="6" t="s">
        <v>5293</v>
      </c>
      <c r="N160" s="6" t="s">
        <v>598</v>
      </c>
      <c r="R160" s="5" t="s">
        <v>162</v>
      </c>
      <c r="S160" s="6" t="s">
        <v>163</v>
      </c>
      <c r="T160" s="5" t="s">
        <v>162</v>
      </c>
      <c r="U160" s="5" t="s">
        <v>228</v>
      </c>
      <c r="V160" s="6" t="s">
        <v>5786</v>
      </c>
      <c r="W160" s="6" t="s">
        <v>174</v>
      </c>
      <c r="X160" s="6" t="s">
        <v>4586</v>
      </c>
      <c r="Y160" s="0" t="str">
        <f aca="false">IF(EB160&lt;&gt;"Y","",COUNTIFS($EB$2:$EB$1000,"Y",$J$2:$J$1000,"&gt;"&amp;J160)+COUNTIFS($EB$2:$EB$1000,"Y",$J$2:$J$1000,J160,$ED$2:$ED$1000,"&lt;"&amp;ED160)+1)</f>
        <v/>
      </c>
      <c r="Z160" s="0" t="n">
        <v>159</v>
      </c>
      <c r="AA160" s="6" t="s">
        <v>162</v>
      </c>
      <c r="AB160" s="6" t="s">
        <v>6317</v>
      </c>
      <c r="AD160" s="6" t="s">
        <v>158</v>
      </c>
      <c r="AH160" s="6" t="s">
        <v>8203</v>
      </c>
      <c r="AI160" s="6" t="s">
        <v>4724</v>
      </c>
      <c r="AJ160" s="6" t="s">
        <v>5789</v>
      </c>
      <c r="AK160" s="6" t="s">
        <v>8204</v>
      </c>
      <c r="AL160" s="6" t="s">
        <v>168</v>
      </c>
      <c r="AM160" s="6" t="s">
        <v>8205</v>
      </c>
      <c r="AN160" s="6" t="s">
        <v>8200</v>
      </c>
      <c r="AO160" s="5" t="s">
        <v>162</v>
      </c>
      <c r="AR160" s="0" t="str">
        <f aca="false">IF(AND(AU160="pass",AO160&lt;&gt;"Y",C160&lt;&gt;""),"Y","N")</f>
        <v>N</v>
      </c>
      <c r="AS160" s="0" t="str">
        <f aca="false">_xlfn.TEXTJOIN("; ",TRUE(),IF(AU160&lt;&gt;"pass","gated out",""),IF(AO160="Y","on hold: "&amp;AP160,""),IF(C160="","no contact named on an opened page",""))</f>
        <v>no contact named on an opened page</v>
      </c>
      <c r="AU160" s="6" t="s">
        <v>181</v>
      </c>
      <c r="AW160" s="6" t="s">
        <v>182</v>
      </c>
      <c r="AX160" s="6" t="s">
        <v>283</v>
      </c>
      <c r="AY160" s="6" t="s">
        <v>8204</v>
      </c>
      <c r="AZ160" s="6" t="s">
        <v>4596</v>
      </c>
      <c r="BA160" s="6" t="s">
        <v>4597</v>
      </c>
      <c r="BB160" s="6" t="s">
        <v>163</v>
      </c>
      <c r="BD160" s="6" t="s">
        <v>168</v>
      </c>
      <c r="BE160" s="6" t="s">
        <v>8206</v>
      </c>
      <c r="BF160" s="6" t="s">
        <v>168</v>
      </c>
      <c r="BG160" s="6" t="s">
        <v>168</v>
      </c>
      <c r="BH160" s="6" t="s">
        <v>163</v>
      </c>
      <c r="BJ160" s="6" t="s">
        <v>5145</v>
      </c>
      <c r="BK160" s="6" t="s">
        <v>162</v>
      </c>
      <c r="BL160" s="6" t="s">
        <v>162</v>
      </c>
      <c r="BO160" s="6" t="s">
        <v>162</v>
      </c>
      <c r="BP160" s="0" t="n">
        <v>0</v>
      </c>
      <c r="BS160" s="6" t="s">
        <v>8207</v>
      </c>
      <c r="BU160" s="6" t="s">
        <v>158</v>
      </c>
      <c r="CF160" s="6" t="s">
        <v>158</v>
      </c>
      <c r="CK160" s="6" t="s">
        <v>158</v>
      </c>
      <c r="CL160" s="0" t="n">
        <v>39</v>
      </c>
      <c r="CM160" s="0" t="n">
        <v>6</v>
      </c>
      <c r="CN160" s="0" t="n">
        <v>20</v>
      </c>
      <c r="CO160" s="0" t="n">
        <v>0</v>
      </c>
      <c r="CP160" s="0" t="n">
        <v>5</v>
      </c>
      <c r="CQ160" s="0" t="n">
        <v>10</v>
      </c>
      <c r="CR160" s="0" t="n">
        <v>0</v>
      </c>
      <c r="CS160" s="6" t="n">
        <f aca="false">IF(R160="Y",10,0)</f>
        <v>0</v>
      </c>
      <c r="CT160" s="0" t="n">
        <v>-2</v>
      </c>
      <c r="CU160" s="6" t="s">
        <v>8208</v>
      </c>
      <c r="CV160" s="6" t="s">
        <v>5152</v>
      </c>
      <c r="CW160" s="6" t="s">
        <v>8209</v>
      </c>
      <c r="CX160" s="6" t="s">
        <v>8210</v>
      </c>
      <c r="DA160" s="6" t="s">
        <v>6236</v>
      </c>
      <c r="DY160" s="0" t="str">
        <f aca="false">IF(ISNUMBER(MATCH(U160,{"queued","contacted","replied","call_booked","call_done","yes_in_principle","materials_sent"},0)),"Y","N")</f>
        <v>N</v>
      </c>
      <c r="DZ160" s="0" t="str">
        <f aca="false">IF(COUNTIFS($AN$2:$AN$1000,AN160,$DY$2:$DY$1000,"Y")+COUNTIFS($AN$2:$AN$1000,AN160,$T$2:$T$1000,"Y")&gt;0,"Y","N")</f>
        <v>N</v>
      </c>
      <c r="EA160" s="0" t="str">
        <f aca="false">IF(AND(U160="new",T160="N",AR160="Y",AQ160="",DZ160="N"),"Y","N")</f>
        <v>N</v>
      </c>
      <c r="EB160" s="0" t="str">
        <f aca="false">IF(EA160&lt;&gt;"Y","N",IF(COUNTIFS($AN$2:$AN$1000,AN160,$EA$2:$EA$1000,"Y",$J$2:$J$1000,"&gt;"&amp;J160)+COUNTIFS($AN$2:$AN$1000,AN160,$EA$2:$EA$1000,"Y",$J$2:$J$1000,J160,$ED$2:$ED$1000,"&lt;"&amp;ED160)=0,"Y","N"))</f>
        <v>N</v>
      </c>
      <c r="EC160" s="0" t="str">
        <f aca="false">IF(Y160="","N",IF(Y160&lt;=10,"Y","N"))</f>
        <v>N</v>
      </c>
      <c r="ED160" s="6" t="n">
        <f aca="false">ROW()-1</f>
        <v>159</v>
      </c>
    </row>
    <row r="161" customFormat="false" ht="15" hidden="false" customHeight="false" outlineLevel="0" collapsed="false">
      <c r="A161" s="0" t="s">
        <v>8211</v>
      </c>
      <c r="B161" s="0" t="s">
        <v>8212</v>
      </c>
      <c r="C161" s="0" t="s">
        <v>8213</v>
      </c>
      <c r="D161" s="0" t="s">
        <v>8214</v>
      </c>
      <c r="E161" s="0" t="s">
        <v>4657</v>
      </c>
      <c r="H161" s="5" t="s">
        <v>158</v>
      </c>
      <c r="I161" s="5" t="s">
        <v>159</v>
      </c>
      <c r="J161" s="6" t="n">
        <f aca="false">IF(AU161="pass",CM161+CN161+CO161+CP161+CQ161+CR161+CS161+CT161,0)</f>
        <v>39</v>
      </c>
      <c r="K161" s="6" t="s">
        <v>8215</v>
      </c>
      <c r="M161" s="6" t="s">
        <v>5293</v>
      </c>
      <c r="N161" s="6" t="s">
        <v>598</v>
      </c>
      <c r="R161" s="5" t="s">
        <v>162</v>
      </c>
      <c r="S161" s="6" t="s">
        <v>163</v>
      </c>
      <c r="T161" s="5" t="s">
        <v>162</v>
      </c>
      <c r="U161" s="5" t="s">
        <v>228</v>
      </c>
      <c r="V161" s="6" t="s">
        <v>8216</v>
      </c>
      <c r="W161" s="6" t="s">
        <v>166</v>
      </c>
      <c r="X161" s="6" t="s">
        <v>4586</v>
      </c>
      <c r="Y161" s="6" t="n">
        <f aca="false">IF(EB161&lt;&gt;"Y","",COUNTIFS($EB$2:$EB$1000,"Y",$J$2:$J$1000,"&gt;"&amp;J161)+COUNTIFS($EB$2:$EB$1000,"Y",$J$2:$J$1000,J161,$ED$2:$ED$1000,"&lt;"&amp;ED161)+1)</f>
        <v>128</v>
      </c>
      <c r="Z161" s="0" t="n">
        <v>160</v>
      </c>
      <c r="AA161" s="6" t="s">
        <v>162</v>
      </c>
      <c r="AB161" s="6" t="s">
        <v>8217</v>
      </c>
      <c r="AC161" s="6" t="s">
        <v>4588</v>
      </c>
      <c r="AD161" s="6" t="s">
        <v>171</v>
      </c>
      <c r="AE161" s="6" t="s">
        <v>172</v>
      </c>
      <c r="AF161" s="6" t="s">
        <v>8216</v>
      </c>
      <c r="AG161" s="6" t="s">
        <v>166</v>
      </c>
      <c r="AH161" s="6" t="s">
        <v>8218</v>
      </c>
      <c r="AI161" s="6" t="s">
        <v>4591</v>
      </c>
      <c r="AJ161" s="6" t="s">
        <v>192</v>
      </c>
      <c r="AK161" s="6" t="s">
        <v>8219</v>
      </c>
      <c r="AL161" s="6" t="s">
        <v>168</v>
      </c>
      <c r="AM161" s="6" t="s">
        <v>8220</v>
      </c>
      <c r="AN161" s="6" t="s">
        <v>8211</v>
      </c>
      <c r="AO161" s="5" t="s">
        <v>162</v>
      </c>
      <c r="AR161" s="0" t="str">
        <f aca="false">IF(AND(AU161="pass",AO161&lt;&gt;"Y",C161&lt;&gt;""),"Y","N")</f>
        <v>Y</v>
      </c>
      <c r="AS161" s="0" t="str">
        <f aca="false">_xlfn.TEXTJOIN("; ",TRUE(),IF(AU161&lt;&gt;"pass","gated out",""),IF(AO161="Y","on hold: "&amp;AP161,""),IF(C161="","no contact named on an opened page",""))</f>
        <v/>
      </c>
      <c r="AU161" s="6" t="s">
        <v>181</v>
      </c>
      <c r="AW161" s="6" t="s">
        <v>182</v>
      </c>
      <c r="AX161" s="6" t="s">
        <v>5607</v>
      </c>
      <c r="AY161" s="6" t="s">
        <v>8219</v>
      </c>
      <c r="AZ161" s="6" t="s">
        <v>4596</v>
      </c>
      <c r="BA161" s="6" t="s">
        <v>4597</v>
      </c>
      <c r="BB161" s="6" t="s">
        <v>8221</v>
      </c>
      <c r="BC161" s="6" t="s">
        <v>8222</v>
      </c>
      <c r="BD161" s="6" t="s">
        <v>168</v>
      </c>
      <c r="BE161" s="6" t="s">
        <v>8223</v>
      </c>
      <c r="BF161" s="6" t="s">
        <v>168</v>
      </c>
      <c r="BG161" s="6" t="s">
        <v>168</v>
      </c>
      <c r="BH161" s="6" t="s">
        <v>163</v>
      </c>
      <c r="BJ161" s="6" t="s">
        <v>8224</v>
      </c>
      <c r="BK161" s="6" t="s">
        <v>162</v>
      </c>
      <c r="BL161" s="6" t="s">
        <v>162</v>
      </c>
      <c r="BO161" s="6" t="s">
        <v>162</v>
      </c>
      <c r="BP161" s="0" t="n">
        <v>0</v>
      </c>
      <c r="BS161" s="6" t="s">
        <v>8225</v>
      </c>
      <c r="BT161" s="6" t="s">
        <v>8222</v>
      </c>
      <c r="BU161" s="6" t="s">
        <v>158</v>
      </c>
      <c r="BX161" s="6" t="s">
        <v>8226</v>
      </c>
      <c r="CA161" s="6" t="s">
        <v>8227</v>
      </c>
      <c r="CB161" s="6" t="s">
        <v>5496</v>
      </c>
      <c r="CC161" s="6" t="s">
        <v>5941</v>
      </c>
      <c r="CD161" s="6" t="s">
        <v>8228</v>
      </c>
      <c r="CE161" s="6" t="s">
        <v>6262</v>
      </c>
      <c r="CF161" s="6" t="s">
        <v>171</v>
      </c>
      <c r="CK161" s="6" t="s">
        <v>158</v>
      </c>
      <c r="CL161" s="0" t="n">
        <v>39</v>
      </c>
      <c r="CM161" s="0" t="n">
        <v>6</v>
      </c>
      <c r="CN161" s="0" t="n">
        <v>20</v>
      </c>
      <c r="CO161" s="0" t="n">
        <v>0</v>
      </c>
      <c r="CP161" s="0" t="n">
        <v>5</v>
      </c>
      <c r="CQ161" s="0" t="n">
        <v>10</v>
      </c>
      <c r="CR161" s="0" t="n">
        <v>10</v>
      </c>
      <c r="CS161" s="6" t="n">
        <f aca="false">IF(R161="Y",10,0)</f>
        <v>0</v>
      </c>
      <c r="CT161" s="0" t="n">
        <v>-12</v>
      </c>
      <c r="CU161" s="6" t="s">
        <v>8229</v>
      </c>
      <c r="CV161" s="6" t="s">
        <v>5564</v>
      </c>
      <c r="CW161" s="6" t="s">
        <v>8230</v>
      </c>
      <c r="CX161" s="6" t="s">
        <v>8231</v>
      </c>
      <c r="CY161" s="6" t="s">
        <v>8232</v>
      </c>
      <c r="CZ161" s="6" t="s">
        <v>8233</v>
      </c>
      <c r="DA161" s="6" t="s">
        <v>6236</v>
      </c>
      <c r="DC161" s="6" t="s">
        <v>1190</v>
      </c>
      <c r="DY161" s="0" t="str">
        <f aca="false">IF(ISNUMBER(MATCH(U161,{"queued","contacted","replied","call_booked","call_done","yes_in_principle","materials_sent"},0)),"Y","N")</f>
        <v>N</v>
      </c>
      <c r="DZ161" s="0" t="str">
        <f aca="false">IF(COUNTIFS($AN$2:$AN$1000,AN161,$DY$2:$DY$1000,"Y")+COUNTIFS($AN$2:$AN$1000,AN161,$T$2:$T$1000,"Y")&gt;0,"Y","N")</f>
        <v>N</v>
      </c>
      <c r="EA161" s="0" t="str">
        <f aca="false">IF(AND(U161="new",T161="N",AR161="Y",AQ161="",DZ161="N"),"Y","N")</f>
        <v>Y</v>
      </c>
      <c r="EB161" s="0" t="str">
        <f aca="false">IF(EA161&lt;&gt;"Y","N",IF(COUNTIFS($AN$2:$AN$1000,AN161,$EA$2:$EA$1000,"Y",$J$2:$J$1000,"&gt;"&amp;J161)+COUNTIFS($AN$2:$AN$1000,AN161,$EA$2:$EA$1000,"Y",$J$2:$J$1000,J161,$ED$2:$ED$1000,"&lt;"&amp;ED161)=0,"Y","N"))</f>
        <v>Y</v>
      </c>
      <c r="EC161" s="0" t="str">
        <f aca="false">IF(Y161="","N",IF(Y161&lt;=10,"Y","N"))</f>
        <v>N</v>
      </c>
      <c r="ED161" s="6" t="n">
        <f aca="false">ROW()-1</f>
        <v>160</v>
      </c>
    </row>
    <row r="162" customFormat="false" ht="15" hidden="false" customHeight="false" outlineLevel="0" collapsed="false">
      <c r="A162" s="0" t="s">
        <v>8234</v>
      </c>
      <c r="B162" s="0" t="s">
        <v>8235</v>
      </c>
      <c r="C162" s="0" t="s">
        <v>5746</v>
      </c>
      <c r="D162" s="0" t="s">
        <v>8236</v>
      </c>
      <c r="E162" s="0" t="s">
        <v>8237</v>
      </c>
      <c r="H162" s="5" t="s">
        <v>158</v>
      </c>
      <c r="I162" s="5" t="s">
        <v>159</v>
      </c>
      <c r="J162" s="6" t="n">
        <f aca="false">IF(AU162="pass",CM162+CN162+CO162+CP162+CQ162+CR162+CS162+CT162,0)</f>
        <v>39</v>
      </c>
      <c r="K162" s="6" t="s">
        <v>8215</v>
      </c>
      <c r="M162" s="6" t="s">
        <v>5293</v>
      </c>
      <c r="N162" s="6" t="s">
        <v>598</v>
      </c>
      <c r="R162" s="5" t="s">
        <v>162</v>
      </c>
      <c r="S162" s="6" t="s">
        <v>163</v>
      </c>
      <c r="T162" s="5" t="s">
        <v>162</v>
      </c>
      <c r="U162" s="5" t="s">
        <v>228</v>
      </c>
      <c r="V162" s="6" t="s">
        <v>8238</v>
      </c>
      <c r="W162" s="6" t="s">
        <v>166</v>
      </c>
      <c r="X162" s="6" t="s">
        <v>4586</v>
      </c>
      <c r="Y162" s="6" t="n">
        <f aca="false">IF(EB162&lt;&gt;"Y","",COUNTIFS($EB$2:$EB$1000,"Y",$J$2:$J$1000,"&gt;"&amp;J162)+COUNTIFS($EB$2:$EB$1000,"Y",$J$2:$J$1000,J162,$ED$2:$ED$1000,"&lt;"&amp;ED162)+1)</f>
        <v>129</v>
      </c>
      <c r="Z162" s="0" t="n">
        <v>161</v>
      </c>
      <c r="AA162" s="6" t="s">
        <v>162</v>
      </c>
      <c r="AB162" s="6" t="s">
        <v>8239</v>
      </c>
      <c r="AC162" s="6" t="s">
        <v>4588</v>
      </c>
      <c r="AD162" s="6" t="s">
        <v>171</v>
      </c>
      <c r="AE162" s="6" t="s">
        <v>172</v>
      </c>
      <c r="AF162" s="6" t="s">
        <v>8238</v>
      </c>
      <c r="AG162" s="6" t="s">
        <v>166</v>
      </c>
      <c r="AH162" s="6" t="s">
        <v>8240</v>
      </c>
      <c r="AI162" s="6" t="s">
        <v>5765</v>
      </c>
      <c r="AJ162" s="6" t="s">
        <v>192</v>
      </c>
      <c r="AK162" s="6" t="s">
        <v>8241</v>
      </c>
      <c r="AL162" s="6" t="s">
        <v>168</v>
      </c>
      <c r="AM162" s="6" t="s">
        <v>8242</v>
      </c>
      <c r="AN162" s="6" t="s">
        <v>8234</v>
      </c>
      <c r="AO162" s="5" t="s">
        <v>162</v>
      </c>
      <c r="AR162" s="0" t="str">
        <f aca="false">IF(AND(AU162="pass",AO162&lt;&gt;"Y",C162&lt;&gt;""),"Y","N")</f>
        <v>Y</v>
      </c>
      <c r="AS162" s="0" t="str">
        <f aca="false">_xlfn.TEXTJOIN("; ",TRUE(),IF(AU162&lt;&gt;"pass","gated out",""),IF(AO162="Y","on hold: "&amp;AP162,""),IF(C162="","no contact named on an opened page",""))</f>
        <v/>
      </c>
      <c r="AU162" s="6" t="s">
        <v>181</v>
      </c>
      <c r="AW162" s="6" t="s">
        <v>182</v>
      </c>
      <c r="AX162" s="6" t="s">
        <v>5607</v>
      </c>
      <c r="AY162" s="6" t="s">
        <v>8241</v>
      </c>
      <c r="AZ162" s="6" t="s">
        <v>4596</v>
      </c>
      <c r="BA162" s="6" t="s">
        <v>4597</v>
      </c>
      <c r="BB162" s="6" t="s">
        <v>163</v>
      </c>
      <c r="BD162" s="6" t="s">
        <v>168</v>
      </c>
      <c r="BE162" s="6" t="s">
        <v>8243</v>
      </c>
      <c r="BF162" s="6" t="s">
        <v>168</v>
      </c>
      <c r="BG162" s="6" t="s">
        <v>168</v>
      </c>
      <c r="BH162" s="6" t="s">
        <v>163</v>
      </c>
      <c r="BJ162" s="6" t="s">
        <v>8244</v>
      </c>
      <c r="BK162" s="6" t="s">
        <v>162</v>
      </c>
      <c r="BL162" s="6" t="s">
        <v>162</v>
      </c>
      <c r="BO162" s="6" t="s">
        <v>162</v>
      </c>
      <c r="BP162" s="0" t="n">
        <v>0</v>
      </c>
      <c r="BS162" s="6" t="s">
        <v>8245</v>
      </c>
      <c r="BU162" s="6" t="s">
        <v>158</v>
      </c>
      <c r="BX162" s="6" t="s">
        <v>8246</v>
      </c>
      <c r="CA162" s="6" t="s">
        <v>8247</v>
      </c>
      <c r="CB162" s="6" t="s">
        <v>8248</v>
      </c>
      <c r="CC162" s="6" t="s">
        <v>8249</v>
      </c>
      <c r="CD162" s="6" t="s">
        <v>8250</v>
      </c>
      <c r="CE162" s="6" t="s">
        <v>6262</v>
      </c>
      <c r="CF162" s="6" t="s">
        <v>171</v>
      </c>
      <c r="CK162" s="6" t="s">
        <v>158</v>
      </c>
      <c r="CL162" s="0" t="n">
        <v>39</v>
      </c>
      <c r="CM162" s="0" t="n">
        <v>6</v>
      </c>
      <c r="CN162" s="0" t="n">
        <v>20</v>
      </c>
      <c r="CO162" s="0" t="n">
        <v>0</v>
      </c>
      <c r="CP162" s="0" t="n">
        <v>5</v>
      </c>
      <c r="CQ162" s="0" t="n">
        <v>10</v>
      </c>
      <c r="CR162" s="0" t="n">
        <v>10</v>
      </c>
      <c r="CS162" s="6" t="n">
        <f aca="false">IF(R162="Y",10,0)</f>
        <v>0</v>
      </c>
      <c r="CT162" s="0" t="n">
        <v>-12</v>
      </c>
      <c r="CU162" s="6" t="s">
        <v>8251</v>
      </c>
      <c r="CV162" s="6" t="s">
        <v>5564</v>
      </c>
      <c r="CW162" s="6" t="s">
        <v>8252</v>
      </c>
      <c r="CX162" s="6" t="s">
        <v>8253</v>
      </c>
      <c r="CY162" s="6" t="s">
        <v>8254</v>
      </c>
      <c r="CZ162" s="6" t="s">
        <v>8255</v>
      </c>
      <c r="DA162" s="6" t="s">
        <v>6236</v>
      </c>
      <c r="DC162" s="6" t="s">
        <v>1190</v>
      </c>
      <c r="DY162" s="0" t="str">
        <f aca="false">IF(ISNUMBER(MATCH(U162,{"queued","contacted","replied","call_booked","call_done","yes_in_principle","materials_sent"},0)),"Y","N")</f>
        <v>N</v>
      </c>
      <c r="DZ162" s="0" t="str">
        <f aca="false">IF(COUNTIFS($AN$2:$AN$1000,AN162,$DY$2:$DY$1000,"Y")+COUNTIFS($AN$2:$AN$1000,AN162,$T$2:$T$1000,"Y")&gt;0,"Y","N")</f>
        <v>N</v>
      </c>
      <c r="EA162" s="0" t="str">
        <f aca="false">IF(AND(U162="new",T162="N",AR162="Y",AQ162="",DZ162="N"),"Y","N")</f>
        <v>Y</v>
      </c>
      <c r="EB162" s="0" t="str">
        <f aca="false">IF(EA162&lt;&gt;"Y","N",IF(COUNTIFS($AN$2:$AN$1000,AN162,$EA$2:$EA$1000,"Y",$J$2:$J$1000,"&gt;"&amp;J162)+COUNTIFS($AN$2:$AN$1000,AN162,$EA$2:$EA$1000,"Y",$J$2:$J$1000,J162,$ED$2:$ED$1000,"&lt;"&amp;ED162)=0,"Y","N"))</f>
        <v>Y</v>
      </c>
      <c r="EC162" s="0" t="str">
        <f aca="false">IF(Y162="","N",IF(Y162&lt;=10,"Y","N"))</f>
        <v>N</v>
      </c>
      <c r="ED162" s="6" t="n">
        <f aca="false">ROW()-1</f>
        <v>161</v>
      </c>
    </row>
    <row r="163" customFormat="false" ht="15" hidden="false" customHeight="false" outlineLevel="0" collapsed="false">
      <c r="A163" s="0" t="s">
        <v>8256</v>
      </c>
      <c r="B163" s="0" t="s">
        <v>8257</v>
      </c>
      <c r="H163" s="5" t="s">
        <v>158</v>
      </c>
      <c r="I163" s="5"/>
      <c r="J163" s="6" t="n">
        <f aca="false">IF(AU163="pass",CM163+CN163+CO163+CP163+CQ163+CR163+CS163+CT163,0)</f>
        <v>38</v>
      </c>
      <c r="K163" s="6" t="s">
        <v>8258</v>
      </c>
      <c r="M163" s="6" t="s">
        <v>4628</v>
      </c>
      <c r="N163" s="6" t="s">
        <v>4582</v>
      </c>
      <c r="R163" s="5" t="s">
        <v>162</v>
      </c>
      <c r="S163" s="6" t="s">
        <v>163</v>
      </c>
      <c r="T163" s="5" t="s">
        <v>162</v>
      </c>
      <c r="U163" s="5" t="s">
        <v>228</v>
      </c>
      <c r="V163" s="6" t="s">
        <v>8259</v>
      </c>
      <c r="W163" s="6" t="s">
        <v>166</v>
      </c>
      <c r="X163" s="6" t="s">
        <v>4586</v>
      </c>
      <c r="Y163" s="0" t="str">
        <f aca="false">IF(EB163&lt;&gt;"Y","",COUNTIFS($EB$2:$EB$1000,"Y",$J$2:$J$1000,"&gt;"&amp;J163)+COUNTIFS($EB$2:$EB$1000,"Y",$J$2:$J$1000,J163,$ED$2:$ED$1000,"&lt;"&amp;ED163)+1)</f>
        <v/>
      </c>
      <c r="Z163" s="0" t="n">
        <v>162</v>
      </c>
      <c r="AA163" s="6" t="s">
        <v>162</v>
      </c>
      <c r="AB163" s="6" t="s">
        <v>8260</v>
      </c>
      <c r="AD163" s="6" t="s">
        <v>158</v>
      </c>
      <c r="AH163" s="6" t="s">
        <v>8261</v>
      </c>
      <c r="AI163" s="6" t="s">
        <v>4828</v>
      </c>
      <c r="AJ163" s="6" t="s">
        <v>8262</v>
      </c>
      <c r="AK163" s="6" t="s">
        <v>8263</v>
      </c>
      <c r="AL163" s="6" t="s">
        <v>168</v>
      </c>
      <c r="AM163" s="6" t="s">
        <v>8264</v>
      </c>
      <c r="AN163" s="6" t="s">
        <v>8256</v>
      </c>
      <c r="AO163" s="5" t="s">
        <v>162</v>
      </c>
      <c r="AR163" s="0" t="str">
        <f aca="false">IF(AND(AU163="pass",AO163&lt;&gt;"Y",C163&lt;&gt;""),"Y","N")</f>
        <v>N</v>
      </c>
      <c r="AS163" s="0" t="str">
        <f aca="false">_xlfn.TEXTJOIN("; ",TRUE(),IF(AU163&lt;&gt;"pass","gated out",""),IF(AO163="Y","on hold: "&amp;AP163,""),IF(C163="","no contact named on an opened page",""))</f>
        <v>no contact named on an opened page</v>
      </c>
      <c r="AU163" s="6" t="s">
        <v>181</v>
      </c>
      <c r="AW163" s="6" t="s">
        <v>182</v>
      </c>
      <c r="AX163" s="6" t="s">
        <v>283</v>
      </c>
      <c r="AY163" s="6" t="s">
        <v>8263</v>
      </c>
      <c r="AZ163" s="6" t="s">
        <v>5659</v>
      </c>
      <c r="BA163" s="6" t="s">
        <v>5331</v>
      </c>
      <c r="BB163" s="6" t="s">
        <v>163</v>
      </c>
      <c r="BD163" s="6" t="s">
        <v>168</v>
      </c>
      <c r="BE163" s="6" t="s">
        <v>8265</v>
      </c>
      <c r="BF163" s="6" t="s">
        <v>162</v>
      </c>
      <c r="BG163" s="6" t="s">
        <v>168</v>
      </c>
      <c r="BH163" s="6" t="s">
        <v>163</v>
      </c>
      <c r="BJ163" s="6" t="s">
        <v>163</v>
      </c>
      <c r="BK163" s="6" t="s">
        <v>162</v>
      </c>
      <c r="BL163" s="6" t="s">
        <v>162</v>
      </c>
      <c r="BN163" s="0" t="n">
        <v>0</v>
      </c>
      <c r="BO163" s="6" t="s">
        <v>168</v>
      </c>
      <c r="BP163" s="0" t="n">
        <v>1</v>
      </c>
      <c r="BQ163" s="6" t="s">
        <v>4638</v>
      </c>
      <c r="BS163" s="6" t="s">
        <v>4983</v>
      </c>
      <c r="BT163" s="6" t="s">
        <v>8266</v>
      </c>
      <c r="BU163" s="6" t="s">
        <v>158</v>
      </c>
      <c r="CF163" s="6" t="s">
        <v>158</v>
      </c>
      <c r="CK163" s="6" t="s">
        <v>158</v>
      </c>
      <c r="CL163" s="0" t="n">
        <v>38</v>
      </c>
      <c r="CM163" s="0" t="n">
        <v>25</v>
      </c>
      <c r="CN163" s="0" t="n">
        <v>3</v>
      </c>
      <c r="CO163" s="0" t="n">
        <v>0</v>
      </c>
      <c r="CP163" s="0" t="n">
        <v>5</v>
      </c>
      <c r="CQ163" s="0" t="n">
        <v>7</v>
      </c>
      <c r="CR163" s="0" t="n">
        <v>0</v>
      </c>
      <c r="CS163" s="6" t="n">
        <f aca="false">IF(R163="Y",10,0)</f>
        <v>0</v>
      </c>
      <c r="CT163" s="0" t="n">
        <v>-2</v>
      </c>
      <c r="CU163" s="6" t="s">
        <v>163</v>
      </c>
      <c r="CV163" s="6" t="s">
        <v>4843</v>
      </c>
      <c r="CW163" s="6" t="s">
        <v>8267</v>
      </c>
      <c r="CX163" s="6" t="s">
        <v>8268</v>
      </c>
      <c r="DA163" s="6" t="s">
        <v>6236</v>
      </c>
      <c r="DY163" s="0" t="str">
        <f aca="false">IF(ISNUMBER(MATCH(U163,{"queued","contacted","replied","call_booked","call_done","yes_in_principle","materials_sent"},0)),"Y","N")</f>
        <v>N</v>
      </c>
      <c r="DZ163" s="0" t="str">
        <f aca="false">IF(COUNTIFS($AN$2:$AN$1000,AN163,$DY$2:$DY$1000,"Y")+COUNTIFS($AN$2:$AN$1000,AN163,$T$2:$T$1000,"Y")&gt;0,"Y","N")</f>
        <v>N</v>
      </c>
      <c r="EA163" s="0" t="str">
        <f aca="false">IF(AND(U163="new",T163="N",AR163="Y",AQ163="",DZ163="N"),"Y","N")</f>
        <v>N</v>
      </c>
      <c r="EB163" s="0" t="str">
        <f aca="false">IF(EA163&lt;&gt;"Y","N",IF(COUNTIFS($AN$2:$AN$1000,AN163,$EA$2:$EA$1000,"Y",$J$2:$J$1000,"&gt;"&amp;J163)+COUNTIFS($AN$2:$AN$1000,AN163,$EA$2:$EA$1000,"Y",$J$2:$J$1000,J163,$ED$2:$ED$1000,"&lt;"&amp;ED163)=0,"Y","N"))</f>
        <v>N</v>
      </c>
      <c r="EC163" s="0" t="str">
        <f aca="false">IF(Y163="","N",IF(Y163&lt;=10,"Y","N"))</f>
        <v>N</v>
      </c>
      <c r="ED163" s="6" t="n">
        <f aca="false">ROW()-1</f>
        <v>162</v>
      </c>
    </row>
    <row r="164" customFormat="false" ht="15" hidden="false" customHeight="false" outlineLevel="0" collapsed="false">
      <c r="A164" s="0" t="s">
        <v>8269</v>
      </c>
      <c r="B164" s="0" t="s">
        <v>8270</v>
      </c>
      <c r="H164" s="5" t="s">
        <v>158</v>
      </c>
      <c r="I164" s="5"/>
      <c r="J164" s="6" t="n">
        <f aca="false">IF(AU164="pass",CM164+CN164+CO164+CP164+CQ164+CR164+CS164+CT164,0)</f>
        <v>38</v>
      </c>
      <c r="K164" s="6" t="s">
        <v>8271</v>
      </c>
      <c r="M164" s="6" t="s">
        <v>4581</v>
      </c>
      <c r="N164" s="6" t="s">
        <v>4582</v>
      </c>
      <c r="O164" s="6" t="s">
        <v>8272</v>
      </c>
      <c r="P164" s="6" t="s">
        <v>8273</v>
      </c>
      <c r="R164" s="5" t="s">
        <v>162</v>
      </c>
      <c r="S164" s="6" t="s">
        <v>163</v>
      </c>
      <c r="T164" s="5" t="s">
        <v>162</v>
      </c>
      <c r="U164" s="5" t="s">
        <v>228</v>
      </c>
      <c r="V164" s="6" t="s">
        <v>8273</v>
      </c>
      <c r="W164" s="6" t="s">
        <v>166</v>
      </c>
      <c r="X164" s="6" t="s">
        <v>4586</v>
      </c>
      <c r="Y164" s="0" t="str">
        <f aca="false">IF(EB164&lt;&gt;"Y","",COUNTIFS($EB$2:$EB$1000,"Y",$J$2:$J$1000,"&gt;"&amp;J164)+COUNTIFS($EB$2:$EB$1000,"Y",$J$2:$J$1000,J164,$ED$2:$ED$1000,"&lt;"&amp;ED164)+1)</f>
        <v/>
      </c>
      <c r="Z164" s="0" t="n">
        <v>163</v>
      </c>
      <c r="AA164" s="6" t="s">
        <v>162</v>
      </c>
      <c r="AB164" s="6" t="s">
        <v>8274</v>
      </c>
      <c r="AC164" s="6" t="s">
        <v>4588</v>
      </c>
      <c r="AD164" s="6" t="s">
        <v>598</v>
      </c>
      <c r="AE164" s="6" t="s">
        <v>163</v>
      </c>
      <c r="AG164" s="6" t="s">
        <v>166</v>
      </c>
      <c r="AH164" s="6" t="s">
        <v>8275</v>
      </c>
      <c r="AI164" s="6" t="s">
        <v>4828</v>
      </c>
      <c r="AJ164" s="6" t="s">
        <v>8276</v>
      </c>
      <c r="AL164" s="6" t="s">
        <v>168</v>
      </c>
      <c r="AM164" s="6" t="s">
        <v>8277</v>
      </c>
      <c r="AN164" s="6" t="s">
        <v>8269</v>
      </c>
      <c r="AO164" s="5" t="s">
        <v>162</v>
      </c>
      <c r="AR164" s="0" t="str">
        <f aca="false">IF(AND(AU164="pass",AO164&lt;&gt;"Y",C164&lt;&gt;""),"Y","N")</f>
        <v>N</v>
      </c>
      <c r="AS164" s="0" t="str">
        <f aca="false">_xlfn.TEXTJOIN("; ",TRUE(),IF(AU164&lt;&gt;"pass","gated out",""),IF(AO164="Y","on hold: "&amp;AP164,""),IF(C164="","no contact named on an opened page",""))</f>
        <v>no contact named on an opened page</v>
      </c>
      <c r="AU164" s="6" t="s">
        <v>181</v>
      </c>
      <c r="AW164" s="6" t="s">
        <v>182</v>
      </c>
      <c r="AX164" s="6" t="s">
        <v>283</v>
      </c>
      <c r="AY164" s="6" t="s">
        <v>8278</v>
      </c>
      <c r="AZ164" s="6" t="s">
        <v>6875</v>
      </c>
      <c r="BA164" s="6" t="s">
        <v>5060</v>
      </c>
      <c r="BB164" s="6" t="s">
        <v>163</v>
      </c>
      <c r="BD164" s="6" t="s">
        <v>168</v>
      </c>
      <c r="BE164" s="6" t="s">
        <v>8279</v>
      </c>
      <c r="BF164" s="6" t="s">
        <v>162</v>
      </c>
      <c r="BG164" s="6" t="s">
        <v>162</v>
      </c>
      <c r="BH164" s="6" t="s">
        <v>163</v>
      </c>
      <c r="BJ164" s="6" t="s">
        <v>163</v>
      </c>
      <c r="BK164" s="6" t="s">
        <v>162</v>
      </c>
      <c r="BL164" s="6" t="s">
        <v>162</v>
      </c>
      <c r="BN164" s="0" t="n">
        <v>0</v>
      </c>
      <c r="BO164" s="6" t="s">
        <v>168</v>
      </c>
      <c r="BP164" s="0" t="n">
        <v>3</v>
      </c>
      <c r="BQ164" s="6" t="s">
        <v>4670</v>
      </c>
      <c r="BS164" s="6" t="s">
        <v>4983</v>
      </c>
      <c r="BT164" s="6" t="s">
        <v>8280</v>
      </c>
      <c r="BU164" s="6" t="s">
        <v>158</v>
      </c>
      <c r="BX164" s="6" t="s">
        <v>8281</v>
      </c>
      <c r="BY164" s="6" t="s">
        <v>8282</v>
      </c>
      <c r="CA164" s="6" t="s">
        <v>8283</v>
      </c>
      <c r="CE164" s="6" t="s">
        <v>6725</v>
      </c>
      <c r="CF164" s="6" t="s">
        <v>598</v>
      </c>
      <c r="CG164" s="6" t="s">
        <v>8282</v>
      </c>
      <c r="CK164" s="6" t="s">
        <v>158</v>
      </c>
      <c r="CL164" s="0" t="n">
        <v>38</v>
      </c>
      <c r="CM164" s="0" t="n">
        <v>25</v>
      </c>
      <c r="CN164" s="0" t="n">
        <v>3</v>
      </c>
      <c r="CO164" s="0" t="n">
        <v>0</v>
      </c>
      <c r="CP164" s="0" t="n">
        <v>5</v>
      </c>
      <c r="CQ164" s="0" t="n">
        <v>4</v>
      </c>
      <c r="CR164" s="0" t="n">
        <v>3</v>
      </c>
      <c r="CS164" s="6" t="n">
        <f aca="false">IF(R164="Y",10,0)</f>
        <v>0</v>
      </c>
      <c r="CT164" s="0" t="n">
        <v>-2</v>
      </c>
      <c r="CU164" s="6" t="s">
        <v>163</v>
      </c>
      <c r="CV164" s="6" t="s">
        <v>4843</v>
      </c>
      <c r="CW164" s="6" t="s">
        <v>8284</v>
      </c>
      <c r="CX164" s="6" t="s">
        <v>8285</v>
      </c>
      <c r="DA164" s="6" t="s">
        <v>6236</v>
      </c>
      <c r="DC164" s="6" t="s">
        <v>163</v>
      </c>
      <c r="DY164" s="0" t="str">
        <f aca="false">IF(ISNUMBER(MATCH(U164,{"queued","contacted","replied","call_booked","call_done","yes_in_principle","materials_sent"},0)),"Y","N")</f>
        <v>N</v>
      </c>
      <c r="DZ164" s="0" t="str">
        <f aca="false">IF(COUNTIFS($AN$2:$AN$1000,AN164,$DY$2:$DY$1000,"Y")+COUNTIFS($AN$2:$AN$1000,AN164,$T$2:$T$1000,"Y")&gt;0,"Y","N")</f>
        <v>N</v>
      </c>
      <c r="EA164" s="0" t="str">
        <f aca="false">IF(AND(U164="new",T164="N",AR164="Y",AQ164="",DZ164="N"),"Y","N")</f>
        <v>N</v>
      </c>
      <c r="EB164" s="0" t="str">
        <f aca="false">IF(EA164&lt;&gt;"Y","N",IF(COUNTIFS($AN$2:$AN$1000,AN164,$EA$2:$EA$1000,"Y",$J$2:$J$1000,"&gt;"&amp;J164)+COUNTIFS($AN$2:$AN$1000,AN164,$EA$2:$EA$1000,"Y",$J$2:$J$1000,J164,$ED$2:$ED$1000,"&lt;"&amp;ED164)=0,"Y","N"))</f>
        <v>N</v>
      </c>
      <c r="EC164" s="0" t="str">
        <f aca="false">IF(Y164="","N",IF(Y164&lt;=10,"Y","N"))</f>
        <v>N</v>
      </c>
      <c r="ED164" s="6" t="n">
        <f aca="false">ROW()-1</f>
        <v>163</v>
      </c>
    </row>
    <row r="165" customFormat="false" ht="15" hidden="false" customHeight="false" outlineLevel="0" collapsed="false">
      <c r="A165" s="0" t="s">
        <v>8286</v>
      </c>
      <c r="B165" s="0" t="s">
        <v>8287</v>
      </c>
      <c r="C165" s="0" t="s">
        <v>8288</v>
      </c>
      <c r="D165" s="0" t="s">
        <v>8289</v>
      </c>
      <c r="E165" s="0" t="s">
        <v>4626</v>
      </c>
      <c r="H165" s="5" t="s">
        <v>158</v>
      </c>
      <c r="I165" s="5" t="s">
        <v>159</v>
      </c>
      <c r="J165" s="6" t="n">
        <f aca="false">IF(AU165="pass",CM165+CN165+CO165+CP165+CQ165+CR165+CS165+CT165,0)</f>
        <v>38</v>
      </c>
      <c r="K165" s="6" t="s">
        <v>8290</v>
      </c>
      <c r="M165" s="6" t="s">
        <v>5293</v>
      </c>
      <c r="N165" s="6" t="s">
        <v>598</v>
      </c>
      <c r="O165" s="6" t="s">
        <v>8291</v>
      </c>
      <c r="P165" s="6" t="s">
        <v>8292</v>
      </c>
      <c r="Q165" s="6" t="s">
        <v>5650</v>
      </c>
      <c r="R165" s="5" t="s">
        <v>162</v>
      </c>
      <c r="S165" s="6" t="s">
        <v>163</v>
      </c>
      <c r="T165" s="5" t="s">
        <v>162</v>
      </c>
      <c r="U165" s="5" t="s">
        <v>228</v>
      </c>
      <c r="V165" s="6" t="s">
        <v>8293</v>
      </c>
      <c r="W165" s="6" t="s">
        <v>166</v>
      </c>
      <c r="X165" s="6" t="s">
        <v>4586</v>
      </c>
      <c r="Y165" s="6" t="n">
        <f aca="false">IF(EB165&lt;&gt;"Y","",COUNTIFS($EB$2:$EB$1000,"Y",$J$2:$J$1000,"&gt;"&amp;J165)+COUNTIFS($EB$2:$EB$1000,"Y",$J$2:$J$1000,J165,$ED$2:$ED$1000,"&lt;"&amp;ED165)+1)</f>
        <v>130</v>
      </c>
      <c r="Z165" s="0" t="n">
        <v>164</v>
      </c>
      <c r="AA165" s="6" t="s">
        <v>162</v>
      </c>
      <c r="AB165" s="6" t="s">
        <v>8294</v>
      </c>
      <c r="AC165" s="6" t="s">
        <v>4588</v>
      </c>
      <c r="AD165" s="6" t="s">
        <v>171</v>
      </c>
      <c r="AE165" s="6" t="s">
        <v>172</v>
      </c>
      <c r="AF165" s="6" t="s">
        <v>8293</v>
      </c>
      <c r="AG165" s="6" t="s">
        <v>166</v>
      </c>
      <c r="AH165" s="6" t="s">
        <v>8295</v>
      </c>
      <c r="AI165" s="6" t="s">
        <v>5926</v>
      </c>
      <c r="AJ165" s="6" t="s">
        <v>8296</v>
      </c>
      <c r="AK165" s="6" t="s">
        <v>8297</v>
      </c>
      <c r="AL165" s="6" t="s">
        <v>168</v>
      </c>
      <c r="AM165" s="6" t="s">
        <v>8298</v>
      </c>
      <c r="AN165" s="6" t="s">
        <v>8286</v>
      </c>
      <c r="AO165" s="5" t="s">
        <v>162</v>
      </c>
      <c r="AR165" s="0" t="str">
        <f aca="false">IF(AND(AU165="pass",AO165&lt;&gt;"Y",C165&lt;&gt;""),"Y","N")</f>
        <v>Y</v>
      </c>
      <c r="AS165" s="0" t="str">
        <f aca="false">_xlfn.TEXTJOIN("; ",TRUE(),IF(AU165&lt;&gt;"pass","gated out",""),IF(AO165="Y","on hold: "&amp;AP165,""),IF(C165="","no contact named on an opened page",""))</f>
        <v/>
      </c>
      <c r="AU165" s="6" t="s">
        <v>181</v>
      </c>
      <c r="AW165" s="6" t="s">
        <v>182</v>
      </c>
      <c r="AX165" s="6" t="s">
        <v>5223</v>
      </c>
      <c r="AY165" s="6" t="s">
        <v>8297</v>
      </c>
      <c r="AZ165" s="6" t="s">
        <v>5192</v>
      </c>
      <c r="BA165" s="6" t="s">
        <v>5193</v>
      </c>
      <c r="BB165" s="6" t="s">
        <v>8299</v>
      </c>
      <c r="BD165" s="6" t="s">
        <v>168</v>
      </c>
      <c r="BE165" s="6" t="s">
        <v>8300</v>
      </c>
      <c r="BF165" s="6" t="s">
        <v>168</v>
      </c>
      <c r="BG165" s="6" t="s">
        <v>168</v>
      </c>
      <c r="BH165" s="6" t="s">
        <v>163</v>
      </c>
      <c r="BJ165" s="6" t="s">
        <v>5551</v>
      </c>
      <c r="BK165" s="6" t="s">
        <v>162</v>
      </c>
      <c r="BL165" s="6" t="s">
        <v>162</v>
      </c>
      <c r="BO165" s="6" t="s">
        <v>162</v>
      </c>
      <c r="BP165" s="0" t="n">
        <v>0</v>
      </c>
      <c r="BS165" s="6" t="s">
        <v>8301</v>
      </c>
      <c r="BU165" s="6" t="s">
        <v>4605</v>
      </c>
      <c r="BV165" s="0" t="n">
        <v>66</v>
      </c>
      <c r="BX165" s="6" t="s">
        <v>8302</v>
      </c>
      <c r="CA165" s="6" t="s">
        <v>8303</v>
      </c>
      <c r="CB165" s="6" t="s">
        <v>8304</v>
      </c>
      <c r="CC165" s="6" t="s">
        <v>8305</v>
      </c>
      <c r="CD165" s="6" t="s">
        <v>4626</v>
      </c>
      <c r="CE165" s="6" t="s">
        <v>6725</v>
      </c>
      <c r="CF165" s="6" t="s">
        <v>171</v>
      </c>
      <c r="CK165" s="6" t="s">
        <v>158</v>
      </c>
      <c r="CL165" s="0" t="n">
        <v>38</v>
      </c>
      <c r="CM165" s="0" t="n">
        <v>6</v>
      </c>
      <c r="CN165" s="0" t="n">
        <v>8</v>
      </c>
      <c r="CO165" s="0" t="n">
        <v>15</v>
      </c>
      <c r="CP165" s="0" t="n">
        <v>5</v>
      </c>
      <c r="CQ165" s="0" t="n">
        <v>10</v>
      </c>
      <c r="CR165" s="0" t="n">
        <v>6</v>
      </c>
      <c r="CS165" s="6" t="n">
        <f aca="false">IF(R165="Y",10,0)</f>
        <v>0</v>
      </c>
      <c r="CT165" s="0" t="n">
        <v>-12</v>
      </c>
      <c r="CU165" s="6" t="s">
        <v>8306</v>
      </c>
      <c r="CV165" s="6" t="s">
        <v>5564</v>
      </c>
      <c r="CW165" s="6" t="s">
        <v>8307</v>
      </c>
      <c r="CX165" s="6" t="s">
        <v>8308</v>
      </c>
      <c r="CY165" s="6" t="s">
        <v>8309</v>
      </c>
      <c r="CZ165" s="6" t="s">
        <v>8293</v>
      </c>
      <c r="DA165" s="6" t="s">
        <v>6236</v>
      </c>
      <c r="DC165" s="6" t="s">
        <v>172</v>
      </c>
      <c r="DY165" s="0" t="str">
        <f aca="false">IF(ISNUMBER(MATCH(U165,{"queued","contacted","replied","call_booked","call_done","yes_in_principle","materials_sent"},0)),"Y","N")</f>
        <v>N</v>
      </c>
      <c r="DZ165" s="0" t="str">
        <f aca="false">IF(COUNTIFS($AN$2:$AN$1000,AN165,$DY$2:$DY$1000,"Y")+COUNTIFS($AN$2:$AN$1000,AN165,$T$2:$T$1000,"Y")&gt;0,"Y","N")</f>
        <v>N</v>
      </c>
      <c r="EA165" s="0" t="str">
        <f aca="false">IF(AND(U165="new",T165="N",AR165="Y",AQ165="",DZ165="N"),"Y","N")</f>
        <v>Y</v>
      </c>
      <c r="EB165" s="0" t="str">
        <f aca="false">IF(EA165&lt;&gt;"Y","N",IF(COUNTIFS($AN$2:$AN$1000,AN165,$EA$2:$EA$1000,"Y",$J$2:$J$1000,"&gt;"&amp;J165)+COUNTIFS($AN$2:$AN$1000,AN165,$EA$2:$EA$1000,"Y",$J$2:$J$1000,J165,$ED$2:$ED$1000,"&lt;"&amp;ED165)=0,"Y","N"))</f>
        <v>Y</v>
      </c>
      <c r="EC165" s="0" t="str">
        <f aca="false">IF(Y165="","N",IF(Y165&lt;=10,"Y","N"))</f>
        <v>N</v>
      </c>
      <c r="ED165" s="6" t="n">
        <f aca="false">ROW()-1</f>
        <v>164</v>
      </c>
    </row>
    <row r="166" customFormat="false" ht="15" hidden="false" customHeight="false" outlineLevel="0" collapsed="false">
      <c r="A166" s="0" t="s">
        <v>8310</v>
      </c>
      <c r="B166" s="0" t="s">
        <v>8311</v>
      </c>
      <c r="C166" s="0" t="s">
        <v>8312</v>
      </c>
      <c r="D166" s="0" t="s">
        <v>8313</v>
      </c>
      <c r="E166" s="0" t="s">
        <v>4773</v>
      </c>
      <c r="H166" s="5" t="s">
        <v>158</v>
      </c>
      <c r="I166" s="5" t="s">
        <v>159</v>
      </c>
      <c r="J166" s="6" t="n">
        <f aca="false">IF(AU166="pass",CM166+CN166+CO166+CP166+CQ166+CR166+CS166+CT166,0)</f>
        <v>38</v>
      </c>
      <c r="K166" s="6" t="s">
        <v>8314</v>
      </c>
      <c r="M166" s="6" t="s">
        <v>5293</v>
      </c>
      <c r="N166" s="6" t="s">
        <v>598</v>
      </c>
      <c r="O166" s="6" t="s">
        <v>8315</v>
      </c>
      <c r="P166" s="6" t="s">
        <v>8316</v>
      </c>
      <c r="Q166" s="6" t="s">
        <v>1432</v>
      </c>
      <c r="R166" s="5" t="s">
        <v>162</v>
      </c>
      <c r="S166" s="6" t="s">
        <v>163</v>
      </c>
      <c r="T166" s="5" t="s">
        <v>162</v>
      </c>
      <c r="U166" s="5" t="s">
        <v>228</v>
      </c>
      <c r="V166" s="6" t="s">
        <v>8317</v>
      </c>
      <c r="W166" s="6" t="s">
        <v>166</v>
      </c>
      <c r="X166" s="6" t="s">
        <v>4586</v>
      </c>
      <c r="Y166" s="6" t="n">
        <f aca="false">IF(EB166&lt;&gt;"Y","",COUNTIFS($EB$2:$EB$1000,"Y",$J$2:$J$1000,"&gt;"&amp;J166)+COUNTIFS($EB$2:$EB$1000,"Y",$J$2:$J$1000,J166,$ED$2:$ED$1000,"&lt;"&amp;ED166)+1)</f>
        <v>131</v>
      </c>
      <c r="Z166" s="0" t="n">
        <v>165</v>
      </c>
      <c r="AA166" s="6" t="s">
        <v>162</v>
      </c>
      <c r="AB166" s="6" t="s">
        <v>8318</v>
      </c>
      <c r="AC166" s="6" t="s">
        <v>4588</v>
      </c>
      <c r="AD166" s="6" t="s">
        <v>171</v>
      </c>
      <c r="AE166" s="6" t="s">
        <v>172</v>
      </c>
      <c r="AF166" s="6" t="s">
        <v>8317</v>
      </c>
      <c r="AG166" s="6" t="s">
        <v>166</v>
      </c>
      <c r="AH166" s="6" t="s">
        <v>8319</v>
      </c>
      <c r="AI166" s="6" t="s">
        <v>5926</v>
      </c>
      <c r="AJ166" s="6" t="s">
        <v>8320</v>
      </c>
      <c r="AK166" s="6" t="s">
        <v>8321</v>
      </c>
      <c r="AL166" s="6" t="s">
        <v>168</v>
      </c>
      <c r="AM166" s="6" t="s">
        <v>8322</v>
      </c>
      <c r="AN166" s="6" t="s">
        <v>8310</v>
      </c>
      <c r="AO166" s="5" t="s">
        <v>162</v>
      </c>
      <c r="AR166" s="0" t="str">
        <f aca="false">IF(AND(AU166="pass",AO166&lt;&gt;"Y",C166&lt;&gt;""),"Y","N")</f>
        <v>Y</v>
      </c>
      <c r="AS166" s="0" t="str">
        <f aca="false">_xlfn.TEXTJOIN("; ",TRUE(),IF(AU166&lt;&gt;"pass","gated out",""),IF(AO166="Y","on hold: "&amp;AP166,""),IF(C166="","no contact named on an opened page",""))</f>
        <v/>
      </c>
      <c r="AU166" s="6" t="s">
        <v>181</v>
      </c>
      <c r="AW166" s="6" t="s">
        <v>182</v>
      </c>
      <c r="AX166" s="6" t="s">
        <v>5223</v>
      </c>
      <c r="AY166" s="6" t="s">
        <v>8321</v>
      </c>
      <c r="AZ166" s="6" t="s">
        <v>4596</v>
      </c>
      <c r="BA166" s="6" t="s">
        <v>4953</v>
      </c>
      <c r="BB166" s="6" t="s">
        <v>163</v>
      </c>
      <c r="BD166" s="6" t="s">
        <v>168</v>
      </c>
      <c r="BE166" s="6" t="s">
        <v>8323</v>
      </c>
      <c r="BF166" s="6" t="s">
        <v>163</v>
      </c>
      <c r="BG166" s="6" t="s">
        <v>168</v>
      </c>
      <c r="BH166" s="6" t="s">
        <v>163</v>
      </c>
      <c r="BJ166" s="6" t="s">
        <v>5551</v>
      </c>
      <c r="BK166" s="6" t="s">
        <v>162</v>
      </c>
      <c r="BL166" s="6" t="s">
        <v>162</v>
      </c>
      <c r="BO166" s="6" t="s">
        <v>162</v>
      </c>
      <c r="BP166" s="0" t="n">
        <v>0</v>
      </c>
      <c r="BR166" s="6" t="s">
        <v>8091</v>
      </c>
      <c r="BS166" s="6" t="s">
        <v>8324</v>
      </c>
      <c r="BT166" s="6" t="s">
        <v>8325</v>
      </c>
      <c r="BU166" s="6" t="s">
        <v>4695</v>
      </c>
      <c r="BV166" s="0" t="n">
        <v>130</v>
      </c>
      <c r="BX166" s="6" t="s">
        <v>8326</v>
      </c>
      <c r="CA166" s="6" t="s">
        <v>8327</v>
      </c>
      <c r="CB166" s="6" t="s">
        <v>8328</v>
      </c>
      <c r="CC166" s="6" t="s">
        <v>8329</v>
      </c>
      <c r="CD166" s="6" t="s">
        <v>4761</v>
      </c>
      <c r="CE166" s="6" t="s">
        <v>6262</v>
      </c>
      <c r="CF166" s="6" t="s">
        <v>171</v>
      </c>
      <c r="CK166" s="6" t="s">
        <v>158</v>
      </c>
      <c r="CL166" s="0" t="n">
        <v>38</v>
      </c>
      <c r="CM166" s="0" t="n">
        <v>6</v>
      </c>
      <c r="CN166" s="0" t="n">
        <v>13</v>
      </c>
      <c r="CO166" s="0" t="n">
        <v>8</v>
      </c>
      <c r="CP166" s="0" t="n">
        <v>5</v>
      </c>
      <c r="CQ166" s="0" t="n">
        <v>8</v>
      </c>
      <c r="CR166" s="0" t="n">
        <v>10</v>
      </c>
      <c r="CS166" s="6" t="n">
        <f aca="false">IF(R166="Y",10,0)</f>
        <v>0</v>
      </c>
      <c r="CT166" s="0" t="n">
        <v>-12</v>
      </c>
      <c r="CU166" s="6" t="s">
        <v>8330</v>
      </c>
      <c r="CV166" s="6" t="s">
        <v>5564</v>
      </c>
      <c r="CW166" s="6" t="s">
        <v>8331</v>
      </c>
      <c r="CX166" s="6" t="s">
        <v>8332</v>
      </c>
      <c r="CY166" s="6" t="s">
        <v>8333</v>
      </c>
      <c r="CZ166" s="6" t="s">
        <v>8334</v>
      </c>
      <c r="DA166" s="6" t="s">
        <v>6236</v>
      </c>
      <c r="DC166" s="6" t="s">
        <v>1190</v>
      </c>
      <c r="DY166" s="0" t="str">
        <f aca="false">IF(ISNUMBER(MATCH(U166,{"queued","contacted","replied","call_booked","call_done","yes_in_principle","materials_sent"},0)),"Y","N")</f>
        <v>N</v>
      </c>
      <c r="DZ166" s="0" t="str">
        <f aca="false">IF(COUNTIFS($AN$2:$AN$1000,AN166,$DY$2:$DY$1000,"Y")+COUNTIFS($AN$2:$AN$1000,AN166,$T$2:$T$1000,"Y")&gt;0,"Y","N")</f>
        <v>N</v>
      </c>
      <c r="EA166" s="0" t="str">
        <f aca="false">IF(AND(U166="new",T166="N",AR166="Y",AQ166="",DZ166="N"),"Y","N")</f>
        <v>Y</v>
      </c>
      <c r="EB166" s="0" t="str">
        <f aca="false">IF(EA166&lt;&gt;"Y","N",IF(COUNTIFS($AN$2:$AN$1000,AN166,$EA$2:$EA$1000,"Y",$J$2:$J$1000,"&gt;"&amp;J166)+COUNTIFS($AN$2:$AN$1000,AN166,$EA$2:$EA$1000,"Y",$J$2:$J$1000,J166,$ED$2:$ED$1000,"&lt;"&amp;ED166)=0,"Y","N"))</f>
        <v>Y</v>
      </c>
      <c r="EC166" s="0" t="str">
        <f aca="false">IF(Y166="","N",IF(Y166&lt;=10,"Y","N"))</f>
        <v>N</v>
      </c>
      <c r="ED166" s="6" t="n">
        <f aca="false">ROW()-1</f>
        <v>165</v>
      </c>
    </row>
    <row r="167" customFormat="false" ht="15" hidden="false" customHeight="false" outlineLevel="0" collapsed="false">
      <c r="A167" s="0" t="s">
        <v>8335</v>
      </c>
      <c r="B167" s="0" t="s">
        <v>8336</v>
      </c>
      <c r="C167" s="0" t="s">
        <v>8337</v>
      </c>
      <c r="D167" s="0" t="s">
        <v>8338</v>
      </c>
      <c r="E167" s="0" t="s">
        <v>4626</v>
      </c>
      <c r="H167" s="5" t="s">
        <v>158</v>
      </c>
      <c r="I167" s="5" t="s">
        <v>159</v>
      </c>
      <c r="J167" s="6" t="n">
        <f aca="false">IF(AU167="pass",CM167+CN167+CO167+CP167+CQ167+CR167+CS167+CT167,0)</f>
        <v>38</v>
      </c>
      <c r="K167" s="6" t="s">
        <v>8339</v>
      </c>
      <c r="M167" s="6" t="s">
        <v>5293</v>
      </c>
      <c r="N167" s="6" t="s">
        <v>598</v>
      </c>
      <c r="O167" s="6" t="s">
        <v>8340</v>
      </c>
      <c r="P167" s="6" t="s">
        <v>8341</v>
      </c>
      <c r="Q167" s="6" t="s">
        <v>1948</v>
      </c>
      <c r="R167" s="5" t="s">
        <v>162</v>
      </c>
      <c r="S167" s="6" t="s">
        <v>163</v>
      </c>
      <c r="T167" s="5" t="s">
        <v>162</v>
      </c>
      <c r="U167" s="5" t="s">
        <v>228</v>
      </c>
      <c r="V167" s="6" t="s">
        <v>8342</v>
      </c>
      <c r="W167" s="6" t="s">
        <v>166</v>
      </c>
      <c r="X167" s="6" t="s">
        <v>4586</v>
      </c>
      <c r="Y167" s="6" t="n">
        <f aca="false">IF(EB167&lt;&gt;"Y","",COUNTIFS($EB$2:$EB$1000,"Y",$J$2:$J$1000,"&gt;"&amp;J167)+COUNTIFS($EB$2:$EB$1000,"Y",$J$2:$J$1000,J167,$ED$2:$ED$1000,"&lt;"&amp;ED167)+1)</f>
        <v>132</v>
      </c>
      <c r="Z167" s="0" t="n">
        <v>166</v>
      </c>
      <c r="AA167" s="6" t="s">
        <v>162</v>
      </c>
      <c r="AB167" s="6" t="s">
        <v>8343</v>
      </c>
      <c r="AC167" s="6" t="s">
        <v>4588</v>
      </c>
      <c r="AD167" s="6" t="s">
        <v>171</v>
      </c>
      <c r="AE167" s="6" t="s">
        <v>1190</v>
      </c>
      <c r="AF167" s="6" t="s">
        <v>8341</v>
      </c>
      <c r="AG167" s="6" t="s">
        <v>166</v>
      </c>
      <c r="AH167" s="6" t="s">
        <v>8344</v>
      </c>
      <c r="AI167" s="6" t="s">
        <v>5926</v>
      </c>
      <c r="AJ167" s="6" t="s">
        <v>8345</v>
      </c>
      <c r="AK167" s="6" t="s">
        <v>8346</v>
      </c>
      <c r="AL167" s="6" t="s">
        <v>168</v>
      </c>
      <c r="AM167" s="6" t="s">
        <v>8347</v>
      </c>
      <c r="AN167" s="6" t="s">
        <v>8335</v>
      </c>
      <c r="AO167" s="5" t="s">
        <v>162</v>
      </c>
      <c r="AR167" s="0" t="str">
        <f aca="false">IF(AND(AU167="pass",AO167&lt;&gt;"Y",C167&lt;&gt;""),"Y","N")</f>
        <v>Y</v>
      </c>
      <c r="AS167" s="0" t="str">
        <f aca="false">_xlfn.TEXTJOIN("; ",TRUE(),IF(AU167&lt;&gt;"pass","gated out",""),IF(AO167="Y","on hold: "&amp;AP167,""),IF(C167="","no contact named on an opened page",""))</f>
        <v/>
      </c>
      <c r="AU167" s="6" t="s">
        <v>181</v>
      </c>
      <c r="AW167" s="6" t="s">
        <v>182</v>
      </c>
      <c r="AX167" s="6" t="s">
        <v>283</v>
      </c>
      <c r="AY167" s="6" t="s">
        <v>8348</v>
      </c>
      <c r="AZ167" s="6" t="s">
        <v>5659</v>
      </c>
      <c r="BA167" s="6" t="s">
        <v>5331</v>
      </c>
      <c r="BB167" s="6" t="s">
        <v>163</v>
      </c>
      <c r="BD167" s="6" t="s">
        <v>163</v>
      </c>
      <c r="BE167" s="6" t="s">
        <v>6389</v>
      </c>
      <c r="BF167" s="6" t="s">
        <v>168</v>
      </c>
      <c r="BG167" s="6" t="s">
        <v>168</v>
      </c>
      <c r="BH167" s="6" t="s">
        <v>6458</v>
      </c>
      <c r="BI167" s="6" t="s">
        <v>8349</v>
      </c>
      <c r="BJ167" s="6" t="s">
        <v>8350</v>
      </c>
      <c r="BK167" s="6" t="s">
        <v>162</v>
      </c>
      <c r="BL167" s="6" t="s">
        <v>162</v>
      </c>
      <c r="BO167" s="6" t="s">
        <v>162</v>
      </c>
      <c r="BP167" s="0" t="n">
        <v>0</v>
      </c>
      <c r="BR167" s="6" t="s">
        <v>8091</v>
      </c>
      <c r="BS167" s="6" t="s">
        <v>8351</v>
      </c>
      <c r="BT167" s="6" t="s">
        <v>8352</v>
      </c>
      <c r="BU167" s="6" t="s">
        <v>4695</v>
      </c>
      <c r="BV167" s="0" t="n">
        <v>16</v>
      </c>
      <c r="BX167" s="6" t="s">
        <v>8353</v>
      </c>
      <c r="CA167" s="6" t="s">
        <v>8354</v>
      </c>
      <c r="CB167" s="6" t="s">
        <v>8355</v>
      </c>
      <c r="CC167" s="6" t="s">
        <v>8338</v>
      </c>
      <c r="CD167" s="6" t="s">
        <v>4626</v>
      </c>
      <c r="CE167" s="6" t="s">
        <v>6725</v>
      </c>
      <c r="CF167" s="6" t="s">
        <v>171</v>
      </c>
      <c r="CK167" s="6" t="s">
        <v>158</v>
      </c>
      <c r="CL167" s="0" t="n">
        <v>38</v>
      </c>
      <c r="CM167" s="0" t="n">
        <v>6</v>
      </c>
      <c r="CN167" s="0" t="n">
        <v>3</v>
      </c>
      <c r="CO167" s="0" t="n">
        <v>8</v>
      </c>
      <c r="CP167" s="0" t="n">
        <v>10</v>
      </c>
      <c r="CQ167" s="0" t="n">
        <v>7</v>
      </c>
      <c r="CR167" s="0" t="n">
        <v>6</v>
      </c>
      <c r="CS167" s="6" t="n">
        <f aca="false">IF(R167="Y",10,0)</f>
        <v>0</v>
      </c>
      <c r="CT167" s="0" t="n">
        <v>-2</v>
      </c>
      <c r="CU167" s="6" t="s">
        <v>163</v>
      </c>
      <c r="CV167" s="6" t="s">
        <v>5564</v>
      </c>
      <c r="CW167" s="6" t="s">
        <v>8356</v>
      </c>
      <c r="CX167" s="6" t="s">
        <v>8357</v>
      </c>
      <c r="CY167" s="6" t="s">
        <v>8358</v>
      </c>
      <c r="CZ167" s="6" t="s">
        <v>8341</v>
      </c>
      <c r="DA167" s="6" t="s">
        <v>6236</v>
      </c>
      <c r="DC167" s="6" t="s">
        <v>1190</v>
      </c>
      <c r="DY167" s="0" t="str">
        <f aca="false">IF(ISNUMBER(MATCH(U167,{"queued","contacted","replied","call_booked","call_done","yes_in_principle","materials_sent"},0)),"Y","N")</f>
        <v>N</v>
      </c>
      <c r="DZ167" s="0" t="str">
        <f aca="false">IF(COUNTIFS($AN$2:$AN$1000,AN167,$DY$2:$DY$1000,"Y")+COUNTIFS($AN$2:$AN$1000,AN167,$T$2:$T$1000,"Y")&gt;0,"Y","N")</f>
        <v>N</v>
      </c>
      <c r="EA167" s="0" t="str">
        <f aca="false">IF(AND(U167="new",T167="N",AR167="Y",AQ167="",DZ167="N"),"Y","N")</f>
        <v>Y</v>
      </c>
      <c r="EB167" s="0" t="str">
        <f aca="false">IF(EA167&lt;&gt;"Y","N",IF(COUNTIFS($AN$2:$AN$1000,AN167,$EA$2:$EA$1000,"Y",$J$2:$J$1000,"&gt;"&amp;J167)+COUNTIFS($AN$2:$AN$1000,AN167,$EA$2:$EA$1000,"Y",$J$2:$J$1000,J167,$ED$2:$ED$1000,"&lt;"&amp;ED167)=0,"Y","N"))</f>
        <v>Y</v>
      </c>
      <c r="EC167" s="0" t="str">
        <f aca="false">IF(Y167="","N",IF(Y167&lt;=10,"Y","N"))</f>
        <v>N</v>
      </c>
      <c r="ED167" s="6" t="n">
        <f aca="false">ROW()-1</f>
        <v>166</v>
      </c>
    </row>
    <row r="168" customFormat="false" ht="15" hidden="false" customHeight="false" outlineLevel="0" collapsed="false">
      <c r="A168" s="0" t="s">
        <v>8359</v>
      </c>
      <c r="B168" s="0" t="s">
        <v>8360</v>
      </c>
      <c r="C168" s="0" t="s">
        <v>7864</v>
      </c>
      <c r="D168" s="0" t="s">
        <v>163</v>
      </c>
      <c r="E168" s="0" t="s">
        <v>5704</v>
      </c>
      <c r="H168" s="5" t="s">
        <v>158</v>
      </c>
      <c r="I168" s="5" t="s">
        <v>159</v>
      </c>
      <c r="J168" s="6" t="n">
        <f aca="false">IF(AU168="pass",CM168+CN168+CO168+CP168+CQ168+CR168+CS168+CT168,0)</f>
        <v>38</v>
      </c>
      <c r="K168" s="6" t="s">
        <v>8361</v>
      </c>
      <c r="M168" s="6" t="s">
        <v>5293</v>
      </c>
      <c r="N168" s="6" t="s">
        <v>598</v>
      </c>
      <c r="O168" s="6" t="s">
        <v>8362</v>
      </c>
      <c r="P168" s="6" t="s">
        <v>8363</v>
      </c>
      <c r="Q168" s="6" t="s">
        <v>6736</v>
      </c>
      <c r="R168" s="5" t="s">
        <v>162</v>
      </c>
      <c r="S168" s="6" t="s">
        <v>163</v>
      </c>
      <c r="T168" s="5" t="s">
        <v>162</v>
      </c>
      <c r="U168" s="5" t="s">
        <v>228</v>
      </c>
      <c r="V168" s="6" t="s">
        <v>8364</v>
      </c>
      <c r="W168" s="6" t="s">
        <v>174</v>
      </c>
      <c r="X168" s="6" t="s">
        <v>4586</v>
      </c>
      <c r="Y168" s="6" t="n">
        <f aca="false">IF(EB168&lt;&gt;"Y","",COUNTIFS($EB$2:$EB$1000,"Y",$J$2:$J$1000,"&gt;"&amp;J168)+COUNTIFS($EB$2:$EB$1000,"Y",$J$2:$J$1000,J168,$ED$2:$ED$1000,"&lt;"&amp;ED168)+1)</f>
        <v>133</v>
      </c>
      <c r="Z168" s="0" t="n">
        <v>167</v>
      </c>
      <c r="AA168" s="6" t="s">
        <v>162</v>
      </c>
      <c r="AB168" s="6" t="s">
        <v>8365</v>
      </c>
      <c r="AC168" s="6" t="s">
        <v>4588</v>
      </c>
      <c r="AD168" s="6" t="s">
        <v>5010</v>
      </c>
      <c r="AE168" s="6" t="s">
        <v>172</v>
      </c>
      <c r="AF168" s="6" t="s">
        <v>8366</v>
      </c>
      <c r="AG168" s="6" t="s">
        <v>174</v>
      </c>
      <c r="AH168" s="6" t="s">
        <v>8367</v>
      </c>
      <c r="AI168" s="6" t="s">
        <v>4665</v>
      </c>
      <c r="AJ168" s="6" t="s">
        <v>163</v>
      </c>
      <c r="AK168" s="6" t="s">
        <v>8368</v>
      </c>
      <c r="AL168" s="6" t="s">
        <v>168</v>
      </c>
      <c r="AM168" s="6" t="s">
        <v>8369</v>
      </c>
      <c r="AN168" s="6" t="s">
        <v>8359</v>
      </c>
      <c r="AO168" s="5" t="s">
        <v>162</v>
      </c>
      <c r="AR168" s="0" t="str">
        <f aca="false">IF(AND(AU168="pass",AO168&lt;&gt;"Y",C168&lt;&gt;""),"Y","N")</f>
        <v>Y</v>
      </c>
      <c r="AS168" s="0" t="str">
        <f aca="false">_xlfn.TEXTJOIN("; ",TRUE(),IF(AU168&lt;&gt;"pass","gated out",""),IF(AO168="Y","on hold: "&amp;AP168,""),IF(C168="","no contact named on an opened page",""))</f>
        <v/>
      </c>
      <c r="AU168" s="6" t="s">
        <v>181</v>
      </c>
      <c r="AW168" s="6" t="s">
        <v>182</v>
      </c>
      <c r="AX168" s="6" t="s">
        <v>283</v>
      </c>
      <c r="AY168" s="6" t="s">
        <v>8368</v>
      </c>
      <c r="AZ168" s="6" t="s">
        <v>6691</v>
      </c>
      <c r="BA168" s="6" t="s">
        <v>5193</v>
      </c>
      <c r="BB168" s="6" t="s">
        <v>163</v>
      </c>
      <c r="BD168" s="6" t="s">
        <v>168</v>
      </c>
      <c r="BE168" s="6" t="s">
        <v>8370</v>
      </c>
      <c r="BF168" s="6" t="s">
        <v>168</v>
      </c>
      <c r="BG168" s="6" t="s">
        <v>168</v>
      </c>
      <c r="BH168" s="6" t="s">
        <v>163</v>
      </c>
      <c r="BJ168" s="6" t="s">
        <v>5145</v>
      </c>
      <c r="BK168" s="6" t="s">
        <v>162</v>
      </c>
      <c r="BL168" s="6" t="s">
        <v>162</v>
      </c>
      <c r="BO168" s="6" t="s">
        <v>162</v>
      </c>
      <c r="BP168" s="0" t="n">
        <v>0</v>
      </c>
      <c r="BS168" s="6" t="s">
        <v>8371</v>
      </c>
      <c r="BU168" s="6" t="s">
        <v>4695</v>
      </c>
      <c r="BV168" s="0" t="n">
        <v>60</v>
      </c>
      <c r="BX168" s="6" t="s">
        <v>7864</v>
      </c>
      <c r="CA168" s="6" t="s">
        <v>8372</v>
      </c>
      <c r="CB168" s="6" t="s">
        <v>8373</v>
      </c>
      <c r="CC168" s="6" t="s">
        <v>8374</v>
      </c>
      <c r="CD168" s="6" t="s">
        <v>5704</v>
      </c>
      <c r="CE168" s="6" t="s">
        <v>6725</v>
      </c>
      <c r="CF168" s="6" t="s">
        <v>171</v>
      </c>
      <c r="CK168" s="6" t="s">
        <v>158</v>
      </c>
      <c r="CL168" s="0" t="n">
        <v>38</v>
      </c>
      <c r="CM168" s="0" t="n">
        <v>6</v>
      </c>
      <c r="CN168" s="0" t="n">
        <v>8</v>
      </c>
      <c r="CO168" s="0" t="n">
        <v>8</v>
      </c>
      <c r="CP168" s="0" t="n">
        <v>5</v>
      </c>
      <c r="CQ168" s="0" t="n">
        <v>10</v>
      </c>
      <c r="CR168" s="0" t="n">
        <v>3</v>
      </c>
      <c r="CS168" s="6" t="n">
        <f aca="false">IF(R168="Y",10,0)</f>
        <v>0</v>
      </c>
      <c r="CT168" s="0" t="n">
        <v>-2</v>
      </c>
      <c r="CU168" s="6" t="s">
        <v>8375</v>
      </c>
      <c r="CV168" s="6" t="s">
        <v>5152</v>
      </c>
      <c r="CW168" s="6" t="s">
        <v>8376</v>
      </c>
      <c r="CX168" s="6" t="s">
        <v>8377</v>
      </c>
      <c r="CZ168" s="6" t="s">
        <v>8366</v>
      </c>
      <c r="DA168" s="6" t="s">
        <v>6236</v>
      </c>
      <c r="DC168" s="6" t="s">
        <v>172</v>
      </c>
      <c r="DY168" s="0" t="str">
        <f aca="false">IF(ISNUMBER(MATCH(U168,{"queued","contacted","replied","call_booked","call_done","yes_in_principle","materials_sent"},0)),"Y","N")</f>
        <v>N</v>
      </c>
      <c r="DZ168" s="0" t="str">
        <f aca="false">IF(COUNTIFS($AN$2:$AN$1000,AN168,$DY$2:$DY$1000,"Y")+COUNTIFS($AN$2:$AN$1000,AN168,$T$2:$T$1000,"Y")&gt;0,"Y","N")</f>
        <v>N</v>
      </c>
      <c r="EA168" s="0" t="str">
        <f aca="false">IF(AND(U168="new",T168="N",AR168="Y",AQ168="",DZ168="N"),"Y","N")</f>
        <v>Y</v>
      </c>
      <c r="EB168" s="0" t="str">
        <f aca="false">IF(EA168&lt;&gt;"Y","N",IF(COUNTIFS($AN$2:$AN$1000,AN168,$EA$2:$EA$1000,"Y",$J$2:$J$1000,"&gt;"&amp;J168)+COUNTIFS($AN$2:$AN$1000,AN168,$EA$2:$EA$1000,"Y",$J$2:$J$1000,J168,$ED$2:$ED$1000,"&lt;"&amp;ED168)=0,"Y","N"))</f>
        <v>Y</v>
      </c>
      <c r="EC168" s="0" t="str">
        <f aca="false">IF(Y168="","N",IF(Y168&lt;=10,"Y","N"))</f>
        <v>N</v>
      </c>
      <c r="ED168" s="6" t="n">
        <f aca="false">ROW()-1</f>
        <v>167</v>
      </c>
    </row>
    <row r="169" customFormat="false" ht="15" hidden="false" customHeight="false" outlineLevel="0" collapsed="false">
      <c r="A169" s="0" t="s">
        <v>8378</v>
      </c>
      <c r="B169" s="0" t="s">
        <v>8379</v>
      </c>
      <c r="H169" s="5" t="s">
        <v>158</v>
      </c>
      <c r="I169" s="5"/>
      <c r="J169" s="6" t="n">
        <f aca="false">IF(AU169="pass",CM169+CN169+CO169+CP169+CQ169+CR169+CS169+CT169,0)</f>
        <v>38</v>
      </c>
      <c r="K169" s="6" t="s">
        <v>8380</v>
      </c>
      <c r="M169" s="6" t="s">
        <v>5293</v>
      </c>
      <c r="N169" s="6" t="s">
        <v>598</v>
      </c>
      <c r="O169" s="6" t="s">
        <v>8381</v>
      </c>
      <c r="P169" s="6" t="s">
        <v>8382</v>
      </c>
      <c r="Q169" s="6" t="s">
        <v>610</v>
      </c>
      <c r="R169" s="5" t="s">
        <v>162</v>
      </c>
      <c r="S169" s="6" t="s">
        <v>163</v>
      </c>
      <c r="T169" s="5" t="s">
        <v>162</v>
      </c>
      <c r="U169" s="5" t="s">
        <v>228</v>
      </c>
      <c r="V169" s="6" t="s">
        <v>8383</v>
      </c>
      <c r="W169" s="6" t="s">
        <v>174</v>
      </c>
      <c r="X169" s="6" t="s">
        <v>4586</v>
      </c>
      <c r="Y169" s="0" t="str">
        <f aca="false">IF(EB169&lt;&gt;"Y","",COUNTIFS($EB$2:$EB$1000,"Y",$J$2:$J$1000,"&gt;"&amp;J169)+COUNTIFS($EB$2:$EB$1000,"Y",$J$2:$J$1000,J169,$ED$2:$ED$1000,"&lt;"&amp;ED169)+1)</f>
        <v/>
      </c>
      <c r="Z169" s="0" t="n">
        <v>168</v>
      </c>
      <c r="AA169" s="6" t="s">
        <v>162</v>
      </c>
      <c r="AB169" s="6" t="s">
        <v>8384</v>
      </c>
      <c r="AD169" s="6" t="s">
        <v>158</v>
      </c>
      <c r="AH169" s="6" t="s">
        <v>8385</v>
      </c>
      <c r="AI169" s="6" t="s">
        <v>4634</v>
      </c>
      <c r="AJ169" s="6" t="s">
        <v>4635</v>
      </c>
      <c r="AK169" s="6" t="s">
        <v>8386</v>
      </c>
      <c r="AL169" s="6" t="s">
        <v>168</v>
      </c>
      <c r="AM169" s="6" t="s">
        <v>8387</v>
      </c>
      <c r="AN169" s="6" t="s">
        <v>8378</v>
      </c>
      <c r="AO169" s="5" t="s">
        <v>162</v>
      </c>
      <c r="AR169" s="0" t="str">
        <f aca="false">IF(AND(AU169="pass",AO169&lt;&gt;"Y",C169&lt;&gt;""),"Y","N")</f>
        <v>N</v>
      </c>
      <c r="AS169" s="0" t="str">
        <f aca="false">_xlfn.TEXTJOIN("; ",TRUE(),IF(AU169&lt;&gt;"pass","gated out",""),IF(AO169="Y","on hold: "&amp;AP169,""),IF(C169="","no contact named on an opened page",""))</f>
        <v>no contact named on an opened page</v>
      </c>
      <c r="AU169" s="6" t="s">
        <v>181</v>
      </c>
      <c r="AW169" s="6" t="s">
        <v>182</v>
      </c>
      <c r="AX169" s="6" t="s">
        <v>5518</v>
      </c>
      <c r="AY169" s="6" t="s">
        <v>8386</v>
      </c>
      <c r="AZ169" s="6" t="s">
        <v>4596</v>
      </c>
      <c r="BA169" s="6" t="s">
        <v>4597</v>
      </c>
      <c r="BB169" s="6" t="s">
        <v>163</v>
      </c>
      <c r="BD169" s="6" t="s">
        <v>168</v>
      </c>
      <c r="BE169" s="6" t="s">
        <v>8388</v>
      </c>
      <c r="BF169" s="6" t="s">
        <v>162</v>
      </c>
      <c r="BG169" s="6" t="s">
        <v>168</v>
      </c>
      <c r="BH169" s="6" t="s">
        <v>163</v>
      </c>
      <c r="BJ169" s="6" t="s">
        <v>5145</v>
      </c>
      <c r="BK169" s="6" t="s">
        <v>162</v>
      </c>
      <c r="BL169" s="6" t="s">
        <v>162</v>
      </c>
      <c r="BO169" s="6" t="s">
        <v>162</v>
      </c>
      <c r="BP169" s="0" t="n">
        <v>0</v>
      </c>
      <c r="BS169" s="6" t="s">
        <v>8389</v>
      </c>
      <c r="BU169" s="6" t="s">
        <v>4695</v>
      </c>
      <c r="BV169" s="0" t="n">
        <v>248</v>
      </c>
      <c r="CF169" s="6" t="s">
        <v>158</v>
      </c>
      <c r="CK169" s="6" t="s">
        <v>158</v>
      </c>
      <c r="CL169" s="0" t="n">
        <v>38</v>
      </c>
      <c r="CM169" s="0" t="n">
        <v>6</v>
      </c>
      <c r="CN169" s="0" t="n">
        <v>20</v>
      </c>
      <c r="CO169" s="0" t="n">
        <v>4</v>
      </c>
      <c r="CP169" s="0" t="n">
        <v>5</v>
      </c>
      <c r="CQ169" s="0" t="n">
        <v>7</v>
      </c>
      <c r="CR169" s="0" t="n">
        <v>0</v>
      </c>
      <c r="CS169" s="6" t="n">
        <f aca="false">IF(R169="Y",10,0)</f>
        <v>0</v>
      </c>
      <c r="CT169" s="0" t="n">
        <v>-4</v>
      </c>
      <c r="CU169" s="6" t="s">
        <v>8390</v>
      </c>
      <c r="CV169" s="6" t="s">
        <v>5152</v>
      </c>
      <c r="CW169" s="6" t="s">
        <v>8391</v>
      </c>
      <c r="CX169" s="6" t="s">
        <v>8392</v>
      </c>
      <c r="DA169" s="6" t="s">
        <v>6236</v>
      </c>
      <c r="DY169" s="0" t="str">
        <f aca="false">IF(ISNUMBER(MATCH(U169,{"queued","contacted","replied","call_booked","call_done","yes_in_principle","materials_sent"},0)),"Y","N")</f>
        <v>N</v>
      </c>
      <c r="DZ169" s="0" t="str">
        <f aca="false">IF(COUNTIFS($AN$2:$AN$1000,AN169,$DY$2:$DY$1000,"Y")+COUNTIFS($AN$2:$AN$1000,AN169,$T$2:$T$1000,"Y")&gt;0,"Y","N")</f>
        <v>N</v>
      </c>
      <c r="EA169" s="0" t="str">
        <f aca="false">IF(AND(U169="new",T169="N",AR169="Y",AQ169="",DZ169="N"),"Y","N")</f>
        <v>N</v>
      </c>
      <c r="EB169" s="0" t="str">
        <f aca="false">IF(EA169&lt;&gt;"Y","N",IF(COUNTIFS($AN$2:$AN$1000,AN169,$EA$2:$EA$1000,"Y",$J$2:$J$1000,"&gt;"&amp;J169)+COUNTIFS($AN$2:$AN$1000,AN169,$EA$2:$EA$1000,"Y",$J$2:$J$1000,J169,$ED$2:$ED$1000,"&lt;"&amp;ED169)=0,"Y","N"))</f>
        <v>N</v>
      </c>
      <c r="EC169" s="0" t="str">
        <f aca="false">IF(Y169="","N",IF(Y169&lt;=10,"Y","N"))</f>
        <v>N</v>
      </c>
      <c r="ED169" s="6" t="n">
        <f aca="false">ROW()-1</f>
        <v>168</v>
      </c>
    </row>
    <row r="170" customFormat="false" ht="15" hidden="false" customHeight="false" outlineLevel="0" collapsed="false">
      <c r="A170" s="0" t="s">
        <v>8393</v>
      </c>
      <c r="B170" s="0" t="s">
        <v>8394</v>
      </c>
      <c r="H170" s="5" t="s">
        <v>158</v>
      </c>
      <c r="I170" s="5"/>
      <c r="J170" s="6" t="n">
        <f aca="false">IF(AU170="pass",CM170+CN170+CO170+CP170+CQ170+CR170+CS170+CT170,0)</f>
        <v>38</v>
      </c>
      <c r="K170" s="6" t="s">
        <v>8395</v>
      </c>
      <c r="M170" s="6" t="s">
        <v>5293</v>
      </c>
      <c r="N170" s="6" t="s">
        <v>598</v>
      </c>
      <c r="O170" s="6" t="s">
        <v>8396</v>
      </c>
      <c r="P170" s="6" t="s">
        <v>8397</v>
      </c>
      <c r="Q170" s="6" t="s">
        <v>8398</v>
      </c>
      <c r="R170" s="5" t="s">
        <v>162</v>
      </c>
      <c r="S170" s="6" t="s">
        <v>163</v>
      </c>
      <c r="T170" s="5" t="s">
        <v>162</v>
      </c>
      <c r="U170" s="5" t="s">
        <v>228</v>
      </c>
      <c r="V170" s="6" t="s">
        <v>8399</v>
      </c>
      <c r="W170" s="6" t="s">
        <v>166</v>
      </c>
      <c r="X170" s="6" t="s">
        <v>4586</v>
      </c>
      <c r="Y170" s="0" t="str">
        <f aca="false">IF(EB170&lt;&gt;"Y","",COUNTIFS($EB$2:$EB$1000,"Y",$J$2:$J$1000,"&gt;"&amp;J170)+COUNTIFS($EB$2:$EB$1000,"Y",$J$2:$J$1000,J170,$ED$2:$ED$1000,"&lt;"&amp;ED170)+1)</f>
        <v/>
      </c>
      <c r="Z170" s="0" t="n">
        <v>169</v>
      </c>
      <c r="AA170" s="6" t="s">
        <v>162</v>
      </c>
      <c r="AB170" s="6" t="s">
        <v>6317</v>
      </c>
      <c r="AD170" s="6" t="s">
        <v>158</v>
      </c>
      <c r="AH170" s="6" t="s">
        <v>8400</v>
      </c>
      <c r="AI170" s="6" t="s">
        <v>5655</v>
      </c>
      <c r="AJ170" s="6" t="s">
        <v>8401</v>
      </c>
      <c r="AK170" s="6" t="s">
        <v>8402</v>
      </c>
      <c r="AL170" s="6" t="s">
        <v>168</v>
      </c>
      <c r="AM170" s="6" t="s">
        <v>8403</v>
      </c>
      <c r="AN170" s="6" t="s">
        <v>8393</v>
      </c>
      <c r="AO170" s="5" t="s">
        <v>162</v>
      </c>
      <c r="AR170" s="0" t="str">
        <f aca="false">IF(AND(AU170="pass",AO170&lt;&gt;"Y",C170&lt;&gt;""),"Y","N")</f>
        <v>N</v>
      </c>
      <c r="AS170" s="0" t="str">
        <f aca="false">_xlfn.TEXTJOIN("; ",TRUE(),IF(AU170&lt;&gt;"pass","gated out",""),IF(AO170="Y","on hold: "&amp;AP170,""),IF(C170="","no contact named on an opened page",""))</f>
        <v>no contact named on an opened page</v>
      </c>
      <c r="AU170" s="6" t="s">
        <v>181</v>
      </c>
      <c r="AW170" s="6" t="s">
        <v>182</v>
      </c>
      <c r="AX170" s="6" t="s">
        <v>283</v>
      </c>
      <c r="AY170" s="6" t="s">
        <v>8402</v>
      </c>
      <c r="AZ170" s="6" t="s">
        <v>163</v>
      </c>
      <c r="BA170" s="6" t="s">
        <v>5273</v>
      </c>
      <c r="BB170" s="6" t="s">
        <v>163</v>
      </c>
      <c r="BD170" s="6" t="s">
        <v>264</v>
      </c>
      <c r="BE170" s="6" t="s">
        <v>8404</v>
      </c>
      <c r="BF170" s="6" t="s">
        <v>168</v>
      </c>
      <c r="BG170" s="6" t="s">
        <v>168</v>
      </c>
      <c r="BH170" s="6" t="s">
        <v>163</v>
      </c>
      <c r="BJ170" s="6" t="s">
        <v>163</v>
      </c>
      <c r="BK170" s="6" t="s">
        <v>162</v>
      </c>
      <c r="BL170" s="6" t="s">
        <v>162</v>
      </c>
      <c r="BO170" s="6" t="s">
        <v>162</v>
      </c>
      <c r="BP170" s="0" t="n">
        <v>0</v>
      </c>
      <c r="BT170" s="6" t="s">
        <v>8405</v>
      </c>
      <c r="BU170" s="6" t="s">
        <v>4695</v>
      </c>
      <c r="BV170" s="0" t="n">
        <v>243</v>
      </c>
      <c r="CF170" s="6" t="s">
        <v>158</v>
      </c>
      <c r="CK170" s="6" t="s">
        <v>158</v>
      </c>
      <c r="CL170" s="0" t="n">
        <v>38</v>
      </c>
      <c r="CM170" s="0" t="n">
        <v>6</v>
      </c>
      <c r="CN170" s="0" t="n">
        <v>17</v>
      </c>
      <c r="CO170" s="0" t="n">
        <v>4</v>
      </c>
      <c r="CP170" s="0" t="n">
        <v>5</v>
      </c>
      <c r="CQ170" s="0" t="n">
        <v>8</v>
      </c>
      <c r="CR170" s="0" t="n">
        <v>0</v>
      </c>
      <c r="CS170" s="6" t="n">
        <f aca="false">IF(R170="Y",10,0)</f>
        <v>0</v>
      </c>
      <c r="CT170" s="0" t="n">
        <v>-2</v>
      </c>
      <c r="CU170" s="6" t="s">
        <v>8406</v>
      </c>
      <c r="CV170" s="6" t="s">
        <v>4704</v>
      </c>
      <c r="CW170" s="6" t="s">
        <v>8407</v>
      </c>
      <c r="CX170" s="6" t="s">
        <v>8408</v>
      </c>
      <c r="CY170" s="6" t="s">
        <v>8409</v>
      </c>
      <c r="DA170" s="6" t="s">
        <v>6236</v>
      </c>
      <c r="DY170" s="0" t="str">
        <f aca="false">IF(ISNUMBER(MATCH(U170,{"queued","contacted","replied","call_booked","call_done","yes_in_principle","materials_sent"},0)),"Y","N")</f>
        <v>N</v>
      </c>
      <c r="DZ170" s="0" t="str">
        <f aca="false">IF(COUNTIFS($AN$2:$AN$1000,AN170,$DY$2:$DY$1000,"Y")+COUNTIFS($AN$2:$AN$1000,AN170,$T$2:$T$1000,"Y")&gt;0,"Y","N")</f>
        <v>N</v>
      </c>
      <c r="EA170" s="0" t="str">
        <f aca="false">IF(AND(U170="new",T170="N",AR170="Y",AQ170="",DZ170="N"),"Y","N")</f>
        <v>N</v>
      </c>
      <c r="EB170" s="0" t="str">
        <f aca="false">IF(EA170&lt;&gt;"Y","N",IF(COUNTIFS($AN$2:$AN$1000,AN170,$EA$2:$EA$1000,"Y",$J$2:$J$1000,"&gt;"&amp;J170)+COUNTIFS($AN$2:$AN$1000,AN170,$EA$2:$EA$1000,"Y",$J$2:$J$1000,J170,$ED$2:$ED$1000,"&lt;"&amp;ED170)=0,"Y","N"))</f>
        <v>N</v>
      </c>
      <c r="EC170" s="0" t="str">
        <f aca="false">IF(Y170="","N",IF(Y170&lt;=10,"Y","N"))</f>
        <v>N</v>
      </c>
      <c r="ED170" s="6" t="n">
        <f aca="false">ROW()-1</f>
        <v>169</v>
      </c>
    </row>
    <row r="171" customFormat="false" ht="15" hidden="false" customHeight="false" outlineLevel="0" collapsed="false">
      <c r="A171" s="0" t="s">
        <v>8410</v>
      </c>
      <c r="B171" s="0" t="s">
        <v>8411</v>
      </c>
      <c r="C171" s="0" t="s">
        <v>8412</v>
      </c>
      <c r="D171" s="0" t="s">
        <v>8413</v>
      </c>
      <c r="E171" s="0" t="s">
        <v>4773</v>
      </c>
      <c r="H171" s="5" t="s">
        <v>158</v>
      </c>
      <c r="I171" s="5" t="s">
        <v>159</v>
      </c>
      <c r="J171" s="6" t="n">
        <f aca="false">IF(AU171="pass",CM171+CN171+CO171+CP171+CQ171+CR171+CS171+CT171,0)</f>
        <v>38</v>
      </c>
      <c r="K171" s="6" t="s">
        <v>8414</v>
      </c>
      <c r="M171" s="6" t="s">
        <v>5293</v>
      </c>
      <c r="N171" s="6" t="s">
        <v>598</v>
      </c>
      <c r="R171" s="5" t="s">
        <v>162</v>
      </c>
      <c r="S171" s="6" t="s">
        <v>163</v>
      </c>
      <c r="T171" s="5" t="s">
        <v>162</v>
      </c>
      <c r="U171" s="5" t="s">
        <v>228</v>
      </c>
      <c r="V171" s="6" t="s">
        <v>8415</v>
      </c>
      <c r="W171" s="6" t="s">
        <v>166</v>
      </c>
      <c r="X171" s="6" t="s">
        <v>4586</v>
      </c>
      <c r="Y171" s="6" t="n">
        <f aca="false">IF(EB171&lt;&gt;"Y","",COUNTIFS($EB$2:$EB$1000,"Y",$J$2:$J$1000,"&gt;"&amp;J171)+COUNTIFS($EB$2:$EB$1000,"Y",$J$2:$J$1000,J171,$ED$2:$ED$1000,"&lt;"&amp;ED171)+1)</f>
        <v>134</v>
      </c>
      <c r="Z171" s="0" t="n">
        <v>170</v>
      </c>
      <c r="AA171" s="6" t="s">
        <v>162</v>
      </c>
      <c r="AB171" s="6" t="s">
        <v>8416</v>
      </c>
      <c r="AC171" s="6" t="s">
        <v>4588</v>
      </c>
      <c r="AD171" s="6" t="s">
        <v>171</v>
      </c>
      <c r="AE171" s="6" t="s">
        <v>172</v>
      </c>
      <c r="AF171" s="6" t="s">
        <v>8415</v>
      </c>
      <c r="AG171" s="6" t="s">
        <v>166</v>
      </c>
      <c r="AH171" s="6" t="s">
        <v>8417</v>
      </c>
      <c r="AI171" s="6" t="s">
        <v>5385</v>
      </c>
      <c r="AJ171" s="6" t="s">
        <v>8418</v>
      </c>
      <c r="AK171" s="6" t="s">
        <v>8419</v>
      </c>
      <c r="AL171" s="6" t="s">
        <v>162</v>
      </c>
      <c r="AN171" s="6" t="s">
        <v>8410</v>
      </c>
      <c r="AO171" s="5" t="s">
        <v>162</v>
      </c>
      <c r="AR171" s="0" t="str">
        <f aca="false">IF(AND(AU171="pass",AO171&lt;&gt;"Y",C171&lt;&gt;""),"Y","N")</f>
        <v>Y</v>
      </c>
      <c r="AS171" s="0" t="str">
        <f aca="false">_xlfn.TEXTJOIN("; ",TRUE(),IF(AU171&lt;&gt;"pass","gated out",""),IF(AO171="Y","on hold: "&amp;AP171,""),IF(C171="","no contact named on an opened page",""))</f>
        <v/>
      </c>
      <c r="AU171" s="6" t="s">
        <v>181</v>
      </c>
      <c r="AW171" s="6" t="s">
        <v>182</v>
      </c>
      <c r="AY171" s="6" t="s">
        <v>8419</v>
      </c>
      <c r="AZ171" s="6" t="s">
        <v>4596</v>
      </c>
      <c r="BA171" s="6" t="s">
        <v>4953</v>
      </c>
      <c r="BB171" s="6" t="s">
        <v>163</v>
      </c>
      <c r="BD171" s="6" t="s">
        <v>168</v>
      </c>
      <c r="BE171" s="6" t="s">
        <v>8420</v>
      </c>
      <c r="BF171" s="6" t="s">
        <v>163</v>
      </c>
      <c r="BG171" s="6" t="s">
        <v>168</v>
      </c>
      <c r="BH171" s="6" t="s">
        <v>163</v>
      </c>
      <c r="BJ171" s="6" t="s">
        <v>163</v>
      </c>
      <c r="BK171" s="6" t="s">
        <v>162</v>
      </c>
      <c r="BL171" s="6" t="s">
        <v>162</v>
      </c>
      <c r="BO171" s="6" t="s">
        <v>162</v>
      </c>
      <c r="BP171" s="0" t="n">
        <v>0</v>
      </c>
      <c r="BS171" s="6" t="s">
        <v>8421</v>
      </c>
      <c r="BT171" s="6" t="s">
        <v>8422</v>
      </c>
      <c r="BU171" s="6" t="s">
        <v>158</v>
      </c>
      <c r="BX171" s="6" t="s">
        <v>8423</v>
      </c>
      <c r="BY171" s="6" t="s">
        <v>8424</v>
      </c>
      <c r="CF171" s="6" t="s">
        <v>158</v>
      </c>
      <c r="CK171" s="6" t="s">
        <v>158</v>
      </c>
      <c r="CL171" s="0" t="n">
        <v>38</v>
      </c>
      <c r="CM171" s="0" t="n">
        <v>6</v>
      </c>
      <c r="CN171" s="0" t="n">
        <v>13</v>
      </c>
      <c r="CO171" s="0" t="n">
        <v>0</v>
      </c>
      <c r="CP171" s="0" t="n">
        <v>5</v>
      </c>
      <c r="CQ171" s="0" t="n">
        <v>8</v>
      </c>
      <c r="CR171" s="0" t="n">
        <v>6</v>
      </c>
      <c r="CS171" s="6" t="n">
        <f aca="false">IF(R171="Y",10,0)</f>
        <v>0</v>
      </c>
      <c r="CT171" s="0" t="n">
        <v>0</v>
      </c>
      <c r="CU171" s="6" t="s">
        <v>163</v>
      </c>
      <c r="CV171" s="6" t="s">
        <v>4843</v>
      </c>
      <c r="CW171" s="6" t="s">
        <v>8425</v>
      </c>
      <c r="CX171" s="6" t="s">
        <v>8426</v>
      </c>
      <c r="DA171" s="6" t="s">
        <v>6236</v>
      </c>
      <c r="DY171" s="0" t="str">
        <f aca="false">IF(ISNUMBER(MATCH(U171,{"queued","contacted","replied","call_booked","call_done","yes_in_principle","materials_sent"},0)),"Y","N")</f>
        <v>N</v>
      </c>
      <c r="DZ171" s="0" t="str">
        <f aca="false">IF(COUNTIFS($AN$2:$AN$1000,AN171,$DY$2:$DY$1000,"Y")+COUNTIFS($AN$2:$AN$1000,AN171,$T$2:$T$1000,"Y")&gt;0,"Y","N")</f>
        <v>N</v>
      </c>
      <c r="EA171" s="0" t="str">
        <f aca="false">IF(AND(U171="new",T171="N",AR171="Y",AQ171="",DZ171="N"),"Y","N")</f>
        <v>Y</v>
      </c>
      <c r="EB171" s="0" t="str">
        <f aca="false">IF(EA171&lt;&gt;"Y","N",IF(COUNTIFS($AN$2:$AN$1000,AN171,$EA$2:$EA$1000,"Y",$J$2:$J$1000,"&gt;"&amp;J171)+COUNTIFS($AN$2:$AN$1000,AN171,$EA$2:$EA$1000,"Y",$J$2:$J$1000,J171,$ED$2:$ED$1000,"&lt;"&amp;ED171)=0,"Y","N"))</f>
        <v>Y</v>
      </c>
      <c r="EC171" s="0" t="str">
        <f aca="false">IF(Y171="","N",IF(Y171&lt;=10,"Y","N"))</f>
        <v>N</v>
      </c>
      <c r="ED171" s="6" t="n">
        <f aca="false">ROW()-1</f>
        <v>170</v>
      </c>
    </row>
    <row r="172" customFormat="false" ht="15" hidden="false" customHeight="false" outlineLevel="0" collapsed="false">
      <c r="A172" s="0" t="s">
        <v>8427</v>
      </c>
      <c r="B172" s="0" t="s">
        <v>8428</v>
      </c>
      <c r="C172" s="0" t="s">
        <v>8429</v>
      </c>
      <c r="D172" s="0" t="s">
        <v>8430</v>
      </c>
      <c r="E172" s="0" t="s">
        <v>8431</v>
      </c>
      <c r="H172" s="5" t="s">
        <v>158</v>
      </c>
      <c r="I172" s="5" t="s">
        <v>159</v>
      </c>
      <c r="J172" s="6" t="n">
        <f aca="false">IF(AU172="pass",CM172+CN172+CO172+CP172+CQ172+CR172+CS172+CT172,0)</f>
        <v>38</v>
      </c>
      <c r="K172" s="6" t="s">
        <v>8432</v>
      </c>
      <c r="M172" s="6" t="s">
        <v>5293</v>
      </c>
      <c r="N172" s="6" t="s">
        <v>598</v>
      </c>
      <c r="R172" s="5" t="s">
        <v>162</v>
      </c>
      <c r="S172" s="6" t="s">
        <v>163</v>
      </c>
      <c r="T172" s="5" t="s">
        <v>162</v>
      </c>
      <c r="U172" s="5" t="s">
        <v>228</v>
      </c>
      <c r="V172" s="6" t="s">
        <v>8433</v>
      </c>
      <c r="W172" s="6" t="s">
        <v>166</v>
      </c>
      <c r="X172" s="6" t="s">
        <v>4586</v>
      </c>
      <c r="Y172" s="6" t="n">
        <f aca="false">IF(EB172&lt;&gt;"Y","",COUNTIFS($EB$2:$EB$1000,"Y",$J$2:$J$1000,"&gt;"&amp;J172)+COUNTIFS($EB$2:$EB$1000,"Y",$J$2:$J$1000,J172,$ED$2:$ED$1000,"&lt;"&amp;ED172)+1)</f>
        <v>135</v>
      </c>
      <c r="Z172" s="0" t="n">
        <v>171</v>
      </c>
      <c r="AA172" s="6" t="s">
        <v>162</v>
      </c>
      <c r="AB172" s="6" t="s">
        <v>8434</v>
      </c>
      <c r="AC172" s="6" t="s">
        <v>4588</v>
      </c>
      <c r="AD172" s="6" t="s">
        <v>171</v>
      </c>
      <c r="AE172" s="6" t="s">
        <v>172</v>
      </c>
      <c r="AF172" s="6" t="s">
        <v>8433</v>
      </c>
      <c r="AG172" s="6" t="s">
        <v>166</v>
      </c>
      <c r="AH172" s="6" t="s">
        <v>8435</v>
      </c>
      <c r="AI172" s="6" t="s">
        <v>4828</v>
      </c>
      <c r="AJ172" s="6" t="s">
        <v>8436</v>
      </c>
      <c r="AK172" s="6" t="s">
        <v>8437</v>
      </c>
      <c r="AL172" s="6" t="s">
        <v>168</v>
      </c>
      <c r="AM172" s="6" t="s">
        <v>8438</v>
      </c>
      <c r="AN172" s="6" t="s">
        <v>8427</v>
      </c>
      <c r="AO172" s="5" t="s">
        <v>162</v>
      </c>
      <c r="AR172" s="0" t="str">
        <f aca="false">IF(AND(AU172="pass",AO172&lt;&gt;"Y",C172&lt;&gt;""),"Y","N")</f>
        <v>Y</v>
      </c>
      <c r="AS172" s="0" t="str">
        <f aca="false">_xlfn.TEXTJOIN("; ",TRUE(),IF(AU172&lt;&gt;"pass","gated out",""),IF(AO172="Y","on hold: "&amp;AP172,""),IF(C172="","no contact named on an opened page",""))</f>
        <v/>
      </c>
      <c r="AU172" s="6" t="s">
        <v>181</v>
      </c>
      <c r="AW172" s="6" t="s">
        <v>182</v>
      </c>
      <c r="AX172" s="6" t="s">
        <v>283</v>
      </c>
      <c r="AY172" s="6" t="s">
        <v>8437</v>
      </c>
      <c r="AZ172" s="6" t="s">
        <v>4596</v>
      </c>
      <c r="BA172" s="6" t="s">
        <v>4953</v>
      </c>
      <c r="BB172" s="6" t="s">
        <v>8439</v>
      </c>
      <c r="BC172" s="6" t="s">
        <v>8433</v>
      </c>
      <c r="BD172" s="6" t="s">
        <v>168</v>
      </c>
      <c r="BE172" s="6" t="s">
        <v>8440</v>
      </c>
      <c r="BF172" s="6" t="s">
        <v>168</v>
      </c>
      <c r="BG172" s="6" t="s">
        <v>168</v>
      </c>
      <c r="BH172" s="6" t="s">
        <v>163</v>
      </c>
      <c r="BJ172" s="6" t="s">
        <v>163</v>
      </c>
      <c r="BK172" s="6" t="s">
        <v>162</v>
      </c>
      <c r="BL172" s="6" t="s">
        <v>162</v>
      </c>
      <c r="BO172" s="6" t="s">
        <v>162</v>
      </c>
      <c r="BP172" s="0" t="n">
        <v>0</v>
      </c>
      <c r="BS172" s="6" t="s">
        <v>8441</v>
      </c>
      <c r="BT172" s="6" t="s">
        <v>8442</v>
      </c>
      <c r="BU172" s="6" t="s">
        <v>158</v>
      </c>
      <c r="BX172" s="6" t="s">
        <v>8443</v>
      </c>
      <c r="CF172" s="6" t="s">
        <v>158</v>
      </c>
      <c r="CK172" s="6" t="s">
        <v>158</v>
      </c>
      <c r="CL172" s="0" t="n">
        <v>38</v>
      </c>
      <c r="CM172" s="0" t="n">
        <v>6</v>
      </c>
      <c r="CN172" s="0" t="n">
        <v>13</v>
      </c>
      <c r="CO172" s="0" t="n">
        <v>0</v>
      </c>
      <c r="CP172" s="0" t="n">
        <v>5</v>
      </c>
      <c r="CQ172" s="0" t="n">
        <v>10</v>
      </c>
      <c r="CR172" s="0" t="n">
        <v>6</v>
      </c>
      <c r="CS172" s="6" t="n">
        <f aca="false">IF(R172="Y",10,0)</f>
        <v>0</v>
      </c>
      <c r="CT172" s="0" t="n">
        <v>-2</v>
      </c>
      <c r="CU172" s="6" t="s">
        <v>8444</v>
      </c>
      <c r="CV172" s="6" t="s">
        <v>4616</v>
      </c>
      <c r="CW172" s="6" t="s">
        <v>8445</v>
      </c>
      <c r="CX172" s="6" t="s">
        <v>8446</v>
      </c>
      <c r="CY172" s="6" t="s">
        <v>8447</v>
      </c>
      <c r="DA172" s="6" t="s">
        <v>6236</v>
      </c>
      <c r="DY172" s="0" t="str">
        <f aca="false">IF(ISNUMBER(MATCH(U172,{"queued","contacted","replied","call_booked","call_done","yes_in_principle","materials_sent"},0)),"Y","N")</f>
        <v>N</v>
      </c>
      <c r="DZ172" s="0" t="str">
        <f aca="false">IF(COUNTIFS($AN$2:$AN$1000,AN172,$DY$2:$DY$1000,"Y")+COUNTIFS($AN$2:$AN$1000,AN172,$T$2:$T$1000,"Y")&gt;0,"Y","N")</f>
        <v>N</v>
      </c>
      <c r="EA172" s="0" t="str">
        <f aca="false">IF(AND(U172="new",T172="N",AR172="Y",AQ172="",DZ172="N"),"Y","N")</f>
        <v>Y</v>
      </c>
      <c r="EB172" s="0" t="str">
        <f aca="false">IF(EA172&lt;&gt;"Y","N",IF(COUNTIFS($AN$2:$AN$1000,AN172,$EA$2:$EA$1000,"Y",$J$2:$J$1000,"&gt;"&amp;J172)+COUNTIFS($AN$2:$AN$1000,AN172,$EA$2:$EA$1000,"Y",$J$2:$J$1000,J172,$ED$2:$ED$1000,"&lt;"&amp;ED172)=0,"Y","N"))</f>
        <v>Y</v>
      </c>
      <c r="EC172" s="0" t="str">
        <f aca="false">IF(Y172="","N",IF(Y172&lt;=10,"Y","N"))</f>
        <v>N</v>
      </c>
      <c r="ED172" s="6" t="n">
        <f aca="false">ROW()-1</f>
        <v>171</v>
      </c>
    </row>
    <row r="173" customFormat="false" ht="15" hidden="false" customHeight="false" outlineLevel="0" collapsed="false">
      <c r="A173" s="0" t="s">
        <v>8448</v>
      </c>
      <c r="B173" s="0" t="s">
        <v>8449</v>
      </c>
      <c r="H173" s="5" t="s">
        <v>158</v>
      </c>
      <c r="I173" s="5"/>
      <c r="J173" s="6" t="n">
        <f aca="false">IF(AU173="pass",CM173+CN173+CO173+CP173+CQ173+CR173+CS173+CT173,0)</f>
        <v>37</v>
      </c>
      <c r="K173" s="6" t="s">
        <v>8450</v>
      </c>
      <c r="M173" s="6" t="s">
        <v>5293</v>
      </c>
      <c r="N173" s="6" t="s">
        <v>598</v>
      </c>
      <c r="O173" s="6" t="s">
        <v>8451</v>
      </c>
      <c r="P173" s="6" t="s">
        <v>5734</v>
      </c>
      <c r="Q173" s="6" t="s">
        <v>3103</v>
      </c>
      <c r="R173" s="5" t="s">
        <v>162</v>
      </c>
      <c r="S173" s="6" t="s">
        <v>168</v>
      </c>
      <c r="T173" s="5" t="s">
        <v>162</v>
      </c>
      <c r="U173" s="5" t="s">
        <v>228</v>
      </c>
      <c r="V173" s="6" t="s">
        <v>8452</v>
      </c>
      <c r="W173" s="6" t="s">
        <v>166</v>
      </c>
      <c r="X173" s="6" t="s">
        <v>4586</v>
      </c>
      <c r="Y173" s="0" t="str">
        <f aca="false">IF(EB173&lt;&gt;"Y","",COUNTIFS($EB$2:$EB$1000,"Y",$J$2:$J$1000,"&gt;"&amp;J173)+COUNTIFS($EB$2:$EB$1000,"Y",$J$2:$J$1000,J173,$ED$2:$ED$1000,"&lt;"&amp;ED173)+1)</f>
        <v/>
      </c>
      <c r="Z173" s="0" t="n">
        <v>172</v>
      </c>
      <c r="AA173" s="6" t="s">
        <v>162</v>
      </c>
      <c r="AB173" s="6" t="s">
        <v>6317</v>
      </c>
      <c r="AC173" s="6" t="s">
        <v>4588</v>
      </c>
      <c r="AD173" s="6" t="s">
        <v>598</v>
      </c>
      <c r="AE173" s="6" t="s">
        <v>172</v>
      </c>
      <c r="AF173" s="6" t="s">
        <v>8452</v>
      </c>
      <c r="AG173" s="6" t="s">
        <v>166</v>
      </c>
      <c r="AH173" s="6" t="s">
        <v>8453</v>
      </c>
      <c r="AI173" s="6" t="s">
        <v>5738</v>
      </c>
      <c r="AJ173" s="6" t="s">
        <v>8454</v>
      </c>
      <c r="AK173" s="6" t="s">
        <v>8455</v>
      </c>
      <c r="AL173" s="6" t="s">
        <v>168</v>
      </c>
      <c r="AM173" s="6" t="s">
        <v>8456</v>
      </c>
      <c r="AN173" s="6" t="s">
        <v>8448</v>
      </c>
      <c r="AO173" s="5" t="s">
        <v>162</v>
      </c>
      <c r="AR173" s="0" t="str">
        <f aca="false">IF(AND(AU173="pass",AO173&lt;&gt;"Y",C173&lt;&gt;""),"Y","N")</f>
        <v>N</v>
      </c>
      <c r="AS173" s="0" t="str">
        <f aca="false">_xlfn.TEXTJOIN("; ",TRUE(),IF(AU173&lt;&gt;"pass","gated out",""),IF(AO173="Y","on hold: "&amp;AP173,""),IF(C173="","no contact named on an opened page",""))</f>
        <v>no contact named on an opened page</v>
      </c>
      <c r="AU173" s="6" t="s">
        <v>181</v>
      </c>
      <c r="AW173" s="6" t="s">
        <v>182</v>
      </c>
      <c r="AX173" s="6" t="s">
        <v>283</v>
      </c>
      <c r="AY173" s="6" t="s">
        <v>8455</v>
      </c>
      <c r="AZ173" s="6" t="s">
        <v>5659</v>
      </c>
      <c r="BA173" s="6" t="s">
        <v>5060</v>
      </c>
      <c r="BB173" s="6" t="s">
        <v>163</v>
      </c>
      <c r="BD173" s="6" t="s">
        <v>163</v>
      </c>
      <c r="BE173" s="6" t="s">
        <v>6389</v>
      </c>
      <c r="BF173" s="6" t="s">
        <v>168</v>
      </c>
      <c r="BG173" s="6" t="s">
        <v>168</v>
      </c>
      <c r="BH173" s="6" t="s">
        <v>163</v>
      </c>
      <c r="BJ173" s="6" t="s">
        <v>5551</v>
      </c>
      <c r="BK173" s="6" t="s">
        <v>162</v>
      </c>
      <c r="BL173" s="6" t="s">
        <v>162</v>
      </c>
      <c r="BO173" s="6" t="s">
        <v>162</v>
      </c>
      <c r="BP173" s="0" t="n">
        <v>0</v>
      </c>
      <c r="BS173" s="6" t="s">
        <v>7281</v>
      </c>
      <c r="BT173" s="6" t="s">
        <v>8457</v>
      </c>
      <c r="BU173" s="6" t="s">
        <v>4605</v>
      </c>
      <c r="BV173" s="0" t="n">
        <v>79</v>
      </c>
      <c r="BW173" s="6" t="s">
        <v>5734</v>
      </c>
      <c r="BX173" s="6" t="s">
        <v>8458</v>
      </c>
      <c r="BY173" s="6" t="s">
        <v>7383</v>
      </c>
      <c r="CF173" s="6" t="s">
        <v>158</v>
      </c>
      <c r="CK173" s="6" t="s">
        <v>158</v>
      </c>
      <c r="CL173" s="0" t="n">
        <v>37</v>
      </c>
      <c r="CM173" s="0" t="n">
        <v>6</v>
      </c>
      <c r="CN173" s="0" t="n">
        <v>3</v>
      </c>
      <c r="CO173" s="0" t="n">
        <v>15</v>
      </c>
      <c r="CP173" s="0" t="n">
        <v>5</v>
      </c>
      <c r="CQ173" s="0" t="n">
        <v>7</v>
      </c>
      <c r="CR173" s="0" t="n">
        <v>3</v>
      </c>
      <c r="CS173" s="6" t="n">
        <f aca="false">IF(R173="Y",10,0)</f>
        <v>0</v>
      </c>
      <c r="CT173" s="0" t="n">
        <v>-2</v>
      </c>
      <c r="CU173" s="6" t="s">
        <v>163</v>
      </c>
      <c r="CV173" s="6" t="s">
        <v>5564</v>
      </c>
      <c r="CW173" s="6" t="s">
        <v>8459</v>
      </c>
      <c r="CX173" s="6" t="s">
        <v>8460</v>
      </c>
      <c r="CY173" s="6" t="s">
        <v>8461</v>
      </c>
      <c r="DA173" s="6" t="s">
        <v>6236</v>
      </c>
      <c r="DY173" s="0" t="str">
        <f aca="false">IF(ISNUMBER(MATCH(U173,{"queued","contacted","replied","call_booked","call_done","yes_in_principle","materials_sent"},0)),"Y","N")</f>
        <v>N</v>
      </c>
      <c r="DZ173" s="0" t="str">
        <f aca="false">IF(COUNTIFS($AN$2:$AN$1000,AN173,$DY$2:$DY$1000,"Y")+COUNTIFS($AN$2:$AN$1000,AN173,$T$2:$T$1000,"Y")&gt;0,"Y","N")</f>
        <v>N</v>
      </c>
      <c r="EA173" s="0" t="str">
        <f aca="false">IF(AND(U173="new",T173="N",AR173="Y",AQ173="",DZ173="N"),"Y","N")</f>
        <v>N</v>
      </c>
      <c r="EB173" s="0" t="str">
        <f aca="false">IF(EA173&lt;&gt;"Y","N",IF(COUNTIFS($AN$2:$AN$1000,AN173,$EA$2:$EA$1000,"Y",$J$2:$J$1000,"&gt;"&amp;J173)+COUNTIFS($AN$2:$AN$1000,AN173,$EA$2:$EA$1000,"Y",$J$2:$J$1000,J173,$ED$2:$ED$1000,"&lt;"&amp;ED173)=0,"Y","N"))</f>
        <v>N</v>
      </c>
      <c r="EC173" s="0" t="str">
        <f aca="false">IF(Y173="","N",IF(Y173&lt;=10,"Y","N"))</f>
        <v>N</v>
      </c>
      <c r="ED173" s="6" t="n">
        <f aca="false">ROW()-1</f>
        <v>172</v>
      </c>
    </row>
    <row r="174" customFormat="false" ht="15" hidden="false" customHeight="false" outlineLevel="0" collapsed="false">
      <c r="A174" s="0" t="s">
        <v>8462</v>
      </c>
      <c r="B174" s="0" t="s">
        <v>8463</v>
      </c>
      <c r="C174" s="0" t="s">
        <v>5103</v>
      </c>
      <c r="D174" s="0" t="s">
        <v>6049</v>
      </c>
      <c r="E174" s="0" t="s">
        <v>5318</v>
      </c>
      <c r="H174" s="5" t="s">
        <v>158</v>
      </c>
      <c r="I174" s="5" t="s">
        <v>159</v>
      </c>
      <c r="J174" s="6" t="n">
        <f aca="false">IF(AU174="pass",CM174+CN174+CO174+CP174+CQ174+CR174+CS174+CT174,0)</f>
        <v>37</v>
      </c>
      <c r="K174" s="6" t="s">
        <v>7820</v>
      </c>
      <c r="M174" s="6" t="s">
        <v>5293</v>
      </c>
      <c r="N174" s="6" t="s">
        <v>598</v>
      </c>
      <c r="O174" s="6" t="s">
        <v>8464</v>
      </c>
      <c r="P174" s="6" t="s">
        <v>8465</v>
      </c>
      <c r="Q174" s="6" t="s">
        <v>3388</v>
      </c>
      <c r="R174" s="5" t="s">
        <v>162</v>
      </c>
      <c r="S174" s="6" t="s">
        <v>163</v>
      </c>
      <c r="T174" s="5" t="s">
        <v>162</v>
      </c>
      <c r="U174" s="5" t="s">
        <v>228</v>
      </c>
      <c r="V174" s="6" t="s">
        <v>8466</v>
      </c>
      <c r="W174" s="6" t="s">
        <v>166</v>
      </c>
      <c r="X174" s="6" t="s">
        <v>4586</v>
      </c>
      <c r="Y174" s="6" t="n">
        <f aca="false">IF(EB174&lt;&gt;"Y","",COUNTIFS($EB$2:$EB$1000,"Y",$J$2:$J$1000,"&gt;"&amp;J174)+COUNTIFS($EB$2:$EB$1000,"Y",$J$2:$J$1000,J174,$ED$2:$ED$1000,"&lt;"&amp;ED174)+1)</f>
        <v>136</v>
      </c>
      <c r="Z174" s="0" t="n">
        <v>173</v>
      </c>
      <c r="AA174" s="6" t="s">
        <v>162</v>
      </c>
      <c r="AB174" s="6" t="s">
        <v>8467</v>
      </c>
      <c r="AC174" s="6" t="s">
        <v>4588</v>
      </c>
      <c r="AD174" s="6" t="s">
        <v>171</v>
      </c>
      <c r="AE174" s="6" t="s">
        <v>163</v>
      </c>
      <c r="AG174" s="6" t="s">
        <v>166</v>
      </c>
      <c r="AH174" s="6" t="s">
        <v>8468</v>
      </c>
      <c r="AI174" s="6" t="s">
        <v>4591</v>
      </c>
      <c r="AJ174" s="6" t="s">
        <v>192</v>
      </c>
      <c r="AK174" s="6" t="s">
        <v>8466</v>
      </c>
      <c r="AL174" s="6" t="s">
        <v>168</v>
      </c>
      <c r="AM174" s="6" t="s">
        <v>8469</v>
      </c>
      <c r="AN174" s="6" t="s">
        <v>8462</v>
      </c>
      <c r="AO174" s="5" t="s">
        <v>162</v>
      </c>
      <c r="AR174" s="0" t="str">
        <f aca="false">IF(AND(AU174="pass",AO174&lt;&gt;"Y",C174&lt;&gt;""),"Y","N")</f>
        <v>Y</v>
      </c>
      <c r="AS174" s="0" t="str">
        <f aca="false">_xlfn.TEXTJOIN("; ",TRUE(),IF(AU174&lt;&gt;"pass","gated out",""),IF(AO174="Y","on hold: "&amp;AP174,""),IF(C174="","no contact named on an opened page",""))</f>
        <v/>
      </c>
      <c r="AU174" s="6" t="s">
        <v>181</v>
      </c>
      <c r="AW174" s="6" t="s">
        <v>182</v>
      </c>
      <c r="AX174" s="6" t="s">
        <v>6033</v>
      </c>
      <c r="AY174" s="6" t="s">
        <v>8466</v>
      </c>
      <c r="AZ174" s="6" t="s">
        <v>4596</v>
      </c>
      <c r="BA174" s="6" t="s">
        <v>4597</v>
      </c>
      <c r="BB174" s="6" t="s">
        <v>8470</v>
      </c>
      <c r="BD174" s="6" t="s">
        <v>168</v>
      </c>
      <c r="BE174" s="6" t="s">
        <v>8471</v>
      </c>
      <c r="BF174" s="6" t="s">
        <v>168</v>
      </c>
      <c r="BG174" s="6" t="s">
        <v>168</v>
      </c>
      <c r="BH174" s="6" t="s">
        <v>163</v>
      </c>
      <c r="BJ174" s="6" t="s">
        <v>5551</v>
      </c>
      <c r="BK174" s="6" t="s">
        <v>162</v>
      </c>
      <c r="BL174" s="6" t="s">
        <v>162</v>
      </c>
      <c r="BO174" s="6" t="s">
        <v>162</v>
      </c>
      <c r="BP174" s="0" t="n">
        <v>0</v>
      </c>
      <c r="BS174" s="6" t="s">
        <v>8472</v>
      </c>
      <c r="BU174" s="6" t="s">
        <v>598</v>
      </c>
      <c r="BV174" s="0" t="n">
        <v>137</v>
      </c>
      <c r="BX174" s="6" t="s">
        <v>8473</v>
      </c>
      <c r="CF174" s="6" t="s">
        <v>158</v>
      </c>
      <c r="CK174" s="6" t="s">
        <v>158</v>
      </c>
      <c r="CL174" s="0" t="n">
        <v>37</v>
      </c>
      <c r="CM174" s="0" t="n">
        <v>6</v>
      </c>
      <c r="CN174" s="0" t="n">
        <v>20</v>
      </c>
      <c r="CO174" s="0" t="n">
        <v>0</v>
      </c>
      <c r="CP174" s="0" t="n">
        <v>5</v>
      </c>
      <c r="CQ174" s="0" t="n">
        <v>10</v>
      </c>
      <c r="CR174" s="0" t="n">
        <v>6</v>
      </c>
      <c r="CS174" s="6" t="n">
        <f aca="false">IF(R174="Y",10,0)</f>
        <v>0</v>
      </c>
      <c r="CT174" s="0" t="n">
        <v>-10</v>
      </c>
      <c r="CU174" s="6" t="s">
        <v>8474</v>
      </c>
      <c r="CV174" s="6" t="s">
        <v>5564</v>
      </c>
      <c r="CW174" s="6" t="s">
        <v>8475</v>
      </c>
      <c r="CX174" s="6" t="s">
        <v>8476</v>
      </c>
      <c r="CY174" s="6" t="s">
        <v>8477</v>
      </c>
      <c r="DA174" s="6" t="s">
        <v>6236</v>
      </c>
      <c r="DY174" s="0" t="str">
        <f aca="false">IF(ISNUMBER(MATCH(U174,{"queued","contacted","replied","call_booked","call_done","yes_in_principle","materials_sent"},0)),"Y","N")</f>
        <v>N</v>
      </c>
      <c r="DZ174" s="0" t="str">
        <f aca="false">IF(COUNTIFS($AN$2:$AN$1000,AN174,$DY$2:$DY$1000,"Y")+COUNTIFS($AN$2:$AN$1000,AN174,$T$2:$T$1000,"Y")&gt;0,"Y","N")</f>
        <v>N</v>
      </c>
      <c r="EA174" s="0" t="str">
        <f aca="false">IF(AND(U174="new",T174="N",AR174="Y",AQ174="",DZ174="N"),"Y","N")</f>
        <v>Y</v>
      </c>
      <c r="EB174" s="0" t="str">
        <f aca="false">IF(EA174&lt;&gt;"Y","N",IF(COUNTIFS($AN$2:$AN$1000,AN174,$EA$2:$EA$1000,"Y",$J$2:$J$1000,"&gt;"&amp;J174)+COUNTIFS($AN$2:$AN$1000,AN174,$EA$2:$EA$1000,"Y",$J$2:$J$1000,J174,$ED$2:$ED$1000,"&lt;"&amp;ED174)=0,"Y","N"))</f>
        <v>Y</v>
      </c>
      <c r="EC174" s="0" t="str">
        <f aca="false">IF(Y174="","N",IF(Y174&lt;=10,"Y","N"))</f>
        <v>N</v>
      </c>
      <c r="ED174" s="6" t="n">
        <f aca="false">ROW()-1</f>
        <v>173</v>
      </c>
    </row>
    <row r="175" customFormat="false" ht="15" hidden="false" customHeight="false" outlineLevel="0" collapsed="false">
      <c r="A175" s="0" t="s">
        <v>8478</v>
      </c>
      <c r="B175" s="0" t="s">
        <v>8479</v>
      </c>
      <c r="C175" s="0" t="s">
        <v>8480</v>
      </c>
      <c r="D175" s="0" t="s">
        <v>8481</v>
      </c>
      <c r="E175" s="0" t="s">
        <v>4626</v>
      </c>
      <c r="H175" s="5" t="s">
        <v>158</v>
      </c>
      <c r="I175" s="5" t="s">
        <v>159</v>
      </c>
      <c r="J175" s="6" t="n">
        <f aca="false">IF(AU175="pass",CM175+CN175+CO175+CP175+CQ175+CR175+CS175+CT175,0)</f>
        <v>37</v>
      </c>
      <c r="K175" s="6" t="s">
        <v>8482</v>
      </c>
      <c r="M175" s="6" t="s">
        <v>5293</v>
      </c>
      <c r="N175" s="6" t="s">
        <v>598</v>
      </c>
      <c r="O175" s="6" t="s">
        <v>8483</v>
      </c>
      <c r="P175" s="6" t="s">
        <v>8484</v>
      </c>
      <c r="R175" s="5" t="s">
        <v>162</v>
      </c>
      <c r="S175" s="6" t="s">
        <v>168</v>
      </c>
      <c r="T175" s="5" t="s">
        <v>162</v>
      </c>
      <c r="U175" s="5" t="s">
        <v>228</v>
      </c>
      <c r="V175" s="6" t="s">
        <v>8484</v>
      </c>
      <c r="W175" s="6" t="s">
        <v>166</v>
      </c>
      <c r="X175" s="6" t="s">
        <v>4586</v>
      </c>
      <c r="Y175" s="6" t="n">
        <f aca="false">IF(EB175&lt;&gt;"Y","",COUNTIFS($EB$2:$EB$1000,"Y",$J$2:$J$1000,"&gt;"&amp;J175)+COUNTIFS($EB$2:$EB$1000,"Y",$J$2:$J$1000,J175,$ED$2:$ED$1000,"&lt;"&amp;ED175)+1)</f>
        <v>137</v>
      </c>
      <c r="Z175" s="0" t="n">
        <v>174</v>
      </c>
      <c r="AA175" s="6" t="s">
        <v>162</v>
      </c>
      <c r="AB175" s="6" t="s">
        <v>8485</v>
      </c>
      <c r="AC175" s="6" t="s">
        <v>4588</v>
      </c>
      <c r="AD175" s="6" t="s">
        <v>171</v>
      </c>
      <c r="AE175" s="6" t="s">
        <v>1190</v>
      </c>
      <c r="AF175" s="6" t="s">
        <v>8486</v>
      </c>
      <c r="AG175" s="6" t="s">
        <v>166</v>
      </c>
      <c r="AH175" s="6" t="s">
        <v>8487</v>
      </c>
      <c r="AI175" s="6" t="s">
        <v>4591</v>
      </c>
      <c r="AJ175" s="6" t="s">
        <v>8488</v>
      </c>
      <c r="AK175" s="6" t="s">
        <v>8489</v>
      </c>
      <c r="AL175" s="6" t="s">
        <v>168</v>
      </c>
      <c r="AM175" s="6" t="s">
        <v>8490</v>
      </c>
      <c r="AN175" s="6" t="s">
        <v>8478</v>
      </c>
      <c r="AO175" s="5" t="s">
        <v>162</v>
      </c>
      <c r="AR175" s="0" t="str">
        <f aca="false">IF(AND(AU175="pass",AO175&lt;&gt;"Y",C175&lt;&gt;""),"Y","N")</f>
        <v>Y</v>
      </c>
      <c r="AS175" s="0" t="str">
        <f aca="false">_xlfn.TEXTJOIN("; ",TRUE(),IF(AU175&lt;&gt;"pass","gated out",""),IF(AO175="Y","on hold: "&amp;AP175,""),IF(C175="","no contact named on an opened page",""))</f>
        <v/>
      </c>
      <c r="AU175" s="6" t="s">
        <v>181</v>
      </c>
      <c r="AW175" s="6" t="s">
        <v>182</v>
      </c>
      <c r="AX175" s="6" t="s">
        <v>4595</v>
      </c>
      <c r="AY175" s="6" t="s">
        <v>8489</v>
      </c>
      <c r="AZ175" s="6" t="s">
        <v>4596</v>
      </c>
      <c r="BA175" s="6" t="s">
        <v>5273</v>
      </c>
      <c r="BB175" s="6" t="s">
        <v>163</v>
      </c>
      <c r="BD175" s="6" t="s">
        <v>163</v>
      </c>
      <c r="BE175" s="6" t="s">
        <v>8491</v>
      </c>
      <c r="BF175" s="6" t="s">
        <v>168</v>
      </c>
      <c r="BG175" s="6" t="s">
        <v>168</v>
      </c>
      <c r="BH175" s="6" t="s">
        <v>163</v>
      </c>
      <c r="BJ175" s="6" t="s">
        <v>163</v>
      </c>
      <c r="BK175" s="6" t="s">
        <v>162</v>
      </c>
      <c r="BL175" s="6" t="s">
        <v>162</v>
      </c>
      <c r="BO175" s="6" t="s">
        <v>162</v>
      </c>
      <c r="BP175" s="0" t="n">
        <v>0</v>
      </c>
      <c r="BS175" s="6" t="s">
        <v>8492</v>
      </c>
      <c r="BT175" s="6" t="s">
        <v>8493</v>
      </c>
      <c r="BU175" s="6" t="s">
        <v>158</v>
      </c>
      <c r="BW175" s="6" t="s">
        <v>8493</v>
      </c>
      <c r="BX175" s="6" t="s">
        <v>8494</v>
      </c>
      <c r="CF175" s="6" t="s">
        <v>158</v>
      </c>
      <c r="CK175" s="6" t="s">
        <v>158</v>
      </c>
      <c r="CL175" s="0" t="n">
        <v>37</v>
      </c>
      <c r="CM175" s="0" t="n">
        <v>6</v>
      </c>
      <c r="CN175" s="0" t="n">
        <v>17</v>
      </c>
      <c r="CO175" s="0" t="n">
        <v>0</v>
      </c>
      <c r="CP175" s="0" t="n">
        <v>5</v>
      </c>
      <c r="CQ175" s="0" t="n">
        <v>7</v>
      </c>
      <c r="CR175" s="0" t="n">
        <v>6</v>
      </c>
      <c r="CS175" s="6" t="n">
        <f aca="false">IF(R175="Y",10,0)</f>
        <v>0</v>
      </c>
      <c r="CT175" s="0" t="n">
        <v>-4</v>
      </c>
      <c r="CV175" s="6" t="s">
        <v>4616</v>
      </c>
      <c r="CW175" s="6" t="s">
        <v>8495</v>
      </c>
      <c r="CX175" s="6" t="s">
        <v>8496</v>
      </c>
      <c r="CY175" s="6" t="s">
        <v>8497</v>
      </c>
      <c r="DA175" s="6" t="s">
        <v>6236</v>
      </c>
      <c r="DY175" s="0" t="str">
        <f aca="false">IF(ISNUMBER(MATCH(U175,{"queued","contacted","replied","call_booked","call_done","yes_in_principle","materials_sent"},0)),"Y","N")</f>
        <v>N</v>
      </c>
      <c r="DZ175" s="0" t="str">
        <f aca="false">IF(COUNTIFS($AN$2:$AN$1000,AN175,$DY$2:$DY$1000,"Y")+COUNTIFS($AN$2:$AN$1000,AN175,$T$2:$T$1000,"Y")&gt;0,"Y","N")</f>
        <v>N</v>
      </c>
      <c r="EA175" s="0" t="str">
        <f aca="false">IF(AND(U175="new",T175="N",AR175="Y",AQ175="",DZ175="N"),"Y","N")</f>
        <v>Y</v>
      </c>
      <c r="EB175" s="0" t="str">
        <f aca="false">IF(EA175&lt;&gt;"Y","N",IF(COUNTIFS($AN$2:$AN$1000,AN175,$EA$2:$EA$1000,"Y",$J$2:$J$1000,"&gt;"&amp;J175)+COUNTIFS($AN$2:$AN$1000,AN175,$EA$2:$EA$1000,"Y",$J$2:$J$1000,J175,$ED$2:$ED$1000,"&lt;"&amp;ED175)=0,"Y","N"))</f>
        <v>Y</v>
      </c>
      <c r="EC175" s="0" t="str">
        <f aca="false">IF(Y175="","N",IF(Y175&lt;=10,"Y","N"))</f>
        <v>N</v>
      </c>
      <c r="ED175" s="6" t="n">
        <f aca="false">ROW()-1</f>
        <v>174</v>
      </c>
    </row>
    <row r="176" customFormat="false" ht="15" hidden="false" customHeight="false" outlineLevel="0" collapsed="false">
      <c r="A176" s="0" t="s">
        <v>8498</v>
      </c>
      <c r="B176" s="0" t="s">
        <v>8499</v>
      </c>
      <c r="C176" s="0" t="s">
        <v>8500</v>
      </c>
      <c r="D176" s="0" t="s">
        <v>8501</v>
      </c>
      <c r="E176" s="0" t="s">
        <v>4912</v>
      </c>
      <c r="H176" s="5" t="s">
        <v>158</v>
      </c>
      <c r="I176" s="5" t="s">
        <v>159</v>
      </c>
      <c r="J176" s="6" t="n">
        <f aca="false">IF(AU176="pass",CM176+CN176+CO176+CP176+CQ176+CR176+CS176+CT176,0)</f>
        <v>36</v>
      </c>
      <c r="K176" s="6" t="s">
        <v>8502</v>
      </c>
      <c r="M176" s="6" t="s">
        <v>4581</v>
      </c>
      <c r="N176" s="6" t="s">
        <v>4582</v>
      </c>
      <c r="O176" s="6" t="s">
        <v>8503</v>
      </c>
      <c r="P176" s="6" t="s">
        <v>8504</v>
      </c>
      <c r="Q176" s="6" t="s">
        <v>8505</v>
      </c>
      <c r="R176" s="5" t="s">
        <v>162</v>
      </c>
      <c r="S176" s="6" t="s">
        <v>163</v>
      </c>
      <c r="T176" s="5" t="s">
        <v>162</v>
      </c>
      <c r="U176" s="5" t="s">
        <v>228</v>
      </c>
      <c r="V176" s="6" t="s">
        <v>8506</v>
      </c>
      <c r="W176" s="6" t="s">
        <v>166</v>
      </c>
      <c r="X176" s="6" t="s">
        <v>4586</v>
      </c>
      <c r="Y176" s="6" t="n">
        <f aca="false">IF(EB176&lt;&gt;"Y","",COUNTIFS($EB$2:$EB$1000,"Y",$J$2:$J$1000,"&gt;"&amp;J176)+COUNTIFS($EB$2:$EB$1000,"Y",$J$2:$J$1000,J176,$ED$2:$ED$1000,"&lt;"&amp;ED176)+1)</f>
        <v>138</v>
      </c>
      <c r="Z176" s="0" t="n">
        <v>175</v>
      </c>
      <c r="AA176" s="6" t="s">
        <v>162</v>
      </c>
      <c r="AB176" s="6" t="s">
        <v>8507</v>
      </c>
      <c r="AC176" s="6" t="s">
        <v>4588</v>
      </c>
      <c r="AD176" s="6" t="s">
        <v>171</v>
      </c>
      <c r="AE176" s="6" t="s">
        <v>1190</v>
      </c>
      <c r="AF176" s="6" t="s">
        <v>8508</v>
      </c>
      <c r="AG176" s="6" t="s">
        <v>166</v>
      </c>
      <c r="AH176" s="6" t="s">
        <v>8509</v>
      </c>
      <c r="AI176" s="6" t="s">
        <v>5738</v>
      </c>
      <c r="AJ176" s="6" t="s">
        <v>8510</v>
      </c>
      <c r="AK176" s="6" t="s">
        <v>8511</v>
      </c>
      <c r="AL176" s="6" t="s">
        <v>168</v>
      </c>
      <c r="AM176" s="6" t="s">
        <v>8512</v>
      </c>
      <c r="AN176" s="6" t="s">
        <v>8498</v>
      </c>
      <c r="AO176" s="5" t="s">
        <v>162</v>
      </c>
      <c r="AR176" s="0" t="str">
        <f aca="false">IF(AND(AU176="pass",AO176&lt;&gt;"Y",C176&lt;&gt;""),"Y","N")</f>
        <v>Y</v>
      </c>
      <c r="AS176" s="0" t="str">
        <f aca="false">_xlfn.TEXTJOIN("; ",TRUE(),IF(AU176&lt;&gt;"pass","gated out",""),IF(AO176="Y","on hold: "&amp;AP176,""),IF(C176="","no contact named on an opened page",""))</f>
        <v/>
      </c>
      <c r="AU176" s="6" t="s">
        <v>181</v>
      </c>
      <c r="AW176" s="6" t="s">
        <v>182</v>
      </c>
      <c r="AX176" s="6" t="s">
        <v>8513</v>
      </c>
      <c r="AY176" s="6" t="s">
        <v>8511</v>
      </c>
      <c r="AZ176" s="6" t="s">
        <v>5358</v>
      </c>
      <c r="BA176" s="6" t="s">
        <v>5331</v>
      </c>
      <c r="BB176" s="6" t="s">
        <v>8514</v>
      </c>
      <c r="BD176" s="6" t="s">
        <v>168</v>
      </c>
      <c r="BE176" s="6" t="s">
        <v>8515</v>
      </c>
      <c r="BF176" s="6" t="s">
        <v>168</v>
      </c>
      <c r="BG176" s="6" t="s">
        <v>168</v>
      </c>
      <c r="BH176" s="6" t="s">
        <v>163</v>
      </c>
      <c r="BJ176" s="6" t="s">
        <v>8516</v>
      </c>
      <c r="BK176" s="6" t="s">
        <v>162</v>
      </c>
      <c r="BL176" s="6" t="s">
        <v>162</v>
      </c>
      <c r="BN176" s="0" t="n">
        <v>0</v>
      </c>
      <c r="BO176" s="6" t="s">
        <v>168</v>
      </c>
      <c r="BP176" s="0" t="n">
        <v>3</v>
      </c>
      <c r="BQ176" s="6" t="s">
        <v>4670</v>
      </c>
      <c r="BR176" s="6" t="s">
        <v>4671</v>
      </c>
      <c r="BS176" s="6" t="s">
        <v>8517</v>
      </c>
      <c r="BT176" s="6" t="s">
        <v>8518</v>
      </c>
      <c r="BU176" s="6" t="s">
        <v>4695</v>
      </c>
      <c r="BV176" s="0" t="n">
        <v>175</v>
      </c>
      <c r="BX176" s="6" t="s">
        <v>8519</v>
      </c>
      <c r="CA176" s="6" t="s">
        <v>8520</v>
      </c>
      <c r="CB176" s="6" t="s">
        <v>8521</v>
      </c>
      <c r="CC176" s="6" t="s">
        <v>8522</v>
      </c>
      <c r="CD176" s="6" t="s">
        <v>8523</v>
      </c>
      <c r="CE176" s="6" t="s">
        <v>6262</v>
      </c>
      <c r="CF176" s="6" t="s">
        <v>171</v>
      </c>
      <c r="CK176" s="6" t="s">
        <v>158</v>
      </c>
      <c r="CL176" s="0" t="n">
        <v>36</v>
      </c>
      <c r="CM176" s="0" t="n">
        <v>25</v>
      </c>
      <c r="CN176" s="0" t="n">
        <v>3</v>
      </c>
      <c r="CO176" s="0" t="n">
        <v>8</v>
      </c>
      <c r="CP176" s="0" t="n">
        <v>5</v>
      </c>
      <c r="CQ176" s="0" t="n">
        <v>10</v>
      </c>
      <c r="CR176" s="0" t="n">
        <v>10</v>
      </c>
      <c r="CS176" s="6" t="n">
        <f aca="false">IF(R176="Y",10,0)</f>
        <v>0</v>
      </c>
      <c r="CT176" s="0" t="n">
        <v>-25</v>
      </c>
      <c r="CU176" s="6" t="s">
        <v>8524</v>
      </c>
      <c r="CV176" s="6" t="s">
        <v>4616</v>
      </c>
      <c r="CW176" s="6" t="s">
        <v>8525</v>
      </c>
      <c r="CX176" s="6" t="s">
        <v>8526</v>
      </c>
      <c r="CY176" s="6" t="s">
        <v>8527</v>
      </c>
      <c r="CZ176" s="6" t="s">
        <v>8508</v>
      </c>
      <c r="DA176" s="6" t="s">
        <v>6236</v>
      </c>
      <c r="DC176" s="6" t="s">
        <v>1190</v>
      </c>
      <c r="DY176" s="0" t="str">
        <f aca="false">IF(ISNUMBER(MATCH(U176,{"queued","contacted","replied","call_booked","call_done","yes_in_principle","materials_sent"},0)),"Y","N")</f>
        <v>N</v>
      </c>
      <c r="DZ176" s="0" t="str">
        <f aca="false">IF(COUNTIFS($AN$2:$AN$1000,AN176,$DY$2:$DY$1000,"Y")+COUNTIFS($AN$2:$AN$1000,AN176,$T$2:$T$1000,"Y")&gt;0,"Y","N")</f>
        <v>N</v>
      </c>
      <c r="EA176" s="0" t="str">
        <f aca="false">IF(AND(U176="new",T176="N",AR176="Y",AQ176="",DZ176="N"),"Y","N")</f>
        <v>Y</v>
      </c>
      <c r="EB176" s="0" t="str">
        <f aca="false">IF(EA176&lt;&gt;"Y","N",IF(COUNTIFS($AN$2:$AN$1000,AN176,$EA$2:$EA$1000,"Y",$J$2:$J$1000,"&gt;"&amp;J176)+COUNTIFS($AN$2:$AN$1000,AN176,$EA$2:$EA$1000,"Y",$J$2:$J$1000,J176,$ED$2:$ED$1000,"&lt;"&amp;ED176)=0,"Y","N"))</f>
        <v>Y</v>
      </c>
      <c r="EC176" s="0" t="str">
        <f aca="false">IF(Y176="","N",IF(Y176&lt;=10,"Y","N"))</f>
        <v>N</v>
      </c>
      <c r="ED176" s="6" t="n">
        <f aca="false">ROW()-1</f>
        <v>175</v>
      </c>
    </row>
    <row r="177" customFormat="false" ht="15" hidden="false" customHeight="false" outlineLevel="0" collapsed="false">
      <c r="A177" s="0" t="s">
        <v>8528</v>
      </c>
      <c r="B177" s="0" t="s">
        <v>8529</v>
      </c>
      <c r="C177" s="0" t="s">
        <v>5199</v>
      </c>
      <c r="D177" s="0" t="s">
        <v>8530</v>
      </c>
      <c r="E177" s="0" t="s">
        <v>4626</v>
      </c>
      <c r="H177" s="5" t="s">
        <v>158</v>
      </c>
      <c r="I177" s="5" t="s">
        <v>159</v>
      </c>
      <c r="J177" s="6" t="n">
        <f aca="false">IF(AU177="pass",CM177+CN177+CO177+CP177+CQ177+CR177+CS177+CT177,0)</f>
        <v>36</v>
      </c>
      <c r="K177" s="6" t="s">
        <v>8531</v>
      </c>
      <c r="M177" s="6" t="s">
        <v>4581</v>
      </c>
      <c r="N177" s="6" t="s">
        <v>4582</v>
      </c>
      <c r="O177" s="6" t="s">
        <v>8532</v>
      </c>
      <c r="P177" s="6" t="s">
        <v>8533</v>
      </c>
      <c r="Q177" s="6" t="s">
        <v>8534</v>
      </c>
      <c r="R177" s="5" t="s">
        <v>162</v>
      </c>
      <c r="S177" s="6" t="s">
        <v>163</v>
      </c>
      <c r="T177" s="5" t="s">
        <v>162</v>
      </c>
      <c r="U177" s="5" t="s">
        <v>228</v>
      </c>
      <c r="V177" s="6" t="s">
        <v>8535</v>
      </c>
      <c r="W177" s="6" t="s">
        <v>166</v>
      </c>
      <c r="X177" s="6" t="s">
        <v>4586</v>
      </c>
      <c r="Y177" s="6" t="n">
        <f aca="false">IF(EB177&lt;&gt;"Y","",COUNTIFS($EB$2:$EB$1000,"Y",$J$2:$J$1000,"&gt;"&amp;J177)+COUNTIFS($EB$2:$EB$1000,"Y",$J$2:$J$1000,J177,$ED$2:$ED$1000,"&lt;"&amp;ED177)+1)</f>
        <v>139</v>
      </c>
      <c r="Z177" s="0" t="n">
        <v>176</v>
      </c>
      <c r="AA177" s="6" t="s">
        <v>162</v>
      </c>
      <c r="AB177" s="6" t="s">
        <v>8536</v>
      </c>
      <c r="AC177" s="6" t="s">
        <v>8537</v>
      </c>
      <c r="AD177" s="6" t="s">
        <v>171</v>
      </c>
      <c r="AE177" s="6" t="s">
        <v>1190</v>
      </c>
      <c r="AF177" s="6" t="s">
        <v>8538</v>
      </c>
      <c r="AG177" s="6" t="s">
        <v>166</v>
      </c>
      <c r="AH177" s="6" t="s">
        <v>8539</v>
      </c>
      <c r="AI177" s="6" t="s">
        <v>4724</v>
      </c>
      <c r="AJ177" s="6" t="s">
        <v>8540</v>
      </c>
      <c r="AK177" s="6" t="s">
        <v>8541</v>
      </c>
      <c r="AL177" s="6" t="s">
        <v>168</v>
      </c>
      <c r="AM177" s="6" t="s">
        <v>8542</v>
      </c>
      <c r="AN177" s="6" t="s">
        <v>8528</v>
      </c>
      <c r="AO177" s="5" t="s">
        <v>162</v>
      </c>
      <c r="AR177" s="0" t="str">
        <f aca="false">IF(AND(AU177="pass",AO177&lt;&gt;"Y",C177&lt;&gt;""),"Y","N")</f>
        <v>Y</v>
      </c>
      <c r="AS177" s="0" t="str">
        <f aca="false">_xlfn.TEXTJOIN("; ",TRUE(),IF(AU177&lt;&gt;"pass","gated out",""),IF(AO177="Y","on hold: "&amp;AP177,""),IF(C177="","no contact named on an opened page",""))</f>
        <v/>
      </c>
      <c r="AU177" s="6" t="s">
        <v>181</v>
      </c>
      <c r="AW177" s="6" t="s">
        <v>182</v>
      </c>
      <c r="AX177" s="6" t="s">
        <v>8543</v>
      </c>
      <c r="AY177" s="6" t="s">
        <v>8541</v>
      </c>
      <c r="AZ177" s="6" t="s">
        <v>4596</v>
      </c>
      <c r="BA177" s="6" t="s">
        <v>4953</v>
      </c>
      <c r="BB177" s="6" t="s">
        <v>163</v>
      </c>
      <c r="BD177" s="6" t="s">
        <v>264</v>
      </c>
      <c r="BE177" s="6" t="s">
        <v>8544</v>
      </c>
      <c r="BF177" s="6" t="s">
        <v>168</v>
      </c>
      <c r="BG177" s="6" t="s">
        <v>168</v>
      </c>
      <c r="BH177" s="6" t="s">
        <v>163</v>
      </c>
      <c r="BJ177" s="6" t="s">
        <v>163</v>
      </c>
      <c r="BK177" s="6" t="s">
        <v>162</v>
      </c>
      <c r="BL177" s="6" t="s">
        <v>162</v>
      </c>
      <c r="BN177" s="0" t="n">
        <v>0</v>
      </c>
      <c r="BO177" s="6" t="s">
        <v>168</v>
      </c>
      <c r="BP177" s="0" t="n">
        <v>3</v>
      </c>
      <c r="BQ177" s="6" t="s">
        <v>4670</v>
      </c>
      <c r="BS177" s="6" t="s">
        <v>4693</v>
      </c>
      <c r="BT177" s="6" t="s">
        <v>8545</v>
      </c>
      <c r="BU177" s="6" t="s">
        <v>4695</v>
      </c>
      <c r="BV177" s="0" t="n">
        <v>216</v>
      </c>
      <c r="BX177" s="6" t="s">
        <v>8546</v>
      </c>
      <c r="CA177" s="6" t="s">
        <v>8547</v>
      </c>
      <c r="CB177" s="6" t="s">
        <v>8548</v>
      </c>
      <c r="CC177" s="6" t="s">
        <v>8549</v>
      </c>
      <c r="CD177" s="6" t="s">
        <v>4626</v>
      </c>
      <c r="CE177" s="6" t="s">
        <v>6725</v>
      </c>
      <c r="CF177" s="6" t="s">
        <v>171</v>
      </c>
      <c r="CK177" s="6" t="s">
        <v>158</v>
      </c>
      <c r="CL177" s="0" t="n">
        <v>36</v>
      </c>
      <c r="CM177" s="0" t="n">
        <v>25</v>
      </c>
      <c r="CN177" s="0" t="n">
        <v>13</v>
      </c>
      <c r="CO177" s="0" t="n">
        <v>4</v>
      </c>
      <c r="CP177" s="0" t="n">
        <v>5</v>
      </c>
      <c r="CQ177" s="0" t="n">
        <v>8</v>
      </c>
      <c r="CR177" s="0" t="n">
        <v>6</v>
      </c>
      <c r="CS177" s="6" t="n">
        <f aca="false">IF(R177="Y",10,0)</f>
        <v>0</v>
      </c>
      <c r="CT177" s="0" t="n">
        <v>-25</v>
      </c>
      <c r="CU177" s="6" t="s">
        <v>8550</v>
      </c>
      <c r="CV177" s="6" t="s">
        <v>4704</v>
      </c>
      <c r="CW177" s="6" t="s">
        <v>8551</v>
      </c>
      <c r="CX177" s="6" t="s">
        <v>8552</v>
      </c>
      <c r="CY177" s="6" t="s">
        <v>8553</v>
      </c>
      <c r="CZ177" s="6" t="s">
        <v>8538</v>
      </c>
      <c r="DA177" s="6" t="s">
        <v>6236</v>
      </c>
      <c r="DC177" s="6" t="s">
        <v>1190</v>
      </c>
      <c r="DY177" s="0" t="str">
        <f aca="false">IF(ISNUMBER(MATCH(U177,{"queued","contacted","replied","call_booked","call_done","yes_in_principle","materials_sent"},0)),"Y","N")</f>
        <v>N</v>
      </c>
      <c r="DZ177" s="0" t="str">
        <f aca="false">IF(COUNTIFS($AN$2:$AN$1000,AN177,$DY$2:$DY$1000,"Y")+COUNTIFS($AN$2:$AN$1000,AN177,$T$2:$T$1000,"Y")&gt;0,"Y","N")</f>
        <v>N</v>
      </c>
      <c r="EA177" s="0" t="str">
        <f aca="false">IF(AND(U177="new",T177="N",AR177="Y",AQ177="",DZ177="N"),"Y","N")</f>
        <v>Y</v>
      </c>
      <c r="EB177" s="0" t="str">
        <f aca="false">IF(EA177&lt;&gt;"Y","N",IF(COUNTIFS($AN$2:$AN$1000,AN177,$EA$2:$EA$1000,"Y",$J$2:$J$1000,"&gt;"&amp;J177)+COUNTIFS($AN$2:$AN$1000,AN177,$EA$2:$EA$1000,"Y",$J$2:$J$1000,J177,$ED$2:$ED$1000,"&lt;"&amp;ED177)=0,"Y","N"))</f>
        <v>Y</v>
      </c>
      <c r="EC177" s="0" t="str">
        <f aca="false">IF(Y177="","N",IF(Y177&lt;=10,"Y","N"))</f>
        <v>N</v>
      </c>
      <c r="ED177" s="6" t="n">
        <f aca="false">ROW()-1</f>
        <v>176</v>
      </c>
    </row>
    <row r="178" customFormat="false" ht="15" hidden="false" customHeight="false" outlineLevel="0" collapsed="false">
      <c r="A178" s="0" t="s">
        <v>8554</v>
      </c>
      <c r="B178" s="0" t="s">
        <v>8555</v>
      </c>
      <c r="H178" s="5" t="s">
        <v>158</v>
      </c>
      <c r="I178" s="5"/>
      <c r="J178" s="6" t="n">
        <f aca="false">IF(AU178="pass",CM178+CN178+CO178+CP178+CQ178+CR178+CS178+CT178,0)</f>
        <v>36</v>
      </c>
      <c r="K178" s="6" t="s">
        <v>8556</v>
      </c>
      <c r="M178" s="6" t="s">
        <v>4581</v>
      </c>
      <c r="N178" s="6" t="s">
        <v>4582</v>
      </c>
      <c r="R178" s="5" t="s">
        <v>162</v>
      </c>
      <c r="S178" s="6" t="s">
        <v>163</v>
      </c>
      <c r="T178" s="5" t="s">
        <v>162</v>
      </c>
      <c r="U178" s="5" t="s">
        <v>228</v>
      </c>
      <c r="V178" s="6" t="s">
        <v>8557</v>
      </c>
      <c r="W178" s="6" t="s">
        <v>166</v>
      </c>
      <c r="X178" s="6" t="s">
        <v>4586</v>
      </c>
      <c r="Y178" s="0" t="str">
        <f aca="false">IF(EB178&lt;&gt;"Y","",COUNTIFS($EB$2:$EB$1000,"Y",$J$2:$J$1000,"&gt;"&amp;J178)+COUNTIFS($EB$2:$EB$1000,"Y",$J$2:$J$1000,J178,$ED$2:$ED$1000,"&lt;"&amp;ED178)+1)</f>
        <v/>
      </c>
      <c r="Z178" s="0" t="n">
        <v>177</v>
      </c>
      <c r="AA178" s="6" t="s">
        <v>162</v>
      </c>
      <c r="AB178" s="6" t="s">
        <v>8558</v>
      </c>
      <c r="AD178" s="6" t="s">
        <v>158</v>
      </c>
      <c r="AH178" s="6" t="s">
        <v>8559</v>
      </c>
      <c r="AI178" s="6" t="s">
        <v>5655</v>
      </c>
      <c r="AJ178" s="6" t="s">
        <v>8560</v>
      </c>
      <c r="AK178" s="6" t="s">
        <v>8561</v>
      </c>
      <c r="AL178" s="6" t="s">
        <v>168</v>
      </c>
      <c r="AM178" s="6" t="s">
        <v>8562</v>
      </c>
      <c r="AN178" s="6" t="s">
        <v>8554</v>
      </c>
      <c r="AO178" s="5" t="s">
        <v>162</v>
      </c>
      <c r="AR178" s="0" t="str">
        <f aca="false">IF(AND(AU178="pass",AO178&lt;&gt;"Y",C178&lt;&gt;""),"Y","N")</f>
        <v>N</v>
      </c>
      <c r="AS178" s="0" t="str">
        <f aca="false">_xlfn.TEXTJOIN("; ",TRUE(),IF(AU178&lt;&gt;"pass","gated out",""),IF(AO178="Y","on hold: "&amp;AP178,""),IF(C178="","no contact named on an opened page",""))</f>
        <v>no contact named on an opened page</v>
      </c>
      <c r="AU178" s="6" t="s">
        <v>181</v>
      </c>
      <c r="AW178" s="6" t="s">
        <v>182</v>
      </c>
      <c r="AX178" s="6" t="s">
        <v>8563</v>
      </c>
      <c r="AY178" s="6" t="s">
        <v>8561</v>
      </c>
      <c r="AZ178" s="6" t="s">
        <v>4924</v>
      </c>
      <c r="BA178" s="6" t="s">
        <v>5193</v>
      </c>
      <c r="BB178" s="6" t="s">
        <v>163</v>
      </c>
      <c r="BD178" s="6" t="s">
        <v>168</v>
      </c>
      <c r="BE178" s="6" t="s">
        <v>8564</v>
      </c>
      <c r="BF178" s="6" t="s">
        <v>168</v>
      </c>
      <c r="BG178" s="6" t="s">
        <v>168</v>
      </c>
      <c r="BH178" s="6" t="s">
        <v>163</v>
      </c>
      <c r="BJ178" s="6" t="s">
        <v>163</v>
      </c>
      <c r="BK178" s="6" t="s">
        <v>162</v>
      </c>
      <c r="BL178" s="6" t="s">
        <v>162</v>
      </c>
      <c r="BN178" s="0" t="n">
        <v>0</v>
      </c>
      <c r="BO178" s="6" t="s">
        <v>168</v>
      </c>
      <c r="BP178" s="0" t="n">
        <v>3</v>
      </c>
      <c r="BQ178" s="6" t="s">
        <v>4670</v>
      </c>
      <c r="BS178" s="6" t="s">
        <v>8565</v>
      </c>
      <c r="BT178" s="6" t="s">
        <v>8566</v>
      </c>
      <c r="BU178" s="6" t="s">
        <v>158</v>
      </c>
      <c r="CF178" s="6" t="s">
        <v>158</v>
      </c>
      <c r="CK178" s="6" t="s">
        <v>158</v>
      </c>
      <c r="CL178" s="0" t="n">
        <v>36</v>
      </c>
      <c r="CM178" s="0" t="n">
        <v>25</v>
      </c>
      <c r="CN178" s="0" t="n">
        <v>8</v>
      </c>
      <c r="CO178" s="0" t="n">
        <v>0</v>
      </c>
      <c r="CP178" s="0" t="n">
        <v>5</v>
      </c>
      <c r="CQ178" s="0" t="n">
        <v>10</v>
      </c>
      <c r="CR178" s="0" t="n">
        <v>0</v>
      </c>
      <c r="CS178" s="6" t="n">
        <f aca="false">IF(R178="Y",10,0)</f>
        <v>0</v>
      </c>
      <c r="CT178" s="0" t="n">
        <v>-12</v>
      </c>
      <c r="CU178" s="6" t="s">
        <v>8567</v>
      </c>
      <c r="CV178" s="6" t="s">
        <v>4704</v>
      </c>
      <c r="CW178" s="6" t="s">
        <v>8568</v>
      </c>
      <c r="CX178" s="6" t="s">
        <v>8569</v>
      </c>
      <c r="CY178" s="6" t="s">
        <v>8570</v>
      </c>
      <c r="DA178" s="6" t="s">
        <v>6236</v>
      </c>
      <c r="DY178" s="0" t="str">
        <f aca="false">IF(ISNUMBER(MATCH(U178,{"queued","contacted","replied","call_booked","call_done","yes_in_principle","materials_sent"},0)),"Y","N")</f>
        <v>N</v>
      </c>
      <c r="DZ178" s="0" t="str">
        <f aca="false">IF(COUNTIFS($AN$2:$AN$1000,AN178,$DY$2:$DY$1000,"Y")+COUNTIFS($AN$2:$AN$1000,AN178,$T$2:$T$1000,"Y")&gt;0,"Y","N")</f>
        <v>N</v>
      </c>
      <c r="EA178" s="0" t="str">
        <f aca="false">IF(AND(U178="new",T178="N",AR178="Y",AQ178="",DZ178="N"),"Y","N")</f>
        <v>N</v>
      </c>
      <c r="EB178" s="0" t="str">
        <f aca="false">IF(EA178&lt;&gt;"Y","N",IF(COUNTIFS($AN$2:$AN$1000,AN178,$EA$2:$EA$1000,"Y",$J$2:$J$1000,"&gt;"&amp;J178)+COUNTIFS($AN$2:$AN$1000,AN178,$EA$2:$EA$1000,"Y",$J$2:$J$1000,J178,$ED$2:$ED$1000,"&lt;"&amp;ED178)=0,"Y","N"))</f>
        <v>N</v>
      </c>
      <c r="EC178" s="0" t="str">
        <f aca="false">IF(Y178="","N",IF(Y178&lt;=10,"Y","N"))</f>
        <v>N</v>
      </c>
      <c r="ED178" s="6" t="n">
        <f aca="false">ROW()-1</f>
        <v>177</v>
      </c>
    </row>
    <row r="179" customFormat="false" ht="15" hidden="false" customHeight="false" outlineLevel="0" collapsed="false">
      <c r="A179" s="0" t="s">
        <v>8571</v>
      </c>
      <c r="B179" s="0" t="s">
        <v>8572</v>
      </c>
      <c r="H179" s="5" t="s">
        <v>158</v>
      </c>
      <c r="I179" s="5"/>
      <c r="J179" s="6" t="n">
        <f aca="false">IF(AU179="pass",CM179+CN179+CO179+CP179+CQ179+CR179+CS179+CT179,0)</f>
        <v>36</v>
      </c>
      <c r="K179" s="6" t="s">
        <v>8573</v>
      </c>
      <c r="M179" s="6" t="s">
        <v>4628</v>
      </c>
      <c r="N179" s="6" t="s">
        <v>4582</v>
      </c>
      <c r="R179" s="5" t="s">
        <v>162</v>
      </c>
      <c r="S179" s="6" t="s">
        <v>163</v>
      </c>
      <c r="T179" s="5" t="s">
        <v>162</v>
      </c>
      <c r="U179" s="5" t="s">
        <v>228</v>
      </c>
      <c r="V179" s="6" t="s">
        <v>8574</v>
      </c>
      <c r="W179" s="6" t="s">
        <v>166</v>
      </c>
      <c r="X179" s="6" t="s">
        <v>4586</v>
      </c>
      <c r="Y179" s="0" t="str">
        <f aca="false">IF(EB179&lt;&gt;"Y","",COUNTIFS($EB$2:$EB$1000,"Y",$J$2:$J$1000,"&gt;"&amp;J179)+COUNTIFS($EB$2:$EB$1000,"Y",$J$2:$J$1000,J179,$ED$2:$ED$1000,"&lt;"&amp;ED179)+1)</f>
        <v/>
      </c>
      <c r="Z179" s="0" t="n">
        <v>178</v>
      </c>
      <c r="AA179" s="6" t="s">
        <v>162</v>
      </c>
      <c r="AB179" s="6" t="s">
        <v>8575</v>
      </c>
      <c r="AD179" s="6" t="s">
        <v>158</v>
      </c>
      <c r="AH179" s="6" t="s">
        <v>8576</v>
      </c>
      <c r="AI179" s="6" t="s">
        <v>4828</v>
      </c>
      <c r="AJ179" s="6" t="s">
        <v>8577</v>
      </c>
      <c r="AL179" s="6" t="s">
        <v>168</v>
      </c>
      <c r="AM179" s="6" t="s">
        <v>8578</v>
      </c>
      <c r="AN179" s="6" t="s">
        <v>8571</v>
      </c>
      <c r="AO179" s="5" t="s">
        <v>162</v>
      </c>
      <c r="AR179" s="0" t="str">
        <f aca="false">IF(AND(AU179="pass",AO179&lt;&gt;"Y",C179&lt;&gt;""),"Y","N")</f>
        <v>N</v>
      </c>
      <c r="AS179" s="0" t="str">
        <f aca="false">_xlfn.TEXTJOIN("; ",TRUE(),IF(AU179&lt;&gt;"pass","gated out",""),IF(AO179="Y","on hold: "&amp;AP179,""),IF(C179="","no contact named on an opened page",""))</f>
        <v>no contact named on an opened page</v>
      </c>
      <c r="AU179" s="6" t="s">
        <v>181</v>
      </c>
      <c r="AW179" s="6" t="s">
        <v>182</v>
      </c>
      <c r="AX179" s="6" t="s">
        <v>283</v>
      </c>
      <c r="AY179" s="6" t="s">
        <v>8579</v>
      </c>
      <c r="AZ179" s="6" t="s">
        <v>8580</v>
      </c>
      <c r="BA179" s="6" t="s">
        <v>5060</v>
      </c>
      <c r="BB179" s="6" t="s">
        <v>163</v>
      </c>
      <c r="BD179" s="6" t="s">
        <v>168</v>
      </c>
      <c r="BE179" s="6" t="s">
        <v>8581</v>
      </c>
      <c r="BF179" s="6" t="s">
        <v>162</v>
      </c>
      <c r="BG179" s="6" t="s">
        <v>163</v>
      </c>
      <c r="BH179" s="6" t="s">
        <v>163</v>
      </c>
      <c r="BJ179" s="6" t="s">
        <v>163</v>
      </c>
      <c r="BK179" s="6" t="s">
        <v>162</v>
      </c>
      <c r="BL179" s="6" t="s">
        <v>162</v>
      </c>
      <c r="BN179" s="0" t="n">
        <v>0</v>
      </c>
      <c r="BO179" s="6" t="s">
        <v>168</v>
      </c>
      <c r="BP179" s="0" t="n">
        <v>2</v>
      </c>
      <c r="BQ179" s="6" t="s">
        <v>6036</v>
      </c>
      <c r="BS179" s="6" t="s">
        <v>4983</v>
      </c>
      <c r="BT179" s="6" t="s">
        <v>8582</v>
      </c>
      <c r="BU179" s="6" t="s">
        <v>158</v>
      </c>
      <c r="CF179" s="6" t="s">
        <v>158</v>
      </c>
      <c r="CK179" s="6" t="s">
        <v>158</v>
      </c>
      <c r="CL179" s="0" t="n">
        <v>36</v>
      </c>
      <c r="CM179" s="0" t="n">
        <v>25</v>
      </c>
      <c r="CN179" s="0" t="n">
        <v>3</v>
      </c>
      <c r="CO179" s="0" t="n">
        <v>0</v>
      </c>
      <c r="CP179" s="0" t="n">
        <v>5</v>
      </c>
      <c r="CQ179" s="0" t="n">
        <v>5</v>
      </c>
      <c r="CR179" s="0" t="n">
        <v>0</v>
      </c>
      <c r="CS179" s="6" t="n">
        <f aca="false">IF(R179="Y",10,0)</f>
        <v>0</v>
      </c>
      <c r="CT179" s="0" t="n">
        <v>-2</v>
      </c>
      <c r="CU179" s="6" t="s">
        <v>163</v>
      </c>
      <c r="CV179" s="6" t="s">
        <v>4843</v>
      </c>
      <c r="CW179" s="6" t="s">
        <v>8583</v>
      </c>
      <c r="CX179" s="6" t="s">
        <v>8584</v>
      </c>
      <c r="CY179" s="6" t="s">
        <v>8585</v>
      </c>
      <c r="DA179" s="6" t="s">
        <v>6236</v>
      </c>
      <c r="DY179" s="0" t="str">
        <f aca="false">IF(ISNUMBER(MATCH(U179,{"queued","contacted","replied","call_booked","call_done","yes_in_principle","materials_sent"},0)),"Y","N")</f>
        <v>N</v>
      </c>
      <c r="DZ179" s="0" t="str">
        <f aca="false">IF(COUNTIFS($AN$2:$AN$1000,AN179,$DY$2:$DY$1000,"Y")+COUNTIFS($AN$2:$AN$1000,AN179,$T$2:$T$1000,"Y")&gt;0,"Y","N")</f>
        <v>N</v>
      </c>
      <c r="EA179" s="0" t="str">
        <f aca="false">IF(AND(U179="new",T179="N",AR179="Y",AQ179="",DZ179="N"),"Y","N")</f>
        <v>N</v>
      </c>
      <c r="EB179" s="0" t="str">
        <f aca="false">IF(EA179&lt;&gt;"Y","N",IF(COUNTIFS($AN$2:$AN$1000,AN179,$EA$2:$EA$1000,"Y",$J$2:$J$1000,"&gt;"&amp;J179)+COUNTIFS($AN$2:$AN$1000,AN179,$EA$2:$EA$1000,"Y",$J$2:$J$1000,J179,$ED$2:$ED$1000,"&lt;"&amp;ED179)=0,"Y","N"))</f>
        <v>N</v>
      </c>
      <c r="EC179" s="0" t="str">
        <f aca="false">IF(Y179="","N",IF(Y179&lt;=10,"Y","N"))</f>
        <v>N</v>
      </c>
      <c r="ED179" s="6" t="n">
        <f aca="false">ROW()-1</f>
        <v>178</v>
      </c>
    </row>
    <row r="180" customFormat="false" ht="15" hidden="false" customHeight="false" outlineLevel="0" collapsed="false">
      <c r="A180" s="0" t="s">
        <v>8586</v>
      </c>
      <c r="B180" s="0" t="s">
        <v>8587</v>
      </c>
      <c r="C180" s="0" t="s">
        <v>8588</v>
      </c>
      <c r="D180" s="0" t="s">
        <v>8589</v>
      </c>
      <c r="E180" s="0" t="s">
        <v>4657</v>
      </c>
      <c r="H180" s="5" t="s">
        <v>158</v>
      </c>
      <c r="I180" s="5" t="s">
        <v>159</v>
      </c>
      <c r="J180" s="6" t="n">
        <f aca="false">IF(AU180="pass",CM180+CN180+CO180+CP180+CQ180+CR180+CS180+CT180,0)</f>
        <v>36</v>
      </c>
      <c r="K180" s="6" t="s">
        <v>8590</v>
      </c>
      <c r="M180" s="6" t="s">
        <v>4581</v>
      </c>
      <c r="N180" s="6" t="s">
        <v>4582</v>
      </c>
      <c r="R180" s="5" t="s">
        <v>162</v>
      </c>
      <c r="S180" s="6" t="s">
        <v>163</v>
      </c>
      <c r="T180" s="5" t="s">
        <v>162</v>
      </c>
      <c r="U180" s="5" t="s">
        <v>228</v>
      </c>
      <c r="V180" s="6" t="s">
        <v>8591</v>
      </c>
      <c r="W180" s="6" t="s">
        <v>166</v>
      </c>
      <c r="X180" s="6" t="s">
        <v>4586</v>
      </c>
      <c r="Y180" s="6" t="n">
        <f aca="false">IF(EB180&lt;&gt;"Y","",COUNTIFS($EB$2:$EB$1000,"Y",$J$2:$J$1000,"&gt;"&amp;J180)+COUNTIFS($EB$2:$EB$1000,"Y",$J$2:$J$1000,J180,$ED$2:$ED$1000,"&lt;"&amp;ED180)+1)</f>
        <v>140</v>
      </c>
      <c r="Z180" s="0" t="n">
        <v>179</v>
      </c>
      <c r="AA180" s="6" t="s">
        <v>162</v>
      </c>
      <c r="AB180" s="6" t="s">
        <v>8592</v>
      </c>
      <c r="AC180" s="6" t="s">
        <v>4588</v>
      </c>
      <c r="AD180" s="6" t="s">
        <v>171</v>
      </c>
      <c r="AE180" s="6" t="s">
        <v>172</v>
      </c>
      <c r="AF180" s="6" t="s">
        <v>8591</v>
      </c>
      <c r="AG180" s="6" t="s">
        <v>166</v>
      </c>
      <c r="AH180" s="6" t="s">
        <v>8593</v>
      </c>
      <c r="AI180" s="6" t="s">
        <v>4977</v>
      </c>
      <c r="AJ180" s="6" t="s">
        <v>2016</v>
      </c>
      <c r="AL180" s="6" t="s">
        <v>168</v>
      </c>
      <c r="AM180" s="6" t="s">
        <v>8594</v>
      </c>
      <c r="AN180" s="6" t="s">
        <v>8586</v>
      </c>
      <c r="AO180" s="5" t="s">
        <v>162</v>
      </c>
      <c r="AR180" s="0" t="str">
        <f aca="false">IF(AND(AU180="pass",AO180&lt;&gt;"Y",C180&lt;&gt;""),"Y","N")</f>
        <v>Y</v>
      </c>
      <c r="AS180" s="0" t="str">
        <f aca="false">_xlfn.TEXTJOIN("; ",TRUE(),IF(AU180&lt;&gt;"pass","gated out",""),IF(AO180="Y","on hold: "&amp;AP180,""),IF(C180="","no contact named on an opened page",""))</f>
        <v/>
      </c>
      <c r="AU180" s="6" t="s">
        <v>181</v>
      </c>
      <c r="AW180" s="6" t="s">
        <v>182</v>
      </c>
      <c r="AX180" s="6" t="s">
        <v>5607</v>
      </c>
      <c r="AY180" s="6" t="s">
        <v>8595</v>
      </c>
      <c r="AZ180" s="6" t="s">
        <v>6478</v>
      </c>
      <c r="BA180" s="6" t="s">
        <v>5193</v>
      </c>
      <c r="BB180" s="6" t="s">
        <v>163</v>
      </c>
      <c r="BD180" s="6" t="s">
        <v>168</v>
      </c>
      <c r="BE180" s="6" t="s">
        <v>8596</v>
      </c>
      <c r="BF180" s="6" t="s">
        <v>162</v>
      </c>
      <c r="BG180" s="6" t="s">
        <v>162</v>
      </c>
      <c r="BH180" s="6" t="s">
        <v>163</v>
      </c>
      <c r="BJ180" s="6" t="s">
        <v>163</v>
      </c>
      <c r="BK180" s="6" t="s">
        <v>162</v>
      </c>
      <c r="BL180" s="6" t="s">
        <v>162</v>
      </c>
      <c r="BN180" s="0" t="n">
        <v>0</v>
      </c>
      <c r="BO180" s="6" t="s">
        <v>168</v>
      </c>
      <c r="BP180" s="0" t="n">
        <v>2</v>
      </c>
      <c r="BQ180" s="6" t="s">
        <v>4783</v>
      </c>
      <c r="BS180" s="6" t="s">
        <v>8597</v>
      </c>
      <c r="BT180" s="6" t="s">
        <v>8598</v>
      </c>
      <c r="BU180" s="6" t="s">
        <v>158</v>
      </c>
      <c r="BX180" s="6" t="s">
        <v>8599</v>
      </c>
      <c r="CF180" s="6" t="s">
        <v>158</v>
      </c>
      <c r="CK180" s="6" t="s">
        <v>158</v>
      </c>
      <c r="CL180" s="0" t="n">
        <v>36</v>
      </c>
      <c r="CM180" s="0" t="n">
        <v>25</v>
      </c>
      <c r="CN180" s="0" t="n">
        <v>8</v>
      </c>
      <c r="CO180" s="0" t="n">
        <v>0</v>
      </c>
      <c r="CP180" s="0" t="n">
        <v>5</v>
      </c>
      <c r="CQ180" s="0" t="n">
        <v>4</v>
      </c>
      <c r="CR180" s="0" t="n">
        <v>6</v>
      </c>
      <c r="CS180" s="6" t="n">
        <f aca="false">IF(R180="Y",10,0)</f>
        <v>0</v>
      </c>
      <c r="CT180" s="0" t="n">
        <v>-12</v>
      </c>
      <c r="CU180" s="6" t="s">
        <v>163</v>
      </c>
      <c r="CV180" s="6" t="s">
        <v>4843</v>
      </c>
      <c r="CW180" s="6" t="s">
        <v>8600</v>
      </c>
      <c r="CX180" s="6" t="s">
        <v>8601</v>
      </c>
      <c r="DA180" s="6" t="s">
        <v>6236</v>
      </c>
      <c r="DY180" s="0" t="str">
        <f aca="false">IF(ISNUMBER(MATCH(U180,{"queued","contacted","replied","call_booked","call_done","yes_in_principle","materials_sent"},0)),"Y","N")</f>
        <v>N</v>
      </c>
      <c r="DZ180" s="0" t="str">
        <f aca="false">IF(COUNTIFS($AN$2:$AN$1000,AN180,$DY$2:$DY$1000,"Y")+COUNTIFS($AN$2:$AN$1000,AN180,$T$2:$T$1000,"Y")&gt;0,"Y","N")</f>
        <v>N</v>
      </c>
      <c r="EA180" s="0" t="str">
        <f aca="false">IF(AND(U180="new",T180="N",AR180="Y",AQ180="",DZ180="N"),"Y","N")</f>
        <v>Y</v>
      </c>
      <c r="EB180" s="0" t="str">
        <f aca="false">IF(EA180&lt;&gt;"Y","N",IF(COUNTIFS($AN$2:$AN$1000,AN180,$EA$2:$EA$1000,"Y",$J$2:$J$1000,"&gt;"&amp;J180)+COUNTIFS($AN$2:$AN$1000,AN180,$EA$2:$EA$1000,"Y",$J$2:$J$1000,J180,$ED$2:$ED$1000,"&lt;"&amp;ED180)=0,"Y","N"))</f>
        <v>Y</v>
      </c>
      <c r="EC180" s="0" t="str">
        <f aca="false">IF(Y180="","N",IF(Y180&lt;=10,"Y","N"))</f>
        <v>N</v>
      </c>
      <c r="ED180" s="6" t="n">
        <f aca="false">ROW()-1</f>
        <v>179</v>
      </c>
    </row>
    <row r="181" customFormat="false" ht="15" hidden="false" customHeight="false" outlineLevel="0" collapsed="false">
      <c r="A181" s="0" t="s">
        <v>8602</v>
      </c>
      <c r="B181" s="0" t="s">
        <v>8603</v>
      </c>
      <c r="C181" s="0" t="s">
        <v>6049</v>
      </c>
      <c r="D181" s="0" t="s">
        <v>8604</v>
      </c>
      <c r="E181" s="0" t="s">
        <v>4657</v>
      </c>
      <c r="H181" s="5" t="s">
        <v>158</v>
      </c>
      <c r="I181" s="5" t="s">
        <v>159</v>
      </c>
      <c r="J181" s="6" t="n">
        <f aca="false">IF(AU181="pass",CM181+CN181+CO181+CP181+CQ181+CR181+CS181+CT181,0)</f>
        <v>36</v>
      </c>
      <c r="K181" s="6" t="s">
        <v>8605</v>
      </c>
      <c r="M181" s="6" t="s">
        <v>5293</v>
      </c>
      <c r="N181" s="6" t="s">
        <v>598</v>
      </c>
      <c r="O181" s="6" t="s">
        <v>8606</v>
      </c>
      <c r="P181" s="6" t="s">
        <v>6199</v>
      </c>
      <c r="Q181" s="6" t="s">
        <v>2651</v>
      </c>
      <c r="R181" s="5" t="s">
        <v>162</v>
      </c>
      <c r="S181" s="6" t="s">
        <v>168</v>
      </c>
      <c r="T181" s="5" t="s">
        <v>162</v>
      </c>
      <c r="U181" s="5" t="s">
        <v>228</v>
      </c>
      <c r="V181" s="6" t="s">
        <v>8607</v>
      </c>
      <c r="W181" s="6" t="s">
        <v>166</v>
      </c>
      <c r="X181" s="6" t="s">
        <v>4586</v>
      </c>
      <c r="Y181" s="6" t="n">
        <f aca="false">IF(EB181&lt;&gt;"Y","",COUNTIFS($EB$2:$EB$1000,"Y",$J$2:$J$1000,"&gt;"&amp;J181)+COUNTIFS($EB$2:$EB$1000,"Y",$J$2:$J$1000,J181,$ED$2:$ED$1000,"&lt;"&amp;ED181)+1)</f>
        <v>141</v>
      </c>
      <c r="Z181" s="0" t="n">
        <v>180</v>
      </c>
      <c r="AA181" s="6" t="s">
        <v>162</v>
      </c>
      <c r="AB181" s="6" t="s">
        <v>8608</v>
      </c>
      <c r="AC181" s="6" t="s">
        <v>4588</v>
      </c>
      <c r="AD181" s="6" t="s">
        <v>171</v>
      </c>
      <c r="AE181" s="6" t="s">
        <v>172</v>
      </c>
      <c r="AF181" s="6" t="s">
        <v>8607</v>
      </c>
      <c r="AG181" s="6" t="s">
        <v>166</v>
      </c>
      <c r="AH181" s="6" t="s">
        <v>8609</v>
      </c>
      <c r="AI181" s="6" t="s">
        <v>4828</v>
      </c>
      <c r="AJ181" s="6" t="s">
        <v>8610</v>
      </c>
      <c r="AK181" s="6" t="s">
        <v>8611</v>
      </c>
      <c r="AL181" s="6" t="s">
        <v>162</v>
      </c>
      <c r="AN181" s="6" t="s">
        <v>8602</v>
      </c>
      <c r="AO181" s="5" t="s">
        <v>162</v>
      </c>
      <c r="AR181" s="0" t="str">
        <f aca="false">IF(AND(AU181="pass",AO181&lt;&gt;"Y",C181&lt;&gt;""),"Y","N")</f>
        <v>Y</v>
      </c>
      <c r="AS181" s="0" t="str">
        <f aca="false">_xlfn.TEXTJOIN("; ",TRUE(),IF(AU181&lt;&gt;"pass","gated out",""),IF(AO181="Y","on hold: "&amp;AP181,""),IF(C181="","no contact named on an opened page",""))</f>
        <v/>
      </c>
      <c r="AU181" s="6" t="s">
        <v>181</v>
      </c>
      <c r="AW181" s="6" t="s">
        <v>182</v>
      </c>
      <c r="AY181" s="6" t="s">
        <v>8611</v>
      </c>
      <c r="AZ181" s="6" t="s">
        <v>5490</v>
      </c>
      <c r="BA181" s="6" t="s">
        <v>5331</v>
      </c>
      <c r="BB181" s="6" t="s">
        <v>163</v>
      </c>
      <c r="BD181" s="6" t="s">
        <v>168</v>
      </c>
      <c r="BE181" s="6" t="s">
        <v>8612</v>
      </c>
      <c r="BF181" s="6" t="s">
        <v>163</v>
      </c>
      <c r="BG181" s="6" t="s">
        <v>168</v>
      </c>
      <c r="BH181" s="6" t="s">
        <v>163</v>
      </c>
      <c r="BJ181" s="6" t="s">
        <v>163</v>
      </c>
      <c r="BK181" s="6" t="s">
        <v>162</v>
      </c>
      <c r="BL181" s="6" t="s">
        <v>162</v>
      </c>
      <c r="BO181" s="6" t="s">
        <v>162</v>
      </c>
      <c r="BP181" s="0" t="n">
        <v>0</v>
      </c>
      <c r="BR181" s="6" t="s">
        <v>6764</v>
      </c>
      <c r="BS181" s="6" t="s">
        <v>8613</v>
      </c>
      <c r="BT181" s="6" t="s">
        <v>8614</v>
      </c>
      <c r="BU181" s="6" t="s">
        <v>4695</v>
      </c>
      <c r="BV181" s="0" t="n">
        <v>95</v>
      </c>
      <c r="BW181" s="6" t="s">
        <v>6199</v>
      </c>
      <c r="BX181" s="6" t="s">
        <v>8615</v>
      </c>
      <c r="CF181" s="6" t="s">
        <v>158</v>
      </c>
      <c r="CK181" s="6" t="s">
        <v>158</v>
      </c>
      <c r="CL181" s="0" t="n">
        <v>36</v>
      </c>
      <c r="CM181" s="0" t="n">
        <v>6</v>
      </c>
      <c r="CN181" s="0" t="n">
        <v>3</v>
      </c>
      <c r="CO181" s="0" t="n">
        <v>8</v>
      </c>
      <c r="CP181" s="0" t="n">
        <v>5</v>
      </c>
      <c r="CQ181" s="0" t="n">
        <v>8</v>
      </c>
      <c r="CR181" s="0" t="n">
        <v>6</v>
      </c>
      <c r="CS181" s="6" t="n">
        <f aca="false">IF(R181="Y",10,0)</f>
        <v>0</v>
      </c>
      <c r="CT181" s="0" t="n">
        <v>0</v>
      </c>
      <c r="CU181" s="6" t="s">
        <v>8616</v>
      </c>
      <c r="CV181" s="6" t="s">
        <v>4843</v>
      </c>
      <c r="CW181" s="6" t="s">
        <v>8617</v>
      </c>
      <c r="CX181" s="6" t="s">
        <v>8618</v>
      </c>
      <c r="CY181" s="6" t="s">
        <v>8619</v>
      </c>
      <c r="DA181" s="6" t="s">
        <v>6236</v>
      </c>
      <c r="DY181" s="0" t="str">
        <f aca="false">IF(ISNUMBER(MATCH(U181,{"queued","contacted","replied","call_booked","call_done","yes_in_principle","materials_sent"},0)),"Y","N")</f>
        <v>N</v>
      </c>
      <c r="DZ181" s="0" t="str">
        <f aca="false">IF(COUNTIFS($AN$2:$AN$1000,AN181,$DY$2:$DY$1000,"Y")+COUNTIFS($AN$2:$AN$1000,AN181,$T$2:$T$1000,"Y")&gt;0,"Y","N")</f>
        <v>N</v>
      </c>
      <c r="EA181" s="0" t="str">
        <f aca="false">IF(AND(U181="new",T181="N",AR181="Y",AQ181="",DZ181="N"),"Y","N")</f>
        <v>Y</v>
      </c>
      <c r="EB181" s="0" t="str">
        <f aca="false">IF(EA181&lt;&gt;"Y","N",IF(COUNTIFS($AN$2:$AN$1000,AN181,$EA$2:$EA$1000,"Y",$J$2:$J$1000,"&gt;"&amp;J181)+COUNTIFS($AN$2:$AN$1000,AN181,$EA$2:$EA$1000,"Y",$J$2:$J$1000,J181,$ED$2:$ED$1000,"&lt;"&amp;ED181)=0,"Y","N"))</f>
        <v>Y</v>
      </c>
      <c r="EC181" s="0" t="str">
        <f aca="false">IF(Y181="","N",IF(Y181&lt;=10,"Y","N"))</f>
        <v>N</v>
      </c>
      <c r="ED181" s="6" t="n">
        <f aca="false">ROW()-1</f>
        <v>180</v>
      </c>
    </row>
    <row r="182" customFormat="false" ht="15" hidden="false" customHeight="false" outlineLevel="0" collapsed="false">
      <c r="A182" s="0" t="s">
        <v>8620</v>
      </c>
      <c r="B182" s="0" t="s">
        <v>8621</v>
      </c>
      <c r="C182" s="0" t="s">
        <v>982</v>
      </c>
      <c r="D182" s="0" t="s">
        <v>6049</v>
      </c>
      <c r="E182" s="0" t="s">
        <v>8622</v>
      </c>
      <c r="H182" s="5" t="s">
        <v>158</v>
      </c>
      <c r="I182" s="5" t="s">
        <v>159</v>
      </c>
      <c r="J182" s="6" t="n">
        <f aca="false">IF(AU182="pass",CM182+CN182+CO182+CP182+CQ182+CR182+CS182+CT182,0)</f>
        <v>36</v>
      </c>
      <c r="K182" s="6" t="s">
        <v>8623</v>
      </c>
      <c r="M182" s="6" t="s">
        <v>5293</v>
      </c>
      <c r="N182" s="6" t="s">
        <v>598</v>
      </c>
      <c r="O182" s="6" t="s">
        <v>8624</v>
      </c>
      <c r="P182" s="6" t="s">
        <v>8625</v>
      </c>
      <c r="Q182" s="6" t="s">
        <v>8626</v>
      </c>
      <c r="R182" s="5" t="s">
        <v>162</v>
      </c>
      <c r="S182" s="6" t="s">
        <v>163</v>
      </c>
      <c r="T182" s="5" t="s">
        <v>162</v>
      </c>
      <c r="U182" s="5" t="s">
        <v>228</v>
      </c>
      <c r="V182" s="6" t="s">
        <v>8627</v>
      </c>
      <c r="W182" s="6" t="s">
        <v>166</v>
      </c>
      <c r="X182" s="6" t="s">
        <v>4586</v>
      </c>
      <c r="Y182" s="6" t="n">
        <f aca="false">IF(EB182&lt;&gt;"Y","",COUNTIFS($EB$2:$EB$1000,"Y",$J$2:$J$1000,"&gt;"&amp;J182)+COUNTIFS($EB$2:$EB$1000,"Y",$J$2:$J$1000,J182,$ED$2:$ED$1000,"&lt;"&amp;ED182)+1)</f>
        <v>142</v>
      </c>
      <c r="Z182" s="0" t="n">
        <v>181</v>
      </c>
      <c r="AA182" s="6" t="s">
        <v>162</v>
      </c>
      <c r="AB182" s="6" t="s">
        <v>8628</v>
      </c>
      <c r="AC182" s="6" t="s">
        <v>4588</v>
      </c>
      <c r="AD182" s="6" t="s">
        <v>171</v>
      </c>
      <c r="AE182" s="6" t="s">
        <v>1190</v>
      </c>
      <c r="AF182" s="6" t="s">
        <v>8629</v>
      </c>
      <c r="AG182" s="6" t="s">
        <v>166</v>
      </c>
      <c r="AH182" s="6" t="s">
        <v>8630</v>
      </c>
      <c r="AI182" s="6" t="s">
        <v>5926</v>
      </c>
      <c r="AJ182" s="6" t="s">
        <v>8631</v>
      </c>
      <c r="AK182" s="6" t="s">
        <v>8632</v>
      </c>
      <c r="AL182" s="6" t="s">
        <v>168</v>
      </c>
      <c r="AM182" s="6" t="s">
        <v>8633</v>
      </c>
      <c r="AN182" s="6" t="s">
        <v>8620</v>
      </c>
      <c r="AO182" s="5" t="s">
        <v>162</v>
      </c>
      <c r="AR182" s="0" t="str">
        <f aca="false">IF(AND(AU182="pass",AO182&lt;&gt;"Y",C182&lt;&gt;""),"Y","N")</f>
        <v>Y</v>
      </c>
      <c r="AS182" s="0" t="str">
        <f aca="false">_xlfn.TEXTJOIN("; ",TRUE(),IF(AU182&lt;&gt;"pass","gated out",""),IF(AO182="Y","on hold: "&amp;AP182,""),IF(C182="","no contact named on an opened page",""))</f>
        <v/>
      </c>
      <c r="AU182" s="6" t="s">
        <v>181</v>
      </c>
      <c r="AW182" s="6" t="s">
        <v>182</v>
      </c>
      <c r="AX182" s="6" t="s">
        <v>4595</v>
      </c>
      <c r="AY182" s="6" t="s">
        <v>8632</v>
      </c>
      <c r="AZ182" s="6" t="s">
        <v>6691</v>
      </c>
      <c r="BA182" s="6" t="s">
        <v>5193</v>
      </c>
      <c r="BB182" s="6" t="s">
        <v>163</v>
      </c>
      <c r="BD182" s="6" t="s">
        <v>163</v>
      </c>
      <c r="BE182" s="6" t="s">
        <v>8634</v>
      </c>
      <c r="BF182" s="6" t="s">
        <v>168</v>
      </c>
      <c r="BG182" s="6" t="s">
        <v>168</v>
      </c>
      <c r="BH182" s="6" t="s">
        <v>163</v>
      </c>
      <c r="BJ182" s="6" t="s">
        <v>5551</v>
      </c>
      <c r="BK182" s="6" t="s">
        <v>168</v>
      </c>
      <c r="BL182" s="6" t="s">
        <v>162</v>
      </c>
      <c r="BO182" s="6" t="s">
        <v>162</v>
      </c>
      <c r="BP182" s="0" t="n">
        <v>0</v>
      </c>
      <c r="BS182" s="6" t="s">
        <v>8245</v>
      </c>
      <c r="BU182" s="6" t="s">
        <v>4695</v>
      </c>
      <c r="BV182" s="0" t="n">
        <v>28</v>
      </c>
      <c r="BX182" s="6" t="s">
        <v>8635</v>
      </c>
      <c r="CF182" s="6" t="s">
        <v>158</v>
      </c>
      <c r="CK182" s="6" t="s">
        <v>158</v>
      </c>
      <c r="CL182" s="0" t="n">
        <v>36</v>
      </c>
      <c r="CM182" s="0" t="n">
        <v>6</v>
      </c>
      <c r="CN182" s="0" t="n">
        <v>8</v>
      </c>
      <c r="CO182" s="0" t="n">
        <v>8</v>
      </c>
      <c r="CP182" s="0" t="n">
        <v>5</v>
      </c>
      <c r="CQ182" s="0" t="n">
        <v>7</v>
      </c>
      <c r="CR182" s="0" t="n">
        <v>6</v>
      </c>
      <c r="CS182" s="6" t="n">
        <f aca="false">IF(R182="Y",10,0)</f>
        <v>0</v>
      </c>
      <c r="CT182" s="0" t="n">
        <v>-4</v>
      </c>
      <c r="CU182" s="6" t="s">
        <v>8636</v>
      </c>
      <c r="CV182" s="6" t="s">
        <v>5564</v>
      </c>
      <c r="CW182" s="6" t="s">
        <v>8637</v>
      </c>
      <c r="CX182" s="6" t="s">
        <v>8638</v>
      </c>
      <c r="CY182" s="6" t="s">
        <v>8639</v>
      </c>
      <c r="DA182" s="6" t="s">
        <v>6236</v>
      </c>
      <c r="DY182" s="0" t="str">
        <f aca="false">IF(ISNUMBER(MATCH(U182,{"queued","contacted","replied","call_booked","call_done","yes_in_principle","materials_sent"},0)),"Y","N")</f>
        <v>N</v>
      </c>
      <c r="DZ182" s="0" t="str">
        <f aca="false">IF(COUNTIFS($AN$2:$AN$1000,AN182,$DY$2:$DY$1000,"Y")+COUNTIFS($AN$2:$AN$1000,AN182,$T$2:$T$1000,"Y")&gt;0,"Y","N")</f>
        <v>N</v>
      </c>
      <c r="EA182" s="0" t="str">
        <f aca="false">IF(AND(U182="new",T182="N",AR182="Y",AQ182="",DZ182="N"),"Y","N")</f>
        <v>Y</v>
      </c>
      <c r="EB182" s="0" t="str">
        <f aca="false">IF(EA182&lt;&gt;"Y","N",IF(COUNTIFS($AN$2:$AN$1000,AN182,$EA$2:$EA$1000,"Y",$J$2:$J$1000,"&gt;"&amp;J182)+COUNTIFS($AN$2:$AN$1000,AN182,$EA$2:$EA$1000,"Y",$J$2:$J$1000,J182,$ED$2:$ED$1000,"&lt;"&amp;ED182)=0,"Y","N"))</f>
        <v>Y</v>
      </c>
      <c r="EC182" s="0" t="str">
        <f aca="false">IF(Y182="","N",IF(Y182&lt;=10,"Y","N"))</f>
        <v>N</v>
      </c>
      <c r="ED182" s="6" t="n">
        <f aca="false">ROW()-1</f>
        <v>181</v>
      </c>
    </row>
    <row r="183" customFormat="false" ht="15" hidden="false" customHeight="false" outlineLevel="0" collapsed="false">
      <c r="A183" s="0" t="s">
        <v>8640</v>
      </c>
      <c r="B183" s="0" t="s">
        <v>8641</v>
      </c>
      <c r="C183" s="0" t="s">
        <v>8642</v>
      </c>
      <c r="D183" s="0" t="s">
        <v>163</v>
      </c>
      <c r="E183" s="0" t="s">
        <v>5704</v>
      </c>
      <c r="H183" s="5" t="s">
        <v>158</v>
      </c>
      <c r="I183" s="5" t="s">
        <v>159</v>
      </c>
      <c r="J183" s="6" t="n">
        <f aca="false">IF(AU183="pass",CM183+CN183+CO183+CP183+CQ183+CR183+CS183+CT183,0)</f>
        <v>36</v>
      </c>
      <c r="K183" s="6" t="s">
        <v>8643</v>
      </c>
      <c r="M183" s="6" t="s">
        <v>5293</v>
      </c>
      <c r="N183" s="6" t="s">
        <v>598</v>
      </c>
      <c r="O183" s="6" t="s">
        <v>8644</v>
      </c>
      <c r="P183" s="6" t="s">
        <v>8645</v>
      </c>
      <c r="Q183" s="6" t="s">
        <v>2651</v>
      </c>
      <c r="R183" s="5" t="s">
        <v>162</v>
      </c>
      <c r="S183" s="6" t="s">
        <v>163</v>
      </c>
      <c r="T183" s="5" t="s">
        <v>162</v>
      </c>
      <c r="U183" s="5" t="s">
        <v>228</v>
      </c>
      <c r="V183" s="6" t="s">
        <v>8646</v>
      </c>
      <c r="W183" s="6" t="s">
        <v>174</v>
      </c>
      <c r="X183" s="6" t="s">
        <v>4586</v>
      </c>
      <c r="Y183" s="6" t="n">
        <f aca="false">IF(EB183&lt;&gt;"Y","",COUNTIFS($EB$2:$EB$1000,"Y",$J$2:$J$1000,"&gt;"&amp;J183)+COUNTIFS($EB$2:$EB$1000,"Y",$J$2:$J$1000,J183,$ED$2:$ED$1000,"&lt;"&amp;ED183)+1)</f>
        <v>143</v>
      </c>
      <c r="Z183" s="0" t="n">
        <v>182</v>
      </c>
      <c r="AA183" s="6" t="s">
        <v>162</v>
      </c>
      <c r="AB183" s="6" t="s">
        <v>8647</v>
      </c>
      <c r="AC183" s="6" t="s">
        <v>4588</v>
      </c>
      <c r="AD183" s="6" t="s">
        <v>5010</v>
      </c>
      <c r="AE183" s="6" t="s">
        <v>172</v>
      </c>
      <c r="AF183" s="6" t="s">
        <v>8648</v>
      </c>
      <c r="AG183" s="6" t="s">
        <v>174</v>
      </c>
      <c r="AH183" s="6" t="s">
        <v>8649</v>
      </c>
      <c r="AI183" s="6" t="s">
        <v>4977</v>
      </c>
      <c r="AJ183" s="6" t="s">
        <v>8650</v>
      </c>
      <c r="AK183" s="6" t="s">
        <v>8651</v>
      </c>
      <c r="AL183" s="6" t="s">
        <v>168</v>
      </c>
      <c r="AM183" s="6" t="s">
        <v>8652</v>
      </c>
      <c r="AN183" s="6" t="s">
        <v>8640</v>
      </c>
      <c r="AO183" s="5" t="s">
        <v>162</v>
      </c>
      <c r="AR183" s="0" t="str">
        <f aca="false">IF(AND(AU183="pass",AO183&lt;&gt;"Y",C183&lt;&gt;""),"Y","N")</f>
        <v>Y</v>
      </c>
      <c r="AS183" s="0" t="str">
        <f aca="false">_xlfn.TEXTJOIN("; ",TRUE(),IF(AU183&lt;&gt;"pass","gated out",""),IF(AO183="Y","on hold: "&amp;AP183,""),IF(C183="","no contact named on an opened page",""))</f>
        <v/>
      </c>
      <c r="AU183" s="6" t="s">
        <v>181</v>
      </c>
      <c r="AW183" s="6" t="s">
        <v>182</v>
      </c>
      <c r="AX183" s="6" t="s">
        <v>4595</v>
      </c>
      <c r="AY183" s="6" t="s">
        <v>8651</v>
      </c>
      <c r="AZ183" s="6" t="s">
        <v>6034</v>
      </c>
      <c r="BA183" s="6" t="s">
        <v>5193</v>
      </c>
      <c r="BB183" s="6" t="s">
        <v>163</v>
      </c>
      <c r="BD183" s="6" t="s">
        <v>168</v>
      </c>
      <c r="BE183" s="6" t="s">
        <v>8653</v>
      </c>
      <c r="BF183" s="6" t="s">
        <v>168</v>
      </c>
      <c r="BG183" s="6" t="s">
        <v>168</v>
      </c>
      <c r="BH183" s="6" t="s">
        <v>163</v>
      </c>
      <c r="BJ183" s="6" t="s">
        <v>5145</v>
      </c>
      <c r="BK183" s="6" t="s">
        <v>162</v>
      </c>
      <c r="BL183" s="6" t="s">
        <v>162</v>
      </c>
      <c r="BO183" s="6" t="s">
        <v>162</v>
      </c>
      <c r="BP183" s="0" t="n">
        <v>0</v>
      </c>
      <c r="BS183" s="6" t="s">
        <v>163</v>
      </c>
      <c r="BU183" s="6" t="s">
        <v>4695</v>
      </c>
      <c r="BV183" s="0" t="n">
        <v>95</v>
      </c>
      <c r="BX183" s="6" t="s">
        <v>8642</v>
      </c>
      <c r="BY183" s="6" t="s">
        <v>7145</v>
      </c>
      <c r="CA183" s="6" t="s">
        <v>8654</v>
      </c>
      <c r="CB183" s="6" t="s">
        <v>8654</v>
      </c>
      <c r="CC183" s="6" t="s">
        <v>163</v>
      </c>
      <c r="CD183" s="6" t="s">
        <v>5704</v>
      </c>
      <c r="CE183" s="6" t="s">
        <v>6725</v>
      </c>
      <c r="CF183" s="6" t="s">
        <v>5010</v>
      </c>
      <c r="CG183" s="6" t="s">
        <v>7145</v>
      </c>
      <c r="CK183" s="6" t="s">
        <v>158</v>
      </c>
      <c r="CL183" s="0" t="n">
        <v>36</v>
      </c>
      <c r="CM183" s="0" t="n">
        <v>6</v>
      </c>
      <c r="CN183" s="0" t="n">
        <v>8</v>
      </c>
      <c r="CO183" s="0" t="n">
        <v>8</v>
      </c>
      <c r="CP183" s="0" t="n">
        <v>5</v>
      </c>
      <c r="CQ183" s="0" t="n">
        <v>10</v>
      </c>
      <c r="CR183" s="0" t="n">
        <v>3</v>
      </c>
      <c r="CS183" s="6" t="n">
        <f aca="false">IF(R183="Y",10,0)</f>
        <v>0</v>
      </c>
      <c r="CT183" s="0" t="n">
        <v>-4</v>
      </c>
      <c r="CU183" s="6" t="s">
        <v>8655</v>
      </c>
      <c r="CV183" s="6" t="s">
        <v>5152</v>
      </c>
      <c r="CW183" s="6" t="s">
        <v>8656</v>
      </c>
      <c r="CX183" s="6" t="s">
        <v>8657</v>
      </c>
      <c r="CZ183" s="6" t="s">
        <v>8648</v>
      </c>
      <c r="DA183" s="6" t="s">
        <v>6236</v>
      </c>
      <c r="DC183" s="6" t="s">
        <v>172</v>
      </c>
      <c r="DY183" s="0" t="str">
        <f aca="false">IF(ISNUMBER(MATCH(U183,{"queued","contacted","replied","call_booked","call_done","yes_in_principle","materials_sent"},0)),"Y","N")</f>
        <v>N</v>
      </c>
      <c r="DZ183" s="0" t="str">
        <f aca="false">IF(COUNTIFS($AN$2:$AN$1000,AN183,$DY$2:$DY$1000,"Y")+COUNTIFS($AN$2:$AN$1000,AN183,$T$2:$T$1000,"Y")&gt;0,"Y","N")</f>
        <v>N</v>
      </c>
      <c r="EA183" s="0" t="str">
        <f aca="false">IF(AND(U183="new",T183="N",AR183="Y",AQ183="",DZ183="N"),"Y","N")</f>
        <v>Y</v>
      </c>
      <c r="EB183" s="0" t="str">
        <f aca="false">IF(EA183&lt;&gt;"Y","N",IF(COUNTIFS($AN$2:$AN$1000,AN183,$EA$2:$EA$1000,"Y",$J$2:$J$1000,"&gt;"&amp;J183)+COUNTIFS($AN$2:$AN$1000,AN183,$EA$2:$EA$1000,"Y",$J$2:$J$1000,J183,$ED$2:$ED$1000,"&lt;"&amp;ED183)=0,"Y","N"))</f>
        <v>Y</v>
      </c>
      <c r="EC183" s="0" t="str">
        <f aca="false">IF(Y183="","N",IF(Y183&lt;=10,"Y","N"))</f>
        <v>N</v>
      </c>
      <c r="ED183" s="6" t="n">
        <f aca="false">ROW()-1</f>
        <v>182</v>
      </c>
    </row>
    <row r="184" customFormat="false" ht="15" hidden="false" customHeight="false" outlineLevel="0" collapsed="false">
      <c r="A184" s="0" t="s">
        <v>8658</v>
      </c>
      <c r="B184" s="0" t="s">
        <v>8659</v>
      </c>
      <c r="C184" s="0" t="s">
        <v>8660</v>
      </c>
      <c r="D184" s="0" t="s">
        <v>8661</v>
      </c>
      <c r="E184" s="0" t="s">
        <v>7356</v>
      </c>
      <c r="H184" s="5" t="s">
        <v>158</v>
      </c>
      <c r="I184" s="5" t="s">
        <v>159</v>
      </c>
      <c r="J184" s="6" t="n">
        <f aca="false">IF(AU184="pass",CM184+CN184+CO184+CP184+CQ184+CR184+CS184+CT184,0)</f>
        <v>36</v>
      </c>
      <c r="K184" s="6" t="s">
        <v>8662</v>
      </c>
      <c r="M184" s="6" t="s">
        <v>5293</v>
      </c>
      <c r="N184" s="6" t="s">
        <v>598</v>
      </c>
      <c r="O184" s="6" t="s">
        <v>8663</v>
      </c>
      <c r="P184" s="6" t="s">
        <v>8664</v>
      </c>
      <c r="Q184" s="6" t="s">
        <v>4686</v>
      </c>
      <c r="R184" s="5" t="s">
        <v>162</v>
      </c>
      <c r="S184" s="6" t="s">
        <v>163</v>
      </c>
      <c r="T184" s="5" t="s">
        <v>162</v>
      </c>
      <c r="U184" s="5" t="s">
        <v>228</v>
      </c>
      <c r="V184" s="6" t="s">
        <v>8665</v>
      </c>
      <c r="W184" s="6" t="s">
        <v>166</v>
      </c>
      <c r="X184" s="6" t="s">
        <v>4586</v>
      </c>
      <c r="Y184" s="6" t="n">
        <f aca="false">IF(EB184&lt;&gt;"Y","",COUNTIFS($EB$2:$EB$1000,"Y",$J$2:$J$1000,"&gt;"&amp;J184)+COUNTIFS($EB$2:$EB$1000,"Y",$J$2:$J$1000,J184,$ED$2:$ED$1000,"&lt;"&amp;ED184)+1)</f>
        <v>144</v>
      </c>
      <c r="Z184" s="0" t="n">
        <v>183</v>
      </c>
      <c r="AA184" s="6" t="s">
        <v>162</v>
      </c>
      <c r="AB184" s="6" t="s">
        <v>8666</v>
      </c>
      <c r="AC184" s="6" t="s">
        <v>4588</v>
      </c>
      <c r="AD184" s="6" t="s">
        <v>171</v>
      </c>
      <c r="AE184" s="6" t="s">
        <v>172</v>
      </c>
      <c r="AF184" s="6" t="s">
        <v>8665</v>
      </c>
      <c r="AG184" s="6" t="s">
        <v>166</v>
      </c>
      <c r="AH184" s="6" t="s">
        <v>8667</v>
      </c>
      <c r="AI184" s="6" t="s">
        <v>4828</v>
      </c>
      <c r="AJ184" s="6" t="s">
        <v>8668</v>
      </c>
      <c r="AK184" s="6" t="s">
        <v>8669</v>
      </c>
      <c r="AL184" s="6" t="s">
        <v>162</v>
      </c>
      <c r="AN184" s="6" t="s">
        <v>8658</v>
      </c>
      <c r="AO184" s="5" t="s">
        <v>162</v>
      </c>
      <c r="AR184" s="0" t="str">
        <f aca="false">IF(AND(AU184="pass",AO184&lt;&gt;"Y",C184&lt;&gt;""),"Y","N")</f>
        <v>Y</v>
      </c>
      <c r="AS184" s="0" t="str">
        <f aca="false">_xlfn.TEXTJOIN("; ",TRUE(),IF(AU184&lt;&gt;"pass","gated out",""),IF(AO184="Y","on hold: "&amp;AP184,""),IF(C184="","no contact named on an opened page",""))</f>
        <v/>
      </c>
      <c r="AU184" s="6" t="s">
        <v>181</v>
      </c>
      <c r="AW184" s="6" t="s">
        <v>182</v>
      </c>
      <c r="AY184" s="6" t="s">
        <v>8669</v>
      </c>
      <c r="AZ184" s="6" t="s">
        <v>5659</v>
      </c>
      <c r="BA184" s="6" t="s">
        <v>5331</v>
      </c>
      <c r="BB184" s="6" t="s">
        <v>163</v>
      </c>
      <c r="BD184" s="6" t="s">
        <v>168</v>
      </c>
      <c r="BE184" s="6" t="s">
        <v>8670</v>
      </c>
      <c r="BF184" s="6" t="s">
        <v>163</v>
      </c>
      <c r="BG184" s="6" t="s">
        <v>168</v>
      </c>
      <c r="BH184" s="6" t="s">
        <v>163</v>
      </c>
      <c r="BJ184" s="6" t="s">
        <v>163</v>
      </c>
      <c r="BK184" s="6" t="s">
        <v>162</v>
      </c>
      <c r="BL184" s="6" t="s">
        <v>162</v>
      </c>
      <c r="BO184" s="6" t="s">
        <v>162</v>
      </c>
      <c r="BP184" s="0" t="n">
        <v>0</v>
      </c>
      <c r="BR184" s="6" t="s">
        <v>6764</v>
      </c>
      <c r="BS184" s="6" t="s">
        <v>6877</v>
      </c>
      <c r="BT184" s="6" t="s">
        <v>8671</v>
      </c>
      <c r="BU184" s="6" t="s">
        <v>4695</v>
      </c>
      <c r="BV184" s="0" t="n">
        <v>22</v>
      </c>
      <c r="BX184" s="6" t="s">
        <v>8672</v>
      </c>
      <c r="CF184" s="6" t="s">
        <v>158</v>
      </c>
      <c r="CK184" s="6" t="s">
        <v>158</v>
      </c>
      <c r="CL184" s="0" t="n">
        <v>36</v>
      </c>
      <c r="CM184" s="0" t="n">
        <v>6</v>
      </c>
      <c r="CN184" s="0" t="n">
        <v>3</v>
      </c>
      <c r="CO184" s="0" t="n">
        <v>8</v>
      </c>
      <c r="CP184" s="0" t="n">
        <v>5</v>
      </c>
      <c r="CQ184" s="0" t="n">
        <v>8</v>
      </c>
      <c r="CR184" s="0" t="n">
        <v>6</v>
      </c>
      <c r="CS184" s="6" t="n">
        <f aca="false">IF(R184="Y",10,0)</f>
        <v>0</v>
      </c>
      <c r="CT184" s="0" t="n">
        <v>0</v>
      </c>
      <c r="CU184" s="6" t="s">
        <v>8673</v>
      </c>
      <c r="CV184" s="6" t="s">
        <v>4843</v>
      </c>
      <c r="CW184" s="6" t="s">
        <v>8674</v>
      </c>
      <c r="CX184" s="6" t="s">
        <v>8675</v>
      </c>
      <c r="CY184" s="6" t="s">
        <v>8676</v>
      </c>
      <c r="DA184" s="6" t="s">
        <v>6236</v>
      </c>
      <c r="DY184" s="0" t="str">
        <f aca="false">IF(ISNUMBER(MATCH(U184,{"queued","contacted","replied","call_booked","call_done","yes_in_principle","materials_sent"},0)),"Y","N")</f>
        <v>N</v>
      </c>
      <c r="DZ184" s="0" t="str">
        <f aca="false">IF(COUNTIFS($AN$2:$AN$1000,AN184,$DY$2:$DY$1000,"Y")+COUNTIFS($AN$2:$AN$1000,AN184,$T$2:$T$1000,"Y")&gt;0,"Y","N")</f>
        <v>N</v>
      </c>
      <c r="EA184" s="0" t="str">
        <f aca="false">IF(AND(U184="new",T184="N",AR184="Y",AQ184="",DZ184="N"),"Y","N")</f>
        <v>Y</v>
      </c>
      <c r="EB184" s="0" t="str">
        <f aca="false">IF(EA184&lt;&gt;"Y","N",IF(COUNTIFS($AN$2:$AN$1000,AN184,$EA$2:$EA$1000,"Y",$J$2:$J$1000,"&gt;"&amp;J184)+COUNTIFS($AN$2:$AN$1000,AN184,$EA$2:$EA$1000,"Y",$J$2:$J$1000,J184,$ED$2:$ED$1000,"&lt;"&amp;ED184)=0,"Y","N"))</f>
        <v>Y</v>
      </c>
      <c r="EC184" s="0" t="str">
        <f aca="false">IF(Y184="","N",IF(Y184&lt;=10,"Y","N"))</f>
        <v>N</v>
      </c>
      <c r="ED184" s="6" t="n">
        <f aca="false">ROW()-1</f>
        <v>183</v>
      </c>
    </row>
    <row r="185" customFormat="false" ht="15" hidden="false" customHeight="false" outlineLevel="0" collapsed="false">
      <c r="A185" s="0" t="s">
        <v>8677</v>
      </c>
      <c r="B185" s="0" t="s">
        <v>8678</v>
      </c>
      <c r="H185" s="5" t="s">
        <v>158</v>
      </c>
      <c r="I185" s="5"/>
      <c r="J185" s="6" t="n">
        <f aca="false">IF(AU185="pass",CM185+CN185+CO185+CP185+CQ185+CR185+CS185+CT185,0)</f>
        <v>36</v>
      </c>
      <c r="K185" s="6" t="s">
        <v>8679</v>
      </c>
      <c r="M185" s="6" t="s">
        <v>5293</v>
      </c>
      <c r="N185" s="6" t="s">
        <v>598</v>
      </c>
      <c r="R185" s="5" t="s">
        <v>162</v>
      </c>
      <c r="S185" s="6" t="s">
        <v>163</v>
      </c>
      <c r="T185" s="5" t="s">
        <v>162</v>
      </c>
      <c r="U185" s="5" t="s">
        <v>228</v>
      </c>
      <c r="V185" s="6" t="s">
        <v>7758</v>
      </c>
      <c r="W185" s="6" t="s">
        <v>174</v>
      </c>
      <c r="X185" s="6" t="s">
        <v>4586</v>
      </c>
      <c r="Y185" s="0" t="str">
        <f aca="false">IF(EB185&lt;&gt;"Y","",COUNTIFS($EB$2:$EB$1000,"Y",$J$2:$J$1000,"&gt;"&amp;J185)+COUNTIFS($EB$2:$EB$1000,"Y",$J$2:$J$1000,J185,$ED$2:$ED$1000,"&lt;"&amp;ED185)+1)</f>
        <v/>
      </c>
      <c r="Z185" s="0" t="n">
        <v>184</v>
      </c>
      <c r="AA185" s="6" t="s">
        <v>162</v>
      </c>
      <c r="AB185" s="6" t="s">
        <v>8680</v>
      </c>
      <c r="AD185" s="6" t="s">
        <v>158</v>
      </c>
      <c r="AH185" s="6" t="s">
        <v>8681</v>
      </c>
      <c r="AI185" s="6" t="s">
        <v>4665</v>
      </c>
      <c r="AJ185" s="6" t="s">
        <v>8682</v>
      </c>
      <c r="AK185" s="6" t="s">
        <v>8683</v>
      </c>
      <c r="AL185" s="6" t="s">
        <v>168</v>
      </c>
      <c r="AM185" s="6" t="s">
        <v>8684</v>
      </c>
      <c r="AN185" s="6" t="s">
        <v>8677</v>
      </c>
      <c r="AO185" s="5" t="s">
        <v>162</v>
      </c>
      <c r="AR185" s="0" t="str">
        <f aca="false">IF(AND(AU185="pass",AO185&lt;&gt;"Y",C185&lt;&gt;""),"Y","N")</f>
        <v>N</v>
      </c>
      <c r="AS185" s="0" t="str">
        <f aca="false">_xlfn.TEXTJOIN("; ",TRUE(),IF(AU185&lt;&gt;"pass","gated out",""),IF(AO185="Y","on hold: "&amp;AP185,""),IF(C185="","no contact named on an opened page",""))</f>
        <v>no contact named on an opened page</v>
      </c>
      <c r="AU185" s="6" t="s">
        <v>181</v>
      </c>
      <c r="AW185" s="6" t="s">
        <v>182</v>
      </c>
      <c r="AX185" s="6" t="s">
        <v>5272</v>
      </c>
      <c r="AY185" s="6" t="s">
        <v>8685</v>
      </c>
      <c r="AZ185" s="6" t="s">
        <v>4596</v>
      </c>
      <c r="BA185" s="6" t="s">
        <v>4597</v>
      </c>
      <c r="BB185" s="6" t="s">
        <v>163</v>
      </c>
      <c r="BD185" s="6" t="s">
        <v>168</v>
      </c>
      <c r="BE185" s="6" t="s">
        <v>8686</v>
      </c>
      <c r="BF185" s="6" t="s">
        <v>168</v>
      </c>
      <c r="BG185" s="6" t="s">
        <v>168</v>
      </c>
      <c r="BH185" s="6" t="s">
        <v>163</v>
      </c>
      <c r="BJ185" s="6" t="s">
        <v>5145</v>
      </c>
      <c r="BK185" s="6" t="s">
        <v>162</v>
      </c>
      <c r="BL185" s="6" t="s">
        <v>162</v>
      </c>
      <c r="BO185" s="6" t="s">
        <v>162</v>
      </c>
      <c r="BP185" s="0" t="n">
        <v>0</v>
      </c>
      <c r="BS185" s="6" t="s">
        <v>8687</v>
      </c>
      <c r="BT185" s="6" t="s">
        <v>8688</v>
      </c>
      <c r="BU185" s="6" t="s">
        <v>158</v>
      </c>
      <c r="CF185" s="6" t="s">
        <v>158</v>
      </c>
      <c r="CK185" s="6" t="s">
        <v>158</v>
      </c>
      <c r="CL185" s="0" t="n">
        <v>36</v>
      </c>
      <c r="CM185" s="0" t="n">
        <v>6</v>
      </c>
      <c r="CN185" s="0" t="n">
        <v>20</v>
      </c>
      <c r="CO185" s="0" t="n">
        <v>0</v>
      </c>
      <c r="CP185" s="0" t="n">
        <v>5</v>
      </c>
      <c r="CQ185" s="0" t="n">
        <v>10</v>
      </c>
      <c r="CR185" s="0" t="n">
        <v>0</v>
      </c>
      <c r="CS185" s="6" t="n">
        <f aca="false">IF(R185="Y",10,0)</f>
        <v>0</v>
      </c>
      <c r="CT185" s="0" t="n">
        <v>-5</v>
      </c>
      <c r="CU185" s="6" t="s">
        <v>8689</v>
      </c>
      <c r="CV185" s="6" t="s">
        <v>5152</v>
      </c>
      <c r="CW185" s="6" t="s">
        <v>8690</v>
      </c>
      <c r="CX185" s="6" t="s">
        <v>8691</v>
      </c>
      <c r="DA185" s="6" t="s">
        <v>6236</v>
      </c>
      <c r="DY185" s="0" t="str">
        <f aca="false">IF(ISNUMBER(MATCH(U185,{"queued","contacted","replied","call_booked","call_done","yes_in_principle","materials_sent"},0)),"Y","N")</f>
        <v>N</v>
      </c>
      <c r="DZ185" s="0" t="str">
        <f aca="false">IF(COUNTIFS($AN$2:$AN$1000,AN185,$DY$2:$DY$1000,"Y")+COUNTIFS($AN$2:$AN$1000,AN185,$T$2:$T$1000,"Y")&gt;0,"Y","N")</f>
        <v>N</v>
      </c>
      <c r="EA185" s="0" t="str">
        <f aca="false">IF(AND(U185="new",T185="N",AR185="Y",AQ185="",DZ185="N"),"Y","N")</f>
        <v>N</v>
      </c>
      <c r="EB185" s="0" t="str">
        <f aca="false">IF(EA185&lt;&gt;"Y","N",IF(COUNTIFS($AN$2:$AN$1000,AN185,$EA$2:$EA$1000,"Y",$J$2:$J$1000,"&gt;"&amp;J185)+COUNTIFS($AN$2:$AN$1000,AN185,$EA$2:$EA$1000,"Y",$J$2:$J$1000,J185,$ED$2:$ED$1000,"&lt;"&amp;ED185)=0,"Y","N"))</f>
        <v>N</v>
      </c>
      <c r="EC185" s="0" t="str">
        <f aca="false">IF(Y185="","N",IF(Y185&lt;=10,"Y","N"))</f>
        <v>N</v>
      </c>
      <c r="ED185" s="6" t="n">
        <f aca="false">ROW()-1</f>
        <v>184</v>
      </c>
    </row>
    <row r="186" customFormat="false" ht="15" hidden="false" customHeight="false" outlineLevel="0" collapsed="false">
      <c r="A186" s="0" t="s">
        <v>8692</v>
      </c>
      <c r="B186" s="0" t="s">
        <v>8693</v>
      </c>
      <c r="C186" s="0" t="s">
        <v>4942</v>
      </c>
      <c r="D186" s="0" t="s">
        <v>8694</v>
      </c>
      <c r="E186" s="0" t="s">
        <v>4912</v>
      </c>
      <c r="H186" s="5" t="s">
        <v>158</v>
      </c>
      <c r="I186" s="5" t="s">
        <v>159</v>
      </c>
      <c r="J186" s="6" t="n">
        <f aca="false">IF(AU186="pass",CM186+CN186+CO186+CP186+CQ186+CR186+CS186+CT186,0)</f>
        <v>35</v>
      </c>
      <c r="K186" s="6" t="s">
        <v>8695</v>
      </c>
      <c r="M186" s="6" t="s">
        <v>4581</v>
      </c>
      <c r="N186" s="6" t="s">
        <v>4582</v>
      </c>
      <c r="O186" s="6" t="s">
        <v>8696</v>
      </c>
      <c r="P186" s="6" t="s">
        <v>8697</v>
      </c>
      <c r="Q186" s="6" t="s">
        <v>6756</v>
      </c>
      <c r="R186" s="5" t="s">
        <v>162</v>
      </c>
      <c r="S186" s="6" t="s">
        <v>163</v>
      </c>
      <c r="T186" s="5" t="s">
        <v>162</v>
      </c>
      <c r="U186" s="5" t="s">
        <v>228</v>
      </c>
      <c r="V186" s="6" t="s">
        <v>8698</v>
      </c>
      <c r="W186" s="6" t="s">
        <v>166</v>
      </c>
      <c r="X186" s="6" t="s">
        <v>4586</v>
      </c>
      <c r="Y186" s="6" t="n">
        <f aca="false">IF(EB186&lt;&gt;"Y","",COUNTIFS($EB$2:$EB$1000,"Y",$J$2:$J$1000,"&gt;"&amp;J186)+COUNTIFS($EB$2:$EB$1000,"Y",$J$2:$J$1000,J186,$ED$2:$ED$1000,"&lt;"&amp;ED186)+1)</f>
        <v>145</v>
      </c>
      <c r="Z186" s="0" t="n">
        <v>185</v>
      </c>
      <c r="AA186" s="6" t="s">
        <v>162</v>
      </c>
      <c r="AB186" s="6" t="s">
        <v>8699</v>
      </c>
      <c r="AC186" s="6" t="s">
        <v>4588</v>
      </c>
      <c r="AD186" s="6" t="s">
        <v>171</v>
      </c>
      <c r="AE186" s="6" t="s">
        <v>1190</v>
      </c>
      <c r="AF186" s="6" t="s">
        <v>8700</v>
      </c>
      <c r="AG186" s="6" t="s">
        <v>166</v>
      </c>
      <c r="AH186" s="6" t="s">
        <v>8701</v>
      </c>
      <c r="AI186" s="6" t="s">
        <v>4828</v>
      </c>
      <c r="AJ186" s="6" t="s">
        <v>8702</v>
      </c>
      <c r="AK186" s="6" t="s">
        <v>8703</v>
      </c>
      <c r="AL186" s="6" t="s">
        <v>168</v>
      </c>
      <c r="AM186" s="6" t="s">
        <v>8704</v>
      </c>
      <c r="AN186" s="6" t="s">
        <v>8692</v>
      </c>
      <c r="AO186" s="5" t="s">
        <v>162</v>
      </c>
      <c r="AR186" s="0" t="str">
        <f aca="false">IF(AND(AU186="pass",AO186&lt;&gt;"Y",C186&lt;&gt;""),"Y","N")</f>
        <v>Y</v>
      </c>
      <c r="AS186" s="0" t="str">
        <f aca="false">_xlfn.TEXTJOIN("; ",TRUE(),IF(AU186&lt;&gt;"pass","gated out",""),IF(AO186="Y","on hold: "&amp;AP186,""),IF(C186="","no contact named on an opened page",""))</f>
        <v/>
      </c>
      <c r="AU186" s="6" t="s">
        <v>181</v>
      </c>
      <c r="AW186" s="6" t="s">
        <v>182</v>
      </c>
      <c r="AX186" s="6" t="s">
        <v>8705</v>
      </c>
      <c r="AY186" s="6" t="s">
        <v>8703</v>
      </c>
      <c r="AZ186" s="6" t="s">
        <v>163</v>
      </c>
      <c r="BA186" s="6" t="s">
        <v>5273</v>
      </c>
      <c r="BB186" s="6" t="s">
        <v>163</v>
      </c>
      <c r="BD186" s="6" t="s">
        <v>168</v>
      </c>
      <c r="BE186" s="6" t="s">
        <v>8706</v>
      </c>
      <c r="BF186" s="6" t="s">
        <v>168</v>
      </c>
      <c r="BG186" s="6" t="s">
        <v>168</v>
      </c>
      <c r="BH186" s="6" t="s">
        <v>7181</v>
      </c>
      <c r="BI186" s="6" t="s">
        <v>6459</v>
      </c>
      <c r="BJ186" s="6" t="s">
        <v>8707</v>
      </c>
      <c r="BK186" s="6" t="s">
        <v>162</v>
      </c>
      <c r="BL186" s="6" t="s">
        <v>162</v>
      </c>
      <c r="BN186" s="0" t="n">
        <v>0</v>
      </c>
      <c r="BO186" s="6" t="s">
        <v>168</v>
      </c>
      <c r="BP186" s="0" t="n">
        <v>3</v>
      </c>
      <c r="BQ186" s="6" t="s">
        <v>4670</v>
      </c>
      <c r="BR186" s="6" t="s">
        <v>4671</v>
      </c>
      <c r="BS186" s="6" t="s">
        <v>8708</v>
      </c>
      <c r="BT186" s="6" t="s">
        <v>8709</v>
      </c>
      <c r="BU186" s="6" t="s">
        <v>4695</v>
      </c>
      <c r="BV186" s="0" t="n">
        <v>164</v>
      </c>
      <c r="BX186" s="6" t="s">
        <v>8710</v>
      </c>
      <c r="CA186" s="6" t="s">
        <v>8711</v>
      </c>
      <c r="CE186" s="6" t="s">
        <v>6262</v>
      </c>
      <c r="CF186" s="6" t="s">
        <v>598</v>
      </c>
      <c r="CG186" s="6" t="s">
        <v>7383</v>
      </c>
      <c r="CK186" s="6" t="s">
        <v>158</v>
      </c>
      <c r="CL186" s="0" t="n">
        <v>35</v>
      </c>
      <c r="CM186" s="0" t="n">
        <v>25</v>
      </c>
      <c r="CN186" s="0" t="n">
        <v>17</v>
      </c>
      <c r="CO186" s="0" t="n">
        <v>8</v>
      </c>
      <c r="CP186" s="0" t="n">
        <v>0</v>
      </c>
      <c r="CQ186" s="0" t="n">
        <v>10</v>
      </c>
      <c r="CR186" s="0" t="n">
        <v>10</v>
      </c>
      <c r="CS186" s="6" t="n">
        <f aca="false">IF(R186="Y",10,0)</f>
        <v>0</v>
      </c>
      <c r="CT186" s="0" t="n">
        <v>-35</v>
      </c>
      <c r="CV186" s="6" t="s">
        <v>4616</v>
      </c>
      <c r="CW186" s="6" t="s">
        <v>8712</v>
      </c>
      <c r="CX186" s="6" t="s">
        <v>8713</v>
      </c>
      <c r="CY186" s="6" t="s">
        <v>8714</v>
      </c>
      <c r="DA186" s="6" t="s">
        <v>6236</v>
      </c>
      <c r="DC186" s="6" t="s">
        <v>163</v>
      </c>
      <c r="DY186" s="0" t="str">
        <f aca="false">IF(ISNUMBER(MATCH(U186,{"queued","contacted","replied","call_booked","call_done","yes_in_principle","materials_sent"},0)),"Y","N")</f>
        <v>N</v>
      </c>
      <c r="DZ186" s="0" t="str">
        <f aca="false">IF(COUNTIFS($AN$2:$AN$1000,AN186,$DY$2:$DY$1000,"Y")+COUNTIFS($AN$2:$AN$1000,AN186,$T$2:$T$1000,"Y")&gt;0,"Y","N")</f>
        <v>N</v>
      </c>
      <c r="EA186" s="0" t="str">
        <f aca="false">IF(AND(U186="new",T186="N",AR186="Y",AQ186="",DZ186="N"),"Y","N")</f>
        <v>Y</v>
      </c>
      <c r="EB186" s="0" t="str">
        <f aca="false">IF(EA186&lt;&gt;"Y","N",IF(COUNTIFS($AN$2:$AN$1000,AN186,$EA$2:$EA$1000,"Y",$J$2:$J$1000,"&gt;"&amp;J186)+COUNTIFS($AN$2:$AN$1000,AN186,$EA$2:$EA$1000,"Y",$J$2:$J$1000,J186,$ED$2:$ED$1000,"&lt;"&amp;ED186)=0,"Y","N"))</f>
        <v>Y</v>
      </c>
      <c r="EC186" s="0" t="str">
        <f aca="false">IF(Y186="","N",IF(Y186&lt;=10,"Y","N"))</f>
        <v>N</v>
      </c>
      <c r="ED186" s="6" t="n">
        <f aca="false">ROW()-1</f>
        <v>185</v>
      </c>
    </row>
    <row r="187" customFormat="false" ht="15" hidden="false" customHeight="false" outlineLevel="0" collapsed="false">
      <c r="A187" s="0" t="s">
        <v>8715</v>
      </c>
      <c r="B187" s="0" t="s">
        <v>8716</v>
      </c>
      <c r="C187" s="0" t="s">
        <v>8717</v>
      </c>
      <c r="D187" s="0" t="s">
        <v>8718</v>
      </c>
      <c r="E187" s="0" t="s">
        <v>4773</v>
      </c>
      <c r="H187" s="5" t="s">
        <v>158</v>
      </c>
      <c r="I187" s="5" t="s">
        <v>159</v>
      </c>
      <c r="J187" s="6" t="n">
        <f aca="false">IF(AU187="pass",CM187+CN187+CO187+CP187+CQ187+CR187+CS187+CT187,0)</f>
        <v>35</v>
      </c>
      <c r="K187" s="6" t="s">
        <v>8719</v>
      </c>
      <c r="M187" s="6" t="s">
        <v>8720</v>
      </c>
      <c r="N187" s="6" t="s">
        <v>5023</v>
      </c>
      <c r="R187" s="5" t="s">
        <v>162</v>
      </c>
      <c r="S187" s="6" t="s">
        <v>163</v>
      </c>
      <c r="T187" s="5" t="s">
        <v>162</v>
      </c>
      <c r="U187" s="5" t="s">
        <v>228</v>
      </c>
      <c r="V187" s="6" t="s">
        <v>8721</v>
      </c>
      <c r="W187" s="6" t="s">
        <v>166</v>
      </c>
      <c r="X187" s="6" t="s">
        <v>4586</v>
      </c>
      <c r="Y187" s="6" t="n">
        <f aca="false">IF(EB187&lt;&gt;"Y","",COUNTIFS($EB$2:$EB$1000,"Y",$J$2:$J$1000,"&gt;"&amp;J187)+COUNTIFS($EB$2:$EB$1000,"Y",$J$2:$J$1000,J187,$ED$2:$ED$1000,"&lt;"&amp;ED187)+1)</f>
        <v>146</v>
      </c>
      <c r="Z187" s="0" t="n">
        <v>186</v>
      </c>
      <c r="AA187" s="6" t="s">
        <v>162</v>
      </c>
      <c r="AB187" s="6" t="s">
        <v>8722</v>
      </c>
      <c r="AC187" s="6" t="s">
        <v>4588</v>
      </c>
      <c r="AD187" s="6" t="s">
        <v>171</v>
      </c>
      <c r="AE187" s="6" t="s">
        <v>1190</v>
      </c>
      <c r="AF187" s="6" t="s">
        <v>8723</v>
      </c>
      <c r="AG187" s="6" t="s">
        <v>166</v>
      </c>
      <c r="AH187" s="6" t="s">
        <v>8724</v>
      </c>
      <c r="AI187" s="6" t="s">
        <v>5765</v>
      </c>
      <c r="AJ187" s="6" t="s">
        <v>163</v>
      </c>
      <c r="AK187" s="6" t="s">
        <v>8725</v>
      </c>
      <c r="AL187" s="6" t="s">
        <v>168</v>
      </c>
      <c r="AM187" s="6" t="s">
        <v>8726</v>
      </c>
      <c r="AN187" s="6" t="s">
        <v>8715</v>
      </c>
      <c r="AO187" s="5" t="s">
        <v>162</v>
      </c>
      <c r="AR187" s="0" t="str">
        <f aca="false">IF(AND(AU187="pass",AO187&lt;&gt;"Y",C187&lt;&gt;""),"Y","N")</f>
        <v>Y</v>
      </c>
      <c r="AS187" s="0" t="str">
        <f aca="false">_xlfn.TEXTJOIN("; ",TRUE(),IF(AU187&lt;&gt;"pass","gated out",""),IF(AO187="Y","on hold: "&amp;AP187,""),IF(C187="","no contact named on an opened page",""))</f>
        <v/>
      </c>
      <c r="AU187" s="6" t="s">
        <v>181</v>
      </c>
      <c r="AW187" s="6" t="s">
        <v>182</v>
      </c>
      <c r="AX187" s="6" t="s">
        <v>4595</v>
      </c>
      <c r="AY187" s="6" t="s">
        <v>8725</v>
      </c>
      <c r="AZ187" s="6" t="s">
        <v>163</v>
      </c>
      <c r="BA187" s="6" t="s">
        <v>163</v>
      </c>
      <c r="BB187" s="6" t="s">
        <v>163</v>
      </c>
      <c r="BD187" s="6" t="s">
        <v>163</v>
      </c>
      <c r="BE187" s="6" t="s">
        <v>5929</v>
      </c>
      <c r="BF187" s="6" t="s">
        <v>168</v>
      </c>
      <c r="BG187" s="6" t="s">
        <v>168</v>
      </c>
      <c r="BH187" s="6" t="s">
        <v>163</v>
      </c>
      <c r="BJ187" s="6" t="s">
        <v>5551</v>
      </c>
      <c r="BK187" s="6" t="s">
        <v>162</v>
      </c>
      <c r="BL187" s="6" t="s">
        <v>162</v>
      </c>
      <c r="BN187" s="0" t="n">
        <v>0</v>
      </c>
      <c r="BO187" s="6" t="s">
        <v>168</v>
      </c>
      <c r="BP187" s="0" t="n">
        <v>5</v>
      </c>
      <c r="BQ187" s="6" t="s">
        <v>8727</v>
      </c>
      <c r="BS187" s="6" t="s">
        <v>8728</v>
      </c>
      <c r="BT187" s="6" t="s">
        <v>8729</v>
      </c>
      <c r="BU187" s="6" t="s">
        <v>158</v>
      </c>
      <c r="BX187" s="6" t="s">
        <v>8730</v>
      </c>
      <c r="CF187" s="6" t="s">
        <v>158</v>
      </c>
      <c r="CK187" s="6" t="s">
        <v>158</v>
      </c>
      <c r="CL187" s="0" t="n">
        <v>35</v>
      </c>
      <c r="CM187" s="0" t="n">
        <v>17</v>
      </c>
      <c r="CN187" s="0" t="n">
        <v>4</v>
      </c>
      <c r="CO187" s="0" t="n">
        <v>0</v>
      </c>
      <c r="CP187" s="0" t="n">
        <v>5</v>
      </c>
      <c r="CQ187" s="0" t="n">
        <v>7</v>
      </c>
      <c r="CR187" s="0" t="n">
        <v>6</v>
      </c>
      <c r="CS187" s="6" t="n">
        <f aca="false">IF(R187="Y",10,0)</f>
        <v>0</v>
      </c>
      <c r="CT187" s="0" t="n">
        <v>-4</v>
      </c>
      <c r="CU187" s="6" t="s">
        <v>163</v>
      </c>
      <c r="CV187" s="6" t="s">
        <v>5564</v>
      </c>
      <c r="CW187" s="6" t="s">
        <v>8731</v>
      </c>
      <c r="CX187" s="6" t="s">
        <v>8732</v>
      </c>
      <c r="CY187" s="6" t="s">
        <v>8733</v>
      </c>
      <c r="DA187" s="6" t="s">
        <v>6236</v>
      </c>
      <c r="DY187" s="0" t="str">
        <f aca="false">IF(ISNUMBER(MATCH(U187,{"queued","contacted","replied","call_booked","call_done","yes_in_principle","materials_sent"},0)),"Y","N")</f>
        <v>N</v>
      </c>
      <c r="DZ187" s="0" t="str">
        <f aca="false">IF(COUNTIFS($AN$2:$AN$1000,AN187,$DY$2:$DY$1000,"Y")+COUNTIFS($AN$2:$AN$1000,AN187,$T$2:$T$1000,"Y")&gt;0,"Y","N")</f>
        <v>N</v>
      </c>
      <c r="EA187" s="0" t="str">
        <f aca="false">IF(AND(U187="new",T187="N",AR187="Y",AQ187="",DZ187="N"),"Y","N")</f>
        <v>Y</v>
      </c>
      <c r="EB187" s="0" t="str">
        <f aca="false">IF(EA187&lt;&gt;"Y","N",IF(COUNTIFS($AN$2:$AN$1000,AN187,$EA$2:$EA$1000,"Y",$J$2:$J$1000,"&gt;"&amp;J187)+COUNTIFS($AN$2:$AN$1000,AN187,$EA$2:$EA$1000,"Y",$J$2:$J$1000,J187,$ED$2:$ED$1000,"&lt;"&amp;ED187)=0,"Y","N"))</f>
        <v>Y</v>
      </c>
      <c r="EC187" s="0" t="str">
        <f aca="false">IF(Y187="","N",IF(Y187&lt;=10,"Y","N"))</f>
        <v>N</v>
      </c>
      <c r="ED187" s="6" t="n">
        <f aca="false">ROW()-1</f>
        <v>186</v>
      </c>
    </row>
    <row r="188" customFormat="false" ht="15" hidden="false" customHeight="false" outlineLevel="0" collapsed="false">
      <c r="A188" s="0" t="s">
        <v>8734</v>
      </c>
      <c r="B188" s="0" t="s">
        <v>8735</v>
      </c>
      <c r="C188" s="0" t="s">
        <v>8736</v>
      </c>
      <c r="D188" s="0" t="s">
        <v>8737</v>
      </c>
      <c r="E188" s="0" t="s">
        <v>4626</v>
      </c>
      <c r="H188" s="5" t="s">
        <v>158</v>
      </c>
      <c r="I188" s="5" t="s">
        <v>159</v>
      </c>
      <c r="J188" s="6" t="n">
        <f aca="false">IF(AU188="pass",CM188+CN188+CO188+CP188+CQ188+CR188+CS188+CT188,0)</f>
        <v>35</v>
      </c>
      <c r="K188" s="6" t="s">
        <v>8738</v>
      </c>
      <c r="M188" s="6" t="s">
        <v>5293</v>
      </c>
      <c r="N188" s="6" t="s">
        <v>598</v>
      </c>
      <c r="O188" s="6" t="s">
        <v>8739</v>
      </c>
      <c r="P188" s="6" t="s">
        <v>8740</v>
      </c>
      <c r="Q188" s="6" t="s">
        <v>4823</v>
      </c>
      <c r="R188" s="5" t="s">
        <v>162</v>
      </c>
      <c r="S188" s="6" t="s">
        <v>163</v>
      </c>
      <c r="T188" s="5" t="s">
        <v>162</v>
      </c>
      <c r="U188" s="5" t="s">
        <v>228</v>
      </c>
      <c r="V188" s="6" t="s">
        <v>8741</v>
      </c>
      <c r="W188" s="6" t="s">
        <v>166</v>
      </c>
      <c r="X188" s="6" t="s">
        <v>4586</v>
      </c>
      <c r="Y188" s="6" t="n">
        <f aca="false">IF(EB188&lt;&gt;"Y","",COUNTIFS($EB$2:$EB$1000,"Y",$J$2:$J$1000,"&gt;"&amp;J188)+COUNTIFS($EB$2:$EB$1000,"Y",$J$2:$J$1000,J188,$ED$2:$ED$1000,"&lt;"&amp;ED188)+1)</f>
        <v>147</v>
      </c>
      <c r="Z188" s="0" t="n">
        <v>187</v>
      </c>
      <c r="AA188" s="6" t="s">
        <v>162</v>
      </c>
      <c r="AB188" s="6" t="s">
        <v>8742</v>
      </c>
      <c r="AC188" s="6" t="s">
        <v>4588</v>
      </c>
      <c r="AD188" s="6" t="s">
        <v>171</v>
      </c>
      <c r="AE188" s="6" t="s">
        <v>1190</v>
      </c>
      <c r="AF188" s="6" t="s">
        <v>8743</v>
      </c>
      <c r="AG188" s="6" t="s">
        <v>166</v>
      </c>
      <c r="AH188" s="6" t="s">
        <v>8744</v>
      </c>
      <c r="AI188" s="6" t="s">
        <v>4591</v>
      </c>
      <c r="AJ188" s="6" t="s">
        <v>8745</v>
      </c>
      <c r="AK188" s="6" t="s">
        <v>8746</v>
      </c>
      <c r="AL188" s="6" t="s">
        <v>168</v>
      </c>
      <c r="AM188" s="6" t="s">
        <v>8747</v>
      </c>
      <c r="AN188" s="6" t="s">
        <v>8734</v>
      </c>
      <c r="AO188" s="5" t="s">
        <v>162</v>
      </c>
      <c r="AR188" s="0" t="str">
        <f aca="false">IF(AND(AU188="pass",AO188&lt;&gt;"Y",C188&lt;&gt;""),"Y","N")</f>
        <v>Y</v>
      </c>
      <c r="AS188" s="0" t="str">
        <f aca="false">_xlfn.TEXTJOIN("; ",TRUE(),IF(AU188&lt;&gt;"pass","gated out",""),IF(AO188="Y","on hold: "&amp;AP188,""),IF(C188="","no contact named on an opened page",""))</f>
        <v/>
      </c>
      <c r="AU188" s="6" t="s">
        <v>181</v>
      </c>
      <c r="AW188" s="6" t="s">
        <v>182</v>
      </c>
      <c r="AX188" s="6" t="s">
        <v>283</v>
      </c>
      <c r="AY188" s="6" t="s">
        <v>8746</v>
      </c>
      <c r="AZ188" s="6" t="s">
        <v>8748</v>
      </c>
      <c r="BA188" s="6" t="s">
        <v>5331</v>
      </c>
      <c r="BB188" s="6" t="s">
        <v>163</v>
      </c>
      <c r="BD188" s="6" t="s">
        <v>163</v>
      </c>
      <c r="BE188" s="6" t="s">
        <v>8634</v>
      </c>
      <c r="BF188" s="6" t="s">
        <v>163</v>
      </c>
      <c r="BG188" s="6" t="s">
        <v>168</v>
      </c>
      <c r="BH188" s="6" t="s">
        <v>163</v>
      </c>
      <c r="BJ188" s="6" t="s">
        <v>5551</v>
      </c>
      <c r="BK188" s="6" t="s">
        <v>162</v>
      </c>
      <c r="BL188" s="6" t="s">
        <v>162</v>
      </c>
      <c r="BO188" s="6" t="s">
        <v>162</v>
      </c>
      <c r="BP188" s="0" t="n">
        <v>0</v>
      </c>
      <c r="BR188" s="6" t="s">
        <v>8749</v>
      </c>
      <c r="BS188" s="6" t="s">
        <v>8750</v>
      </c>
      <c r="BT188" s="6" t="s">
        <v>8751</v>
      </c>
      <c r="BU188" s="6" t="s">
        <v>4695</v>
      </c>
      <c r="BV188" s="0" t="n">
        <v>12</v>
      </c>
      <c r="BX188" s="6" t="s">
        <v>8752</v>
      </c>
      <c r="CA188" s="6" t="s">
        <v>8753</v>
      </c>
      <c r="CB188" s="6" t="s">
        <v>8754</v>
      </c>
      <c r="CC188" s="6" t="s">
        <v>8755</v>
      </c>
      <c r="CD188" s="6" t="s">
        <v>8756</v>
      </c>
      <c r="CE188" s="6" t="s">
        <v>6262</v>
      </c>
      <c r="CF188" s="6" t="s">
        <v>171</v>
      </c>
      <c r="CK188" s="6" t="s">
        <v>158</v>
      </c>
      <c r="CL188" s="0" t="n">
        <v>35</v>
      </c>
      <c r="CM188" s="0" t="n">
        <v>6</v>
      </c>
      <c r="CN188" s="0" t="n">
        <v>3</v>
      </c>
      <c r="CO188" s="0" t="n">
        <v>8</v>
      </c>
      <c r="CP188" s="0" t="n">
        <v>5</v>
      </c>
      <c r="CQ188" s="0" t="n">
        <v>5</v>
      </c>
      <c r="CR188" s="0" t="n">
        <v>10</v>
      </c>
      <c r="CS188" s="6" t="n">
        <f aca="false">IF(R188="Y",10,0)</f>
        <v>0</v>
      </c>
      <c r="CT188" s="0" t="n">
        <v>-2</v>
      </c>
      <c r="CU188" s="6" t="s">
        <v>8757</v>
      </c>
      <c r="CV188" s="6" t="s">
        <v>5564</v>
      </c>
      <c r="CW188" s="6" t="s">
        <v>8758</v>
      </c>
      <c r="CX188" s="6" t="s">
        <v>8759</v>
      </c>
      <c r="CY188" s="6" t="s">
        <v>8760</v>
      </c>
      <c r="CZ188" s="6" t="s">
        <v>8743</v>
      </c>
      <c r="DA188" s="6" t="s">
        <v>6236</v>
      </c>
      <c r="DC188" s="6" t="s">
        <v>1190</v>
      </c>
      <c r="DY188" s="0" t="str">
        <f aca="false">IF(ISNUMBER(MATCH(U188,{"queued","contacted","replied","call_booked","call_done","yes_in_principle","materials_sent"},0)),"Y","N")</f>
        <v>N</v>
      </c>
      <c r="DZ188" s="0" t="str">
        <f aca="false">IF(COUNTIFS($AN$2:$AN$1000,AN188,$DY$2:$DY$1000,"Y")+COUNTIFS($AN$2:$AN$1000,AN188,$T$2:$T$1000,"Y")&gt;0,"Y","N")</f>
        <v>N</v>
      </c>
      <c r="EA188" s="0" t="str">
        <f aca="false">IF(AND(U188="new",T188="N",AR188="Y",AQ188="",DZ188="N"),"Y","N")</f>
        <v>Y</v>
      </c>
      <c r="EB188" s="0" t="str">
        <f aca="false">IF(EA188&lt;&gt;"Y","N",IF(COUNTIFS($AN$2:$AN$1000,AN188,$EA$2:$EA$1000,"Y",$J$2:$J$1000,"&gt;"&amp;J188)+COUNTIFS($AN$2:$AN$1000,AN188,$EA$2:$EA$1000,"Y",$J$2:$J$1000,J188,$ED$2:$ED$1000,"&lt;"&amp;ED188)=0,"Y","N"))</f>
        <v>Y</v>
      </c>
      <c r="EC188" s="0" t="str">
        <f aca="false">IF(Y188="","N",IF(Y188&lt;=10,"Y","N"))</f>
        <v>N</v>
      </c>
      <c r="ED188" s="6" t="n">
        <f aca="false">ROW()-1</f>
        <v>187</v>
      </c>
    </row>
    <row r="189" customFormat="false" ht="15" hidden="false" customHeight="false" outlineLevel="0" collapsed="false">
      <c r="A189" s="0" t="s">
        <v>8761</v>
      </c>
      <c r="B189" s="0" t="s">
        <v>8762</v>
      </c>
      <c r="C189" s="0" t="s">
        <v>8763</v>
      </c>
      <c r="D189" s="0" t="s">
        <v>8764</v>
      </c>
      <c r="E189" s="0" t="s">
        <v>4626</v>
      </c>
      <c r="H189" s="5" t="s">
        <v>158</v>
      </c>
      <c r="I189" s="5" t="s">
        <v>159</v>
      </c>
      <c r="J189" s="6" t="n">
        <f aca="false">IF(AU189="pass",CM189+CN189+CO189+CP189+CQ189+CR189+CS189+CT189,0)</f>
        <v>35</v>
      </c>
      <c r="K189" s="6" t="s">
        <v>8765</v>
      </c>
      <c r="M189" s="6" t="s">
        <v>5293</v>
      </c>
      <c r="N189" s="6" t="s">
        <v>598</v>
      </c>
      <c r="O189" s="6" t="s">
        <v>8766</v>
      </c>
      <c r="P189" s="6" t="s">
        <v>8767</v>
      </c>
      <c r="Q189" s="6" t="s">
        <v>8768</v>
      </c>
      <c r="R189" s="5" t="s">
        <v>162</v>
      </c>
      <c r="S189" s="6" t="s">
        <v>163</v>
      </c>
      <c r="T189" s="5" t="s">
        <v>162</v>
      </c>
      <c r="U189" s="5" t="s">
        <v>228</v>
      </c>
      <c r="V189" s="6" t="s">
        <v>8769</v>
      </c>
      <c r="W189" s="6" t="s">
        <v>166</v>
      </c>
      <c r="X189" s="6" t="s">
        <v>4586</v>
      </c>
      <c r="Y189" s="6" t="n">
        <f aca="false">IF(EB189&lt;&gt;"Y","",COUNTIFS($EB$2:$EB$1000,"Y",$J$2:$J$1000,"&gt;"&amp;J189)+COUNTIFS($EB$2:$EB$1000,"Y",$J$2:$J$1000,J189,$ED$2:$ED$1000,"&lt;"&amp;ED189)+1)</f>
        <v>148</v>
      </c>
      <c r="Z189" s="0" t="n">
        <v>188</v>
      </c>
      <c r="AA189" s="6" t="s">
        <v>162</v>
      </c>
      <c r="AB189" s="6" t="s">
        <v>8770</v>
      </c>
      <c r="AC189" s="6" t="s">
        <v>4588</v>
      </c>
      <c r="AD189" s="6" t="s">
        <v>171</v>
      </c>
      <c r="AE189" s="6" t="s">
        <v>1190</v>
      </c>
      <c r="AF189" s="6" t="s">
        <v>8767</v>
      </c>
      <c r="AG189" s="6" t="s">
        <v>166</v>
      </c>
      <c r="AH189" s="6" t="s">
        <v>8771</v>
      </c>
      <c r="AI189" s="6" t="s">
        <v>5385</v>
      </c>
      <c r="AJ189" s="6" t="s">
        <v>2955</v>
      </c>
      <c r="AK189" s="6" t="s">
        <v>8772</v>
      </c>
      <c r="AL189" s="6" t="s">
        <v>168</v>
      </c>
      <c r="AM189" s="6" t="s">
        <v>8773</v>
      </c>
      <c r="AN189" s="6" t="s">
        <v>8761</v>
      </c>
      <c r="AO189" s="5" t="s">
        <v>162</v>
      </c>
      <c r="AR189" s="0" t="str">
        <f aca="false">IF(AND(AU189="pass",AO189&lt;&gt;"Y",C189&lt;&gt;""),"Y","N")</f>
        <v>Y</v>
      </c>
      <c r="AS189" s="0" t="str">
        <f aca="false">_xlfn.TEXTJOIN("; ",TRUE(),IF(AU189&lt;&gt;"pass","gated out",""),IF(AO189="Y","on hold: "&amp;AP189,""),IF(C189="","no contact named on an opened page",""))</f>
        <v/>
      </c>
      <c r="AU189" s="6" t="s">
        <v>181</v>
      </c>
      <c r="AW189" s="6" t="s">
        <v>182</v>
      </c>
      <c r="AY189" s="6" t="s">
        <v>8772</v>
      </c>
      <c r="AZ189" s="6" t="s">
        <v>5659</v>
      </c>
      <c r="BA189" s="6" t="s">
        <v>5331</v>
      </c>
      <c r="BB189" s="6" t="s">
        <v>163</v>
      </c>
      <c r="BD189" s="6" t="s">
        <v>168</v>
      </c>
      <c r="BE189" s="6" t="s">
        <v>8774</v>
      </c>
      <c r="BF189" s="6" t="s">
        <v>162</v>
      </c>
      <c r="BG189" s="6" t="s">
        <v>168</v>
      </c>
      <c r="BH189" s="6" t="s">
        <v>163</v>
      </c>
      <c r="BJ189" s="6" t="s">
        <v>163</v>
      </c>
      <c r="BK189" s="6" t="s">
        <v>162</v>
      </c>
      <c r="BL189" s="6" t="s">
        <v>162</v>
      </c>
      <c r="BO189" s="6" t="s">
        <v>162</v>
      </c>
      <c r="BP189" s="0" t="n">
        <v>0</v>
      </c>
      <c r="BR189" s="6" t="s">
        <v>6764</v>
      </c>
      <c r="BS189" s="6" t="s">
        <v>6811</v>
      </c>
      <c r="BT189" s="6" t="s">
        <v>8775</v>
      </c>
      <c r="BU189" s="6" t="s">
        <v>4605</v>
      </c>
      <c r="BV189" s="0" t="n">
        <v>340</v>
      </c>
      <c r="BX189" s="6" t="s">
        <v>8776</v>
      </c>
      <c r="BY189" s="6" t="s">
        <v>5210</v>
      </c>
      <c r="CA189" s="6" t="s">
        <v>8777</v>
      </c>
      <c r="CB189" s="6" t="s">
        <v>8778</v>
      </c>
      <c r="CC189" s="6" t="s">
        <v>8779</v>
      </c>
      <c r="CD189" s="6" t="s">
        <v>4626</v>
      </c>
      <c r="CE189" s="6" t="s">
        <v>6725</v>
      </c>
      <c r="CF189" s="6" t="s">
        <v>171</v>
      </c>
      <c r="CG189" s="6" t="s">
        <v>5210</v>
      </c>
      <c r="CK189" s="6" t="s">
        <v>158</v>
      </c>
      <c r="CL189" s="0" t="n">
        <v>35</v>
      </c>
      <c r="CM189" s="0" t="n">
        <v>6</v>
      </c>
      <c r="CN189" s="0" t="n">
        <v>3</v>
      </c>
      <c r="CO189" s="0" t="n">
        <v>8</v>
      </c>
      <c r="CP189" s="0" t="n">
        <v>5</v>
      </c>
      <c r="CQ189" s="0" t="n">
        <v>7</v>
      </c>
      <c r="CR189" s="0" t="n">
        <v>6</v>
      </c>
      <c r="CS189" s="6" t="n">
        <f aca="false">IF(R189="Y",10,0)</f>
        <v>0</v>
      </c>
      <c r="CT189" s="0" t="n">
        <v>0</v>
      </c>
      <c r="CU189" s="6" t="s">
        <v>8780</v>
      </c>
      <c r="CV189" s="6" t="s">
        <v>4843</v>
      </c>
      <c r="CW189" s="6" t="s">
        <v>8781</v>
      </c>
      <c r="CX189" s="6" t="s">
        <v>8782</v>
      </c>
      <c r="CY189" s="6" t="s">
        <v>8783</v>
      </c>
      <c r="CZ189" s="6" t="s">
        <v>8767</v>
      </c>
      <c r="DA189" s="6" t="s">
        <v>6236</v>
      </c>
      <c r="DC189" s="6" t="s">
        <v>1190</v>
      </c>
      <c r="DY189" s="0" t="str">
        <f aca="false">IF(ISNUMBER(MATCH(U189,{"queued","contacted","replied","call_booked","call_done","yes_in_principle","materials_sent"},0)),"Y","N")</f>
        <v>N</v>
      </c>
      <c r="DZ189" s="0" t="str">
        <f aca="false">IF(COUNTIFS($AN$2:$AN$1000,AN189,$DY$2:$DY$1000,"Y")+COUNTIFS($AN$2:$AN$1000,AN189,$T$2:$T$1000,"Y")&gt;0,"Y","N")</f>
        <v>N</v>
      </c>
      <c r="EA189" s="0" t="str">
        <f aca="false">IF(AND(U189="new",T189="N",AR189="Y",AQ189="",DZ189="N"),"Y","N")</f>
        <v>Y</v>
      </c>
      <c r="EB189" s="0" t="str">
        <f aca="false">IF(EA189&lt;&gt;"Y","N",IF(COUNTIFS($AN$2:$AN$1000,AN189,$EA$2:$EA$1000,"Y",$J$2:$J$1000,"&gt;"&amp;J189)+COUNTIFS($AN$2:$AN$1000,AN189,$EA$2:$EA$1000,"Y",$J$2:$J$1000,J189,$ED$2:$ED$1000,"&lt;"&amp;ED189)=0,"Y","N"))</f>
        <v>Y</v>
      </c>
      <c r="EC189" s="0" t="str">
        <f aca="false">IF(Y189="","N",IF(Y189&lt;=10,"Y","N"))</f>
        <v>N</v>
      </c>
      <c r="ED189" s="6" t="n">
        <f aca="false">ROW()-1</f>
        <v>188</v>
      </c>
    </row>
    <row r="190" customFormat="false" ht="15" hidden="false" customHeight="false" outlineLevel="0" collapsed="false">
      <c r="A190" s="0" t="s">
        <v>8784</v>
      </c>
      <c r="B190" s="0" t="s">
        <v>8785</v>
      </c>
      <c r="H190" s="5" t="s">
        <v>158</v>
      </c>
      <c r="I190" s="5"/>
      <c r="J190" s="6" t="n">
        <f aca="false">IF(AU190="pass",CM190+CN190+CO190+CP190+CQ190+CR190+CS190+CT190,0)</f>
        <v>35</v>
      </c>
      <c r="K190" s="6" t="s">
        <v>8786</v>
      </c>
      <c r="M190" s="6" t="s">
        <v>5293</v>
      </c>
      <c r="N190" s="6" t="s">
        <v>598</v>
      </c>
      <c r="O190" s="6" t="s">
        <v>8787</v>
      </c>
      <c r="P190" s="6" t="s">
        <v>8788</v>
      </c>
      <c r="Q190" s="6" t="s">
        <v>8789</v>
      </c>
      <c r="R190" s="5" t="s">
        <v>162</v>
      </c>
      <c r="S190" s="6" t="s">
        <v>168</v>
      </c>
      <c r="T190" s="5" t="s">
        <v>162</v>
      </c>
      <c r="U190" s="5" t="s">
        <v>228</v>
      </c>
      <c r="V190" s="6" t="s">
        <v>8790</v>
      </c>
      <c r="W190" s="6" t="s">
        <v>174</v>
      </c>
      <c r="X190" s="6" t="s">
        <v>4586</v>
      </c>
      <c r="Y190" s="0" t="str">
        <f aca="false">IF(EB190&lt;&gt;"Y","",COUNTIFS($EB$2:$EB$1000,"Y",$J$2:$J$1000,"&gt;"&amp;J190)+COUNTIFS($EB$2:$EB$1000,"Y",$J$2:$J$1000,J190,$ED$2:$ED$1000,"&lt;"&amp;ED190)+1)</f>
        <v/>
      </c>
      <c r="Z190" s="0" t="n">
        <v>189</v>
      </c>
      <c r="AA190" s="6" t="s">
        <v>162</v>
      </c>
      <c r="AB190" s="6" t="s">
        <v>6317</v>
      </c>
      <c r="AD190" s="6" t="s">
        <v>158</v>
      </c>
      <c r="AH190" s="6" t="s">
        <v>8791</v>
      </c>
      <c r="AI190" s="6" t="s">
        <v>5081</v>
      </c>
      <c r="AJ190" s="6" t="s">
        <v>163</v>
      </c>
      <c r="AK190" s="6" t="s">
        <v>8792</v>
      </c>
      <c r="AL190" s="6" t="s">
        <v>168</v>
      </c>
      <c r="AM190" s="6" t="s">
        <v>8793</v>
      </c>
      <c r="AN190" s="6" t="s">
        <v>8784</v>
      </c>
      <c r="AO190" s="5" t="s">
        <v>162</v>
      </c>
      <c r="AR190" s="0" t="str">
        <f aca="false">IF(AND(AU190="pass",AO190&lt;&gt;"Y",C190&lt;&gt;""),"Y","N")</f>
        <v>N</v>
      </c>
      <c r="AS190" s="0" t="str">
        <f aca="false">_xlfn.TEXTJOIN("; ",TRUE(),IF(AU190&lt;&gt;"pass","gated out",""),IF(AO190="Y","on hold: "&amp;AP190,""),IF(C190="","no contact named on an opened page",""))</f>
        <v>no contact named on an opened page</v>
      </c>
      <c r="AU190" s="6" t="s">
        <v>181</v>
      </c>
      <c r="AW190" s="6" t="s">
        <v>182</v>
      </c>
      <c r="AX190" s="6" t="s">
        <v>283</v>
      </c>
      <c r="AY190" s="6" t="s">
        <v>8792</v>
      </c>
      <c r="AZ190" s="6" t="s">
        <v>6034</v>
      </c>
      <c r="BA190" s="6" t="s">
        <v>5193</v>
      </c>
      <c r="BB190" s="6" t="s">
        <v>163</v>
      </c>
      <c r="BD190" s="6" t="s">
        <v>168</v>
      </c>
      <c r="BE190" s="6" t="s">
        <v>8794</v>
      </c>
      <c r="BF190" s="6" t="s">
        <v>168</v>
      </c>
      <c r="BG190" s="6" t="s">
        <v>168</v>
      </c>
      <c r="BH190" s="6" t="s">
        <v>163</v>
      </c>
      <c r="BJ190" s="6" t="s">
        <v>5145</v>
      </c>
      <c r="BK190" s="6" t="s">
        <v>162</v>
      </c>
      <c r="BL190" s="6" t="s">
        <v>162</v>
      </c>
      <c r="BO190" s="6" t="s">
        <v>162</v>
      </c>
      <c r="BP190" s="0" t="n">
        <v>0</v>
      </c>
      <c r="BS190" s="6" t="s">
        <v>163</v>
      </c>
      <c r="BU190" s="6" t="s">
        <v>4695</v>
      </c>
      <c r="BV190" s="0" t="n">
        <v>160</v>
      </c>
      <c r="BW190" s="6" t="s">
        <v>5136</v>
      </c>
      <c r="CF190" s="6" t="s">
        <v>158</v>
      </c>
      <c r="CK190" s="6" t="s">
        <v>158</v>
      </c>
      <c r="CL190" s="0" t="n">
        <v>35</v>
      </c>
      <c r="CM190" s="0" t="n">
        <v>6</v>
      </c>
      <c r="CN190" s="0" t="n">
        <v>8</v>
      </c>
      <c r="CO190" s="0" t="n">
        <v>8</v>
      </c>
      <c r="CP190" s="0" t="n">
        <v>5</v>
      </c>
      <c r="CQ190" s="0" t="n">
        <v>10</v>
      </c>
      <c r="CR190" s="0" t="n">
        <v>0</v>
      </c>
      <c r="CS190" s="6" t="n">
        <f aca="false">IF(R190="Y",10,0)</f>
        <v>0</v>
      </c>
      <c r="CT190" s="0" t="n">
        <v>-2</v>
      </c>
      <c r="CU190" s="6" t="s">
        <v>8795</v>
      </c>
      <c r="CV190" s="6" t="s">
        <v>5152</v>
      </c>
      <c r="CW190" s="6" t="s">
        <v>8796</v>
      </c>
      <c r="CX190" s="6" t="s">
        <v>8797</v>
      </c>
      <c r="DA190" s="6" t="s">
        <v>6236</v>
      </c>
      <c r="DY190" s="0" t="str">
        <f aca="false">IF(ISNUMBER(MATCH(U190,{"queued","contacted","replied","call_booked","call_done","yes_in_principle","materials_sent"},0)),"Y","N")</f>
        <v>N</v>
      </c>
      <c r="DZ190" s="0" t="str">
        <f aca="false">IF(COUNTIFS($AN$2:$AN$1000,AN190,$DY$2:$DY$1000,"Y")+COUNTIFS($AN$2:$AN$1000,AN190,$T$2:$T$1000,"Y")&gt;0,"Y","N")</f>
        <v>N</v>
      </c>
      <c r="EA190" s="0" t="str">
        <f aca="false">IF(AND(U190="new",T190="N",AR190="Y",AQ190="",DZ190="N"),"Y","N")</f>
        <v>N</v>
      </c>
      <c r="EB190" s="0" t="str">
        <f aca="false">IF(EA190&lt;&gt;"Y","N",IF(COUNTIFS($AN$2:$AN$1000,AN190,$EA$2:$EA$1000,"Y",$J$2:$J$1000,"&gt;"&amp;J190)+COUNTIFS($AN$2:$AN$1000,AN190,$EA$2:$EA$1000,"Y",$J$2:$J$1000,J190,$ED$2:$ED$1000,"&lt;"&amp;ED190)=0,"Y","N"))</f>
        <v>N</v>
      </c>
      <c r="EC190" s="0" t="str">
        <f aca="false">IF(Y190="","N",IF(Y190&lt;=10,"Y","N"))</f>
        <v>N</v>
      </c>
      <c r="ED190" s="6" t="n">
        <f aca="false">ROW()-1</f>
        <v>189</v>
      </c>
    </row>
    <row r="191" customFormat="false" ht="15" hidden="false" customHeight="false" outlineLevel="0" collapsed="false">
      <c r="A191" s="0" t="s">
        <v>8798</v>
      </c>
      <c r="B191" s="0" t="s">
        <v>8799</v>
      </c>
      <c r="C191" s="0" t="s">
        <v>557</v>
      </c>
      <c r="D191" s="0" t="s">
        <v>8800</v>
      </c>
      <c r="E191" s="0" t="s">
        <v>4773</v>
      </c>
      <c r="H191" s="5" t="s">
        <v>158</v>
      </c>
      <c r="I191" s="5" t="s">
        <v>159</v>
      </c>
      <c r="J191" s="6" t="n">
        <f aca="false">IF(AU191="pass",CM191+CN191+CO191+CP191+CQ191+CR191+CS191+CT191,0)</f>
        <v>35</v>
      </c>
      <c r="K191" s="6" t="s">
        <v>8801</v>
      </c>
      <c r="M191" s="6" t="s">
        <v>5293</v>
      </c>
      <c r="N191" s="6" t="s">
        <v>598</v>
      </c>
      <c r="R191" s="5" t="s">
        <v>162</v>
      </c>
      <c r="S191" s="6" t="s">
        <v>163</v>
      </c>
      <c r="T191" s="5" t="s">
        <v>162</v>
      </c>
      <c r="U191" s="5" t="s">
        <v>228</v>
      </c>
      <c r="V191" s="6" t="s">
        <v>8802</v>
      </c>
      <c r="W191" s="6" t="s">
        <v>166</v>
      </c>
      <c r="X191" s="6" t="s">
        <v>4586</v>
      </c>
      <c r="Y191" s="6" t="n">
        <f aca="false">IF(EB191&lt;&gt;"Y","",COUNTIFS($EB$2:$EB$1000,"Y",$J$2:$J$1000,"&gt;"&amp;J191)+COUNTIFS($EB$2:$EB$1000,"Y",$J$2:$J$1000,J191,$ED$2:$ED$1000,"&lt;"&amp;ED191)+1)</f>
        <v>149</v>
      </c>
      <c r="Z191" s="0" t="n">
        <v>190</v>
      </c>
      <c r="AA191" s="6" t="s">
        <v>162</v>
      </c>
      <c r="AB191" s="6" t="s">
        <v>8803</v>
      </c>
      <c r="AC191" s="6" t="s">
        <v>4588</v>
      </c>
      <c r="AD191" s="6" t="s">
        <v>171</v>
      </c>
      <c r="AE191" s="6" t="s">
        <v>172</v>
      </c>
      <c r="AF191" s="6" t="s">
        <v>8804</v>
      </c>
      <c r="AG191" s="6" t="s">
        <v>166</v>
      </c>
      <c r="AH191" s="6" t="s">
        <v>8805</v>
      </c>
      <c r="AI191" s="6" t="s">
        <v>4591</v>
      </c>
      <c r="AJ191" s="6" t="s">
        <v>8806</v>
      </c>
      <c r="AK191" s="6" t="s">
        <v>8807</v>
      </c>
      <c r="AL191" s="6" t="s">
        <v>168</v>
      </c>
      <c r="AM191" s="6" t="s">
        <v>8808</v>
      </c>
      <c r="AN191" s="6" t="s">
        <v>8798</v>
      </c>
      <c r="AO191" s="5" t="s">
        <v>162</v>
      </c>
      <c r="AR191" s="0" t="str">
        <f aca="false">IF(AND(AU191="pass",AO191&lt;&gt;"Y",C191&lt;&gt;""),"Y","N")</f>
        <v>Y</v>
      </c>
      <c r="AS191" s="0" t="str">
        <f aca="false">_xlfn.TEXTJOIN("; ",TRUE(),IF(AU191&lt;&gt;"pass","gated out",""),IF(AO191="Y","on hold: "&amp;AP191,""),IF(C191="","no contact named on an opened page",""))</f>
        <v/>
      </c>
      <c r="AU191" s="6" t="s">
        <v>181</v>
      </c>
      <c r="AW191" s="6" t="s">
        <v>182</v>
      </c>
      <c r="AX191" s="6" t="s">
        <v>8191</v>
      </c>
      <c r="AY191" s="6" t="s">
        <v>8807</v>
      </c>
      <c r="AZ191" s="6" t="s">
        <v>4596</v>
      </c>
      <c r="BA191" s="6" t="s">
        <v>4597</v>
      </c>
      <c r="BB191" s="6" t="s">
        <v>163</v>
      </c>
      <c r="BD191" s="6" t="s">
        <v>168</v>
      </c>
      <c r="BE191" s="6" t="s">
        <v>8809</v>
      </c>
      <c r="BF191" s="6" t="s">
        <v>168</v>
      </c>
      <c r="BG191" s="6" t="s">
        <v>168</v>
      </c>
      <c r="BH191" s="6" t="s">
        <v>163</v>
      </c>
      <c r="BJ191" s="6" t="s">
        <v>5551</v>
      </c>
      <c r="BK191" s="6" t="s">
        <v>168</v>
      </c>
      <c r="BL191" s="6" t="s">
        <v>162</v>
      </c>
      <c r="BO191" s="6" t="s">
        <v>162</v>
      </c>
      <c r="BP191" s="0" t="n">
        <v>0</v>
      </c>
      <c r="BS191" s="6" t="s">
        <v>163</v>
      </c>
      <c r="BU191" s="6" t="s">
        <v>158</v>
      </c>
      <c r="BX191" s="6" t="s">
        <v>8810</v>
      </c>
      <c r="CF191" s="6" t="s">
        <v>158</v>
      </c>
      <c r="CK191" s="6" t="s">
        <v>158</v>
      </c>
      <c r="CL191" s="0" t="n">
        <v>35</v>
      </c>
      <c r="CM191" s="0" t="n">
        <v>6</v>
      </c>
      <c r="CN191" s="0" t="n">
        <v>20</v>
      </c>
      <c r="CO191" s="0" t="n">
        <v>0</v>
      </c>
      <c r="CP191" s="0" t="n">
        <v>5</v>
      </c>
      <c r="CQ191" s="0" t="n">
        <v>10</v>
      </c>
      <c r="CR191" s="0" t="n">
        <v>6</v>
      </c>
      <c r="CS191" s="6" t="n">
        <f aca="false">IF(R191="Y",10,0)</f>
        <v>0</v>
      </c>
      <c r="CT191" s="0" t="n">
        <v>-12</v>
      </c>
      <c r="CU191" s="6" t="s">
        <v>8811</v>
      </c>
      <c r="CV191" s="6" t="s">
        <v>5564</v>
      </c>
      <c r="CW191" s="6" t="s">
        <v>8812</v>
      </c>
      <c r="CX191" s="6" t="s">
        <v>8813</v>
      </c>
      <c r="CY191" s="6" t="s">
        <v>8814</v>
      </c>
      <c r="DA191" s="6" t="s">
        <v>6236</v>
      </c>
      <c r="DY191" s="0" t="str">
        <f aca="false">IF(ISNUMBER(MATCH(U191,{"queued","contacted","replied","call_booked","call_done","yes_in_principle","materials_sent"},0)),"Y","N")</f>
        <v>N</v>
      </c>
      <c r="DZ191" s="0" t="str">
        <f aca="false">IF(COUNTIFS($AN$2:$AN$1000,AN191,$DY$2:$DY$1000,"Y")+COUNTIFS($AN$2:$AN$1000,AN191,$T$2:$T$1000,"Y")&gt;0,"Y","N")</f>
        <v>N</v>
      </c>
      <c r="EA191" s="0" t="str">
        <f aca="false">IF(AND(U191="new",T191="N",AR191="Y",AQ191="",DZ191="N"),"Y","N")</f>
        <v>Y</v>
      </c>
      <c r="EB191" s="0" t="str">
        <f aca="false">IF(EA191&lt;&gt;"Y","N",IF(COUNTIFS($AN$2:$AN$1000,AN191,$EA$2:$EA$1000,"Y",$J$2:$J$1000,"&gt;"&amp;J191)+COUNTIFS($AN$2:$AN$1000,AN191,$EA$2:$EA$1000,"Y",$J$2:$J$1000,J191,$ED$2:$ED$1000,"&lt;"&amp;ED191)=0,"Y","N"))</f>
        <v>Y</v>
      </c>
      <c r="EC191" s="0" t="str">
        <f aca="false">IF(Y191="","N",IF(Y191&lt;=10,"Y","N"))</f>
        <v>N</v>
      </c>
      <c r="ED191" s="6" t="n">
        <f aca="false">ROW()-1</f>
        <v>190</v>
      </c>
    </row>
    <row r="192" customFormat="false" ht="15" hidden="false" customHeight="false" outlineLevel="0" collapsed="false">
      <c r="A192" s="0" t="s">
        <v>8815</v>
      </c>
      <c r="B192" s="0" t="s">
        <v>8816</v>
      </c>
      <c r="C192" s="0" t="s">
        <v>8817</v>
      </c>
      <c r="D192" s="0" t="s">
        <v>6931</v>
      </c>
      <c r="E192" s="0" t="s">
        <v>4773</v>
      </c>
      <c r="H192" s="5" t="s">
        <v>158</v>
      </c>
      <c r="I192" s="5" t="s">
        <v>159</v>
      </c>
      <c r="J192" s="6" t="n">
        <f aca="false">IF(AU192="pass",CM192+CN192+CO192+CP192+CQ192+CR192+CS192+CT192,0)</f>
        <v>34</v>
      </c>
      <c r="K192" s="6" t="s">
        <v>8818</v>
      </c>
      <c r="M192" s="6" t="s">
        <v>4581</v>
      </c>
      <c r="N192" s="6" t="s">
        <v>4582</v>
      </c>
      <c r="R192" s="5" t="s">
        <v>162</v>
      </c>
      <c r="S192" s="6" t="s">
        <v>163</v>
      </c>
      <c r="T192" s="5" t="s">
        <v>162</v>
      </c>
      <c r="U192" s="5" t="s">
        <v>228</v>
      </c>
      <c r="V192" s="6" t="s">
        <v>8819</v>
      </c>
      <c r="W192" s="6" t="s">
        <v>166</v>
      </c>
      <c r="X192" s="6" t="s">
        <v>4586</v>
      </c>
      <c r="Y192" s="6" t="n">
        <f aca="false">IF(EB192&lt;&gt;"Y","",COUNTIFS($EB$2:$EB$1000,"Y",$J$2:$J$1000,"&gt;"&amp;J192)+COUNTIFS($EB$2:$EB$1000,"Y",$J$2:$J$1000,J192,$ED$2:$ED$1000,"&lt;"&amp;ED192)+1)</f>
        <v>150</v>
      </c>
      <c r="Z192" s="0" t="n">
        <v>191</v>
      </c>
      <c r="AA192" s="6" t="s">
        <v>162</v>
      </c>
      <c r="AB192" s="6" t="s">
        <v>8820</v>
      </c>
      <c r="AC192" s="6" t="s">
        <v>4588</v>
      </c>
      <c r="AD192" s="6" t="s">
        <v>171</v>
      </c>
      <c r="AE192" s="6" t="s">
        <v>172</v>
      </c>
      <c r="AF192" s="6" t="s">
        <v>8819</v>
      </c>
      <c r="AG192" s="6" t="s">
        <v>166</v>
      </c>
      <c r="AH192" s="6" t="s">
        <v>8821</v>
      </c>
      <c r="AI192" s="6" t="s">
        <v>4634</v>
      </c>
      <c r="AJ192" s="6" t="s">
        <v>8822</v>
      </c>
      <c r="AK192" s="6" t="s">
        <v>8823</v>
      </c>
      <c r="AL192" s="6" t="s">
        <v>168</v>
      </c>
      <c r="AM192" s="6" t="s">
        <v>8824</v>
      </c>
      <c r="AN192" s="6" t="s">
        <v>8815</v>
      </c>
      <c r="AO192" s="5" t="s">
        <v>162</v>
      </c>
      <c r="AR192" s="0" t="str">
        <f aca="false">IF(AND(AU192="pass",AO192&lt;&gt;"Y",C192&lt;&gt;""),"Y","N")</f>
        <v>Y</v>
      </c>
      <c r="AS192" s="0" t="str">
        <f aca="false">_xlfn.TEXTJOIN("; ",TRUE(),IF(AU192&lt;&gt;"pass","gated out",""),IF(AO192="Y","on hold: "&amp;AP192,""),IF(C192="","no contact named on an opened page",""))</f>
        <v/>
      </c>
      <c r="AU192" s="6" t="s">
        <v>181</v>
      </c>
      <c r="AW192" s="6" t="s">
        <v>182</v>
      </c>
      <c r="AX192" s="6" t="s">
        <v>7581</v>
      </c>
      <c r="AY192" s="6" t="s">
        <v>8823</v>
      </c>
      <c r="AZ192" s="6" t="s">
        <v>6388</v>
      </c>
      <c r="BA192" s="6" t="s">
        <v>5331</v>
      </c>
      <c r="BB192" s="6" t="s">
        <v>163</v>
      </c>
      <c r="BD192" s="6" t="s">
        <v>168</v>
      </c>
      <c r="BE192" s="6" t="s">
        <v>8825</v>
      </c>
      <c r="BF192" s="6" t="s">
        <v>162</v>
      </c>
      <c r="BG192" s="6" t="s">
        <v>168</v>
      </c>
      <c r="BH192" s="6" t="s">
        <v>163</v>
      </c>
      <c r="BJ192" s="6" t="s">
        <v>163</v>
      </c>
      <c r="BK192" s="6" t="s">
        <v>162</v>
      </c>
      <c r="BL192" s="6" t="s">
        <v>162</v>
      </c>
      <c r="BN192" s="0" t="n">
        <v>0</v>
      </c>
      <c r="BO192" s="6" t="s">
        <v>168</v>
      </c>
      <c r="BP192" s="0" t="n">
        <v>3</v>
      </c>
      <c r="BQ192" s="6" t="s">
        <v>4670</v>
      </c>
      <c r="BS192" s="6" t="s">
        <v>8826</v>
      </c>
      <c r="BT192" s="6" t="s">
        <v>8827</v>
      </c>
      <c r="BU192" s="6" t="s">
        <v>158</v>
      </c>
      <c r="BX192" s="6" t="s">
        <v>8828</v>
      </c>
      <c r="CF192" s="6" t="s">
        <v>158</v>
      </c>
      <c r="CK192" s="6" t="s">
        <v>158</v>
      </c>
      <c r="CL192" s="0" t="n">
        <v>34</v>
      </c>
      <c r="CM192" s="0" t="n">
        <v>25</v>
      </c>
      <c r="CN192" s="0" t="n">
        <v>3</v>
      </c>
      <c r="CO192" s="0" t="n">
        <v>0</v>
      </c>
      <c r="CP192" s="0" t="n">
        <v>5</v>
      </c>
      <c r="CQ192" s="0" t="n">
        <v>7</v>
      </c>
      <c r="CR192" s="0" t="n">
        <v>6</v>
      </c>
      <c r="CS192" s="6" t="n">
        <f aca="false">IF(R192="Y",10,0)</f>
        <v>0</v>
      </c>
      <c r="CT192" s="0" t="n">
        <v>-12</v>
      </c>
      <c r="CU192" s="6" t="s">
        <v>163</v>
      </c>
      <c r="CV192" s="6" t="s">
        <v>4843</v>
      </c>
      <c r="CW192" s="6" t="s">
        <v>8829</v>
      </c>
      <c r="CX192" s="6" t="s">
        <v>8830</v>
      </c>
      <c r="DA192" s="6" t="s">
        <v>6236</v>
      </c>
      <c r="DY192" s="0" t="str">
        <f aca="false">IF(ISNUMBER(MATCH(U192,{"queued","contacted","replied","call_booked","call_done","yes_in_principle","materials_sent"},0)),"Y","N")</f>
        <v>N</v>
      </c>
      <c r="DZ192" s="0" t="str">
        <f aca="false">IF(COUNTIFS($AN$2:$AN$1000,AN192,$DY$2:$DY$1000,"Y")+COUNTIFS($AN$2:$AN$1000,AN192,$T$2:$T$1000,"Y")&gt;0,"Y","N")</f>
        <v>N</v>
      </c>
      <c r="EA192" s="0" t="str">
        <f aca="false">IF(AND(U192="new",T192="N",AR192="Y",AQ192="",DZ192="N"),"Y","N")</f>
        <v>Y</v>
      </c>
      <c r="EB192" s="0" t="str">
        <f aca="false">IF(EA192&lt;&gt;"Y","N",IF(COUNTIFS($AN$2:$AN$1000,AN192,$EA$2:$EA$1000,"Y",$J$2:$J$1000,"&gt;"&amp;J192)+COUNTIFS($AN$2:$AN$1000,AN192,$EA$2:$EA$1000,"Y",$J$2:$J$1000,J192,$ED$2:$ED$1000,"&lt;"&amp;ED192)=0,"Y","N"))</f>
        <v>Y</v>
      </c>
      <c r="EC192" s="0" t="str">
        <f aca="false">IF(Y192="","N",IF(Y192&lt;=10,"Y","N"))</f>
        <v>N</v>
      </c>
      <c r="ED192" s="6" t="n">
        <f aca="false">ROW()-1</f>
        <v>191</v>
      </c>
    </row>
    <row r="193" customFormat="false" ht="15" hidden="false" customHeight="false" outlineLevel="0" collapsed="false">
      <c r="A193" s="0" t="s">
        <v>8831</v>
      </c>
      <c r="B193" s="0" t="s">
        <v>8832</v>
      </c>
      <c r="C193" s="0" t="s">
        <v>8833</v>
      </c>
      <c r="D193" s="0" t="s">
        <v>452</v>
      </c>
      <c r="E193" s="0" t="s">
        <v>4773</v>
      </c>
      <c r="H193" s="5" t="s">
        <v>158</v>
      </c>
      <c r="I193" s="5" t="s">
        <v>159</v>
      </c>
      <c r="J193" s="6" t="n">
        <f aca="false">IF(AU193="pass",CM193+CN193+CO193+CP193+CQ193+CR193+CS193+CT193,0)</f>
        <v>34</v>
      </c>
      <c r="K193" s="6" t="s">
        <v>8834</v>
      </c>
      <c r="M193" s="6" t="s">
        <v>4581</v>
      </c>
      <c r="N193" s="6" t="s">
        <v>4582</v>
      </c>
      <c r="R193" s="5" t="s">
        <v>162</v>
      </c>
      <c r="S193" s="6" t="s">
        <v>163</v>
      </c>
      <c r="T193" s="5" t="s">
        <v>162</v>
      </c>
      <c r="U193" s="5" t="s">
        <v>228</v>
      </c>
      <c r="V193" s="6" t="s">
        <v>8835</v>
      </c>
      <c r="W193" s="6" t="s">
        <v>166</v>
      </c>
      <c r="X193" s="6" t="s">
        <v>4586</v>
      </c>
      <c r="Y193" s="6" t="n">
        <f aca="false">IF(EB193&lt;&gt;"Y","",COUNTIFS($EB$2:$EB$1000,"Y",$J$2:$J$1000,"&gt;"&amp;J193)+COUNTIFS($EB$2:$EB$1000,"Y",$J$2:$J$1000,J193,$ED$2:$ED$1000,"&lt;"&amp;ED193)+1)</f>
        <v>151</v>
      </c>
      <c r="Z193" s="0" t="n">
        <v>192</v>
      </c>
      <c r="AA193" s="6" t="s">
        <v>162</v>
      </c>
      <c r="AB193" s="6" t="s">
        <v>8836</v>
      </c>
      <c r="AC193" s="6" t="s">
        <v>4588</v>
      </c>
      <c r="AD193" s="6" t="s">
        <v>171</v>
      </c>
      <c r="AE193" s="6" t="s">
        <v>1190</v>
      </c>
      <c r="AF193" s="6" t="s">
        <v>8837</v>
      </c>
      <c r="AG193" s="6" t="s">
        <v>166</v>
      </c>
      <c r="AH193" s="6" t="s">
        <v>8838</v>
      </c>
      <c r="AI193" s="6" t="s">
        <v>4724</v>
      </c>
      <c r="AJ193" s="6" t="s">
        <v>8839</v>
      </c>
      <c r="AK193" s="6" t="s">
        <v>8840</v>
      </c>
      <c r="AL193" s="6" t="s">
        <v>168</v>
      </c>
      <c r="AM193" s="6" t="s">
        <v>8841</v>
      </c>
      <c r="AN193" s="6" t="s">
        <v>8831</v>
      </c>
      <c r="AO193" s="5" t="s">
        <v>162</v>
      </c>
      <c r="AR193" s="0" t="str">
        <f aca="false">IF(AND(AU193="pass",AO193&lt;&gt;"Y",C193&lt;&gt;""),"Y","N")</f>
        <v>Y</v>
      </c>
      <c r="AS193" s="0" t="str">
        <f aca="false">_xlfn.TEXTJOIN("; ",TRUE(),IF(AU193&lt;&gt;"pass","gated out",""),IF(AO193="Y","on hold: "&amp;AP193,""),IF(C193="","no contact named on an opened page",""))</f>
        <v/>
      </c>
      <c r="AU193" s="6" t="s">
        <v>181</v>
      </c>
      <c r="AW193" s="6" t="s">
        <v>182</v>
      </c>
      <c r="AX193" s="6" t="s">
        <v>7616</v>
      </c>
      <c r="AY193" s="6" t="s">
        <v>8840</v>
      </c>
      <c r="AZ193" s="6" t="s">
        <v>4596</v>
      </c>
      <c r="BA193" s="6" t="s">
        <v>4953</v>
      </c>
      <c r="BB193" s="6" t="s">
        <v>8842</v>
      </c>
      <c r="BD193" s="6" t="s">
        <v>168</v>
      </c>
      <c r="BE193" s="6" t="s">
        <v>8843</v>
      </c>
      <c r="BF193" s="6" t="s">
        <v>168</v>
      </c>
      <c r="BG193" s="6" t="s">
        <v>168</v>
      </c>
      <c r="BH193" s="6" t="s">
        <v>163</v>
      </c>
      <c r="BJ193" s="6" t="s">
        <v>8844</v>
      </c>
      <c r="BK193" s="6" t="s">
        <v>162</v>
      </c>
      <c r="BL193" s="6" t="s">
        <v>162</v>
      </c>
      <c r="BN193" s="0" t="n">
        <v>0</v>
      </c>
      <c r="BO193" s="6" t="s">
        <v>168</v>
      </c>
      <c r="BP193" s="0" t="n">
        <v>3</v>
      </c>
      <c r="BQ193" s="6" t="s">
        <v>4670</v>
      </c>
      <c r="BR193" s="6" t="s">
        <v>4671</v>
      </c>
      <c r="BS193" s="6" t="s">
        <v>8845</v>
      </c>
      <c r="BT193" s="6" t="s">
        <v>8846</v>
      </c>
      <c r="BU193" s="6" t="s">
        <v>158</v>
      </c>
      <c r="BX193" s="6" t="s">
        <v>8847</v>
      </c>
      <c r="CF193" s="6" t="s">
        <v>158</v>
      </c>
      <c r="CK193" s="6" t="s">
        <v>158</v>
      </c>
      <c r="CL193" s="0" t="n">
        <v>34</v>
      </c>
      <c r="CM193" s="0" t="n">
        <v>25</v>
      </c>
      <c r="CN193" s="0" t="n">
        <v>13</v>
      </c>
      <c r="CO193" s="0" t="n">
        <v>0</v>
      </c>
      <c r="CP193" s="0" t="n">
        <v>5</v>
      </c>
      <c r="CQ193" s="0" t="n">
        <v>10</v>
      </c>
      <c r="CR193" s="0" t="n">
        <v>6</v>
      </c>
      <c r="CS193" s="6" t="n">
        <f aca="false">IF(R193="Y",10,0)</f>
        <v>0</v>
      </c>
      <c r="CT193" s="0" t="n">
        <v>-25</v>
      </c>
      <c r="CV193" s="6" t="s">
        <v>4616</v>
      </c>
      <c r="CW193" s="6" t="s">
        <v>8848</v>
      </c>
      <c r="CX193" s="6" t="s">
        <v>8849</v>
      </c>
      <c r="CY193" s="6" t="s">
        <v>8850</v>
      </c>
      <c r="DA193" s="6" t="s">
        <v>6236</v>
      </c>
      <c r="DY193" s="0" t="str">
        <f aca="false">IF(ISNUMBER(MATCH(U193,{"queued","contacted","replied","call_booked","call_done","yes_in_principle","materials_sent"},0)),"Y","N")</f>
        <v>N</v>
      </c>
      <c r="DZ193" s="0" t="str">
        <f aca="false">IF(COUNTIFS($AN$2:$AN$1000,AN193,$DY$2:$DY$1000,"Y")+COUNTIFS($AN$2:$AN$1000,AN193,$T$2:$T$1000,"Y")&gt;0,"Y","N")</f>
        <v>N</v>
      </c>
      <c r="EA193" s="0" t="str">
        <f aca="false">IF(AND(U193="new",T193="N",AR193="Y",AQ193="",DZ193="N"),"Y","N")</f>
        <v>Y</v>
      </c>
      <c r="EB193" s="0" t="str">
        <f aca="false">IF(EA193&lt;&gt;"Y","N",IF(COUNTIFS($AN$2:$AN$1000,AN193,$EA$2:$EA$1000,"Y",$J$2:$J$1000,"&gt;"&amp;J193)+COUNTIFS($AN$2:$AN$1000,AN193,$EA$2:$EA$1000,"Y",$J$2:$J$1000,J193,$ED$2:$ED$1000,"&lt;"&amp;ED193)=0,"Y","N"))</f>
        <v>Y</v>
      </c>
      <c r="EC193" s="0" t="str">
        <f aca="false">IF(Y193="","N",IF(Y193&lt;=10,"Y","N"))</f>
        <v>N</v>
      </c>
      <c r="ED193" s="6" t="n">
        <f aca="false">ROW()-1</f>
        <v>192</v>
      </c>
    </row>
    <row r="194" customFormat="false" ht="15" hidden="false" customHeight="false" outlineLevel="0" collapsed="false">
      <c r="A194" s="0" t="s">
        <v>8851</v>
      </c>
      <c r="B194" s="0" t="s">
        <v>8852</v>
      </c>
      <c r="C194" s="0" t="s">
        <v>8853</v>
      </c>
      <c r="D194" s="0" t="s">
        <v>8854</v>
      </c>
      <c r="E194" s="0" t="s">
        <v>4626</v>
      </c>
      <c r="H194" s="5" t="s">
        <v>158</v>
      </c>
      <c r="I194" s="5" t="s">
        <v>159</v>
      </c>
      <c r="J194" s="6" t="n">
        <f aca="false">IF(AU194="pass",CM194+CN194+CO194+CP194+CQ194+CR194+CS194+CT194,0)</f>
        <v>34</v>
      </c>
      <c r="K194" s="6" t="s">
        <v>8855</v>
      </c>
      <c r="M194" s="6" t="s">
        <v>5293</v>
      </c>
      <c r="N194" s="6" t="s">
        <v>598</v>
      </c>
      <c r="O194" s="6" t="s">
        <v>8856</v>
      </c>
      <c r="P194" s="6" t="s">
        <v>8857</v>
      </c>
      <c r="Q194" s="6" t="s">
        <v>8858</v>
      </c>
      <c r="R194" s="5" t="s">
        <v>162</v>
      </c>
      <c r="S194" s="6" t="s">
        <v>163</v>
      </c>
      <c r="T194" s="5" t="s">
        <v>162</v>
      </c>
      <c r="U194" s="5" t="s">
        <v>228</v>
      </c>
      <c r="V194" s="6" t="s">
        <v>8859</v>
      </c>
      <c r="W194" s="6" t="s">
        <v>166</v>
      </c>
      <c r="X194" s="6" t="s">
        <v>4586</v>
      </c>
      <c r="Y194" s="6" t="n">
        <f aca="false">IF(EB194&lt;&gt;"Y","",COUNTIFS($EB$2:$EB$1000,"Y",$J$2:$J$1000,"&gt;"&amp;J194)+COUNTIFS($EB$2:$EB$1000,"Y",$J$2:$J$1000,J194,$ED$2:$ED$1000,"&lt;"&amp;ED194)+1)</f>
        <v>152</v>
      </c>
      <c r="Z194" s="0" t="n">
        <v>193</v>
      </c>
      <c r="AA194" s="6" t="s">
        <v>162</v>
      </c>
      <c r="AB194" s="6" t="s">
        <v>8860</v>
      </c>
      <c r="AC194" s="6" t="s">
        <v>4588</v>
      </c>
      <c r="AD194" s="6" t="s">
        <v>171</v>
      </c>
      <c r="AE194" s="6" t="s">
        <v>172</v>
      </c>
      <c r="AF194" s="6" t="s">
        <v>8859</v>
      </c>
      <c r="AG194" s="6" t="s">
        <v>166</v>
      </c>
      <c r="AH194" s="6" t="s">
        <v>8861</v>
      </c>
      <c r="AI194" s="6" t="s">
        <v>4634</v>
      </c>
      <c r="AJ194" s="6" t="s">
        <v>8610</v>
      </c>
      <c r="AK194" s="6" t="s">
        <v>8862</v>
      </c>
      <c r="AL194" s="6" t="s">
        <v>168</v>
      </c>
      <c r="AM194" s="6" t="s">
        <v>8863</v>
      </c>
      <c r="AN194" s="6" t="s">
        <v>8851</v>
      </c>
      <c r="AO194" s="5" t="s">
        <v>162</v>
      </c>
      <c r="AR194" s="0" t="str">
        <f aca="false">IF(AND(AU194="pass",AO194&lt;&gt;"Y",C194&lt;&gt;""),"Y","N")</f>
        <v>Y</v>
      </c>
      <c r="AS194" s="0" t="str">
        <f aca="false">_xlfn.TEXTJOIN("; ",TRUE(),IF(AU194&lt;&gt;"pass","gated out",""),IF(AO194="Y","on hold: "&amp;AP194,""),IF(C194="","no contact named on an opened page",""))</f>
        <v/>
      </c>
      <c r="AU194" s="6" t="s">
        <v>181</v>
      </c>
      <c r="AW194" s="6" t="s">
        <v>182</v>
      </c>
      <c r="AX194" s="6" t="s">
        <v>4595</v>
      </c>
      <c r="AY194" s="6" t="s">
        <v>8862</v>
      </c>
      <c r="AZ194" s="6" t="s">
        <v>5490</v>
      </c>
      <c r="BA194" s="6" t="s">
        <v>5331</v>
      </c>
      <c r="BB194" s="6" t="s">
        <v>163</v>
      </c>
      <c r="BD194" s="6" t="s">
        <v>168</v>
      </c>
      <c r="BE194" s="6" t="s">
        <v>8864</v>
      </c>
      <c r="BF194" s="6" t="s">
        <v>168</v>
      </c>
      <c r="BG194" s="6" t="s">
        <v>168</v>
      </c>
      <c r="BH194" s="6" t="s">
        <v>163</v>
      </c>
      <c r="BJ194" s="6" t="s">
        <v>163</v>
      </c>
      <c r="BK194" s="6" t="s">
        <v>162</v>
      </c>
      <c r="BL194" s="6" t="s">
        <v>162</v>
      </c>
      <c r="BO194" s="6" t="s">
        <v>162</v>
      </c>
      <c r="BP194" s="0" t="n">
        <v>0</v>
      </c>
      <c r="BR194" s="6" t="s">
        <v>6764</v>
      </c>
      <c r="BS194" s="6" t="s">
        <v>8865</v>
      </c>
      <c r="BT194" s="6" t="s">
        <v>8866</v>
      </c>
      <c r="BU194" s="6" t="s">
        <v>4695</v>
      </c>
      <c r="BV194" s="0" t="n">
        <v>180</v>
      </c>
      <c r="BX194" s="6" t="s">
        <v>8867</v>
      </c>
      <c r="BY194" s="6" t="s">
        <v>7657</v>
      </c>
      <c r="CA194" s="6" t="s">
        <v>8868</v>
      </c>
      <c r="CB194" s="6" t="s">
        <v>8868</v>
      </c>
      <c r="CC194" s="6" t="s">
        <v>163</v>
      </c>
      <c r="CD194" s="6" t="s">
        <v>4626</v>
      </c>
      <c r="CE194" s="6" t="s">
        <v>6725</v>
      </c>
      <c r="CF194" s="6" t="s">
        <v>5010</v>
      </c>
      <c r="CG194" s="6" t="s">
        <v>7657</v>
      </c>
      <c r="CK194" s="6" t="s">
        <v>158</v>
      </c>
      <c r="CL194" s="0" t="n">
        <v>34</v>
      </c>
      <c r="CM194" s="0" t="n">
        <v>6</v>
      </c>
      <c r="CN194" s="0" t="n">
        <v>3</v>
      </c>
      <c r="CO194" s="0" t="n">
        <v>8</v>
      </c>
      <c r="CP194" s="0" t="n">
        <v>5</v>
      </c>
      <c r="CQ194" s="0" t="n">
        <v>10</v>
      </c>
      <c r="CR194" s="0" t="n">
        <v>6</v>
      </c>
      <c r="CS194" s="6" t="n">
        <f aca="false">IF(R194="Y",10,0)</f>
        <v>0</v>
      </c>
      <c r="CT194" s="0" t="n">
        <v>-4</v>
      </c>
      <c r="CU194" s="6" t="s">
        <v>8869</v>
      </c>
      <c r="CV194" s="6" t="s">
        <v>4843</v>
      </c>
      <c r="CW194" s="6" t="s">
        <v>8870</v>
      </c>
      <c r="CX194" s="6" t="s">
        <v>8871</v>
      </c>
      <c r="CZ194" s="6" t="s">
        <v>8859</v>
      </c>
      <c r="DA194" s="6" t="s">
        <v>6236</v>
      </c>
      <c r="DC194" s="6" t="s">
        <v>172</v>
      </c>
      <c r="DY194" s="0" t="str">
        <f aca="false">IF(ISNUMBER(MATCH(U194,{"queued","contacted","replied","call_booked","call_done","yes_in_principle","materials_sent"},0)),"Y","N")</f>
        <v>N</v>
      </c>
      <c r="DZ194" s="0" t="str">
        <f aca="false">IF(COUNTIFS($AN$2:$AN$1000,AN194,$DY$2:$DY$1000,"Y")+COUNTIFS($AN$2:$AN$1000,AN194,$T$2:$T$1000,"Y")&gt;0,"Y","N")</f>
        <v>N</v>
      </c>
      <c r="EA194" s="0" t="str">
        <f aca="false">IF(AND(U194="new",T194="N",AR194="Y",AQ194="",DZ194="N"),"Y","N")</f>
        <v>Y</v>
      </c>
      <c r="EB194" s="0" t="str">
        <f aca="false">IF(EA194&lt;&gt;"Y","N",IF(COUNTIFS($AN$2:$AN$1000,AN194,$EA$2:$EA$1000,"Y",$J$2:$J$1000,"&gt;"&amp;J194)+COUNTIFS($AN$2:$AN$1000,AN194,$EA$2:$EA$1000,"Y",$J$2:$J$1000,J194,$ED$2:$ED$1000,"&lt;"&amp;ED194)=0,"Y","N"))</f>
        <v>Y</v>
      </c>
      <c r="EC194" s="0" t="str">
        <f aca="false">IF(Y194="","N",IF(Y194&lt;=10,"Y","N"))</f>
        <v>N</v>
      </c>
      <c r="ED194" s="6" t="n">
        <f aca="false">ROW()-1</f>
        <v>193</v>
      </c>
    </row>
    <row r="195" customFormat="false" ht="15" hidden="false" customHeight="false" outlineLevel="0" collapsed="false">
      <c r="A195" s="0" t="s">
        <v>8872</v>
      </c>
      <c r="B195" s="0" t="s">
        <v>8873</v>
      </c>
      <c r="C195" s="0" t="s">
        <v>8874</v>
      </c>
      <c r="D195" s="0" t="s">
        <v>8875</v>
      </c>
      <c r="E195" s="0" t="s">
        <v>4626</v>
      </c>
      <c r="H195" s="5" t="s">
        <v>158</v>
      </c>
      <c r="I195" s="5" t="s">
        <v>159</v>
      </c>
      <c r="J195" s="6" t="n">
        <f aca="false">IF(AU195="pass",CM195+CN195+CO195+CP195+CQ195+CR195+CS195+CT195,0)</f>
        <v>34</v>
      </c>
      <c r="K195" s="6" t="s">
        <v>8876</v>
      </c>
      <c r="M195" s="6" t="s">
        <v>5293</v>
      </c>
      <c r="N195" s="6" t="s">
        <v>598</v>
      </c>
      <c r="O195" s="6" t="s">
        <v>8877</v>
      </c>
      <c r="P195" s="6" t="s">
        <v>8878</v>
      </c>
      <c r="Q195" s="6" t="s">
        <v>6409</v>
      </c>
      <c r="R195" s="5" t="s">
        <v>162</v>
      </c>
      <c r="S195" s="6" t="s">
        <v>168</v>
      </c>
      <c r="T195" s="5" t="s">
        <v>162</v>
      </c>
      <c r="U195" s="5" t="s">
        <v>228</v>
      </c>
      <c r="V195" s="6" t="s">
        <v>8878</v>
      </c>
      <c r="W195" s="6" t="s">
        <v>166</v>
      </c>
      <c r="X195" s="6" t="s">
        <v>4586</v>
      </c>
      <c r="Y195" s="6" t="n">
        <f aca="false">IF(EB195&lt;&gt;"Y","",COUNTIFS($EB$2:$EB$1000,"Y",$J$2:$J$1000,"&gt;"&amp;J195)+COUNTIFS($EB$2:$EB$1000,"Y",$J$2:$J$1000,J195,$ED$2:$ED$1000,"&lt;"&amp;ED195)+1)</f>
        <v>153</v>
      </c>
      <c r="Z195" s="0" t="n">
        <v>194</v>
      </c>
      <c r="AA195" s="6" t="s">
        <v>162</v>
      </c>
      <c r="AB195" s="6" t="s">
        <v>8879</v>
      </c>
      <c r="AC195" s="6" t="s">
        <v>4588</v>
      </c>
      <c r="AD195" s="6" t="s">
        <v>171</v>
      </c>
      <c r="AE195" s="6" t="s">
        <v>1190</v>
      </c>
      <c r="AF195" s="6" t="s">
        <v>8878</v>
      </c>
      <c r="AG195" s="6" t="s">
        <v>166</v>
      </c>
      <c r="AH195" s="6" t="s">
        <v>8880</v>
      </c>
      <c r="AI195" s="6" t="s">
        <v>5030</v>
      </c>
      <c r="AJ195" s="6" t="s">
        <v>8881</v>
      </c>
      <c r="AK195" s="6" t="s">
        <v>8882</v>
      </c>
      <c r="AL195" s="6" t="s">
        <v>168</v>
      </c>
      <c r="AM195" s="6" t="s">
        <v>8883</v>
      </c>
      <c r="AN195" s="6" t="s">
        <v>8872</v>
      </c>
      <c r="AO195" s="5" t="s">
        <v>162</v>
      </c>
      <c r="AR195" s="0" t="str">
        <f aca="false">IF(AND(AU195="pass",AO195&lt;&gt;"Y",C195&lt;&gt;""),"Y","N")</f>
        <v>Y</v>
      </c>
      <c r="AS195" s="0" t="str">
        <f aca="false">_xlfn.TEXTJOIN("; ",TRUE(),IF(AU195&lt;&gt;"pass","gated out",""),IF(AO195="Y","on hold: "&amp;AP195,""),IF(C195="","no contact named on an opened page",""))</f>
        <v/>
      </c>
      <c r="AU195" s="6" t="s">
        <v>181</v>
      </c>
      <c r="AW195" s="6" t="s">
        <v>182</v>
      </c>
      <c r="AX195" s="6" t="s">
        <v>283</v>
      </c>
      <c r="AY195" s="6" t="s">
        <v>8882</v>
      </c>
      <c r="AZ195" s="6" t="s">
        <v>5358</v>
      </c>
      <c r="BA195" s="6" t="s">
        <v>5331</v>
      </c>
      <c r="BB195" s="6" t="s">
        <v>8884</v>
      </c>
      <c r="BD195" s="6" t="s">
        <v>168</v>
      </c>
      <c r="BE195" s="6" t="s">
        <v>8885</v>
      </c>
      <c r="BF195" s="6" t="s">
        <v>163</v>
      </c>
      <c r="BG195" s="6" t="s">
        <v>168</v>
      </c>
      <c r="BH195" s="6" t="s">
        <v>163</v>
      </c>
      <c r="BJ195" s="6" t="s">
        <v>163</v>
      </c>
      <c r="BK195" s="6" t="s">
        <v>162</v>
      </c>
      <c r="BL195" s="6" t="s">
        <v>162</v>
      </c>
      <c r="BO195" s="6" t="s">
        <v>162</v>
      </c>
      <c r="BP195" s="0" t="n">
        <v>0</v>
      </c>
      <c r="BS195" s="6" t="s">
        <v>8886</v>
      </c>
      <c r="BT195" s="6" t="s">
        <v>8887</v>
      </c>
      <c r="BU195" s="6" t="s">
        <v>4695</v>
      </c>
      <c r="BV195" s="0" t="n">
        <v>177</v>
      </c>
      <c r="BW195" s="6" t="s">
        <v>8878</v>
      </c>
      <c r="BX195" s="6" t="s">
        <v>8888</v>
      </c>
      <c r="CA195" s="6" t="s">
        <v>8889</v>
      </c>
      <c r="CB195" s="6" t="s">
        <v>8890</v>
      </c>
      <c r="CC195" s="6" t="s">
        <v>8875</v>
      </c>
      <c r="CD195" s="6" t="s">
        <v>4626</v>
      </c>
      <c r="CE195" s="6" t="s">
        <v>6725</v>
      </c>
      <c r="CF195" s="6" t="s">
        <v>171</v>
      </c>
      <c r="CK195" s="6" t="s">
        <v>158</v>
      </c>
      <c r="CL195" s="0" t="n">
        <v>34</v>
      </c>
      <c r="CM195" s="0" t="n">
        <v>6</v>
      </c>
      <c r="CN195" s="0" t="n">
        <v>3</v>
      </c>
      <c r="CO195" s="0" t="n">
        <v>8</v>
      </c>
      <c r="CP195" s="0" t="n">
        <v>5</v>
      </c>
      <c r="CQ195" s="0" t="n">
        <v>8</v>
      </c>
      <c r="CR195" s="0" t="n">
        <v>6</v>
      </c>
      <c r="CS195" s="6" t="n">
        <f aca="false">IF(R195="Y",10,0)</f>
        <v>0</v>
      </c>
      <c r="CT195" s="0" t="n">
        <v>-2</v>
      </c>
      <c r="CU195" s="6" t="s">
        <v>163</v>
      </c>
      <c r="CV195" s="6" t="s">
        <v>4843</v>
      </c>
      <c r="CW195" s="6" t="s">
        <v>8891</v>
      </c>
      <c r="CX195" s="6" t="s">
        <v>8892</v>
      </c>
      <c r="CZ195" s="6" t="s">
        <v>8878</v>
      </c>
      <c r="DA195" s="6" t="s">
        <v>6236</v>
      </c>
      <c r="DC195" s="6" t="s">
        <v>1190</v>
      </c>
      <c r="DY195" s="0" t="str">
        <f aca="false">IF(ISNUMBER(MATCH(U195,{"queued","contacted","replied","call_booked","call_done","yes_in_principle","materials_sent"},0)),"Y","N")</f>
        <v>N</v>
      </c>
      <c r="DZ195" s="0" t="str">
        <f aca="false">IF(COUNTIFS($AN$2:$AN$1000,AN195,$DY$2:$DY$1000,"Y")+COUNTIFS($AN$2:$AN$1000,AN195,$T$2:$T$1000,"Y")&gt;0,"Y","N")</f>
        <v>N</v>
      </c>
      <c r="EA195" s="0" t="str">
        <f aca="false">IF(AND(U195="new",T195="N",AR195="Y",AQ195="",DZ195="N"),"Y","N")</f>
        <v>Y</v>
      </c>
      <c r="EB195" s="0" t="str">
        <f aca="false">IF(EA195&lt;&gt;"Y","N",IF(COUNTIFS($AN$2:$AN$1000,AN195,$EA$2:$EA$1000,"Y",$J$2:$J$1000,"&gt;"&amp;J195)+COUNTIFS($AN$2:$AN$1000,AN195,$EA$2:$EA$1000,"Y",$J$2:$J$1000,J195,$ED$2:$ED$1000,"&lt;"&amp;ED195)=0,"Y","N"))</f>
        <v>Y</v>
      </c>
      <c r="EC195" s="0" t="str">
        <f aca="false">IF(Y195="","N",IF(Y195&lt;=10,"Y","N"))</f>
        <v>N</v>
      </c>
      <c r="ED195" s="6" t="n">
        <f aca="false">ROW()-1</f>
        <v>194</v>
      </c>
    </row>
    <row r="196" customFormat="false" ht="15" hidden="false" customHeight="false" outlineLevel="0" collapsed="false">
      <c r="A196" s="0" t="s">
        <v>8893</v>
      </c>
      <c r="B196" s="0" t="s">
        <v>8894</v>
      </c>
      <c r="C196" s="0" t="s">
        <v>8895</v>
      </c>
      <c r="D196" s="0" t="s">
        <v>8896</v>
      </c>
      <c r="E196" s="0" t="s">
        <v>4773</v>
      </c>
      <c r="H196" s="5" t="s">
        <v>158</v>
      </c>
      <c r="I196" s="5" t="s">
        <v>159</v>
      </c>
      <c r="J196" s="6" t="n">
        <f aca="false">IF(AU196="pass",CM196+CN196+CO196+CP196+CQ196+CR196+CS196+CT196,0)</f>
        <v>34</v>
      </c>
      <c r="K196" s="6" t="s">
        <v>8897</v>
      </c>
      <c r="M196" s="6" t="s">
        <v>5293</v>
      </c>
      <c r="N196" s="6" t="s">
        <v>598</v>
      </c>
      <c r="O196" s="6" t="s">
        <v>8898</v>
      </c>
      <c r="P196" s="6" t="s">
        <v>8899</v>
      </c>
      <c r="Q196" s="6" t="s">
        <v>8900</v>
      </c>
      <c r="R196" s="5" t="s">
        <v>162</v>
      </c>
      <c r="S196" s="6" t="s">
        <v>163</v>
      </c>
      <c r="T196" s="5" t="s">
        <v>162</v>
      </c>
      <c r="U196" s="5" t="s">
        <v>228</v>
      </c>
      <c r="V196" s="6" t="s">
        <v>8901</v>
      </c>
      <c r="W196" s="6" t="s">
        <v>166</v>
      </c>
      <c r="X196" s="6" t="s">
        <v>4586</v>
      </c>
      <c r="Y196" s="6" t="n">
        <f aca="false">IF(EB196&lt;&gt;"Y","",COUNTIFS($EB$2:$EB$1000,"Y",$J$2:$J$1000,"&gt;"&amp;J196)+COUNTIFS($EB$2:$EB$1000,"Y",$J$2:$J$1000,J196,$ED$2:$ED$1000,"&lt;"&amp;ED196)+1)</f>
        <v>154</v>
      </c>
      <c r="Z196" s="0" t="n">
        <v>195</v>
      </c>
      <c r="AA196" s="6" t="s">
        <v>162</v>
      </c>
      <c r="AB196" s="6" t="s">
        <v>8902</v>
      </c>
      <c r="AC196" s="6" t="s">
        <v>4588</v>
      </c>
      <c r="AD196" s="6" t="s">
        <v>171</v>
      </c>
      <c r="AE196" s="6" t="s">
        <v>172</v>
      </c>
      <c r="AF196" s="6" t="s">
        <v>8903</v>
      </c>
      <c r="AG196" s="6" t="s">
        <v>166</v>
      </c>
      <c r="AH196" s="6" t="s">
        <v>8904</v>
      </c>
      <c r="AI196" s="6" t="s">
        <v>5463</v>
      </c>
      <c r="AJ196" s="6" t="s">
        <v>8905</v>
      </c>
      <c r="AK196" s="6" t="s">
        <v>8906</v>
      </c>
      <c r="AL196" s="6" t="s">
        <v>168</v>
      </c>
      <c r="AM196" s="6" t="s">
        <v>8907</v>
      </c>
      <c r="AN196" s="6" t="s">
        <v>8893</v>
      </c>
      <c r="AO196" s="5" t="s">
        <v>162</v>
      </c>
      <c r="AR196" s="0" t="str">
        <f aca="false">IF(AND(AU196="pass",AO196&lt;&gt;"Y",C196&lt;&gt;""),"Y","N")</f>
        <v>Y</v>
      </c>
      <c r="AS196" s="0" t="str">
        <f aca="false">_xlfn.TEXTJOIN("; ",TRUE(),IF(AU196&lt;&gt;"pass","gated out",""),IF(AO196="Y","on hold: "&amp;AP196,""),IF(C196="","no contact named on an opened page",""))</f>
        <v/>
      </c>
      <c r="AU196" s="6" t="s">
        <v>181</v>
      </c>
      <c r="AW196" s="6" t="s">
        <v>182</v>
      </c>
      <c r="AX196" s="6" t="s">
        <v>4595</v>
      </c>
      <c r="AY196" s="6" t="s">
        <v>8906</v>
      </c>
      <c r="AZ196" s="6" t="s">
        <v>8908</v>
      </c>
      <c r="BA196" s="6" t="s">
        <v>5060</v>
      </c>
      <c r="BB196" s="6" t="s">
        <v>163</v>
      </c>
      <c r="BD196" s="6" t="s">
        <v>168</v>
      </c>
      <c r="BE196" s="6" t="s">
        <v>8909</v>
      </c>
      <c r="BF196" s="6" t="s">
        <v>168</v>
      </c>
      <c r="BG196" s="6" t="s">
        <v>168</v>
      </c>
      <c r="BH196" s="6" t="s">
        <v>163</v>
      </c>
      <c r="BJ196" s="6" t="s">
        <v>163</v>
      </c>
      <c r="BK196" s="6" t="s">
        <v>162</v>
      </c>
      <c r="BL196" s="6" t="s">
        <v>162</v>
      </c>
      <c r="BO196" s="6" t="s">
        <v>162</v>
      </c>
      <c r="BP196" s="0" t="n">
        <v>0</v>
      </c>
      <c r="BS196" s="6" t="s">
        <v>8910</v>
      </c>
      <c r="BT196" s="6" t="s">
        <v>8911</v>
      </c>
      <c r="BU196" s="6" t="s">
        <v>4695</v>
      </c>
      <c r="BV196" s="0" t="n">
        <v>72</v>
      </c>
      <c r="BX196" s="6" t="s">
        <v>8912</v>
      </c>
      <c r="CF196" s="6" t="s">
        <v>158</v>
      </c>
      <c r="CK196" s="6" t="s">
        <v>158</v>
      </c>
      <c r="CL196" s="0" t="n">
        <v>34</v>
      </c>
      <c r="CM196" s="0" t="n">
        <v>6</v>
      </c>
      <c r="CN196" s="0" t="n">
        <v>3</v>
      </c>
      <c r="CO196" s="0" t="n">
        <v>8</v>
      </c>
      <c r="CP196" s="0" t="n">
        <v>5</v>
      </c>
      <c r="CQ196" s="0" t="n">
        <v>10</v>
      </c>
      <c r="CR196" s="0" t="n">
        <v>6</v>
      </c>
      <c r="CS196" s="6" t="n">
        <f aca="false">IF(R196="Y",10,0)</f>
        <v>0</v>
      </c>
      <c r="CT196" s="0" t="n">
        <v>-4</v>
      </c>
      <c r="CU196" s="6" t="s">
        <v>8913</v>
      </c>
      <c r="CV196" s="6" t="s">
        <v>4616</v>
      </c>
      <c r="CW196" s="6" t="s">
        <v>8914</v>
      </c>
      <c r="CX196" s="6" t="s">
        <v>8915</v>
      </c>
      <c r="CY196" s="6" t="s">
        <v>8916</v>
      </c>
      <c r="DA196" s="6" t="s">
        <v>6236</v>
      </c>
      <c r="DY196" s="0" t="str">
        <f aca="false">IF(ISNUMBER(MATCH(U196,{"queued","contacted","replied","call_booked","call_done","yes_in_principle","materials_sent"},0)),"Y","N")</f>
        <v>N</v>
      </c>
      <c r="DZ196" s="0" t="str">
        <f aca="false">IF(COUNTIFS($AN$2:$AN$1000,AN196,$DY$2:$DY$1000,"Y")+COUNTIFS($AN$2:$AN$1000,AN196,$T$2:$T$1000,"Y")&gt;0,"Y","N")</f>
        <v>N</v>
      </c>
      <c r="EA196" s="0" t="str">
        <f aca="false">IF(AND(U196="new",T196="N",AR196="Y",AQ196="",DZ196="N"),"Y","N")</f>
        <v>Y</v>
      </c>
      <c r="EB196" s="0" t="str">
        <f aca="false">IF(EA196&lt;&gt;"Y","N",IF(COUNTIFS($AN$2:$AN$1000,AN196,$EA$2:$EA$1000,"Y",$J$2:$J$1000,"&gt;"&amp;J196)+COUNTIFS($AN$2:$AN$1000,AN196,$EA$2:$EA$1000,"Y",$J$2:$J$1000,J196,$ED$2:$ED$1000,"&lt;"&amp;ED196)=0,"Y","N"))</f>
        <v>Y</v>
      </c>
      <c r="EC196" s="0" t="str">
        <f aca="false">IF(Y196="","N",IF(Y196&lt;=10,"Y","N"))</f>
        <v>N</v>
      </c>
      <c r="ED196" s="6" t="n">
        <f aca="false">ROW()-1</f>
        <v>195</v>
      </c>
    </row>
    <row r="197" customFormat="false" ht="15" hidden="false" customHeight="false" outlineLevel="0" collapsed="false">
      <c r="A197" s="0" t="s">
        <v>8917</v>
      </c>
      <c r="B197" s="0" t="s">
        <v>8918</v>
      </c>
      <c r="C197" s="0" t="s">
        <v>8919</v>
      </c>
      <c r="D197" s="0" t="s">
        <v>643</v>
      </c>
      <c r="E197" s="0" t="s">
        <v>4773</v>
      </c>
      <c r="H197" s="5" t="s">
        <v>158</v>
      </c>
      <c r="I197" s="5" t="s">
        <v>159</v>
      </c>
      <c r="J197" s="6" t="n">
        <f aca="false">IF(AU197="pass",CM197+CN197+CO197+CP197+CQ197+CR197+CS197+CT197,0)</f>
        <v>34</v>
      </c>
      <c r="K197" s="6" t="s">
        <v>8920</v>
      </c>
      <c r="M197" s="6" t="s">
        <v>5293</v>
      </c>
      <c r="N197" s="6" t="s">
        <v>598</v>
      </c>
      <c r="O197" s="6" t="s">
        <v>8921</v>
      </c>
      <c r="P197" s="6" t="s">
        <v>8922</v>
      </c>
      <c r="Q197" s="6" t="s">
        <v>8923</v>
      </c>
      <c r="R197" s="5" t="s">
        <v>162</v>
      </c>
      <c r="S197" s="6" t="s">
        <v>168</v>
      </c>
      <c r="T197" s="5" t="s">
        <v>162</v>
      </c>
      <c r="U197" s="5" t="s">
        <v>228</v>
      </c>
      <c r="V197" s="6" t="s">
        <v>8922</v>
      </c>
      <c r="W197" s="6" t="s">
        <v>166</v>
      </c>
      <c r="X197" s="6" t="s">
        <v>4586</v>
      </c>
      <c r="Y197" s="6" t="n">
        <f aca="false">IF(EB197&lt;&gt;"Y","",COUNTIFS($EB$2:$EB$1000,"Y",$J$2:$J$1000,"&gt;"&amp;J197)+COUNTIFS($EB$2:$EB$1000,"Y",$J$2:$J$1000,J197,$ED$2:$ED$1000,"&lt;"&amp;ED197)+1)</f>
        <v>155</v>
      </c>
      <c r="Z197" s="0" t="n">
        <v>196</v>
      </c>
      <c r="AA197" s="6" t="s">
        <v>162</v>
      </c>
      <c r="AB197" s="6" t="s">
        <v>8924</v>
      </c>
      <c r="AC197" s="6" t="s">
        <v>4588</v>
      </c>
      <c r="AD197" s="6" t="s">
        <v>171</v>
      </c>
      <c r="AE197" s="6" t="s">
        <v>172</v>
      </c>
      <c r="AF197" s="6" t="s">
        <v>8925</v>
      </c>
      <c r="AG197" s="6" t="s">
        <v>166</v>
      </c>
      <c r="AH197" s="6" t="s">
        <v>8926</v>
      </c>
      <c r="AI197" s="6" t="s">
        <v>4665</v>
      </c>
      <c r="AJ197" s="6" t="s">
        <v>8927</v>
      </c>
      <c r="AL197" s="6" t="s">
        <v>168</v>
      </c>
      <c r="AM197" s="6" t="s">
        <v>8928</v>
      </c>
      <c r="AN197" s="6" t="s">
        <v>8917</v>
      </c>
      <c r="AO197" s="5" t="s">
        <v>162</v>
      </c>
      <c r="AR197" s="0" t="str">
        <f aca="false">IF(AND(AU197="pass",AO197&lt;&gt;"Y",C197&lt;&gt;""),"Y","N")</f>
        <v>Y</v>
      </c>
      <c r="AS197" s="0" t="str">
        <f aca="false">_xlfn.TEXTJOIN("; ",TRUE(),IF(AU197&lt;&gt;"pass","gated out",""),IF(AO197="Y","on hold: "&amp;AP197,""),IF(C197="","no contact named on an opened page",""))</f>
        <v/>
      </c>
      <c r="AU197" s="6" t="s">
        <v>181</v>
      </c>
      <c r="AW197" s="6" t="s">
        <v>182</v>
      </c>
      <c r="AX197" s="6" t="s">
        <v>4595</v>
      </c>
      <c r="AY197" s="6" t="s">
        <v>8929</v>
      </c>
      <c r="AZ197" s="6" t="s">
        <v>4924</v>
      </c>
      <c r="BA197" s="6" t="s">
        <v>5193</v>
      </c>
      <c r="BB197" s="6" t="s">
        <v>163</v>
      </c>
      <c r="BD197" s="6" t="s">
        <v>163</v>
      </c>
      <c r="BE197" s="6" t="s">
        <v>8930</v>
      </c>
      <c r="BF197" s="6" t="s">
        <v>163</v>
      </c>
      <c r="BG197" s="6" t="s">
        <v>168</v>
      </c>
      <c r="BH197" s="6" t="s">
        <v>163</v>
      </c>
      <c r="BJ197" s="6" t="s">
        <v>163</v>
      </c>
      <c r="BK197" s="6" t="s">
        <v>162</v>
      </c>
      <c r="BL197" s="6" t="s">
        <v>162</v>
      </c>
      <c r="BO197" s="6" t="s">
        <v>162</v>
      </c>
      <c r="BP197" s="0" t="n">
        <v>0</v>
      </c>
      <c r="BS197" s="6" t="s">
        <v>163</v>
      </c>
      <c r="BU197" s="6" t="s">
        <v>4605</v>
      </c>
      <c r="BV197" s="0" t="n">
        <v>344</v>
      </c>
      <c r="BW197" s="6" t="s">
        <v>8922</v>
      </c>
      <c r="BX197" s="6" t="s">
        <v>8931</v>
      </c>
      <c r="CF197" s="6" t="s">
        <v>158</v>
      </c>
      <c r="CK197" s="6" t="s">
        <v>158</v>
      </c>
      <c r="CL197" s="0" t="n">
        <v>34</v>
      </c>
      <c r="CM197" s="0" t="n">
        <v>6</v>
      </c>
      <c r="CN197" s="0" t="n">
        <v>8</v>
      </c>
      <c r="CO197" s="0" t="n">
        <v>8</v>
      </c>
      <c r="CP197" s="0" t="n">
        <v>5</v>
      </c>
      <c r="CQ197" s="0" t="n">
        <v>5</v>
      </c>
      <c r="CR197" s="0" t="n">
        <v>6</v>
      </c>
      <c r="CS197" s="6" t="n">
        <f aca="false">IF(R197="Y",10,0)</f>
        <v>0</v>
      </c>
      <c r="CT197" s="0" t="n">
        <v>-4</v>
      </c>
      <c r="CV197" s="6" t="s">
        <v>4616</v>
      </c>
      <c r="CW197" s="6" t="s">
        <v>8932</v>
      </c>
      <c r="CX197" s="6" t="s">
        <v>8933</v>
      </c>
      <c r="CY197" s="6" t="s">
        <v>8934</v>
      </c>
      <c r="DA197" s="6" t="s">
        <v>6236</v>
      </c>
      <c r="DY197" s="0" t="str">
        <f aca="false">IF(ISNUMBER(MATCH(U197,{"queued","contacted","replied","call_booked","call_done","yes_in_principle","materials_sent"},0)),"Y","N")</f>
        <v>N</v>
      </c>
      <c r="DZ197" s="0" t="str">
        <f aca="false">IF(COUNTIFS($AN$2:$AN$1000,AN197,$DY$2:$DY$1000,"Y")+COUNTIFS($AN$2:$AN$1000,AN197,$T$2:$T$1000,"Y")&gt;0,"Y","N")</f>
        <v>N</v>
      </c>
      <c r="EA197" s="0" t="str">
        <f aca="false">IF(AND(U197="new",T197="N",AR197="Y",AQ197="",DZ197="N"),"Y","N")</f>
        <v>Y</v>
      </c>
      <c r="EB197" s="0" t="str">
        <f aca="false">IF(EA197&lt;&gt;"Y","N",IF(COUNTIFS($AN$2:$AN$1000,AN197,$EA$2:$EA$1000,"Y",$J$2:$J$1000,"&gt;"&amp;J197)+COUNTIFS($AN$2:$AN$1000,AN197,$EA$2:$EA$1000,"Y",$J$2:$J$1000,J197,$ED$2:$ED$1000,"&lt;"&amp;ED197)=0,"Y","N"))</f>
        <v>Y</v>
      </c>
      <c r="EC197" s="0" t="str">
        <f aca="false">IF(Y197="","N",IF(Y197&lt;=10,"Y","N"))</f>
        <v>N</v>
      </c>
      <c r="ED197" s="6" t="n">
        <f aca="false">ROW()-1</f>
        <v>196</v>
      </c>
    </row>
    <row r="198" customFormat="false" ht="15" hidden="false" customHeight="false" outlineLevel="0" collapsed="false">
      <c r="A198" s="0" t="s">
        <v>8935</v>
      </c>
      <c r="B198" s="0" t="s">
        <v>8936</v>
      </c>
      <c r="C198" s="0" t="s">
        <v>8937</v>
      </c>
      <c r="D198" s="0" t="s">
        <v>8938</v>
      </c>
      <c r="E198" s="0" t="s">
        <v>8939</v>
      </c>
      <c r="H198" s="5" t="s">
        <v>158</v>
      </c>
      <c r="I198" s="5" t="s">
        <v>159</v>
      </c>
      <c r="J198" s="6" t="n">
        <f aca="false">IF(AU198="pass",CM198+CN198+CO198+CP198+CQ198+CR198+CS198+CT198,0)</f>
        <v>34</v>
      </c>
      <c r="K198" s="6" t="s">
        <v>8940</v>
      </c>
      <c r="M198" s="6" t="s">
        <v>5293</v>
      </c>
      <c r="N198" s="6" t="s">
        <v>598</v>
      </c>
      <c r="R198" s="5" t="s">
        <v>162</v>
      </c>
      <c r="S198" s="6" t="s">
        <v>163</v>
      </c>
      <c r="T198" s="5" t="s">
        <v>162</v>
      </c>
      <c r="U198" s="5" t="s">
        <v>228</v>
      </c>
      <c r="V198" s="6" t="s">
        <v>8941</v>
      </c>
      <c r="W198" s="6" t="s">
        <v>166</v>
      </c>
      <c r="X198" s="6" t="s">
        <v>4586</v>
      </c>
      <c r="Y198" s="6" t="n">
        <f aca="false">IF(EB198&lt;&gt;"Y","",COUNTIFS($EB$2:$EB$1000,"Y",$J$2:$J$1000,"&gt;"&amp;J198)+COUNTIFS($EB$2:$EB$1000,"Y",$J$2:$J$1000,J198,$ED$2:$ED$1000,"&lt;"&amp;ED198)+1)</f>
        <v>156</v>
      </c>
      <c r="Z198" s="0" t="n">
        <v>197</v>
      </c>
      <c r="AA198" s="6" t="s">
        <v>162</v>
      </c>
      <c r="AB198" s="6" t="s">
        <v>8942</v>
      </c>
      <c r="AC198" s="6" t="s">
        <v>4588</v>
      </c>
      <c r="AD198" s="6" t="s">
        <v>171</v>
      </c>
      <c r="AE198" s="6" t="s">
        <v>1190</v>
      </c>
      <c r="AF198" s="6" t="s">
        <v>8943</v>
      </c>
      <c r="AG198" s="6" t="s">
        <v>166</v>
      </c>
      <c r="AH198" s="6" t="s">
        <v>8944</v>
      </c>
      <c r="AI198" s="6" t="s">
        <v>4591</v>
      </c>
      <c r="AJ198" s="6" t="s">
        <v>4635</v>
      </c>
      <c r="AK198" s="6" t="s">
        <v>8945</v>
      </c>
      <c r="AL198" s="6" t="s">
        <v>168</v>
      </c>
      <c r="AM198" s="6" t="s">
        <v>8946</v>
      </c>
      <c r="AN198" s="6" t="s">
        <v>8935</v>
      </c>
      <c r="AO198" s="5" t="s">
        <v>162</v>
      </c>
      <c r="AR198" s="0" t="str">
        <f aca="false">IF(AND(AU198="pass",AO198&lt;&gt;"Y",C198&lt;&gt;""),"Y","N")</f>
        <v>Y</v>
      </c>
      <c r="AS198" s="0" t="str">
        <f aca="false">_xlfn.TEXTJOIN("; ",TRUE(),IF(AU198&lt;&gt;"pass","gated out",""),IF(AO198="Y","on hold: "&amp;AP198,""),IF(C198="","no contact named on an opened page",""))</f>
        <v/>
      </c>
      <c r="AU198" s="6" t="s">
        <v>181</v>
      </c>
      <c r="AW198" s="6" t="s">
        <v>182</v>
      </c>
      <c r="AX198" s="6" t="s">
        <v>8947</v>
      </c>
      <c r="AY198" s="6" t="s">
        <v>8948</v>
      </c>
      <c r="AZ198" s="6" t="s">
        <v>4596</v>
      </c>
      <c r="BA198" s="6" t="s">
        <v>4597</v>
      </c>
      <c r="BB198" s="6" t="s">
        <v>8949</v>
      </c>
      <c r="BC198" s="6" t="s">
        <v>8941</v>
      </c>
      <c r="BD198" s="6" t="s">
        <v>163</v>
      </c>
      <c r="BE198" s="6" t="s">
        <v>8950</v>
      </c>
      <c r="BF198" s="6" t="s">
        <v>168</v>
      </c>
      <c r="BG198" s="6" t="s">
        <v>168</v>
      </c>
      <c r="BH198" s="6" t="s">
        <v>163</v>
      </c>
      <c r="BJ198" s="6" t="s">
        <v>5551</v>
      </c>
      <c r="BK198" s="6" t="s">
        <v>162</v>
      </c>
      <c r="BL198" s="6" t="s">
        <v>162</v>
      </c>
      <c r="BO198" s="6" t="s">
        <v>162</v>
      </c>
      <c r="BP198" s="0" t="n">
        <v>0</v>
      </c>
      <c r="BS198" s="6" t="s">
        <v>8951</v>
      </c>
      <c r="BU198" s="6" t="s">
        <v>158</v>
      </c>
      <c r="BX198" s="6" t="s">
        <v>8952</v>
      </c>
      <c r="BY198" s="6" t="s">
        <v>8953</v>
      </c>
      <c r="CA198" s="6" t="s">
        <v>8954</v>
      </c>
      <c r="CB198" s="6" t="s">
        <v>8955</v>
      </c>
      <c r="CC198" s="6" t="s">
        <v>8938</v>
      </c>
      <c r="CD198" s="6" t="s">
        <v>8939</v>
      </c>
      <c r="CE198" s="6" t="s">
        <v>6725</v>
      </c>
      <c r="CF198" s="6" t="s">
        <v>171</v>
      </c>
      <c r="CG198" s="6" t="s">
        <v>8953</v>
      </c>
      <c r="CK198" s="6" t="s">
        <v>158</v>
      </c>
      <c r="CL198" s="0" t="n">
        <v>34</v>
      </c>
      <c r="CM198" s="0" t="n">
        <v>6</v>
      </c>
      <c r="CN198" s="0" t="n">
        <v>20</v>
      </c>
      <c r="CO198" s="0" t="n">
        <v>0</v>
      </c>
      <c r="CP198" s="0" t="n">
        <v>5</v>
      </c>
      <c r="CQ198" s="0" t="n">
        <v>7</v>
      </c>
      <c r="CR198" s="0" t="n">
        <v>6</v>
      </c>
      <c r="CS198" s="6" t="n">
        <f aca="false">IF(R198="Y",10,0)</f>
        <v>0</v>
      </c>
      <c r="CT198" s="0" t="n">
        <v>-10</v>
      </c>
      <c r="CU198" s="6" t="s">
        <v>163</v>
      </c>
      <c r="CV198" s="6" t="s">
        <v>5564</v>
      </c>
      <c r="CW198" s="6" t="s">
        <v>8956</v>
      </c>
      <c r="CX198" s="6" t="s">
        <v>8957</v>
      </c>
      <c r="CY198" s="6" t="s">
        <v>8958</v>
      </c>
      <c r="CZ198" s="6" t="s">
        <v>8943</v>
      </c>
      <c r="DA198" s="6" t="s">
        <v>6236</v>
      </c>
      <c r="DC198" s="6" t="s">
        <v>1190</v>
      </c>
      <c r="DY198" s="0" t="str">
        <f aca="false">IF(ISNUMBER(MATCH(U198,{"queued","contacted","replied","call_booked","call_done","yes_in_principle","materials_sent"},0)),"Y","N")</f>
        <v>N</v>
      </c>
      <c r="DZ198" s="0" t="str">
        <f aca="false">IF(COUNTIFS($AN$2:$AN$1000,AN198,$DY$2:$DY$1000,"Y")+COUNTIFS($AN$2:$AN$1000,AN198,$T$2:$T$1000,"Y")&gt;0,"Y","N")</f>
        <v>N</v>
      </c>
      <c r="EA198" s="0" t="str">
        <f aca="false">IF(AND(U198="new",T198="N",AR198="Y",AQ198="",DZ198="N"),"Y","N")</f>
        <v>Y</v>
      </c>
      <c r="EB198" s="0" t="str">
        <f aca="false">IF(EA198&lt;&gt;"Y","N",IF(COUNTIFS($AN$2:$AN$1000,AN198,$EA$2:$EA$1000,"Y",$J$2:$J$1000,"&gt;"&amp;J198)+COUNTIFS($AN$2:$AN$1000,AN198,$EA$2:$EA$1000,"Y",$J$2:$J$1000,J198,$ED$2:$ED$1000,"&lt;"&amp;ED198)=0,"Y","N"))</f>
        <v>Y</v>
      </c>
      <c r="EC198" s="0" t="str">
        <f aca="false">IF(Y198="","N",IF(Y198&lt;=10,"Y","N"))</f>
        <v>N</v>
      </c>
      <c r="ED198" s="6" t="n">
        <f aca="false">ROW()-1</f>
        <v>197</v>
      </c>
    </row>
    <row r="199" customFormat="false" ht="15" hidden="false" customHeight="false" outlineLevel="0" collapsed="false">
      <c r="A199" s="0" t="s">
        <v>8959</v>
      </c>
      <c r="B199" s="0" t="s">
        <v>8960</v>
      </c>
      <c r="C199" s="0" t="s">
        <v>8961</v>
      </c>
      <c r="D199" s="0" t="s">
        <v>8962</v>
      </c>
      <c r="E199" s="0" t="s">
        <v>8963</v>
      </c>
      <c r="F199" s="0" t="s">
        <v>8964</v>
      </c>
      <c r="H199" s="5" t="s">
        <v>158</v>
      </c>
      <c r="I199" s="5" t="s">
        <v>159</v>
      </c>
      <c r="J199" s="6" t="n">
        <f aca="false">IF(AU199="pass",CM199+CN199+CO199+CP199+CQ199+CR199+CS199+CT199,0)</f>
        <v>33</v>
      </c>
      <c r="K199" s="6" t="s">
        <v>8965</v>
      </c>
      <c r="M199" s="6" t="s">
        <v>4581</v>
      </c>
      <c r="N199" s="6" t="s">
        <v>4582</v>
      </c>
      <c r="O199" s="6" t="s">
        <v>8966</v>
      </c>
      <c r="P199" s="6" t="s">
        <v>8967</v>
      </c>
      <c r="Q199" s="6" t="s">
        <v>5542</v>
      </c>
      <c r="R199" s="5" t="s">
        <v>162</v>
      </c>
      <c r="S199" s="6" t="s">
        <v>163</v>
      </c>
      <c r="T199" s="5" t="s">
        <v>168</v>
      </c>
      <c r="U199" s="5" t="s">
        <v>228</v>
      </c>
      <c r="V199" s="6" t="s">
        <v>8968</v>
      </c>
      <c r="W199" s="6" t="s">
        <v>166</v>
      </c>
      <c r="X199" s="6" t="s">
        <v>4586</v>
      </c>
      <c r="Y199" s="0" t="str">
        <f aca="false">IF(EB199&lt;&gt;"Y","",COUNTIFS($EB$2:$EB$1000,"Y",$J$2:$J$1000,"&gt;"&amp;J199)+COUNTIFS($EB$2:$EB$1000,"Y",$J$2:$J$1000,J199,$ED$2:$ED$1000,"&lt;"&amp;ED199)+1)</f>
        <v/>
      </c>
      <c r="Z199" s="0" t="n">
        <v>198</v>
      </c>
      <c r="AA199" s="6" t="s">
        <v>162</v>
      </c>
      <c r="AB199" s="6" t="s">
        <v>8969</v>
      </c>
      <c r="AC199" s="6" t="s">
        <v>5325</v>
      </c>
      <c r="AD199" s="6" t="s">
        <v>171</v>
      </c>
      <c r="AE199" s="6" t="s">
        <v>1190</v>
      </c>
      <c r="AF199" s="6" t="s">
        <v>8970</v>
      </c>
      <c r="AG199" s="6" t="s">
        <v>174</v>
      </c>
      <c r="AH199" s="6" t="s">
        <v>8971</v>
      </c>
      <c r="AI199" s="6" t="s">
        <v>5030</v>
      </c>
      <c r="AJ199" s="6" t="s">
        <v>7477</v>
      </c>
      <c r="AK199" s="6" t="s">
        <v>8972</v>
      </c>
      <c r="AL199" s="6" t="s">
        <v>168</v>
      </c>
      <c r="AM199" s="6" t="s">
        <v>8973</v>
      </c>
      <c r="AN199" s="6" t="s">
        <v>4923</v>
      </c>
      <c r="AO199" s="5" t="s">
        <v>162</v>
      </c>
      <c r="AR199" s="0" t="str">
        <f aca="false">IF(AND(AU199="pass",AO199&lt;&gt;"Y",C199&lt;&gt;""),"Y","N")</f>
        <v>Y</v>
      </c>
      <c r="AS199" s="0" t="str">
        <f aca="false">_xlfn.TEXTJOIN("; ",TRUE(),IF(AU199&lt;&gt;"pass","gated out",""),IF(AO199="Y","on hold: "&amp;AP199,""),IF(C199="","no contact named on an opened page",""))</f>
        <v/>
      </c>
      <c r="AU199" s="6" t="s">
        <v>181</v>
      </c>
      <c r="AW199" s="6" t="s">
        <v>182</v>
      </c>
      <c r="AX199" s="6" t="s">
        <v>8974</v>
      </c>
      <c r="AY199" s="6" t="s">
        <v>8972</v>
      </c>
      <c r="AZ199" s="6" t="s">
        <v>6478</v>
      </c>
      <c r="BA199" s="6" t="s">
        <v>5193</v>
      </c>
      <c r="BB199" s="6" t="s">
        <v>163</v>
      </c>
      <c r="BD199" s="6" t="s">
        <v>168</v>
      </c>
      <c r="BE199" s="6" t="s">
        <v>8975</v>
      </c>
      <c r="BF199" s="6" t="s">
        <v>168</v>
      </c>
      <c r="BG199" s="6" t="s">
        <v>168</v>
      </c>
      <c r="BH199" s="6" t="s">
        <v>7181</v>
      </c>
      <c r="BI199" s="6" t="s">
        <v>6459</v>
      </c>
      <c r="BJ199" s="6" t="s">
        <v>8976</v>
      </c>
      <c r="BK199" s="6" t="s">
        <v>162</v>
      </c>
      <c r="BL199" s="6" t="s">
        <v>162</v>
      </c>
      <c r="BN199" s="0" t="n">
        <v>0</v>
      </c>
      <c r="BO199" s="6" t="s">
        <v>168</v>
      </c>
      <c r="BP199" s="0" t="n">
        <v>3</v>
      </c>
      <c r="BQ199" s="6" t="s">
        <v>4670</v>
      </c>
      <c r="BS199" s="6" t="s">
        <v>4983</v>
      </c>
      <c r="BT199" s="6" t="s">
        <v>8977</v>
      </c>
      <c r="BU199" s="6" t="s">
        <v>4605</v>
      </c>
      <c r="BV199" s="0" t="n">
        <v>43</v>
      </c>
      <c r="BX199" s="6" t="s">
        <v>8978</v>
      </c>
      <c r="BY199" s="6" t="s">
        <v>8979</v>
      </c>
      <c r="BZ199" s="6" t="s">
        <v>4608</v>
      </c>
      <c r="CA199" s="6" t="s">
        <v>4932</v>
      </c>
      <c r="CB199" s="6" t="s">
        <v>8980</v>
      </c>
      <c r="CC199" s="6" t="s">
        <v>8981</v>
      </c>
      <c r="CD199" s="6" t="s">
        <v>8982</v>
      </c>
      <c r="CE199" s="6" t="s">
        <v>4613</v>
      </c>
      <c r="CF199" s="6" t="s">
        <v>171</v>
      </c>
      <c r="CG199" s="6" t="s">
        <v>8983</v>
      </c>
      <c r="CK199" s="6" t="s">
        <v>158</v>
      </c>
      <c r="CL199" s="0" t="n">
        <v>33</v>
      </c>
      <c r="CM199" s="0" t="n">
        <v>25</v>
      </c>
      <c r="CN199" s="0" t="n">
        <v>8</v>
      </c>
      <c r="CO199" s="0" t="n">
        <v>15</v>
      </c>
      <c r="CP199" s="0" t="n">
        <v>0</v>
      </c>
      <c r="CQ199" s="0" t="n">
        <v>10</v>
      </c>
      <c r="CR199" s="0" t="n">
        <v>10</v>
      </c>
      <c r="CS199" s="6" t="n">
        <f aca="false">IF(R199="Y",10,0)</f>
        <v>0</v>
      </c>
      <c r="CT199" s="0" t="n">
        <v>-35</v>
      </c>
      <c r="CU199" s="6" t="s">
        <v>163</v>
      </c>
      <c r="CV199" s="6" t="s">
        <v>4843</v>
      </c>
      <c r="CW199" s="6" t="s">
        <v>8984</v>
      </c>
      <c r="CX199" s="6" t="s">
        <v>8985</v>
      </c>
      <c r="CY199" s="6" t="s">
        <v>8986</v>
      </c>
      <c r="CZ199" s="6" t="s">
        <v>8970</v>
      </c>
      <c r="DA199" s="6" t="s">
        <v>4621</v>
      </c>
      <c r="DB199" s="6" t="s">
        <v>8987</v>
      </c>
      <c r="DC199" s="6" t="s">
        <v>1190</v>
      </c>
      <c r="DD199" s="6" t="s">
        <v>8987</v>
      </c>
      <c r="DF199" s="6" t="s">
        <v>8988</v>
      </c>
      <c r="DY199" s="0" t="str">
        <f aca="false">IF(ISNUMBER(MATCH(U199,{"queued","contacted","replied","call_booked","call_done","yes_in_principle","materials_sent"},0)),"Y","N")</f>
        <v>N</v>
      </c>
      <c r="DZ199" s="0" t="str">
        <f aca="false">IF(COUNTIFS($AN$2:$AN$1000,AN199,$DY$2:$DY$1000,"Y")+COUNTIFS($AN$2:$AN$1000,AN199,$T$2:$T$1000,"Y")&gt;0,"Y","N")</f>
        <v>Y</v>
      </c>
      <c r="EA199" s="0" t="str">
        <f aca="false">IF(AND(U199="new",T199="N",AR199="Y",AQ199="",DZ199="N"),"Y","N")</f>
        <v>N</v>
      </c>
      <c r="EB199" s="0" t="str">
        <f aca="false">IF(EA199&lt;&gt;"Y","N",IF(COUNTIFS($AN$2:$AN$1000,AN199,$EA$2:$EA$1000,"Y",$J$2:$J$1000,"&gt;"&amp;J199)+COUNTIFS($AN$2:$AN$1000,AN199,$EA$2:$EA$1000,"Y",$J$2:$J$1000,J199,$ED$2:$ED$1000,"&lt;"&amp;ED199)=0,"Y","N"))</f>
        <v>N</v>
      </c>
      <c r="EC199" s="0" t="str">
        <f aca="false">IF(Y199="","N",IF(Y199&lt;=10,"Y","N"))</f>
        <v>N</v>
      </c>
      <c r="ED199" s="6" t="n">
        <f aca="false">ROW()-1</f>
        <v>198</v>
      </c>
    </row>
    <row r="200" customFormat="false" ht="15" hidden="false" customHeight="false" outlineLevel="0" collapsed="false">
      <c r="A200" s="0" t="s">
        <v>8989</v>
      </c>
      <c r="B200" s="0" t="s">
        <v>8990</v>
      </c>
      <c r="C200" s="0" t="s">
        <v>8991</v>
      </c>
      <c r="D200" s="0" t="s">
        <v>163</v>
      </c>
      <c r="E200" s="0" t="s">
        <v>4773</v>
      </c>
      <c r="H200" s="5" t="s">
        <v>158</v>
      </c>
      <c r="I200" s="5" t="s">
        <v>159</v>
      </c>
      <c r="J200" s="6" t="n">
        <f aca="false">IF(AU200="pass",CM200+CN200+CO200+CP200+CQ200+CR200+CS200+CT200,0)</f>
        <v>33</v>
      </c>
      <c r="K200" s="6" t="s">
        <v>8992</v>
      </c>
      <c r="M200" s="6" t="s">
        <v>5293</v>
      </c>
      <c r="N200" s="6" t="s">
        <v>598</v>
      </c>
      <c r="O200" s="6" t="s">
        <v>8993</v>
      </c>
      <c r="P200" s="6" t="s">
        <v>8994</v>
      </c>
      <c r="Q200" s="6" t="s">
        <v>6736</v>
      </c>
      <c r="R200" s="5" t="s">
        <v>162</v>
      </c>
      <c r="S200" s="6" t="s">
        <v>163</v>
      </c>
      <c r="T200" s="5" t="s">
        <v>162</v>
      </c>
      <c r="U200" s="5" t="s">
        <v>228</v>
      </c>
      <c r="V200" s="6" t="s">
        <v>8995</v>
      </c>
      <c r="W200" s="6" t="s">
        <v>174</v>
      </c>
      <c r="X200" s="6" t="s">
        <v>4586</v>
      </c>
      <c r="Y200" s="6" t="n">
        <f aca="false">IF(EB200&lt;&gt;"Y","",COUNTIFS($EB$2:$EB$1000,"Y",$J$2:$J$1000,"&gt;"&amp;J200)+COUNTIFS($EB$2:$EB$1000,"Y",$J$2:$J$1000,J200,$ED$2:$ED$1000,"&lt;"&amp;ED200)+1)</f>
        <v>157</v>
      </c>
      <c r="Z200" s="0" t="n">
        <v>199</v>
      </c>
      <c r="AA200" s="6" t="s">
        <v>162</v>
      </c>
      <c r="AB200" s="6" t="s">
        <v>8996</v>
      </c>
      <c r="AC200" s="6" t="s">
        <v>4588</v>
      </c>
      <c r="AD200" s="6" t="s">
        <v>5010</v>
      </c>
      <c r="AE200" s="6" t="s">
        <v>1190</v>
      </c>
      <c r="AF200" s="6" t="s">
        <v>8995</v>
      </c>
      <c r="AG200" s="6" t="s">
        <v>174</v>
      </c>
      <c r="AH200" s="6" t="s">
        <v>8997</v>
      </c>
      <c r="AI200" s="6" t="s">
        <v>5385</v>
      </c>
      <c r="AJ200" s="6" t="s">
        <v>163</v>
      </c>
      <c r="AK200" s="6" t="s">
        <v>8998</v>
      </c>
      <c r="AL200" s="6" t="s">
        <v>168</v>
      </c>
      <c r="AM200" s="6" t="s">
        <v>8999</v>
      </c>
      <c r="AN200" s="6" t="s">
        <v>8989</v>
      </c>
      <c r="AO200" s="5" t="s">
        <v>162</v>
      </c>
      <c r="AR200" s="0" t="str">
        <f aca="false">IF(AND(AU200="pass",AO200&lt;&gt;"Y",C200&lt;&gt;""),"Y","N")</f>
        <v>Y</v>
      </c>
      <c r="AS200" s="0" t="str">
        <f aca="false">_xlfn.TEXTJOIN("; ",TRUE(),IF(AU200&lt;&gt;"pass","gated out",""),IF(AO200="Y","on hold: "&amp;AP200,""),IF(C200="","no contact named on an opened page",""))</f>
        <v/>
      </c>
      <c r="AU200" s="6" t="s">
        <v>181</v>
      </c>
      <c r="AW200" s="6" t="s">
        <v>182</v>
      </c>
      <c r="AX200" s="6" t="s">
        <v>5518</v>
      </c>
      <c r="AY200" s="6" t="s">
        <v>8998</v>
      </c>
      <c r="AZ200" s="6" t="s">
        <v>6691</v>
      </c>
      <c r="BA200" s="6" t="s">
        <v>5193</v>
      </c>
      <c r="BB200" s="6" t="s">
        <v>163</v>
      </c>
      <c r="BD200" s="6" t="s">
        <v>168</v>
      </c>
      <c r="BE200" s="6" t="s">
        <v>9000</v>
      </c>
      <c r="BF200" s="6" t="s">
        <v>162</v>
      </c>
      <c r="BG200" s="6" t="s">
        <v>168</v>
      </c>
      <c r="BH200" s="6" t="s">
        <v>163</v>
      </c>
      <c r="BJ200" s="6" t="s">
        <v>5145</v>
      </c>
      <c r="BK200" s="6" t="s">
        <v>162</v>
      </c>
      <c r="BL200" s="6" t="s">
        <v>162</v>
      </c>
      <c r="BO200" s="6" t="s">
        <v>162</v>
      </c>
      <c r="BP200" s="0" t="n">
        <v>0</v>
      </c>
      <c r="BS200" s="6" t="s">
        <v>163</v>
      </c>
      <c r="BU200" s="6" t="s">
        <v>4695</v>
      </c>
      <c r="BV200" s="0" t="n">
        <v>60</v>
      </c>
      <c r="BX200" s="6" t="s">
        <v>8991</v>
      </c>
      <c r="CA200" s="6" t="s">
        <v>9001</v>
      </c>
      <c r="CB200" s="6" t="s">
        <v>9002</v>
      </c>
      <c r="CC200" s="6" t="s">
        <v>9003</v>
      </c>
      <c r="CD200" s="6" t="s">
        <v>4773</v>
      </c>
      <c r="CE200" s="6" t="s">
        <v>6725</v>
      </c>
      <c r="CF200" s="6" t="s">
        <v>171</v>
      </c>
      <c r="CK200" s="6" t="s">
        <v>158</v>
      </c>
      <c r="CL200" s="0" t="n">
        <v>33</v>
      </c>
      <c r="CM200" s="0" t="n">
        <v>6</v>
      </c>
      <c r="CN200" s="0" t="n">
        <v>8</v>
      </c>
      <c r="CO200" s="0" t="n">
        <v>8</v>
      </c>
      <c r="CP200" s="0" t="n">
        <v>5</v>
      </c>
      <c r="CQ200" s="0" t="n">
        <v>7</v>
      </c>
      <c r="CR200" s="0" t="n">
        <v>3</v>
      </c>
      <c r="CS200" s="6" t="n">
        <f aca="false">IF(R200="Y",10,0)</f>
        <v>0</v>
      </c>
      <c r="CT200" s="0" t="n">
        <v>-4</v>
      </c>
      <c r="CU200" s="6" t="s">
        <v>9004</v>
      </c>
      <c r="CV200" s="6" t="s">
        <v>5152</v>
      </c>
      <c r="CW200" s="6" t="s">
        <v>9005</v>
      </c>
      <c r="CX200" s="6" t="s">
        <v>9006</v>
      </c>
      <c r="CZ200" s="6" t="s">
        <v>8995</v>
      </c>
      <c r="DA200" s="6" t="s">
        <v>6236</v>
      </c>
      <c r="DC200" s="6" t="s">
        <v>1190</v>
      </c>
      <c r="DY200" s="0" t="str">
        <f aca="false">IF(ISNUMBER(MATCH(U200,{"queued","contacted","replied","call_booked","call_done","yes_in_principle","materials_sent"},0)),"Y","N")</f>
        <v>N</v>
      </c>
      <c r="DZ200" s="0" t="str">
        <f aca="false">IF(COUNTIFS($AN$2:$AN$1000,AN200,$DY$2:$DY$1000,"Y")+COUNTIFS($AN$2:$AN$1000,AN200,$T$2:$T$1000,"Y")&gt;0,"Y","N")</f>
        <v>N</v>
      </c>
      <c r="EA200" s="0" t="str">
        <f aca="false">IF(AND(U200="new",T200="N",AR200="Y",AQ200="",DZ200="N"),"Y","N")</f>
        <v>Y</v>
      </c>
      <c r="EB200" s="0" t="str">
        <f aca="false">IF(EA200&lt;&gt;"Y","N",IF(COUNTIFS($AN$2:$AN$1000,AN200,$EA$2:$EA$1000,"Y",$J$2:$J$1000,"&gt;"&amp;J200)+COUNTIFS($AN$2:$AN$1000,AN200,$EA$2:$EA$1000,"Y",$J$2:$J$1000,J200,$ED$2:$ED$1000,"&lt;"&amp;ED200)=0,"Y","N"))</f>
        <v>Y</v>
      </c>
      <c r="EC200" s="0" t="str">
        <f aca="false">IF(Y200="","N",IF(Y200&lt;=10,"Y","N"))</f>
        <v>N</v>
      </c>
      <c r="ED200" s="6" t="n">
        <f aca="false">ROW()-1</f>
        <v>199</v>
      </c>
    </row>
    <row r="201" customFormat="false" ht="15" hidden="false" customHeight="false" outlineLevel="0" collapsed="false">
      <c r="A201" s="0" t="s">
        <v>9007</v>
      </c>
      <c r="B201" s="0" t="s">
        <v>9008</v>
      </c>
      <c r="C201" s="0" t="s">
        <v>9009</v>
      </c>
      <c r="D201" s="0" t="s">
        <v>163</v>
      </c>
      <c r="E201" s="0" t="s">
        <v>4773</v>
      </c>
      <c r="H201" s="5" t="s">
        <v>158</v>
      </c>
      <c r="I201" s="5" t="s">
        <v>159</v>
      </c>
      <c r="J201" s="6" t="n">
        <f aca="false">IF(AU201="pass",CM201+CN201+CO201+CP201+CQ201+CR201+CS201+CT201,0)</f>
        <v>33</v>
      </c>
      <c r="K201" s="6" t="s">
        <v>9010</v>
      </c>
      <c r="M201" s="6" t="s">
        <v>5293</v>
      </c>
      <c r="N201" s="6" t="s">
        <v>598</v>
      </c>
      <c r="O201" s="6" t="s">
        <v>9011</v>
      </c>
      <c r="P201" s="6" t="s">
        <v>9012</v>
      </c>
      <c r="Q201" s="6" t="s">
        <v>2033</v>
      </c>
      <c r="R201" s="5" t="s">
        <v>162</v>
      </c>
      <c r="S201" s="6" t="s">
        <v>163</v>
      </c>
      <c r="T201" s="5" t="s">
        <v>162</v>
      </c>
      <c r="U201" s="5" t="s">
        <v>228</v>
      </c>
      <c r="V201" s="6" t="s">
        <v>9013</v>
      </c>
      <c r="W201" s="6" t="s">
        <v>174</v>
      </c>
      <c r="X201" s="6" t="s">
        <v>4586</v>
      </c>
      <c r="Y201" s="6" t="n">
        <f aca="false">IF(EB201&lt;&gt;"Y","",COUNTIFS($EB$2:$EB$1000,"Y",$J$2:$J$1000,"&gt;"&amp;J201)+COUNTIFS($EB$2:$EB$1000,"Y",$J$2:$J$1000,J201,$ED$2:$ED$1000,"&lt;"&amp;ED201)+1)</f>
        <v>158</v>
      </c>
      <c r="Z201" s="0" t="n">
        <v>200</v>
      </c>
      <c r="AA201" s="6" t="s">
        <v>162</v>
      </c>
      <c r="AB201" s="6" t="s">
        <v>9014</v>
      </c>
      <c r="AC201" s="6" t="s">
        <v>4588</v>
      </c>
      <c r="AD201" s="6" t="s">
        <v>5010</v>
      </c>
      <c r="AE201" s="6" t="s">
        <v>172</v>
      </c>
      <c r="AF201" s="6" t="s">
        <v>9015</v>
      </c>
      <c r="AG201" s="6" t="s">
        <v>174</v>
      </c>
      <c r="AH201" s="6" t="s">
        <v>9016</v>
      </c>
      <c r="AI201" s="6" t="s">
        <v>4724</v>
      </c>
      <c r="AJ201" s="6" t="s">
        <v>9017</v>
      </c>
      <c r="AK201" s="6" t="s">
        <v>9018</v>
      </c>
      <c r="AL201" s="6" t="s">
        <v>168</v>
      </c>
      <c r="AM201" s="6" t="s">
        <v>9019</v>
      </c>
      <c r="AN201" s="6" t="s">
        <v>9007</v>
      </c>
      <c r="AO201" s="5" t="s">
        <v>162</v>
      </c>
      <c r="AR201" s="0" t="str">
        <f aca="false">IF(AND(AU201="pass",AO201&lt;&gt;"Y",C201&lt;&gt;""),"Y","N")</f>
        <v>Y</v>
      </c>
      <c r="AS201" s="0" t="str">
        <f aca="false">_xlfn.TEXTJOIN("; ",TRUE(),IF(AU201&lt;&gt;"pass","gated out",""),IF(AO201="Y","on hold: "&amp;AP201,""),IF(C201="","no contact named on an opened page",""))</f>
        <v/>
      </c>
      <c r="AU201" s="6" t="s">
        <v>181</v>
      </c>
      <c r="AW201" s="6" t="s">
        <v>182</v>
      </c>
      <c r="AX201" s="6" t="s">
        <v>5518</v>
      </c>
      <c r="AY201" s="6" t="s">
        <v>9018</v>
      </c>
      <c r="AZ201" s="6" t="s">
        <v>5192</v>
      </c>
      <c r="BA201" s="6" t="s">
        <v>5193</v>
      </c>
      <c r="BB201" s="6" t="s">
        <v>163</v>
      </c>
      <c r="BD201" s="6" t="s">
        <v>168</v>
      </c>
      <c r="BE201" s="6" t="s">
        <v>9020</v>
      </c>
      <c r="BF201" s="6" t="s">
        <v>162</v>
      </c>
      <c r="BG201" s="6" t="s">
        <v>168</v>
      </c>
      <c r="BH201" s="6" t="s">
        <v>163</v>
      </c>
      <c r="BJ201" s="6" t="s">
        <v>5145</v>
      </c>
      <c r="BK201" s="6" t="s">
        <v>162</v>
      </c>
      <c r="BL201" s="6" t="s">
        <v>162</v>
      </c>
      <c r="BO201" s="6" t="s">
        <v>162</v>
      </c>
      <c r="BP201" s="0" t="n">
        <v>0</v>
      </c>
      <c r="BS201" s="6" t="s">
        <v>163</v>
      </c>
      <c r="BU201" s="6" t="s">
        <v>4695</v>
      </c>
      <c r="BV201" s="0" t="n">
        <v>32</v>
      </c>
      <c r="BX201" s="6" t="s">
        <v>9009</v>
      </c>
      <c r="BY201" s="6" t="s">
        <v>9021</v>
      </c>
      <c r="CF201" s="6" t="s">
        <v>158</v>
      </c>
      <c r="CK201" s="6" t="s">
        <v>158</v>
      </c>
      <c r="CL201" s="0" t="n">
        <v>33</v>
      </c>
      <c r="CM201" s="0" t="n">
        <v>6</v>
      </c>
      <c r="CN201" s="0" t="n">
        <v>8</v>
      </c>
      <c r="CO201" s="0" t="n">
        <v>8</v>
      </c>
      <c r="CP201" s="0" t="n">
        <v>5</v>
      </c>
      <c r="CQ201" s="0" t="n">
        <v>7</v>
      </c>
      <c r="CR201" s="0" t="n">
        <v>3</v>
      </c>
      <c r="CS201" s="6" t="n">
        <f aca="false">IF(R201="Y",10,0)</f>
        <v>0</v>
      </c>
      <c r="CT201" s="0" t="n">
        <v>-4</v>
      </c>
      <c r="CU201" s="6" t="s">
        <v>9022</v>
      </c>
      <c r="CV201" s="6" t="s">
        <v>5152</v>
      </c>
      <c r="CW201" s="6" t="s">
        <v>9023</v>
      </c>
      <c r="CX201" s="6" t="s">
        <v>9024</v>
      </c>
      <c r="DA201" s="6" t="s">
        <v>6236</v>
      </c>
      <c r="DY201" s="0" t="str">
        <f aca="false">IF(ISNUMBER(MATCH(U201,{"queued","contacted","replied","call_booked","call_done","yes_in_principle","materials_sent"},0)),"Y","N")</f>
        <v>N</v>
      </c>
      <c r="DZ201" s="0" t="str">
        <f aca="false">IF(COUNTIFS($AN$2:$AN$1000,AN201,$DY$2:$DY$1000,"Y")+COUNTIFS($AN$2:$AN$1000,AN201,$T$2:$T$1000,"Y")&gt;0,"Y","N")</f>
        <v>N</v>
      </c>
      <c r="EA201" s="0" t="str">
        <f aca="false">IF(AND(U201="new",T201="N",AR201="Y",AQ201="",DZ201="N"),"Y","N")</f>
        <v>Y</v>
      </c>
      <c r="EB201" s="0" t="str">
        <f aca="false">IF(EA201&lt;&gt;"Y","N",IF(COUNTIFS($AN$2:$AN$1000,AN201,$EA$2:$EA$1000,"Y",$J$2:$J$1000,"&gt;"&amp;J201)+COUNTIFS($AN$2:$AN$1000,AN201,$EA$2:$EA$1000,"Y",$J$2:$J$1000,J201,$ED$2:$ED$1000,"&lt;"&amp;ED201)=0,"Y","N"))</f>
        <v>Y</v>
      </c>
      <c r="EC201" s="0" t="str">
        <f aca="false">IF(Y201="","N",IF(Y201&lt;=10,"Y","N"))</f>
        <v>N</v>
      </c>
      <c r="ED201" s="6" t="n">
        <f aca="false">ROW()-1</f>
        <v>200</v>
      </c>
    </row>
    <row r="202" customFormat="false" ht="15" hidden="false" customHeight="false" outlineLevel="0" collapsed="false">
      <c r="A202" s="0" t="s">
        <v>9025</v>
      </c>
      <c r="B202" s="0" t="s">
        <v>9026</v>
      </c>
      <c r="C202" s="0" t="s">
        <v>9027</v>
      </c>
      <c r="D202" s="0" t="s">
        <v>9028</v>
      </c>
      <c r="E202" s="0" t="s">
        <v>4773</v>
      </c>
      <c r="H202" s="5" t="s">
        <v>158</v>
      </c>
      <c r="I202" s="5" t="s">
        <v>159</v>
      </c>
      <c r="J202" s="6" t="n">
        <f aca="false">IF(AU202="pass",CM202+CN202+CO202+CP202+CQ202+CR202+CS202+CT202,0)</f>
        <v>33</v>
      </c>
      <c r="K202" s="6" t="s">
        <v>9029</v>
      </c>
      <c r="M202" s="6" t="s">
        <v>5293</v>
      </c>
      <c r="N202" s="6" t="s">
        <v>598</v>
      </c>
      <c r="O202" s="6" t="s">
        <v>9030</v>
      </c>
      <c r="P202" s="6" t="s">
        <v>9031</v>
      </c>
      <c r="Q202" s="6" t="s">
        <v>9032</v>
      </c>
      <c r="R202" s="5" t="s">
        <v>162</v>
      </c>
      <c r="S202" s="6" t="s">
        <v>163</v>
      </c>
      <c r="T202" s="5" t="s">
        <v>162</v>
      </c>
      <c r="U202" s="5" t="s">
        <v>228</v>
      </c>
      <c r="V202" s="6" t="s">
        <v>9033</v>
      </c>
      <c r="W202" s="6" t="s">
        <v>166</v>
      </c>
      <c r="X202" s="6" t="s">
        <v>4586</v>
      </c>
      <c r="Y202" s="6" t="n">
        <f aca="false">IF(EB202&lt;&gt;"Y","",COUNTIFS($EB$2:$EB$1000,"Y",$J$2:$J$1000,"&gt;"&amp;J202)+COUNTIFS($EB$2:$EB$1000,"Y",$J$2:$J$1000,J202,$ED$2:$ED$1000,"&lt;"&amp;ED202)+1)</f>
        <v>159</v>
      </c>
      <c r="Z202" s="0" t="n">
        <v>201</v>
      </c>
      <c r="AA202" s="6" t="s">
        <v>162</v>
      </c>
      <c r="AB202" s="6" t="s">
        <v>9034</v>
      </c>
      <c r="AC202" s="6" t="s">
        <v>4588</v>
      </c>
      <c r="AD202" s="6" t="s">
        <v>171</v>
      </c>
      <c r="AE202" s="6" t="s">
        <v>172</v>
      </c>
      <c r="AF202" s="6" t="s">
        <v>9033</v>
      </c>
      <c r="AG202" s="6" t="s">
        <v>166</v>
      </c>
      <c r="AH202" s="6" t="s">
        <v>9035</v>
      </c>
      <c r="AI202" s="6" t="s">
        <v>5926</v>
      </c>
      <c r="AJ202" s="6" t="s">
        <v>9036</v>
      </c>
      <c r="AK202" s="6" t="s">
        <v>9037</v>
      </c>
      <c r="AL202" s="6" t="s">
        <v>168</v>
      </c>
      <c r="AM202" s="6" t="s">
        <v>9038</v>
      </c>
      <c r="AN202" s="6" t="s">
        <v>9025</v>
      </c>
      <c r="AO202" s="5" t="s">
        <v>162</v>
      </c>
      <c r="AR202" s="0" t="str">
        <f aca="false">IF(AND(AU202="pass",AO202&lt;&gt;"Y",C202&lt;&gt;""),"Y","N")</f>
        <v>Y</v>
      </c>
      <c r="AS202" s="0" t="str">
        <f aca="false">_xlfn.TEXTJOIN("; ",TRUE(),IF(AU202&lt;&gt;"pass","gated out",""),IF(AO202="Y","on hold: "&amp;AP202,""),IF(C202="","no contact named on an opened page",""))</f>
        <v/>
      </c>
      <c r="AU202" s="6" t="s">
        <v>181</v>
      </c>
      <c r="AW202" s="6" t="s">
        <v>182</v>
      </c>
      <c r="AX202" s="6" t="s">
        <v>283</v>
      </c>
      <c r="AY202" s="6" t="s">
        <v>9037</v>
      </c>
      <c r="AZ202" s="6" t="s">
        <v>5059</v>
      </c>
      <c r="BA202" s="6" t="s">
        <v>5331</v>
      </c>
      <c r="BB202" s="6" t="s">
        <v>163</v>
      </c>
      <c r="BD202" s="6" t="s">
        <v>163</v>
      </c>
      <c r="BE202" s="6" t="s">
        <v>5929</v>
      </c>
      <c r="BF202" s="6" t="s">
        <v>168</v>
      </c>
      <c r="BG202" s="6" t="s">
        <v>168</v>
      </c>
      <c r="BH202" s="6" t="s">
        <v>163</v>
      </c>
      <c r="BJ202" s="6" t="s">
        <v>5551</v>
      </c>
      <c r="BK202" s="6" t="s">
        <v>162</v>
      </c>
      <c r="BL202" s="6" t="s">
        <v>162</v>
      </c>
      <c r="BO202" s="6" t="s">
        <v>162</v>
      </c>
      <c r="BP202" s="0" t="n">
        <v>0</v>
      </c>
      <c r="BR202" s="6" t="s">
        <v>8091</v>
      </c>
      <c r="BS202" s="6" t="s">
        <v>9039</v>
      </c>
      <c r="BT202" s="6" t="s">
        <v>9031</v>
      </c>
      <c r="BU202" s="6" t="s">
        <v>4695</v>
      </c>
      <c r="BV202" s="0" t="n">
        <v>25</v>
      </c>
      <c r="BX202" s="6" t="s">
        <v>9040</v>
      </c>
      <c r="CF202" s="6" t="s">
        <v>158</v>
      </c>
      <c r="CK202" s="6" t="s">
        <v>158</v>
      </c>
      <c r="CL202" s="0" t="n">
        <v>33</v>
      </c>
      <c r="CM202" s="0" t="n">
        <v>6</v>
      </c>
      <c r="CN202" s="0" t="n">
        <v>3</v>
      </c>
      <c r="CO202" s="0" t="n">
        <v>8</v>
      </c>
      <c r="CP202" s="0" t="n">
        <v>5</v>
      </c>
      <c r="CQ202" s="0" t="n">
        <v>7</v>
      </c>
      <c r="CR202" s="0" t="n">
        <v>6</v>
      </c>
      <c r="CS202" s="6" t="n">
        <f aca="false">IF(R202="Y",10,0)</f>
        <v>0</v>
      </c>
      <c r="CT202" s="0" t="n">
        <v>-2</v>
      </c>
      <c r="CU202" s="6" t="s">
        <v>163</v>
      </c>
      <c r="CV202" s="6" t="s">
        <v>5564</v>
      </c>
      <c r="CW202" s="6" t="s">
        <v>9041</v>
      </c>
      <c r="CX202" s="6" t="s">
        <v>9042</v>
      </c>
      <c r="CY202" s="6" t="s">
        <v>9043</v>
      </c>
      <c r="DA202" s="6" t="s">
        <v>6236</v>
      </c>
      <c r="DY202" s="0" t="str">
        <f aca="false">IF(ISNUMBER(MATCH(U202,{"queued","contacted","replied","call_booked","call_done","yes_in_principle","materials_sent"},0)),"Y","N")</f>
        <v>N</v>
      </c>
      <c r="DZ202" s="0" t="str">
        <f aca="false">IF(COUNTIFS($AN$2:$AN$1000,AN202,$DY$2:$DY$1000,"Y")+COUNTIFS($AN$2:$AN$1000,AN202,$T$2:$T$1000,"Y")&gt;0,"Y","N")</f>
        <v>N</v>
      </c>
      <c r="EA202" s="0" t="str">
        <f aca="false">IF(AND(U202="new",T202="N",AR202="Y",AQ202="",DZ202="N"),"Y","N")</f>
        <v>Y</v>
      </c>
      <c r="EB202" s="0" t="str">
        <f aca="false">IF(EA202&lt;&gt;"Y","N",IF(COUNTIFS($AN$2:$AN$1000,AN202,$EA$2:$EA$1000,"Y",$J$2:$J$1000,"&gt;"&amp;J202)+COUNTIFS($AN$2:$AN$1000,AN202,$EA$2:$EA$1000,"Y",$J$2:$J$1000,J202,$ED$2:$ED$1000,"&lt;"&amp;ED202)=0,"Y","N"))</f>
        <v>Y</v>
      </c>
      <c r="EC202" s="0" t="str">
        <f aca="false">IF(Y202="","N",IF(Y202&lt;=10,"Y","N"))</f>
        <v>N</v>
      </c>
      <c r="ED202" s="6" t="n">
        <f aca="false">ROW()-1</f>
        <v>201</v>
      </c>
    </row>
    <row r="203" customFormat="false" ht="15" hidden="false" customHeight="false" outlineLevel="0" collapsed="false">
      <c r="A203" s="0" t="s">
        <v>9044</v>
      </c>
      <c r="B203" s="0" t="s">
        <v>9045</v>
      </c>
      <c r="C203" s="0" t="s">
        <v>9046</v>
      </c>
      <c r="D203" s="0" t="s">
        <v>9047</v>
      </c>
      <c r="E203" s="0" t="s">
        <v>4773</v>
      </c>
      <c r="H203" s="5" t="s">
        <v>158</v>
      </c>
      <c r="I203" s="5" t="s">
        <v>159</v>
      </c>
      <c r="J203" s="6" t="n">
        <f aca="false">IF(AU203="pass",CM203+CN203+CO203+CP203+CQ203+CR203+CS203+CT203,0)</f>
        <v>32</v>
      </c>
      <c r="K203" s="6" t="s">
        <v>9048</v>
      </c>
      <c r="M203" s="6" t="s">
        <v>5293</v>
      </c>
      <c r="N203" s="6" t="s">
        <v>598</v>
      </c>
      <c r="O203" s="6" t="s">
        <v>9049</v>
      </c>
      <c r="P203" s="6" t="s">
        <v>9050</v>
      </c>
      <c r="Q203" s="6" t="s">
        <v>9051</v>
      </c>
      <c r="R203" s="5" t="s">
        <v>162</v>
      </c>
      <c r="S203" s="6" t="s">
        <v>163</v>
      </c>
      <c r="T203" s="5" t="s">
        <v>162</v>
      </c>
      <c r="U203" s="5" t="s">
        <v>228</v>
      </c>
      <c r="V203" s="6" t="s">
        <v>9052</v>
      </c>
      <c r="W203" s="6" t="s">
        <v>166</v>
      </c>
      <c r="X203" s="6" t="s">
        <v>4586</v>
      </c>
      <c r="Y203" s="6" t="n">
        <f aca="false">IF(EB203&lt;&gt;"Y","",COUNTIFS($EB$2:$EB$1000,"Y",$J$2:$J$1000,"&gt;"&amp;J203)+COUNTIFS($EB$2:$EB$1000,"Y",$J$2:$J$1000,J203,$ED$2:$ED$1000,"&lt;"&amp;ED203)+1)</f>
        <v>160</v>
      </c>
      <c r="Z203" s="0" t="n">
        <v>202</v>
      </c>
      <c r="AA203" s="6" t="s">
        <v>162</v>
      </c>
      <c r="AB203" s="6" t="s">
        <v>9053</v>
      </c>
      <c r="AC203" s="6" t="s">
        <v>4588</v>
      </c>
      <c r="AD203" s="6" t="s">
        <v>171</v>
      </c>
      <c r="AE203" s="6" t="s">
        <v>172</v>
      </c>
      <c r="AF203" s="6" t="s">
        <v>9052</v>
      </c>
      <c r="AG203" s="6" t="s">
        <v>166</v>
      </c>
      <c r="AH203" s="6" t="s">
        <v>9054</v>
      </c>
      <c r="AI203" s="6" t="s">
        <v>5765</v>
      </c>
      <c r="AJ203" s="6" t="s">
        <v>9055</v>
      </c>
      <c r="AK203" s="6" t="s">
        <v>9056</v>
      </c>
      <c r="AL203" s="6" t="s">
        <v>168</v>
      </c>
      <c r="AM203" s="6" t="s">
        <v>9057</v>
      </c>
      <c r="AN203" s="6" t="s">
        <v>9044</v>
      </c>
      <c r="AO203" s="5" t="s">
        <v>162</v>
      </c>
      <c r="AR203" s="0" t="str">
        <f aca="false">IF(AND(AU203="pass",AO203&lt;&gt;"Y",C203&lt;&gt;""),"Y","N")</f>
        <v>Y</v>
      </c>
      <c r="AS203" s="0" t="str">
        <f aca="false">_xlfn.TEXTJOIN("; ",TRUE(),IF(AU203&lt;&gt;"pass","gated out",""),IF(AO203="Y","on hold: "&amp;AP203,""),IF(C203="","no contact named on an opened page",""))</f>
        <v/>
      </c>
      <c r="AU203" s="6" t="s">
        <v>181</v>
      </c>
      <c r="AW203" s="6" t="s">
        <v>182</v>
      </c>
      <c r="AX203" s="6" t="s">
        <v>4595</v>
      </c>
      <c r="AY203" s="6" t="s">
        <v>9056</v>
      </c>
      <c r="AZ203" s="6" t="s">
        <v>4924</v>
      </c>
      <c r="BA203" s="6" t="s">
        <v>5193</v>
      </c>
      <c r="BB203" s="6" t="s">
        <v>163</v>
      </c>
      <c r="BD203" s="6" t="s">
        <v>163</v>
      </c>
      <c r="BE203" s="6" t="s">
        <v>9058</v>
      </c>
      <c r="BF203" s="6" t="s">
        <v>168</v>
      </c>
      <c r="BG203" s="6" t="s">
        <v>168</v>
      </c>
      <c r="BH203" s="6" t="s">
        <v>163</v>
      </c>
      <c r="BJ203" s="6" t="s">
        <v>5551</v>
      </c>
      <c r="BK203" s="6" t="s">
        <v>162</v>
      </c>
      <c r="BL203" s="6" t="s">
        <v>162</v>
      </c>
      <c r="BO203" s="6" t="s">
        <v>162</v>
      </c>
      <c r="BP203" s="0" t="n">
        <v>0</v>
      </c>
      <c r="BS203" s="6" t="s">
        <v>9059</v>
      </c>
      <c r="BT203" s="6" t="s">
        <v>9060</v>
      </c>
      <c r="BU203" s="6" t="s">
        <v>4695</v>
      </c>
      <c r="BV203" s="0" t="n">
        <v>223</v>
      </c>
      <c r="BX203" s="6" t="s">
        <v>9061</v>
      </c>
      <c r="CF203" s="6" t="s">
        <v>158</v>
      </c>
      <c r="CK203" s="6" t="s">
        <v>158</v>
      </c>
      <c r="CL203" s="0" t="n">
        <v>32</v>
      </c>
      <c r="CM203" s="0" t="n">
        <v>6</v>
      </c>
      <c r="CN203" s="0" t="n">
        <v>8</v>
      </c>
      <c r="CO203" s="0" t="n">
        <v>4</v>
      </c>
      <c r="CP203" s="0" t="n">
        <v>5</v>
      </c>
      <c r="CQ203" s="0" t="n">
        <v>7</v>
      </c>
      <c r="CR203" s="0" t="n">
        <v>6</v>
      </c>
      <c r="CS203" s="6" t="n">
        <f aca="false">IF(R203="Y",10,0)</f>
        <v>0</v>
      </c>
      <c r="CT203" s="0" t="n">
        <v>-4</v>
      </c>
      <c r="CU203" s="6" t="s">
        <v>9062</v>
      </c>
      <c r="CV203" s="6" t="s">
        <v>5564</v>
      </c>
      <c r="CW203" s="6" t="s">
        <v>9063</v>
      </c>
      <c r="CX203" s="6" t="s">
        <v>9064</v>
      </c>
      <c r="CY203" s="6" t="s">
        <v>9065</v>
      </c>
      <c r="DA203" s="6" t="s">
        <v>6236</v>
      </c>
      <c r="DY203" s="0" t="str">
        <f aca="false">IF(ISNUMBER(MATCH(U203,{"queued","contacted","replied","call_booked","call_done","yes_in_principle","materials_sent"},0)),"Y","N")</f>
        <v>N</v>
      </c>
      <c r="DZ203" s="0" t="str">
        <f aca="false">IF(COUNTIFS($AN$2:$AN$1000,AN203,$DY$2:$DY$1000,"Y")+COUNTIFS($AN$2:$AN$1000,AN203,$T$2:$T$1000,"Y")&gt;0,"Y","N")</f>
        <v>N</v>
      </c>
      <c r="EA203" s="0" t="str">
        <f aca="false">IF(AND(U203="new",T203="N",AR203="Y",AQ203="",DZ203="N"),"Y","N")</f>
        <v>Y</v>
      </c>
      <c r="EB203" s="0" t="str">
        <f aca="false">IF(EA203&lt;&gt;"Y","N",IF(COUNTIFS($AN$2:$AN$1000,AN203,$EA$2:$EA$1000,"Y",$J$2:$J$1000,"&gt;"&amp;J203)+COUNTIFS($AN$2:$AN$1000,AN203,$EA$2:$EA$1000,"Y",$J$2:$J$1000,J203,$ED$2:$ED$1000,"&lt;"&amp;ED203)=0,"Y","N"))</f>
        <v>Y</v>
      </c>
      <c r="EC203" s="0" t="str">
        <f aca="false">IF(Y203="","N",IF(Y203&lt;=10,"Y","N"))</f>
        <v>N</v>
      </c>
      <c r="ED203" s="6" t="n">
        <f aca="false">ROW()-1</f>
        <v>202</v>
      </c>
    </row>
    <row r="204" customFormat="false" ht="15" hidden="false" customHeight="false" outlineLevel="0" collapsed="false">
      <c r="A204" s="0" t="s">
        <v>9066</v>
      </c>
      <c r="B204" s="0" t="s">
        <v>9067</v>
      </c>
      <c r="H204" s="5" t="s">
        <v>158</v>
      </c>
      <c r="I204" s="5"/>
      <c r="J204" s="6" t="n">
        <f aca="false">IF(AU204="pass",CM204+CN204+CO204+CP204+CQ204+CR204+CS204+CT204,0)</f>
        <v>31</v>
      </c>
      <c r="K204" s="6" t="s">
        <v>9068</v>
      </c>
      <c r="M204" s="6" t="s">
        <v>4581</v>
      </c>
      <c r="N204" s="6" t="s">
        <v>4582</v>
      </c>
      <c r="O204" s="6" t="s">
        <v>9069</v>
      </c>
      <c r="P204" s="6" t="s">
        <v>9070</v>
      </c>
      <c r="Q204" s="6" t="s">
        <v>1268</v>
      </c>
      <c r="R204" s="5" t="s">
        <v>162</v>
      </c>
      <c r="S204" s="6" t="s">
        <v>163</v>
      </c>
      <c r="T204" s="5" t="s">
        <v>162</v>
      </c>
      <c r="U204" s="5" t="s">
        <v>228</v>
      </c>
      <c r="V204" s="6" t="s">
        <v>9071</v>
      </c>
      <c r="W204" s="6" t="s">
        <v>166</v>
      </c>
      <c r="X204" s="6" t="s">
        <v>4586</v>
      </c>
      <c r="Y204" s="0" t="str">
        <f aca="false">IF(EB204&lt;&gt;"Y","",COUNTIFS($EB$2:$EB$1000,"Y",$J$2:$J$1000,"&gt;"&amp;J204)+COUNTIFS($EB$2:$EB$1000,"Y",$J$2:$J$1000,J204,$ED$2:$ED$1000,"&lt;"&amp;ED204)+1)</f>
        <v/>
      </c>
      <c r="Z204" s="0" t="n">
        <v>203</v>
      </c>
      <c r="AA204" s="6" t="s">
        <v>162</v>
      </c>
      <c r="AB204" s="6" t="s">
        <v>9072</v>
      </c>
      <c r="AD204" s="6" t="s">
        <v>158</v>
      </c>
      <c r="AH204" s="6" t="s">
        <v>9073</v>
      </c>
      <c r="AI204" s="6" t="s">
        <v>5463</v>
      </c>
      <c r="AJ204" s="6" t="s">
        <v>9074</v>
      </c>
      <c r="AK204" s="6" t="s">
        <v>9071</v>
      </c>
      <c r="AL204" s="6" t="s">
        <v>168</v>
      </c>
      <c r="AM204" s="6" t="s">
        <v>9075</v>
      </c>
      <c r="AN204" s="6" t="s">
        <v>9066</v>
      </c>
      <c r="AO204" s="5" t="s">
        <v>162</v>
      </c>
      <c r="AR204" s="0" t="str">
        <f aca="false">IF(AND(AU204="pass",AO204&lt;&gt;"Y",C204&lt;&gt;""),"Y","N")</f>
        <v>N</v>
      </c>
      <c r="AS204" s="0" t="str">
        <f aca="false">_xlfn.TEXTJOIN("; ",TRUE(),IF(AU204&lt;&gt;"pass","gated out",""),IF(AO204="Y","on hold: "&amp;AP204,""),IF(C204="","no contact named on an opened page",""))</f>
        <v>no contact named on an opened page</v>
      </c>
      <c r="AU204" s="6" t="s">
        <v>181</v>
      </c>
      <c r="AW204" s="6" t="s">
        <v>182</v>
      </c>
      <c r="AX204" s="6" t="s">
        <v>8543</v>
      </c>
      <c r="AY204" s="6" t="s">
        <v>9076</v>
      </c>
      <c r="AZ204" s="6" t="s">
        <v>6034</v>
      </c>
      <c r="BA204" s="6" t="s">
        <v>5193</v>
      </c>
      <c r="BB204" s="6" t="s">
        <v>163</v>
      </c>
      <c r="BD204" s="6" t="s">
        <v>168</v>
      </c>
      <c r="BE204" s="6" t="s">
        <v>9077</v>
      </c>
      <c r="BF204" s="6" t="s">
        <v>168</v>
      </c>
      <c r="BG204" s="6" t="s">
        <v>168</v>
      </c>
      <c r="BH204" s="6" t="s">
        <v>163</v>
      </c>
      <c r="BJ204" s="6" t="s">
        <v>163</v>
      </c>
      <c r="BK204" s="6" t="s">
        <v>162</v>
      </c>
      <c r="BL204" s="6" t="s">
        <v>162</v>
      </c>
      <c r="BN204" s="0" t="n">
        <v>0</v>
      </c>
      <c r="BO204" s="6" t="s">
        <v>168</v>
      </c>
      <c r="BP204" s="0" t="n">
        <v>3</v>
      </c>
      <c r="BQ204" s="6" t="s">
        <v>4670</v>
      </c>
      <c r="BS204" s="6" t="s">
        <v>7853</v>
      </c>
      <c r="BT204" s="6" t="s">
        <v>9078</v>
      </c>
      <c r="BU204" s="6" t="s">
        <v>4695</v>
      </c>
      <c r="BV204" s="0" t="n">
        <v>159</v>
      </c>
      <c r="CF204" s="6" t="s">
        <v>158</v>
      </c>
      <c r="CK204" s="6" t="s">
        <v>158</v>
      </c>
      <c r="CL204" s="0" t="n">
        <v>31</v>
      </c>
      <c r="CM204" s="0" t="n">
        <v>25</v>
      </c>
      <c r="CN204" s="0" t="n">
        <v>8</v>
      </c>
      <c r="CO204" s="0" t="n">
        <v>8</v>
      </c>
      <c r="CP204" s="0" t="n">
        <v>5</v>
      </c>
      <c r="CQ204" s="0" t="n">
        <v>10</v>
      </c>
      <c r="CR204" s="0" t="n">
        <v>0</v>
      </c>
      <c r="CS204" s="6" t="n">
        <f aca="false">IF(R204="Y",10,0)</f>
        <v>0</v>
      </c>
      <c r="CT204" s="0" t="n">
        <v>-25</v>
      </c>
      <c r="CU204" s="6" t="s">
        <v>163</v>
      </c>
      <c r="CV204" s="6" t="s">
        <v>4843</v>
      </c>
      <c r="CW204" s="6" t="s">
        <v>9079</v>
      </c>
      <c r="CX204" s="6" t="s">
        <v>9080</v>
      </c>
      <c r="CY204" s="6" t="s">
        <v>9081</v>
      </c>
      <c r="DA204" s="6" t="s">
        <v>6236</v>
      </c>
      <c r="DY204" s="0" t="str">
        <f aca="false">IF(ISNUMBER(MATCH(U204,{"queued","contacted","replied","call_booked","call_done","yes_in_principle","materials_sent"},0)),"Y","N")</f>
        <v>N</v>
      </c>
      <c r="DZ204" s="0" t="str">
        <f aca="false">IF(COUNTIFS($AN$2:$AN$1000,AN204,$DY$2:$DY$1000,"Y")+COUNTIFS($AN$2:$AN$1000,AN204,$T$2:$T$1000,"Y")&gt;0,"Y","N")</f>
        <v>N</v>
      </c>
      <c r="EA204" s="0" t="str">
        <f aca="false">IF(AND(U204="new",T204="N",AR204="Y",AQ204="",DZ204="N"),"Y","N")</f>
        <v>N</v>
      </c>
      <c r="EB204" s="0" t="str">
        <f aca="false">IF(EA204&lt;&gt;"Y","N",IF(COUNTIFS($AN$2:$AN$1000,AN204,$EA$2:$EA$1000,"Y",$J$2:$J$1000,"&gt;"&amp;J204)+COUNTIFS($AN$2:$AN$1000,AN204,$EA$2:$EA$1000,"Y",$J$2:$J$1000,J204,$ED$2:$ED$1000,"&lt;"&amp;ED204)=0,"Y","N"))</f>
        <v>N</v>
      </c>
      <c r="EC204" s="0" t="str">
        <f aca="false">IF(Y204="","N",IF(Y204&lt;=10,"Y","N"))</f>
        <v>N</v>
      </c>
      <c r="ED204" s="6" t="n">
        <f aca="false">ROW()-1</f>
        <v>203</v>
      </c>
    </row>
    <row r="205" customFormat="false" ht="15" hidden="false" customHeight="false" outlineLevel="0" collapsed="false">
      <c r="A205" s="0" t="s">
        <v>9082</v>
      </c>
      <c r="B205" s="0" t="s">
        <v>9083</v>
      </c>
      <c r="C205" s="0" t="s">
        <v>9084</v>
      </c>
      <c r="D205" s="0" t="s">
        <v>9085</v>
      </c>
      <c r="E205" s="0" t="s">
        <v>9086</v>
      </c>
      <c r="H205" s="5" t="s">
        <v>158</v>
      </c>
      <c r="I205" s="5" t="s">
        <v>159</v>
      </c>
      <c r="J205" s="6" t="n">
        <f aca="false">IF(AU205="pass",CM205+CN205+CO205+CP205+CQ205+CR205+CS205+CT205,0)</f>
        <v>31</v>
      </c>
      <c r="K205" s="6" t="s">
        <v>9087</v>
      </c>
      <c r="M205" s="6" t="s">
        <v>5293</v>
      </c>
      <c r="N205" s="6" t="s">
        <v>598</v>
      </c>
      <c r="O205" s="6" t="s">
        <v>9088</v>
      </c>
      <c r="P205" s="6" t="s">
        <v>9089</v>
      </c>
      <c r="Q205" s="6" t="s">
        <v>7091</v>
      </c>
      <c r="R205" s="5" t="s">
        <v>162</v>
      </c>
      <c r="S205" s="6" t="s">
        <v>163</v>
      </c>
      <c r="T205" s="5" t="s">
        <v>162</v>
      </c>
      <c r="U205" s="5" t="s">
        <v>228</v>
      </c>
      <c r="V205" s="6" t="s">
        <v>9090</v>
      </c>
      <c r="W205" s="6" t="s">
        <v>166</v>
      </c>
      <c r="X205" s="6" t="s">
        <v>4586</v>
      </c>
      <c r="Y205" s="6" t="n">
        <f aca="false">IF(EB205&lt;&gt;"Y","",COUNTIFS($EB$2:$EB$1000,"Y",$J$2:$J$1000,"&gt;"&amp;J205)+COUNTIFS($EB$2:$EB$1000,"Y",$J$2:$J$1000,J205,$ED$2:$ED$1000,"&lt;"&amp;ED205)+1)</f>
        <v>161</v>
      </c>
      <c r="Z205" s="0" t="n">
        <v>204</v>
      </c>
      <c r="AA205" s="6" t="s">
        <v>162</v>
      </c>
      <c r="AB205" s="6" t="s">
        <v>9091</v>
      </c>
      <c r="AC205" s="6" t="s">
        <v>4588</v>
      </c>
      <c r="AD205" s="6" t="s">
        <v>171</v>
      </c>
      <c r="AE205" s="6" t="s">
        <v>1190</v>
      </c>
      <c r="AF205" s="6" t="s">
        <v>9089</v>
      </c>
      <c r="AG205" s="6" t="s">
        <v>166</v>
      </c>
      <c r="AH205" s="6" t="s">
        <v>9092</v>
      </c>
      <c r="AI205" s="6" t="s">
        <v>5030</v>
      </c>
      <c r="AJ205" s="6" t="s">
        <v>9093</v>
      </c>
      <c r="AK205" s="6" t="s">
        <v>9094</v>
      </c>
      <c r="AL205" s="6" t="s">
        <v>168</v>
      </c>
      <c r="AM205" s="6" t="s">
        <v>9095</v>
      </c>
      <c r="AN205" s="6" t="s">
        <v>9082</v>
      </c>
      <c r="AO205" s="5" t="s">
        <v>162</v>
      </c>
      <c r="AR205" s="0" t="str">
        <f aca="false">IF(AND(AU205="pass",AO205&lt;&gt;"Y",C205&lt;&gt;""),"Y","N")</f>
        <v>Y</v>
      </c>
      <c r="AS205" s="0" t="str">
        <f aca="false">_xlfn.TEXTJOIN("; ",TRUE(),IF(AU205&lt;&gt;"pass","gated out",""),IF(AO205="Y","on hold: "&amp;AP205,""),IF(C205="","no contact named on an opened page",""))</f>
        <v/>
      </c>
      <c r="AU205" s="6" t="s">
        <v>181</v>
      </c>
      <c r="AW205" s="6" t="s">
        <v>182</v>
      </c>
      <c r="AX205" s="6" t="s">
        <v>4893</v>
      </c>
      <c r="AY205" s="6" t="s">
        <v>9094</v>
      </c>
      <c r="AZ205" s="6" t="s">
        <v>5875</v>
      </c>
      <c r="BA205" s="6" t="s">
        <v>5331</v>
      </c>
      <c r="BB205" s="6" t="s">
        <v>163</v>
      </c>
      <c r="BD205" s="6" t="s">
        <v>168</v>
      </c>
      <c r="BE205" s="6" t="s">
        <v>9096</v>
      </c>
      <c r="BF205" s="6" t="s">
        <v>163</v>
      </c>
      <c r="BG205" s="6" t="s">
        <v>168</v>
      </c>
      <c r="BH205" s="6" t="s">
        <v>163</v>
      </c>
      <c r="BJ205" s="6" t="s">
        <v>163</v>
      </c>
      <c r="BK205" s="6" t="s">
        <v>162</v>
      </c>
      <c r="BL205" s="6" t="s">
        <v>162</v>
      </c>
      <c r="BO205" s="6" t="s">
        <v>162</v>
      </c>
      <c r="BP205" s="0" t="n">
        <v>0</v>
      </c>
      <c r="BS205" s="6" t="s">
        <v>9097</v>
      </c>
      <c r="BT205" s="6" t="s">
        <v>9098</v>
      </c>
      <c r="BU205" s="6" t="s">
        <v>4605</v>
      </c>
      <c r="BV205" s="0" t="n">
        <v>46</v>
      </c>
      <c r="BX205" s="6" t="s">
        <v>9099</v>
      </c>
      <c r="CF205" s="6" t="s">
        <v>158</v>
      </c>
      <c r="CK205" s="6" t="s">
        <v>158</v>
      </c>
      <c r="CL205" s="0" t="n">
        <v>31</v>
      </c>
      <c r="CM205" s="0" t="n">
        <v>6</v>
      </c>
      <c r="CN205" s="0" t="n">
        <v>3</v>
      </c>
      <c r="CO205" s="0" t="n">
        <v>15</v>
      </c>
      <c r="CP205" s="0" t="n">
        <v>5</v>
      </c>
      <c r="CQ205" s="0" t="n">
        <v>8</v>
      </c>
      <c r="CR205" s="0" t="n">
        <v>6</v>
      </c>
      <c r="CS205" s="6" t="n">
        <f aca="false">IF(R205="Y",10,0)</f>
        <v>0</v>
      </c>
      <c r="CT205" s="0" t="n">
        <v>-12</v>
      </c>
      <c r="CU205" s="6" t="s">
        <v>163</v>
      </c>
      <c r="CV205" s="6" t="s">
        <v>4843</v>
      </c>
      <c r="CW205" s="6" t="s">
        <v>9100</v>
      </c>
      <c r="CX205" s="6" t="s">
        <v>9101</v>
      </c>
      <c r="DA205" s="6" t="s">
        <v>6236</v>
      </c>
      <c r="DY205" s="0" t="str">
        <f aca="false">IF(ISNUMBER(MATCH(U205,{"queued","contacted","replied","call_booked","call_done","yes_in_principle","materials_sent"},0)),"Y","N")</f>
        <v>N</v>
      </c>
      <c r="DZ205" s="0" t="str">
        <f aca="false">IF(COUNTIFS($AN$2:$AN$1000,AN205,$DY$2:$DY$1000,"Y")+COUNTIFS($AN$2:$AN$1000,AN205,$T$2:$T$1000,"Y")&gt;0,"Y","N")</f>
        <v>N</v>
      </c>
      <c r="EA205" s="0" t="str">
        <f aca="false">IF(AND(U205="new",T205="N",AR205="Y",AQ205="",DZ205="N"),"Y","N")</f>
        <v>Y</v>
      </c>
      <c r="EB205" s="0" t="str">
        <f aca="false">IF(EA205&lt;&gt;"Y","N",IF(COUNTIFS($AN$2:$AN$1000,AN205,$EA$2:$EA$1000,"Y",$J$2:$J$1000,"&gt;"&amp;J205)+COUNTIFS($AN$2:$AN$1000,AN205,$EA$2:$EA$1000,"Y",$J$2:$J$1000,J205,$ED$2:$ED$1000,"&lt;"&amp;ED205)=0,"Y","N"))</f>
        <v>Y</v>
      </c>
      <c r="EC205" s="0" t="str">
        <f aca="false">IF(Y205="","N",IF(Y205&lt;=10,"Y","N"))</f>
        <v>N</v>
      </c>
      <c r="ED205" s="6" t="n">
        <f aca="false">ROW()-1</f>
        <v>204</v>
      </c>
    </row>
    <row r="206" customFormat="false" ht="15" hidden="false" customHeight="false" outlineLevel="0" collapsed="false">
      <c r="A206" s="0" t="s">
        <v>9102</v>
      </c>
      <c r="B206" s="0" t="s">
        <v>9103</v>
      </c>
      <c r="H206" s="5" t="s">
        <v>158</v>
      </c>
      <c r="I206" s="5"/>
      <c r="J206" s="6" t="n">
        <f aca="false">IF(AU206="pass",CM206+CN206+CO206+CP206+CQ206+CR206+CS206+CT206,0)</f>
        <v>31</v>
      </c>
      <c r="K206" s="6" t="s">
        <v>9104</v>
      </c>
      <c r="M206" s="6" t="s">
        <v>5293</v>
      </c>
      <c r="N206" s="6" t="s">
        <v>598</v>
      </c>
      <c r="O206" s="6" t="s">
        <v>9105</v>
      </c>
      <c r="P206" s="6" t="s">
        <v>9106</v>
      </c>
      <c r="Q206" s="6" t="s">
        <v>7509</v>
      </c>
      <c r="R206" s="5" t="s">
        <v>162</v>
      </c>
      <c r="S206" s="6" t="s">
        <v>163</v>
      </c>
      <c r="T206" s="5" t="s">
        <v>162</v>
      </c>
      <c r="U206" s="5" t="s">
        <v>228</v>
      </c>
      <c r="V206" s="6" t="s">
        <v>9107</v>
      </c>
      <c r="W206" s="6" t="s">
        <v>174</v>
      </c>
      <c r="X206" s="6" t="s">
        <v>4586</v>
      </c>
      <c r="Y206" s="0" t="str">
        <f aca="false">IF(EB206&lt;&gt;"Y","",COUNTIFS($EB$2:$EB$1000,"Y",$J$2:$J$1000,"&gt;"&amp;J206)+COUNTIFS($EB$2:$EB$1000,"Y",$J$2:$J$1000,J206,$ED$2:$ED$1000,"&lt;"&amp;ED206)+1)</f>
        <v/>
      </c>
      <c r="Z206" s="0" t="n">
        <v>205</v>
      </c>
      <c r="AA206" s="6" t="s">
        <v>162</v>
      </c>
      <c r="AB206" s="6" t="s">
        <v>9108</v>
      </c>
      <c r="AD206" s="6" t="s">
        <v>158</v>
      </c>
      <c r="AH206" s="6" t="s">
        <v>9109</v>
      </c>
      <c r="AI206" s="6" t="s">
        <v>4724</v>
      </c>
      <c r="AJ206" s="6" t="s">
        <v>9110</v>
      </c>
      <c r="AK206" s="6" t="s">
        <v>9111</v>
      </c>
      <c r="AL206" s="6" t="s">
        <v>168</v>
      </c>
      <c r="AM206" s="6" t="s">
        <v>9112</v>
      </c>
      <c r="AN206" s="6" t="s">
        <v>9102</v>
      </c>
      <c r="AO206" s="5" t="s">
        <v>162</v>
      </c>
      <c r="AR206" s="0" t="str">
        <f aca="false">IF(AND(AU206="pass",AO206&lt;&gt;"Y",C206&lt;&gt;""),"Y","N")</f>
        <v>N</v>
      </c>
      <c r="AS206" s="0" t="str">
        <f aca="false">_xlfn.TEXTJOIN("; ",TRUE(),IF(AU206&lt;&gt;"pass","gated out",""),IF(AO206="Y","on hold: "&amp;AP206,""),IF(C206="","no contact named on an opened page",""))</f>
        <v>no contact named on an opened page</v>
      </c>
      <c r="AU206" s="6" t="s">
        <v>181</v>
      </c>
      <c r="AW206" s="6" t="s">
        <v>182</v>
      </c>
      <c r="AX206" s="6" t="s">
        <v>4830</v>
      </c>
      <c r="AY206" s="6" t="s">
        <v>9111</v>
      </c>
      <c r="AZ206" s="6" t="s">
        <v>5192</v>
      </c>
      <c r="BA206" s="6" t="s">
        <v>5193</v>
      </c>
      <c r="BB206" s="6" t="s">
        <v>163</v>
      </c>
      <c r="BD206" s="6" t="s">
        <v>168</v>
      </c>
      <c r="BE206" s="6" t="s">
        <v>9113</v>
      </c>
      <c r="BF206" s="6" t="s">
        <v>163</v>
      </c>
      <c r="BG206" s="6" t="s">
        <v>168</v>
      </c>
      <c r="BH206" s="6" t="s">
        <v>163</v>
      </c>
      <c r="BJ206" s="6" t="s">
        <v>5145</v>
      </c>
      <c r="BK206" s="6" t="s">
        <v>162</v>
      </c>
      <c r="BL206" s="6" t="s">
        <v>162</v>
      </c>
      <c r="BO206" s="6" t="s">
        <v>162</v>
      </c>
      <c r="BP206" s="0" t="n">
        <v>0</v>
      </c>
      <c r="BS206" s="6" t="s">
        <v>9114</v>
      </c>
      <c r="BU206" s="6" t="s">
        <v>4695</v>
      </c>
      <c r="BV206" s="0" t="n">
        <v>20</v>
      </c>
      <c r="CF206" s="6" t="s">
        <v>158</v>
      </c>
      <c r="CK206" s="6" t="s">
        <v>158</v>
      </c>
      <c r="CL206" s="0" t="n">
        <v>31</v>
      </c>
      <c r="CM206" s="0" t="n">
        <v>6</v>
      </c>
      <c r="CN206" s="0" t="n">
        <v>8</v>
      </c>
      <c r="CO206" s="0" t="n">
        <v>8</v>
      </c>
      <c r="CP206" s="0" t="n">
        <v>5</v>
      </c>
      <c r="CQ206" s="0" t="n">
        <v>8</v>
      </c>
      <c r="CR206" s="0" t="n">
        <v>0</v>
      </c>
      <c r="CS206" s="6" t="n">
        <f aca="false">IF(R206="Y",10,0)</f>
        <v>0</v>
      </c>
      <c r="CT206" s="0" t="n">
        <v>-4</v>
      </c>
      <c r="CV206" s="6" t="s">
        <v>5152</v>
      </c>
      <c r="CW206" s="6" t="s">
        <v>9115</v>
      </c>
      <c r="CX206" s="6" t="s">
        <v>9116</v>
      </c>
      <c r="DA206" s="6" t="s">
        <v>6236</v>
      </c>
      <c r="DY206" s="0" t="str">
        <f aca="false">IF(ISNUMBER(MATCH(U206,{"queued","contacted","replied","call_booked","call_done","yes_in_principle","materials_sent"},0)),"Y","N")</f>
        <v>N</v>
      </c>
      <c r="DZ206" s="0" t="str">
        <f aca="false">IF(COUNTIFS($AN$2:$AN$1000,AN206,$DY$2:$DY$1000,"Y")+COUNTIFS($AN$2:$AN$1000,AN206,$T$2:$T$1000,"Y")&gt;0,"Y","N")</f>
        <v>N</v>
      </c>
      <c r="EA206" s="0" t="str">
        <f aca="false">IF(AND(U206="new",T206="N",AR206="Y",AQ206="",DZ206="N"),"Y","N")</f>
        <v>N</v>
      </c>
      <c r="EB206" s="0" t="str">
        <f aca="false">IF(EA206&lt;&gt;"Y","N",IF(COUNTIFS($AN$2:$AN$1000,AN206,$EA$2:$EA$1000,"Y",$J$2:$J$1000,"&gt;"&amp;J206)+COUNTIFS($AN$2:$AN$1000,AN206,$EA$2:$EA$1000,"Y",$J$2:$J$1000,J206,$ED$2:$ED$1000,"&lt;"&amp;ED206)=0,"Y","N"))</f>
        <v>N</v>
      </c>
      <c r="EC206" s="0" t="str">
        <f aca="false">IF(Y206="","N",IF(Y206&lt;=10,"Y","N"))</f>
        <v>N</v>
      </c>
      <c r="ED206" s="6" t="n">
        <f aca="false">ROW()-1</f>
        <v>205</v>
      </c>
    </row>
    <row r="207" customFormat="false" ht="15" hidden="false" customHeight="false" outlineLevel="0" collapsed="false">
      <c r="A207" s="0" t="s">
        <v>9117</v>
      </c>
      <c r="B207" s="0" t="s">
        <v>9118</v>
      </c>
      <c r="C207" s="0" t="s">
        <v>9119</v>
      </c>
      <c r="D207" s="0" t="s">
        <v>9120</v>
      </c>
      <c r="E207" s="0" t="s">
        <v>4657</v>
      </c>
      <c r="H207" s="5" t="s">
        <v>158</v>
      </c>
      <c r="I207" s="5" t="s">
        <v>159</v>
      </c>
      <c r="J207" s="6" t="n">
        <f aca="false">IF(AU207="pass",CM207+CN207+CO207+CP207+CQ207+CR207+CS207+CT207,0)</f>
        <v>30</v>
      </c>
      <c r="K207" s="6" t="s">
        <v>9121</v>
      </c>
      <c r="M207" s="6" t="s">
        <v>4581</v>
      </c>
      <c r="N207" s="6" t="s">
        <v>4582</v>
      </c>
      <c r="O207" s="6" t="s">
        <v>9122</v>
      </c>
      <c r="P207" s="6" t="s">
        <v>9123</v>
      </c>
      <c r="Q207" s="6" t="s">
        <v>9124</v>
      </c>
      <c r="R207" s="5" t="s">
        <v>162</v>
      </c>
      <c r="S207" s="6" t="s">
        <v>163</v>
      </c>
      <c r="T207" s="5" t="s">
        <v>162</v>
      </c>
      <c r="U207" s="5" t="s">
        <v>228</v>
      </c>
      <c r="V207" s="6" t="s">
        <v>9125</v>
      </c>
      <c r="W207" s="6" t="s">
        <v>166</v>
      </c>
      <c r="X207" s="6" t="s">
        <v>4586</v>
      </c>
      <c r="Y207" s="6" t="n">
        <f aca="false">IF(EB207&lt;&gt;"Y","",COUNTIFS($EB$2:$EB$1000,"Y",$J$2:$J$1000,"&gt;"&amp;J207)+COUNTIFS($EB$2:$EB$1000,"Y",$J$2:$J$1000,J207,$ED$2:$ED$1000,"&lt;"&amp;ED207)+1)</f>
        <v>162</v>
      </c>
      <c r="Z207" s="0" t="n">
        <v>206</v>
      </c>
      <c r="AA207" s="6" t="s">
        <v>162</v>
      </c>
      <c r="AB207" s="6" t="s">
        <v>9126</v>
      </c>
      <c r="AC207" s="6" t="s">
        <v>4588</v>
      </c>
      <c r="AD207" s="6" t="s">
        <v>171</v>
      </c>
      <c r="AE207" s="6" t="s">
        <v>172</v>
      </c>
      <c r="AF207" s="6" t="s">
        <v>9125</v>
      </c>
      <c r="AG207" s="6" t="s">
        <v>166</v>
      </c>
      <c r="AH207" s="6" t="s">
        <v>9127</v>
      </c>
      <c r="AI207" s="6" t="s">
        <v>4665</v>
      </c>
      <c r="AJ207" s="6" t="s">
        <v>9128</v>
      </c>
      <c r="AK207" s="6" t="s">
        <v>9129</v>
      </c>
      <c r="AL207" s="6" t="s">
        <v>168</v>
      </c>
      <c r="AM207" s="6" t="s">
        <v>9130</v>
      </c>
      <c r="AN207" s="6" t="s">
        <v>9117</v>
      </c>
      <c r="AO207" s="5" t="s">
        <v>162</v>
      </c>
      <c r="AR207" s="0" t="str">
        <f aca="false">IF(AND(AU207="pass",AO207&lt;&gt;"Y",C207&lt;&gt;""),"Y","N")</f>
        <v>Y</v>
      </c>
      <c r="AS207" s="0" t="str">
        <f aca="false">_xlfn.TEXTJOIN("; ",TRUE(),IF(AU207&lt;&gt;"pass","gated out",""),IF(AO207="Y","on hold: "&amp;AP207,""),IF(C207="","no contact named on an opened page",""))</f>
        <v/>
      </c>
      <c r="AU207" s="6" t="s">
        <v>181</v>
      </c>
      <c r="AW207" s="6" t="s">
        <v>182</v>
      </c>
      <c r="AX207" s="6" t="s">
        <v>8543</v>
      </c>
      <c r="AY207" s="6" t="s">
        <v>9129</v>
      </c>
      <c r="AZ207" s="6" t="s">
        <v>9131</v>
      </c>
      <c r="BA207" s="6" t="s">
        <v>5331</v>
      </c>
      <c r="BB207" s="6" t="s">
        <v>9132</v>
      </c>
      <c r="BC207" s="6" t="s">
        <v>9125</v>
      </c>
      <c r="BD207" s="6" t="s">
        <v>264</v>
      </c>
      <c r="BE207" s="6" t="s">
        <v>4692</v>
      </c>
      <c r="BF207" s="6" t="s">
        <v>168</v>
      </c>
      <c r="BG207" s="6" t="s">
        <v>168</v>
      </c>
      <c r="BH207" s="6" t="s">
        <v>163</v>
      </c>
      <c r="BJ207" s="6" t="s">
        <v>163</v>
      </c>
      <c r="BK207" s="6" t="s">
        <v>162</v>
      </c>
      <c r="BL207" s="6" t="s">
        <v>162</v>
      </c>
      <c r="BN207" s="0" t="n">
        <v>0</v>
      </c>
      <c r="BO207" s="6" t="s">
        <v>168</v>
      </c>
      <c r="BP207" s="0" t="n">
        <v>3</v>
      </c>
      <c r="BQ207" s="6" t="s">
        <v>4670</v>
      </c>
      <c r="BS207" s="6" t="s">
        <v>9133</v>
      </c>
      <c r="BT207" s="6" t="s">
        <v>9134</v>
      </c>
      <c r="BU207" s="6" t="s">
        <v>4695</v>
      </c>
      <c r="BV207" s="0" t="n">
        <v>39</v>
      </c>
      <c r="BX207" s="6" t="s">
        <v>9135</v>
      </c>
      <c r="CF207" s="6" t="s">
        <v>158</v>
      </c>
      <c r="CK207" s="6" t="s">
        <v>158</v>
      </c>
      <c r="CL207" s="0" t="n">
        <v>30</v>
      </c>
      <c r="CM207" s="0" t="n">
        <v>25</v>
      </c>
      <c r="CN207" s="0" t="n">
        <v>3</v>
      </c>
      <c r="CO207" s="0" t="n">
        <v>8</v>
      </c>
      <c r="CP207" s="0" t="n">
        <v>5</v>
      </c>
      <c r="CQ207" s="0" t="n">
        <v>8</v>
      </c>
      <c r="CR207" s="0" t="n">
        <v>6</v>
      </c>
      <c r="CS207" s="6" t="n">
        <f aca="false">IF(R207="Y",10,0)</f>
        <v>0</v>
      </c>
      <c r="CT207" s="0" t="n">
        <v>-25</v>
      </c>
      <c r="CU207" s="6" t="s">
        <v>9136</v>
      </c>
      <c r="CV207" s="6" t="s">
        <v>4704</v>
      </c>
      <c r="CW207" s="6" t="s">
        <v>9137</v>
      </c>
      <c r="CX207" s="6" t="s">
        <v>9138</v>
      </c>
      <c r="CY207" s="6" t="s">
        <v>9139</v>
      </c>
      <c r="DA207" s="6" t="s">
        <v>6236</v>
      </c>
      <c r="DY207" s="0" t="str">
        <f aca="false">IF(ISNUMBER(MATCH(U207,{"queued","contacted","replied","call_booked","call_done","yes_in_principle","materials_sent"},0)),"Y","N")</f>
        <v>N</v>
      </c>
      <c r="DZ207" s="0" t="str">
        <f aca="false">IF(COUNTIFS($AN$2:$AN$1000,AN207,$DY$2:$DY$1000,"Y")+COUNTIFS($AN$2:$AN$1000,AN207,$T$2:$T$1000,"Y")&gt;0,"Y","N")</f>
        <v>N</v>
      </c>
      <c r="EA207" s="0" t="str">
        <f aca="false">IF(AND(U207="new",T207="N",AR207="Y",AQ207="",DZ207="N"),"Y","N")</f>
        <v>Y</v>
      </c>
      <c r="EB207" s="0" t="str">
        <f aca="false">IF(EA207&lt;&gt;"Y","N",IF(COUNTIFS($AN$2:$AN$1000,AN207,$EA$2:$EA$1000,"Y",$J$2:$J$1000,"&gt;"&amp;J207)+COUNTIFS($AN$2:$AN$1000,AN207,$EA$2:$EA$1000,"Y",$J$2:$J$1000,J207,$ED$2:$ED$1000,"&lt;"&amp;ED207)=0,"Y","N"))</f>
        <v>Y</v>
      </c>
      <c r="EC207" s="0" t="str">
        <f aca="false">IF(Y207="","N",IF(Y207&lt;=10,"Y","N"))</f>
        <v>N</v>
      </c>
      <c r="ED207" s="6" t="n">
        <f aca="false">ROW()-1</f>
        <v>206</v>
      </c>
    </row>
    <row r="208" customFormat="false" ht="15" hidden="false" customHeight="false" outlineLevel="0" collapsed="false">
      <c r="A208" s="0" t="s">
        <v>9140</v>
      </c>
      <c r="B208" s="0" t="s">
        <v>9141</v>
      </c>
      <c r="C208" s="0" t="s">
        <v>6981</v>
      </c>
      <c r="D208" s="0" t="s">
        <v>9142</v>
      </c>
      <c r="E208" s="0" t="s">
        <v>4626</v>
      </c>
      <c r="H208" s="5" t="s">
        <v>158</v>
      </c>
      <c r="I208" s="5" t="s">
        <v>159</v>
      </c>
      <c r="J208" s="6" t="n">
        <f aca="false">IF(AU208="pass",CM208+CN208+CO208+CP208+CQ208+CR208+CS208+CT208,0)</f>
        <v>30</v>
      </c>
      <c r="K208" s="6" t="s">
        <v>9143</v>
      </c>
      <c r="M208" s="6" t="s">
        <v>5293</v>
      </c>
      <c r="N208" s="6" t="s">
        <v>598</v>
      </c>
      <c r="O208" s="6" t="s">
        <v>9144</v>
      </c>
      <c r="P208" s="6" t="s">
        <v>9145</v>
      </c>
      <c r="Q208" s="6" t="s">
        <v>2033</v>
      </c>
      <c r="R208" s="5" t="s">
        <v>162</v>
      </c>
      <c r="S208" s="6" t="s">
        <v>163</v>
      </c>
      <c r="T208" s="5" t="s">
        <v>162</v>
      </c>
      <c r="U208" s="5" t="s">
        <v>228</v>
      </c>
      <c r="V208" s="6" t="s">
        <v>9146</v>
      </c>
      <c r="W208" s="6" t="s">
        <v>166</v>
      </c>
      <c r="X208" s="6" t="s">
        <v>4586</v>
      </c>
      <c r="Y208" s="6" t="n">
        <f aca="false">IF(EB208&lt;&gt;"Y","",COUNTIFS($EB$2:$EB$1000,"Y",$J$2:$J$1000,"&gt;"&amp;J208)+COUNTIFS($EB$2:$EB$1000,"Y",$J$2:$J$1000,J208,$ED$2:$ED$1000,"&lt;"&amp;ED208)+1)</f>
        <v>163</v>
      </c>
      <c r="Z208" s="0" t="n">
        <v>207</v>
      </c>
      <c r="AA208" s="6" t="s">
        <v>162</v>
      </c>
      <c r="AB208" s="6" t="s">
        <v>9147</v>
      </c>
      <c r="AC208" s="6" t="s">
        <v>4588</v>
      </c>
      <c r="AD208" s="6" t="s">
        <v>171</v>
      </c>
      <c r="AE208" s="6" t="s">
        <v>1190</v>
      </c>
      <c r="AF208" s="6" t="s">
        <v>9148</v>
      </c>
      <c r="AG208" s="6" t="s">
        <v>166</v>
      </c>
      <c r="AH208" s="6" t="s">
        <v>9149</v>
      </c>
      <c r="AI208" s="6" t="s">
        <v>5738</v>
      </c>
      <c r="AJ208" s="6" t="s">
        <v>163</v>
      </c>
      <c r="AK208" s="6" t="s">
        <v>9150</v>
      </c>
      <c r="AL208" s="6" t="s">
        <v>168</v>
      </c>
      <c r="AM208" s="6" t="s">
        <v>9151</v>
      </c>
      <c r="AN208" s="6" t="s">
        <v>9140</v>
      </c>
      <c r="AO208" s="5" t="s">
        <v>162</v>
      </c>
      <c r="AR208" s="0" t="str">
        <f aca="false">IF(AND(AU208="pass",AO208&lt;&gt;"Y",C208&lt;&gt;""),"Y","N")</f>
        <v>Y</v>
      </c>
      <c r="AS208" s="0" t="str">
        <f aca="false">_xlfn.TEXTJOIN("; ",TRUE(),IF(AU208&lt;&gt;"pass","gated out",""),IF(AO208="Y","on hold: "&amp;AP208,""),IF(C208="","no contact named on an opened page",""))</f>
        <v/>
      </c>
      <c r="AU208" s="6" t="s">
        <v>181</v>
      </c>
      <c r="AW208" s="6" t="s">
        <v>182</v>
      </c>
      <c r="AX208" s="6" t="s">
        <v>5607</v>
      </c>
      <c r="AY208" s="6" t="s">
        <v>9150</v>
      </c>
      <c r="AZ208" s="6" t="s">
        <v>8748</v>
      </c>
      <c r="BA208" s="6" t="s">
        <v>5331</v>
      </c>
      <c r="BB208" s="6" t="s">
        <v>163</v>
      </c>
      <c r="BD208" s="6" t="s">
        <v>168</v>
      </c>
      <c r="BE208" s="6" t="s">
        <v>9152</v>
      </c>
      <c r="BF208" s="6" t="s">
        <v>168</v>
      </c>
      <c r="BG208" s="6" t="s">
        <v>168</v>
      </c>
      <c r="BH208" s="6" t="s">
        <v>163</v>
      </c>
      <c r="BJ208" s="6" t="s">
        <v>5551</v>
      </c>
      <c r="BK208" s="6" t="s">
        <v>162</v>
      </c>
      <c r="BL208" s="6" t="s">
        <v>162</v>
      </c>
      <c r="BO208" s="6" t="s">
        <v>162</v>
      </c>
      <c r="BP208" s="0" t="n">
        <v>0</v>
      </c>
      <c r="BS208" s="6" t="s">
        <v>9153</v>
      </c>
      <c r="BT208" s="6" t="s">
        <v>9154</v>
      </c>
      <c r="BU208" s="6" t="s">
        <v>4695</v>
      </c>
      <c r="BV208" s="0" t="n">
        <v>32</v>
      </c>
      <c r="BX208" s="6" t="s">
        <v>9155</v>
      </c>
      <c r="CA208" s="6" t="s">
        <v>9156</v>
      </c>
      <c r="CB208" s="6" t="s">
        <v>4991</v>
      </c>
      <c r="CC208" s="6" t="s">
        <v>9157</v>
      </c>
      <c r="CD208" s="6" t="s">
        <v>4701</v>
      </c>
      <c r="CE208" s="6" t="s">
        <v>6262</v>
      </c>
      <c r="CF208" s="6" t="s">
        <v>171</v>
      </c>
      <c r="CK208" s="6" t="s">
        <v>158</v>
      </c>
      <c r="CL208" s="0" t="n">
        <v>30</v>
      </c>
      <c r="CM208" s="0" t="n">
        <v>6</v>
      </c>
      <c r="CN208" s="0" t="n">
        <v>3</v>
      </c>
      <c r="CO208" s="0" t="n">
        <v>8</v>
      </c>
      <c r="CP208" s="0" t="n">
        <v>5</v>
      </c>
      <c r="CQ208" s="0" t="n">
        <v>10</v>
      </c>
      <c r="CR208" s="0" t="n">
        <v>10</v>
      </c>
      <c r="CS208" s="6" t="n">
        <f aca="false">IF(R208="Y",10,0)</f>
        <v>0</v>
      </c>
      <c r="CT208" s="0" t="n">
        <v>-12</v>
      </c>
      <c r="CU208" s="6" t="s">
        <v>9158</v>
      </c>
      <c r="CV208" s="6" t="s">
        <v>5564</v>
      </c>
      <c r="CW208" s="6" t="s">
        <v>9159</v>
      </c>
      <c r="CX208" s="6" t="s">
        <v>9160</v>
      </c>
      <c r="CY208" s="6" t="s">
        <v>9161</v>
      </c>
      <c r="CZ208" s="6" t="s">
        <v>9162</v>
      </c>
      <c r="DA208" s="6" t="s">
        <v>6236</v>
      </c>
      <c r="DC208" s="6" t="s">
        <v>1190</v>
      </c>
      <c r="DY208" s="0" t="str">
        <f aca="false">IF(ISNUMBER(MATCH(U208,{"queued","contacted","replied","call_booked","call_done","yes_in_principle","materials_sent"},0)),"Y","N")</f>
        <v>N</v>
      </c>
      <c r="DZ208" s="0" t="str">
        <f aca="false">IF(COUNTIFS($AN$2:$AN$1000,AN208,$DY$2:$DY$1000,"Y")+COUNTIFS($AN$2:$AN$1000,AN208,$T$2:$T$1000,"Y")&gt;0,"Y","N")</f>
        <v>N</v>
      </c>
      <c r="EA208" s="0" t="str">
        <f aca="false">IF(AND(U208="new",T208="N",AR208="Y",AQ208="",DZ208="N"),"Y","N")</f>
        <v>Y</v>
      </c>
      <c r="EB208" s="0" t="str">
        <f aca="false">IF(EA208&lt;&gt;"Y","N",IF(COUNTIFS($AN$2:$AN$1000,AN208,$EA$2:$EA$1000,"Y",$J$2:$J$1000,"&gt;"&amp;J208)+COUNTIFS($AN$2:$AN$1000,AN208,$EA$2:$EA$1000,"Y",$J$2:$J$1000,J208,$ED$2:$ED$1000,"&lt;"&amp;ED208)=0,"Y","N"))</f>
        <v>Y</v>
      </c>
      <c r="EC208" s="0" t="str">
        <f aca="false">IF(Y208="","N",IF(Y208&lt;=10,"Y","N"))</f>
        <v>N</v>
      </c>
      <c r="ED208" s="6" t="n">
        <f aca="false">ROW()-1</f>
        <v>207</v>
      </c>
    </row>
    <row r="209" customFormat="false" ht="15" hidden="false" customHeight="false" outlineLevel="0" collapsed="false">
      <c r="A209" s="0" t="s">
        <v>9163</v>
      </c>
      <c r="B209" s="0" t="s">
        <v>9164</v>
      </c>
      <c r="H209" s="5" t="s">
        <v>158</v>
      </c>
      <c r="I209" s="5"/>
      <c r="J209" s="6" t="n">
        <f aca="false">IF(AU209="pass",CM209+CN209+CO209+CP209+CQ209+CR209+CS209+CT209,0)</f>
        <v>30</v>
      </c>
      <c r="K209" s="6" t="s">
        <v>9165</v>
      </c>
      <c r="M209" s="6" t="s">
        <v>5293</v>
      </c>
      <c r="N209" s="6" t="s">
        <v>598</v>
      </c>
      <c r="O209" s="6" t="s">
        <v>9166</v>
      </c>
      <c r="P209" s="6" t="s">
        <v>9167</v>
      </c>
      <c r="Q209" s="6" t="s">
        <v>9168</v>
      </c>
      <c r="R209" s="5" t="s">
        <v>162</v>
      </c>
      <c r="S209" s="6" t="s">
        <v>163</v>
      </c>
      <c r="T209" s="5" t="s">
        <v>162</v>
      </c>
      <c r="U209" s="5" t="s">
        <v>228</v>
      </c>
      <c r="V209" s="6" t="s">
        <v>9169</v>
      </c>
      <c r="W209" s="6" t="s">
        <v>166</v>
      </c>
      <c r="X209" s="6" t="s">
        <v>4586</v>
      </c>
      <c r="Y209" s="0" t="str">
        <f aca="false">IF(EB209&lt;&gt;"Y","",COUNTIFS($EB$2:$EB$1000,"Y",$J$2:$J$1000,"&gt;"&amp;J209)+COUNTIFS($EB$2:$EB$1000,"Y",$J$2:$J$1000,J209,$ED$2:$ED$1000,"&lt;"&amp;ED209)+1)</f>
        <v/>
      </c>
      <c r="Z209" s="0" t="n">
        <v>208</v>
      </c>
      <c r="AA209" s="6" t="s">
        <v>162</v>
      </c>
      <c r="AB209" s="6" t="s">
        <v>6317</v>
      </c>
      <c r="AC209" s="6" t="s">
        <v>4588</v>
      </c>
      <c r="AD209" s="6" t="s">
        <v>598</v>
      </c>
      <c r="AE209" s="6" t="s">
        <v>163</v>
      </c>
      <c r="AG209" s="6" t="s">
        <v>166</v>
      </c>
      <c r="AH209" s="6" t="s">
        <v>9170</v>
      </c>
      <c r="AI209" s="6" t="s">
        <v>4591</v>
      </c>
      <c r="AJ209" s="6" t="s">
        <v>2955</v>
      </c>
      <c r="AK209" s="6" t="s">
        <v>9171</v>
      </c>
      <c r="AL209" s="6" t="s">
        <v>168</v>
      </c>
      <c r="AM209" s="6" t="s">
        <v>9172</v>
      </c>
      <c r="AN209" s="6" t="s">
        <v>9163</v>
      </c>
      <c r="AO209" s="5" t="s">
        <v>162</v>
      </c>
      <c r="AR209" s="0" t="str">
        <f aca="false">IF(AND(AU209="pass",AO209&lt;&gt;"Y",C209&lt;&gt;""),"Y","N")</f>
        <v>N</v>
      </c>
      <c r="AS209" s="0" t="str">
        <f aca="false">_xlfn.TEXTJOIN("; ",TRUE(),IF(AU209&lt;&gt;"pass","gated out",""),IF(AO209="Y","on hold: "&amp;AP209,""),IF(C209="","no contact named on an opened page",""))</f>
        <v>no contact named on an opened page</v>
      </c>
      <c r="AU209" s="6" t="s">
        <v>181</v>
      </c>
      <c r="AW209" s="6" t="s">
        <v>182</v>
      </c>
      <c r="AX209" s="6" t="s">
        <v>283</v>
      </c>
      <c r="AY209" s="6" t="s">
        <v>9171</v>
      </c>
      <c r="AZ209" s="6" t="s">
        <v>5659</v>
      </c>
      <c r="BA209" s="6" t="s">
        <v>5331</v>
      </c>
      <c r="BB209" s="6" t="s">
        <v>163</v>
      </c>
      <c r="BD209" s="6" t="s">
        <v>163</v>
      </c>
      <c r="BE209" s="6" t="s">
        <v>6389</v>
      </c>
      <c r="BF209" s="6" t="s">
        <v>168</v>
      </c>
      <c r="BG209" s="6" t="s">
        <v>168</v>
      </c>
      <c r="BH209" s="6" t="s">
        <v>163</v>
      </c>
      <c r="BJ209" s="6" t="s">
        <v>5551</v>
      </c>
      <c r="BK209" s="6" t="s">
        <v>162</v>
      </c>
      <c r="BL209" s="6" t="s">
        <v>162</v>
      </c>
      <c r="BO209" s="6" t="s">
        <v>162</v>
      </c>
      <c r="BP209" s="0" t="n">
        <v>0</v>
      </c>
      <c r="BS209" s="6" t="s">
        <v>9173</v>
      </c>
      <c r="BU209" s="6" t="s">
        <v>4695</v>
      </c>
      <c r="BV209" s="0" t="n">
        <v>359</v>
      </c>
      <c r="BX209" s="6" t="s">
        <v>9174</v>
      </c>
      <c r="BY209" s="6" t="s">
        <v>7383</v>
      </c>
      <c r="CA209" s="6" t="s">
        <v>9175</v>
      </c>
      <c r="CB209" s="6" t="s">
        <v>9176</v>
      </c>
      <c r="CC209" s="6" t="s">
        <v>9177</v>
      </c>
      <c r="CD209" s="6" t="s">
        <v>9178</v>
      </c>
      <c r="CE209" s="6" t="s">
        <v>6262</v>
      </c>
      <c r="CF209" s="6" t="s">
        <v>171</v>
      </c>
      <c r="CG209" s="6" t="s">
        <v>9179</v>
      </c>
      <c r="CK209" s="6" t="s">
        <v>158</v>
      </c>
      <c r="CL209" s="0" t="n">
        <v>30</v>
      </c>
      <c r="CM209" s="0" t="n">
        <v>6</v>
      </c>
      <c r="CN209" s="0" t="n">
        <v>3</v>
      </c>
      <c r="CO209" s="0" t="n">
        <v>4</v>
      </c>
      <c r="CP209" s="0" t="n">
        <v>5</v>
      </c>
      <c r="CQ209" s="0" t="n">
        <v>7</v>
      </c>
      <c r="CR209" s="0" t="n">
        <v>7</v>
      </c>
      <c r="CS209" s="6" t="n">
        <f aca="false">IF(R209="Y",10,0)</f>
        <v>0</v>
      </c>
      <c r="CT209" s="0" t="n">
        <v>-2</v>
      </c>
      <c r="CU209" s="6" t="s">
        <v>163</v>
      </c>
      <c r="CV209" s="6" t="s">
        <v>5564</v>
      </c>
      <c r="CW209" s="6" t="s">
        <v>9180</v>
      </c>
      <c r="CX209" s="6" t="s">
        <v>9181</v>
      </c>
      <c r="CY209" s="6" t="s">
        <v>9182</v>
      </c>
      <c r="CZ209" s="6" t="s">
        <v>9183</v>
      </c>
      <c r="DA209" s="6" t="s">
        <v>6236</v>
      </c>
      <c r="DC209" s="6" t="s">
        <v>1190</v>
      </c>
      <c r="DY209" s="0" t="str">
        <f aca="false">IF(ISNUMBER(MATCH(U209,{"queued","contacted","replied","call_booked","call_done","yes_in_principle","materials_sent"},0)),"Y","N")</f>
        <v>N</v>
      </c>
      <c r="DZ209" s="0" t="str">
        <f aca="false">IF(COUNTIFS($AN$2:$AN$1000,AN209,$DY$2:$DY$1000,"Y")+COUNTIFS($AN$2:$AN$1000,AN209,$T$2:$T$1000,"Y")&gt;0,"Y","N")</f>
        <v>N</v>
      </c>
      <c r="EA209" s="0" t="str">
        <f aca="false">IF(AND(U209="new",T209="N",AR209="Y",AQ209="",DZ209="N"),"Y","N")</f>
        <v>N</v>
      </c>
      <c r="EB209" s="0" t="str">
        <f aca="false">IF(EA209&lt;&gt;"Y","N",IF(COUNTIFS($AN$2:$AN$1000,AN209,$EA$2:$EA$1000,"Y",$J$2:$J$1000,"&gt;"&amp;J209)+COUNTIFS($AN$2:$AN$1000,AN209,$EA$2:$EA$1000,"Y",$J$2:$J$1000,J209,$ED$2:$ED$1000,"&lt;"&amp;ED209)=0,"Y","N"))</f>
        <v>N</v>
      </c>
      <c r="EC209" s="0" t="str">
        <f aca="false">IF(Y209="","N",IF(Y209&lt;=10,"Y","N"))</f>
        <v>N</v>
      </c>
      <c r="ED209" s="6" t="n">
        <f aca="false">ROW()-1</f>
        <v>208</v>
      </c>
    </row>
    <row r="210" customFormat="false" ht="15" hidden="false" customHeight="false" outlineLevel="0" collapsed="false">
      <c r="A210" s="0" t="s">
        <v>9184</v>
      </c>
      <c r="B210" s="0" t="s">
        <v>9185</v>
      </c>
      <c r="H210" s="5" t="s">
        <v>158</v>
      </c>
      <c r="I210" s="5"/>
      <c r="J210" s="6" t="n">
        <f aca="false">IF(AU210="pass",CM210+CN210+CO210+CP210+CQ210+CR210+CS210+CT210,0)</f>
        <v>30</v>
      </c>
      <c r="K210" s="6" t="s">
        <v>9186</v>
      </c>
      <c r="M210" s="6" t="s">
        <v>5293</v>
      </c>
      <c r="N210" s="6" t="s">
        <v>598</v>
      </c>
      <c r="R210" s="5" t="s">
        <v>162</v>
      </c>
      <c r="S210" s="6" t="s">
        <v>163</v>
      </c>
      <c r="T210" s="5" t="s">
        <v>162</v>
      </c>
      <c r="U210" s="5" t="s">
        <v>228</v>
      </c>
      <c r="V210" s="6" t="s">
        <v>9187</v>
      </c>
      <c r="W210" s="6" t="s">
        <v>166</v>
      </c>
      <c r="X210" s="6" t="s">
        <v>4586</v>
      </c>
      <c r="Y210" s="0" t="str">
        <f aca="false">IF(EB210&lt;&gt;"Y","",COUNTIFS($EB$2:$EB$1000,"Y",$J$2:$J$1000,"&gt;"&amp;J210)+COUNTIFS($EB$2:$EB$1000,"Y",$J$2:$J$1000,J210,$ED$2:$ED$1000,"&lt;"&amp;ED210)+1)</f>
        <v/>
      </c>
      <c r="Z210" s="0" t="n">
        <v>209</v>
      </c>
      <c r="AA210" s="6" t="s">
        <v>162</v>
      </c>
      <c r="AB210" s="6" t="s">
        <v>6317</v>
      </c>
      <c r="AD210" s="6" t="s">
        <v>158</v>
      </c>
      <c r="AH210" s="6" t="s">
        <v>9188</v>
      </c>
      <c r="AI210" s="6" t="s">
        <v>4665</v>
      </c>
      <c r="AJ210" s="6" t="s">
        <v>9189</v>
      </c>
      <c r="AK210" s="6" t="s">
        <v>9190</v>
      </c>
      <c r="AL210" s="6" t="s">
        <v>168</v>
      </c>
      <c r="AM210" s="6" t="s">
        <v>9191</v>
      </c>
      <c r="AN210" s="6" t="s">
        <v>9184</v>
      </c>
      <c r="AO210" s="5" t="s">
        <v>162</v>
      </c>
      <c r="AR210" s="0" t="str">
        <f aca="false">IF(AND(AU210="pass",AO210&lt;&gt;"Y",C210&lt;&gt;""),"Y","N")</f>
        <v>N</v>
      </c>
      <c r="AS210" s="0" t="str">
        <f aca="false">_xlfn.TEXTJOIN("; ",TRUE(),IF(AU210&lt;&gt;"pass","gated out",""),IF(AO210="Y","on hold: "&amp;AP210,""),IF(C210="","no contact named on an opened page",""))</f>
        <v>no contact named on an opened page</v>
      </c>
      <c r="AU210" s="6" t="s">
        <v>181</v>
      </c>
      <c r="AW210" s="6" t="s">
        <v>182</v>
      </c>
      <c r="AX210" s="6" t="s">
        <v>283</v>
      </c>
      <c r="AY210" s="6" t="s">
        <v>9190</v>
      </c>
      <c r="AZ210" s="6" t="s">
        <v>4596</v>
      </c>
      <c r="BA210" s="6" t="s">
        <v>4953</v>
      </c>
      <c r="BB210" s="6" t="s">
        <v>163</v>
      </c>
      <c r="BD210" s="6" t="s">
        <v>264</v>
      </c>
      <c r="BE210" s="6" t="s">
        <v>9192</v>
      </c>
      <c r="BF210" s="6" t="s">
        <v>168</v>
      </c>
      <c r="BG210" s="6" t="s">
        <v>168</v>
      </c>
      <c r="BH210" s="6" t="s">
        <v>163</v>
      </c>
      <c r="BJ210" s="6" t="s">
        <v>163</v>
      </c>
      <c r="BK210" s="6" t="s">
        <v>162</v>
      </c>
      <c r="BL210" s="6" t="s">
        <v>162</v>
      </c>
      <c r="BO210" s="6" t="s">
        <v>162</v>
      </c>
      <c r="BP210" s="0" t="n">
        <v>0</v>
      </c>
      <c r="BR210" s="6" t="s">
        <v>9193</v>
      </c>
      <c r="BS210" s="6" t="s">
        <v>9194</v>
      </c>
      <c r="BT210" s="6" t="s">
        <v>9195</v>
      </c>
      <c r="BU210" s="6" t="s">
        <v>158</v>
      </c>
      <c r="CF210" s="6" t="s">
        <v>158</v>
      </c>
      <c r="CK210" s="6" t="s">
        <v>158</v>
      </c>
      <c r="CL210" s="0" t="n">
        <v>30</v>
      </c>
      <c r="CM210" s="0" t="n">
        <v>6</v>
      </c>
      <c r="CN210" s="0" t="n">
        <v>13</v>
      </c>
      <c r="CO210" s="0" t="n">
        <v>0</v>
      </c>
      <c r="CP210" s="0" t="n">
        <v>5</v>
      </c>
      <c r="CQ210" s="0" t="n">
        <v>8</v>
      </c>
      <c r="CR210" s="0" t="n">
        <v>0</v>
      </c>
      <c r="CS210" s="6" t="n">
        <f aca="false">IF(R210="Y",10,0)</f>
        <v>0</v>
      </c>
      <c r="CT210" s="0" t="n">
        <v>-2</v>
      </c>
      <c r="CU210" s="6" t="s">
        <v>9196</v>
      </c>
      <c r="CV210" s="6" t="s">
        <v>4704</v>
      </c>
      <c r="CW210" s="6" t="s">
        <v>9197</v>
      </c>
      <c r="CX210" s="6" t="s">
        <v>9198</v>
      </c>
      <c r="CY210" s="6" t="s">
        <v>9199</v>
      </c>
      <c r="DA210" s="6" t="s">
        <v>6236</v>
      </c>
      <c r="DY210" s="0" t="str">
        <f aca="false">IF(ISNUMBER(MATCH(U210,{"queued","contacted","replied","call_booked","call_done","yes_in_principle","materials_sent"},0)),"Y","N")</f>
        <v>N</v>
      </c>
      <c r="DZ210" s="0" t="str">
        <f aca="false">IF(COUNTIFS($AN$2:$AN$1000,AN210,$DY$2:$DY$1000,"Y")+COUNTIFS($AN$2:$AN$1000,AN210,$T$2:$T$1000,"Y")&gt;0,"Y","N")</f>
        <v>N</v>
      </c>
      <c r="EA210" s="0" t="str">
        <f aca="false">IF(AND(U210="new",T210="N",AR210="Y",AQ210="",DZ210="N"),"Y","N")</f>
        <v>N</v>
      </c>
      <c r="EB210" s="0" t="str">
        <f aca="false">IF(EA210&lt;&gt;"Y","N",IF(COUNTIFS($AN$2:$AN$1000,AN210,$EA$2:$EA$1000,"Y",$J$2:$J$1000,"&gt;"&amp;J210)+COUNTIFS($AN$2:$AN$1000,AN210,$EA$2:$EA$1000,"Y",$J$2:$J$1000,J210,$ED$2:$ED$1000,"&lt;"&amp;ED210)=0,"Y","N"))</f>
        <v>N</v>
      </c>
      <c r="EC210" s="0" t="str">
        <f aca="false">IF(Y210="","N",IF(Y210&lt;=10,"Y","N"))</f>
        <v>N</v>
      </c>
      <c r="ED210" s="6" t="n">
        <f aca="false">ROW()-1</f>
        <v>209</v>
      </c>
    </row>
    <row r="211" customFormat="false" ht="15" hidden="false" customHeight="false" outlineLevel="0" collapsed="false">
      <c r="A211" s="0" t="s">
        <v>9200</v>
      </c>
      <c r="B211" s="0" t="s">
        <v>9201</v>
      </c>
      <c r="H211" s="5" t="s">
        <v>158</v>
      </c>
      <c r="I211" s="5"/>
      <c r="J211" s="6" t="n">
        <f aca="false">IF(AU211="pass",CM211+CN211+CO211+CP211+CQ211+CR211+CS211+CT211,0)</f>
        <v>29</v>
      </c>
      <c r="K211" s="6" t="s">
        <v>9202</v>
      </c>
      <c r="M211" s="6" t="s">
        <v>5293</v>
      </c>
      <c r="N211" s="6" t="s">
        <v>598</v>
      </c>
      <c r="O211" s="6" t="s">
        <v>9203</v>
      </c>
      <c r="P211" s="6" t="s">
        <v>9204</v>
      </c>
      <c r="Q211" s="6" t="s">
        <v>9205</v>
      </c>
      <c r="R211" s="5" t="s">
        <v>162</v>
      </c>
      <c r="S211" s="6" t="s">
        <v>163</v>
      </c>
      <c r="T211" s="5" t="s">
        <v>162</v>
      </c>
      <c r="U211" s="5" t="s">
        <v>228</v>
      </c>
      <c r="V211" s="6" t="s">
        <v>9206</v>
      </c>
      <c r="W211" s="6" t="s">
        <v>166</v>
      </c>
      <c r="X211" s="6" t="s">
        <v>4586</v>
      </c>
      <c r="Y211" s="0" t="str">
        <f aca="false">IF(EB211&lt;&gt;"Y","",COUNTIFS($EB$2:$EB$1000,"Y",$J$2:$J$1000,"&gt;"&amp;J211)+COUNTIFS($EB$2:$EB$1000,"Y",$J$2:$J$1000,J211,$ED$2:$ED$1000,"&lt;"&amp;ED211)+1)</f>
        <v/>
      </c>
      <c r="Z211" s="0" t="n">
        <v>210</v>
      </c>
      <c r="AA211" s="6" t="s">
        <v>162</v>
      </c>
      <c r="AB211" s="6" t="s">
        <v>9207</v>
      </c>
      <c r="AD211" s="6" t="s">
        <v>158</v>
      </c>
      <c r="AH211" s="6" t="s">
        <v>9208</v>
      </c>
      <c r="AI211" s="6" t="s">
        <v>4828</v>
      </c>
      <c r="AJ211" s="6" t="s">
        <v>9209</v>
      </c>
      <c r="AK211" s="6" t="s">
        <v>9210</v>
      </c>
      <c r="AL211" s="6" t="s">
        <v>162</v>
      </c>
      <c r="AN211" s="6" t="s">
        <v>9200</v>
      </c>
      <c r="AO211" s="5" t="s">
        <v>162</v>
      </c>
      <c r="AR211" s="0" t="str">
        <f aca="false">IF(AND(AU211="pass",AO211&lt;&gt;"Y",C211&lt;&gt;""),"Y","N")</f>
        <v>N</v>
      </c>
      <c r="AS211" s="0" t="str">
        <f aca="false">_xlfn.TEXTJOIN("; ",TRUE(),IF(AU211&lt;&gt;"pass","gated out",""),IF(AO211="Y","on hold: "&amp;AP211,""),IF(C211="","no contact named on an opened page",""))</f>
        <v>no contact named on an opened page</v>
      </c>
      <c r="AU211" s="6" t="s">
        <v>181</v>
      </c>
      <c r="AW211" s="6" t="s">
        <v>182</v>
      </c>
      <c r="AY211" s="6" t="s">
        <v>9210</v>
      </c>
      <c r="AZ211" s="6" t="s">
        <v>5659</v>
      </c>
      <c r="BA211" s="6" t="s">
        <v>5331</v>
      </c>
      <c r="BB211" s="6" t="s">
        <v>163</v>
      </c>
      <c r="BD211" s="6" t="s">
        <v>168</v>
      </c>
      <c r="BE211" s="6" t="s">
        <v>9211</v>
      </c>
      <c r="BF211" s="6" t="s">
        <v>162</v>
      </c>
      <c r="BG211" s="6" t="s">
        <v>168</v>
      </c>
      <c r="BH211" s="6" t="s">
        <v>163</v>
      </c>
      <c r="BJ211" s="6" t="s">
        <v>163</v>
      </c>
      <c r="BK211" s="6" t="s">
        <v>162</v>
      </c>
      <c r="BL211" s="6" t="s">
        <v>162</v>
      </c>
      <c r="BO211" s="6" t="s">
        <v>162</v>
      </c>
      <c r="BP211" s="0" t="n">
        <v>0</v>
      </c>
      <c r="BR211" s="6" t="s">
        <v>6764</v>
      </c>
      <c r="BS211" s="6" t="s">
        <v>9212</v>
      </c>
      <c r="BT211" s="6" t="s">
        <v>9213</v>
      </c>
      <c r="BU211" s="6" t="s">
        <v>4695</v>
      </c>
      <c r="BV211" s="0" t="n">
        <v>88</v>
      </c>
      <c r="CF211" s="6" t="s">
        <v>158</v>
      </c>
      <c r="CK211" s="6" t="s">
        <v>158</v>
      </c>
      <c r="CL211" s="0" t="n">
        <v>29</v>
      </c>
      <c r="CM211" s="0" t="n">
        <v>6</v>
      </c>
      <c r="CN211" s="0" t="n">
        <v>3</v>
      </c>
      <c r="CO211" s="0" t="n">
        <v>8</v>
      </c>
      <c r="CP211" s="0" t="n">
        <v>5</v>
      </c>
      <c r="CQ211" s="0" t="n">
        <v>7</v>
      </c>
      <c r="CR211" s="0" t="n">
        <v>0</v>
      </c>
      <c r="CS211" s="6" t="n">
        <f aca="false">IF(R211="Y",10,0)</f>
        <v>0</v>
      </c>
      <c r="CT211" s="0" t="n">
        <v>0</v>
      </c>
      <c r="CU211" s="6" t="s">
        <v>9214</v>
      </c>
      <c r="CV211" s="6" t="s">
        <v>4843</v>
      </c>
      <c r="CW211" s="6" t="s">
        <v>9215</v>
      </c>
      <c r="CX211" s="6" t="s">
        <v>9216</v>
      </c>
      <c r="DA211" s="6" t="s">
        <v>6236</v>
      </c>
      <c r="DY211" s="0" t="str">
        <f aca="false">IF(ISNUMBER(MATCH(U211,{"queued","contacted","replied","call_booked","call_done","yes_in_principle","materials_sent"},0)),"Y","N")</f>
        <v>N</v>
      </c>
      <c r="DZ211" s="0" t="str">
        <f aca="false">IF(COUNTIFS($AN$2:$AN$1000,AN211,$DY$2:$DY$1000,"Y")+COUNTIFS($AN$2:$AN$1000,AN211,$T$2:$T$1000,"Y")&gt;0,"Y","N")</f>
        <v>N</v>
      </c>
      <c r="EA211" s="0" t="str">
        <f aca="false">IF(AND(U211="new",T211="N",AR211="Y",AQ211="",DZ211="N"),"Y","N")</f>
        <v>N</v>
      </c>
      <c r="EB211" s="0" t="str">
        <f aca="false">IF(EA211&lt;&gt;"Y","N",IF(COUNTIFS($AN$2:$AN$1000,AN211,$EA$2:$EA$1000,"Y",$J$2:$J$1000,"&gt;"&amp;J211)+COUNTIFS($AN$2:$AN$1000,AN211,$EA$2:$EA$1000,"Y",$J$2:$J$1000,J211,$ED$2:$ED$1000,"&lt;"&amp;ED211)=0,"Y","N"))</f>
        <v>N</v>
      </c>
      <c r="EC211" s="0" t="str">
        <f aca="false">IF(Y211="","N",IF(Y211&lt;=10,"Y","N"))</f>
        <v>N</v>
      </c>
      <c r="ED211" s="6" t="n">
        <f aca="false">ROW()-1</f>
        <v>210</v>
      </c>
    </row>
    <row r="212" customFormat="false" ht="15" hidden="false" customHeight="false" outlineLevel="0" collapsed="false">
      <c r="A212" s="0" t="s">
        <v>9217</v>
      </c>
      <c r="B212" s="0" t="s">
        <v>9218</v>
      </c>
      <c r="C212" s="0" t="s">
        <v>9219</v>
      </c>
      <c r="D212" s="0" t="s">
        <v>163</v>
      </c>
      <c r="E212" s="0" t="s">
        <v>4626</v>
      </c>
      <c r="H212" s="5" t="s">
        <v>158</v>
      </c>
      <c r="I212" s="5" t="s">
        <v>159</v>
      </c>
      <c r="J212" s="6" t="n">
        <f aca="false">IF(AU212="pass",CM212+CN212+CO212+CP212+CQ212+CR212+CS212+CT212,0)</f>
        <v>29</v>
      </c>
      <c r="K212" s="6" t="s">
        <v>9220</v>
      </c>
      <c r="M212" s="6" t="s">
        <v>5293</v>
      </c>
      <c r="N212" s="6" t="s">
        <v>598</v>
      </c>
      <c r="O212" s="6" t="s">
        <v>9221</v>
      </c>
      <c r="P212" s="6" t="s">
        <v>9222</v>
      </c>
      <c r="Q212" s="6" t="s">
        <v>247</v>
      </c>
      <c r="R212" s="5" t="s">
        <v>162</v>
      </c>
      <c r="S212" s="6" t="s">
        <v>163</v>
      </c>
      <c r="T212" s="5" t="s">
        <v>162</v>
      </c>
      <c r="U212" s="5" t="s">
        <v>228</v>
      </c>
      <c r="V212" s="6" t="s">
        <v>9223</v>
      </c>
      <c r="W212" s="6" t="s">
        <v>166</v>
      </c>
      <c r="X212" s="6" t="s">
        <v>4586</v>
      </c>
      <c r="Y212" s="6" t="n">
        <f aca="false">IF(EB212&lt;&gt;"Y","",COUNTIFS($EB$2:$EB$1000,"Y",$J$2:$J$1000,"&gt;"&amp;J212)+COUNTIFS($EB$2:$EB$1000,"Y",$J$2:$J$1000,J212,$ED$2:$ED$1000,"&lt;"&amp;ED212)+1)</f>
        <v>164</v>
      </c>
      <c r="Z212" s="0" t="n">
        <v>211</v>
      </c>
      <c r="AA212" s="6" t="s">
        <v>162</v>
      </c>
      <c r="AB212" s="6" t="s">
        <v>9224</v>
      </c>
      <c r="AC212" s="6" t="s">
        <v>4588</v>
      </c>
      <c r="AD212" s="6" t="s">
        <v>5010</v>
      </c>
      <c r="AE212" s="6" t="s">
        <v>172</v>
      </c>
      <c r="AF212" s="6" t="s">
        <v>9223</v>
      </c>
      <c r="AG212" s="6" t="s">
        <v>166</v>
      </c>
      <c r="AH212" s="6" t="s">
        <v>9225</v>
      </c>
      <c r="AI212" s="6" t="s">
        <v>5030</v>
      </c>
      <c r="AJ212" s="6" t="s">
        <v>9226</v>
      </c>
      <c r="AK212" s="6" t="s">
        <v>9227</v>
      </c>
      <c r="AL212" s="6" t="s">
        <v>168</v>
      </c>
      <c r="AM212" s="6" t="s">
        <v>9228</v>
      </c>
      <c r="AN212" s="6" t="s">
        <v>9217</v>
      </c>
      <c r="AO212" s="5" t="s">
        <v>162</v>
      </c>
      <c r="AR212" s="0" t="str">
        <f aca="false">IF(AND(AU212="pass",AO212&lt;&gt;"Y",C212&lt;&gt;""),"Y","N")</f>
        <v>Y</v>
      </c>
      <c r="AS212" s="0" t="str">
        <f aca="false">_xlfn.TEXTJOIN("; ",TRUE(),IF(AU212&lt;&gt;"pass","gated out",""),IF(AO212="Y","on hold: "&amp;AP212,""),IF(C212="","no contact named on an opened page",""))</f>
        <v/>
      </c>
      <c r="AU212" s="6" t="s">
        <v>181</v>
      </c>
      <c r="AW212" s="6" t="s">
        <v>182</v>
      </c>
      <c r="AX212" s="6" t="s">
        <v>4595</v>
      </c>
      <c r="AY212" s="6" t="s">
        <v>9227</v>
      </c>
      <c r="AZ212" s="6" t="s">
        <v>5330</v>
      </c>
      <c r="BA212" s="6" t="s">
        <v>5331</v>
      </c>
      <c r="BB212" s="6" t="s">
        <v>163</v>
      </c>
      <c r="BD212" s="6" t="s">
        <v>168</v>
      </c>
      <c r="BE212" s="6" t="s">
        <v>9229</v>
      </c>
      <c r="BF212" s="6" t="s">
        <v>163</v>
      </c>
      <c r="BG212" s="6" t="s">
        <v>168</v>
      </c>
      <c r="BH212" s="6" t="s">
        <v>163</v>
      </c>
      <c r="BJ212" s="6" t="s">
        <v>163</v>
      </c>
      <c r="BK212" s="6" t="s">
        <v>162</v>
      </c>
      <c r="BL212" s="6" t="s">
        <v>162</v>
      </c>
      <c r="BO212" s="6" t="s">
        <v>162</v>
      </c>
      <c r="BP212" s="0" t="n">
        <v>0</v>
      </c>
      <c r="BR212" s="6" t="s">
        <v>6764</v>
      </c>
      <c r="BS212" s="6" t="s">
        <v>6811</v>
      </c>
      <c r="BT212" s="6" t="s">
        <v>9230</v>
      </c>
      <c r="BU212" s="6" t="s">
        <v>4695</v>
      </c>
      <c r="BV212" s="0" t="n">
        <v>71</v>
      </c>
      <c r="BX212" s="6" t="s">
        <v>9219</v>
      </c>
      <c r="BY212" s="6" t="s">
        <v>9231</v>
      </c>
      <c r="CA212" s="6" t="s">
        <v>9232</v>
      </c>
      <c r="CB212" s="6" t="s">
        <v>9232</v>
      </c>
      <c r="CC212" s="6" t="s">
        <v>163</v>
      </c>
      <c r="CD212" s="6" t="s">
        <v>4626</v>
      </c>
      <c r="CE212" s="6" t="s">
        <v>6725</v>
      </c>
      <c r="CF212" s="6" t="s">
        <v>5010</v>
      </c>
      <c r="CG212" s="6" t="s">
        <v>9231</v>
      </c>
      <c r="CK212" s="6" t="s">
        <v>158</v>
      </c>
      <c r="CL212" s="0" t="n">
        <v>29</v>
      </c>
      <c r="CM212" s="0" t="n">
        <v>6</v>
      </c>
      <c r="CN212" s="0" t="n">
        <v>3</v>
      </c>
      <c r="CO212" s="0" t="n">
        <v>8</v>
      </c>
      <c r="CP212" s="0" t="n">
        <v>5</v>
      </c>
      <c r="CQ212" s="0" t="n">
        <v>8</v>
      </c>
      <c r="CR212" s="0" t="n">
        <v>3</v>
      </c>
      <c r="CS212" s="6" t="n">
        <f aca="false">IF(R212="Y",10,0)</f>
        <v>0</v>
      </c>
      <c r="CT212" s="0" t="n">
        <v>-4</v>
      </c>
      <c r="CU212" s="6" t="s">
        <v>9233</v>
      </c>
      <c r="CV212" s="6" t="s">
        <v>4843</v>
      </c>
      <c r="CW212" s="6" t="s">
        <v>9234</v>
      </c>
      <c r="CX212" s="6" t="s">
        <v>9235</v>
      </c>
      <c r="CZ212" s="6" t="s">
        <v>9223</v>
      </c>
      <c r="DA212" s="6" t="s">
        <v>6236</v>
      </c>
      <c r="DC212" s="6" t="s">
        <v>172</v>
      </c>
      <c r="DY212" s="0" t="str">
        <f aca="false">IF(ISNUMBER(MATCH(U212,{"queued","contacted","replied","call_booked","call_done","yes_in_principle","materials_sent"},0)),"Y","N")</f>
        <v>N</v>
      </c>
      <c r="DZ212" s="0" t="str">
        <f aca="false">IF(COUNTIFS($AN$2:$AN$1000,AN212,$DY$2:$DY$1000,"Y")+COUNTIFS($AN$2:$AN$1000,AN212,$T$2:$T$1000,"Y")&gt;0,"Y","N")</f>
        <v>N</v>
      </c>
      <c r="EA212" s="0" t="str">
        <f aca="false">IF(AND(U212="new",T212="N",AR212="Y",AQ212="",DZ212="N"),"Y","N")</f>
        <v>Y</v>
      </c>
      <c r="EB212" s="0" t="str">
        <f aca="false">IF(EA212&lt;&gt;"Y","N",IF(COUNTIFS($AN$2:$AN$1000,AN212,$EA$2:$EA$1000,"Y",$J$2:$J$1000,"&gt;"&amp;J212)+COUNTIFS($AN$2:$AN$1000,AN212,$EA$2:$EA$1000,"Y",$J$2:$J$1000,J212,$ED$2:$ED$1000,"&lt;"&amp;ED212)=0,"Y","N"))</f>
        <v>Y</v>
      </c>
      <c r="EC212" s="0" t="str">
        <f aca="false">IF(Y212="","N",IF(Y212&lt;=10,"Y","N"))</f>
        <v>N</v>
      </c>
      <c r="ED212" s="6" t="n">
        <f aca="false">ROW()-1</f>
        <v>211</v>
      </c>
    </row>
    <row r="213" customFormat="false" ht="15" hidden="false" customHeight="false" outlineLevel="0" collapsed="false">
      <c r="A213" s="0" t="s">
        <v>9236</v>
      </c>
      <c r="B213" s="0" t="s">
        <v>9237</v>
      </c>
      <c r="C213" s="0" t="s">
        <v>9238</v>
      </c>
      <c r="D213" s="0" t="s">
        <v>9239</v>
      </c>
      <c r="E213" s="0" t="s">
        <v>4773</v>
      </c>
      <c r="H213" s="5" t="s">
        <v>158</v>
      </c>
      <c r="I213" s="5" t="s">
        <v>159</v>
      </c>
      <c r="J213" s="6" t="n">
        <f aca="false">IF(AU213="pass",CM213+CN213+CO213+CP213+CQ213+CR213+CS213+CT213,0)</f>
        <v>29</v>
      </c>
      <c r="K213" s="6" t="s">
        <v>9240</v>
      </c>
      <c r="M213" s="6" t="s">
        <v>5293</v>
      </c>
      <c r="N213" s="6" t="s">
        <v>598</v>
      </c>
      <c r="O213" s="6" t="s">
        <v>9241</v>
      </c>
      <c r="P213" s="6" t="s">
        <v>9242</v>
      </c>
      <c r="Q213" s="6" t="s">
        <v>9243</v>
      </c>
      <c r="R213" s="5" t="s">
        <v>162</v>
      </c>
      <c r="S213" s="6" t="s">
        <v>163</v>
      </c>
      <c r="T213" s="5" t="s">
        <v>162</v>
      </c>
      <c r="U213" s="5" t="s">
        <v>228</v>
      </c>
      <c r="V213" s="6" t="s">
        <v>9244</v>
      </c>
      <c r="W213" s="6" t="s">
        <v>166</v>
      </c>
      <c r="X213" s="6" t="s">
        <v>4586</v>
      </c>
      <c r="Y213" s="6" t="n">
        <f aca="false">IF(EB213&lt;&gt;"Y","",COUNTIFS($EB$2:$EB$1000,"Y",$J$2:$J$1000,"&gt;"&amp;J213)+COUNTIFS($EB$2:$EB$1000,"Y",$J$2:$J$1000,J213,$ED$2:$ED$1000,"&lt;"&amp;ED213)+1)</f>
        <v>165</v>
      </c>
      <c r="Z213" s="0" t="n">
        <v>212</v>
      </c>
      <c r="AA213" s="6" t="s">
        <v>162</v>
      </c>
      <c r="AB213" s="6" t="s">
        <v>9245</v>
      </c>
      <c r="AC213" s="6" t="s">
        <v>4588</v>
      </c>
      <c r="AD213" s="6" t="s">
        <v>171</v>
      </c>
      <c r="AE213" s="6" t="s">
        <v>172</v>
      </c>
      <c r="AF213" s="6" t="s">
        <v>9244</v>
      </c>
      <c r="AG213" s="6" t="s">
        <v>166</v>
      </c>
      <c r="AH213" s="6" t="s">
        <v>9246</v>
      </c>
      <c r="AI213" s="6" t="s">
        <v>5738</v>
      </c>
      <c r="AJ213" s="6" t="s">
        <v>9247</v>
      </c>
      <c r="AK213" s="6" t="s">
        <v>9242</v>
      </c>
      <c r="AL213" s="6" t="s">
        <v>168</v>
      </c>
      <c r="AM213" s="6" t="s">
        <v>9248</v>
      </c>
      <c r="AN213" s="6" t="s">
        <v>9236</v>
      </c>
      <c r="AO213" s="5" t="s">
        <v>162</v>
      </c>
      <c r="AR213" s="0" t="str">
        <f aca="false">IF(AND(AU213="pass",AO213&lt;&gt;"Y",C213&lt;&gt;""),"Y","N")</f>
        <v>Y</v>
      </c>
      <c r="AS213" s="0" t="str">
        <f aca="false">_xlfn.TEXTJOIN("; ",TRUE(),IF(AU213&lt;&gt;"pass","gated out",""),IF(AO213="Y","on hold: "&amp;AP213,""),IF(C213="","no contact named on an opened page",""))</f>
        <v/>
      </c>
      <c r="AU213" s="6" t="s">
        <v>181</v>
      </c>
      <c r="AW213" s="6" t="s">
        <v>182</v>
      </c>
      <c r="AX213" s="6" t="s">
        <v>5223</v>
      </c>
      <c r="AY213" s="6" t="s">
        <v>9249</v>
      </c>
      <c r="AZ213" s="6" t="s">
        <v>4596</v>
      </c>
      <c r="BA213" s="6" t="s">
        <v>4953</v>
      </c>
      <c r="BB213" s="6" t="s">
        <v>163</v>
      </c>
      <c r="BD213" s="6" t="s">
        <v>163</v>
      </c>
      <c r="BE213" s="6" t="s">
        <v>9250</v>
      </c>
      <c r="BF213" s="6" t="s">
        <v>168</v>
      </c>
      <c r="BG213" s="6" t="s">
        <v>168</v>
      </c>
      <c r="BH213" s="6" t="s">
        <v>163</v>
      </c>
      <c r="BJ213" s="6" t="s">
        <v>5551</v>
      </c>
      <c r="BK213" s="6" t="s">
        <v>162</v>
      </c>
      <c r="BL213" s="6" t="s">
        <v>162</v>
      </c>
      <c r="BO213" s="6" t="s">
        <v>162</v>
      </c>
      <c r="BP213" s="0" t="n">
        <v>0</v>
      </c>
      <c r="BS213" s="6" t="s">
        <v>8245</v>
      </c>
      <c r="BU213" s="6" t="s">
        <v>4695</v>
      </c>
      <c r="BV213" s="0" t="n">
        <v>204</v>
      </c>
      <c r="BX213" s="6" t="s">
        <v>9251</v>
      </c>
      <c r="CF213" s="6" t="s">
        <v>158</v>
      </c>
      <c r="CK213" s="6" t="s">
        <v>158</v>
      </c>
      <c r="CL213" s="0" t="n">
        <v>29</v>
      </c>
      <c r="CM213" s="0" t="n">
        <v>6</v>
      </c>
      <c r="CN213" s="0" t="n">
        <v>13</v>
      </c>
      <c r="CO213" s="0" t="n">
        <v>4</v>
      </c>
      <c r="CP213" s="0" t="n">
        <v>5</v>
      </c>
      <c r="CQ213" s="0" t="n">
        <v>7</v>
      </c>
      <c r="CR213" s="0" t="n">
        <v>6</v>
      </c>
      <c r="CS213" s="6" t="n">
        <f aca="false">IF(R213="Y",10,0)</f>
        <v>0</v>
      </c>
      <c r="CT213" s="0" t="n">
        <v>-12</v>
      </c>
      <c r="CU213" s="6" t="s">
        <v>9252</v>
      </c>
      <c r="CV213" s="6" t="s">
        <v>5564</v>
      </c>
      <c r="CW213" s="6" t="s">
        <v>9253</v>
      </c>
      <c r="CX213" s="6" t="s">
        <v>9254</v>
      </c>
      <c r="DA213" s="6" t="s">
        <v>6236</v>
      </c>
      <c r="DY213" s="0" t="str">
        <f aca="false">IF(ISNUMBER(MATCH(U213,{"queued","contacted","replied","call_booked","call_done","yes_in_principle","materials_sent"},0)),"Y","N")</f>
        <v>N</v>
      </c>
      <c r="DZ213" s="0" t="str">
        <f aca="false">IF(COUNTIFS($AN$2:$AN$1000,AN213,$DY$2:$DY$1000,"Y")+COUNTIFS($AN$2:$AN$1000,AN213,$T$2:$T$1000,"Y")&gt;0,"Y","N")</f>
        <v>N</v>
      </c>
      <c r="EA213" s="0" t="str">
        <f aca="false">IF(AND(U213="new",T213="N",AR213="Y",AQ213="",DZ213="N"),"Y","N")</f>
        <v>Y</v>
      </c>
      <c r="EB213" s="0" t="str">
        <f aca="false">IF(EA213&lt;&gt;"Y","N",IF(COUNTIFS($AN$2:$AN$1000,AN213,$EA$2:$EA$1000,"Y",$J$2:$J$1000,"&gt;"&amp;J213)+COUNTIFS($AN$2:$AN$1000,AN213,$EA$2:$EA$1000,"Y",$J$2:$J$1000,J213,$ED$2:$ED$1000,"&lt;"&amp;ED213)=0,"Y","N"))</f>
        <v>Y</v>
      </c>
      <c r="EC213" s="0" t="str">
        <f aca="false">IF(Y213="","N",IF(Y213&lt;=10,"Y","N"))</f>
        <v>N</v>
      </c>
      <c r="ED213" s="6" t="n">
        <f aca="false">ROW()-1</f>
        <v>212</v>
      </c>
    </row>
    <row r="214" customFormat="false" ht="15" hidden="false" customHeight="false" outlineLevel="0" collapsed="false">
      <c r="A214" s="0" t="s">
        <v>9255</v>
      </c>
      <c r="B214" s="0" t="s">
        <v>9256</v>
      </c>
      <c r="H214" s="5" t="s">
        <v>158</v>
      </c>
      <c r="I214" s="5"/>
      <c r="J214" s="6" t="n">
        <f aca="false">IF(AU214="pass",CM214+CN214+CO214+CP214+CQ214+CR214+CS214+CT214,0)</f>
        <v>29</v>
      </c>
      <c r="K214" s="6" t="s">
        <v>9257</v>
      </c>
      <c r="M214" s="6" t="s">
        <v>5293</v>
      </c>
      <c r="N214" s="6" t="s">
        <v>598</v>
      </c>
      <c r="O214" s="6" t="s">
        <v>9258</v>
      </c>
      <c r="P214" s="6" t="s">
        <v>9259</v>
      </c>
      <c r="Q214" s="6" t="s">
        <v>798</v>
      </c>
      <c r="R214" s="5" t="s">
        <v>162</v>
      </c>
      <c r="S214" s="6" t="s">
        <v>163</v>
      </c>
      <c r="T214" s="5" t="s">
        <v>162</v>
      </c>
      <c r="U214" s="5" t="s">
        <v>228</v>
      </c>
      <c r="V214" s="6" t="s">
        <v>9260</v>
      </c>
      <c r="W214" s="6" t="s">
        <v>174</v>
      </c>
      <c r="X214" s="6" t="s">
        <v>4586</v>
      </c>
      <c r="Y214" s="0" t="str">
        <f aca="false">IF(EB214&lt;&gt;"Y","",COUNTIFS($EB$2:$EB$1000,"Y",$J$2:$J$1000,"&gt;"&amp;J214)+COUNTIFS($EB$2:$EB$1000,"Y",$J$2:$J$1000,J214,$ED$2:$ED$1000,"&lt;"&amp;ED214)+1)</f>
        <v/>
      </c>
      <c r="Z214" s="0" t="n">
        <v>213</v>
      </c>
      <c r="AA214" s="6" t="s">
        <v>162</v>
      </c>
      <c r="AB214" s="6" t="s">
        <v>6917</v>
      </c>
      <c r="AD214" s="6" t="s">
        <v>158</v>
      </c>
      <c r="AH214" s="6" t="s">
        <v>9261</v>
      </c>
      <c r="AI214" s="6" t="s">
        <v>5030</v>
      </c>
      <c r="AJ214" s="6" t="s">
        <v>9262</v>
      </c>
      <c r="AK214" s="6" t="s">
        <v>9263</v>
      </c>
      <c r="AL214" s="6" t="s">
        <v>168</v>
      </c>
      <c r="AM214" s="6" t="s">
        <v>9264</v>
      </c>
      <c r="AN214" s="6" t="s">
        <v>9255</v>
      </c>
      <c r="AO214" s="5" t="s">
        <v>162</v>
      </c>
      <c r="AR214" s="0" t="str">
        <f aca="false">IF(AND(AU214="pass",AO214&lt;&gt;"Y",C214&lt;&gt;""),"Y","N")</f>
        <v>N</v>
      </c>
      <c r="AS214" s="0" t="str">
        <f aca="false">_xlfn.TEXTJOIN("; ",TRUE(),IF(AU214&lt;&gt;"pass","gated out",""),IF(AO214="Y","on hold: "&amp;AP214,""),IF(C214="","no contact named on an opened page",""))</f>
        <v>no contact named on an opened page</v>
      </c>
      <c r="AU214" s="6" t="s">
        <v>181</v>
      </c>
      <c r="AW214" s="6" t="s">
        <v>182</v>
      </c>
      <c r="AX214" s="6" t="s">
        <v>4595</v>
      </c>
      <c r="AY214" s="6" t="s">
        <v>9263</v>
      </c>
      <c r="AZ214" s="6" t="s">
        <v>7322</v>
      </c>
      <c r="BA214" s="6" t="s">
        <v>5193</v>
      </c>
      <c r="BB214" s="6" t="s">
        <v>163</v>
      </c>
      <c r="BD214" s="6" t="s">
        <v>168</v>
      </c>
      <c r="BE214" s="6" t="s">
        <v>9265</v>
      </c>
      <c r="BF214" s="6" t="s">
        <v>168</v>
      </c>
      <c r="BG214" s="6" t="s">
        <v>168</v>
      </c>
      <c r="BH214" s="6" t="s">
        <v>163</v>
      </c>
      <c r="BJ214" s="6" t="s">
        <v>5145</v>
      </c>
      <c r="BK214" s="6" t="s">
        <v>162</v>
      </c>
      <c r="BL214" s="6" t="s">
        <v>162</v>
      </c>
      <c r="BO214" s="6" t="s">
        <v>162</v>
      </c>
      <c r="BP214" s="0" t="n">
        <v>0</v>
      </c>
      <c r="BS214" s="6" t="s">
        <v>9266</v>
      </c>
      <c r="BU214" s="6" t="s">
        <v>4695</v>
      </c>
      <c r="BV214" s="0" t="n">
        <v>254</v>
      </c>
      <c r="CF214" s="6" t="s">
        <v>158</v>
      </c>
      <c r="CK214" s="6" t="s">
        <v>158</v>
      </c>
      <c r="CL214" s="0" t="n">
        <v>29</v>
      </c>
      <c r="CM214" s="0" t="n">
        <v>6</v>
      </c>
      <c r="CN214" s="0" t="n">
        <v>8</v>
      </c>
      <c r="CO214" s="0" t="n">
        <v>4</v>
      </c>
      <c r="CP214" s="0" t="n">
        <v>5</v>
      </c>
      <c r="CQ214" s="0" t="n">
        <v>10</v>
      </c>
      <c r="CR214" s="0" t="n">
        <v>0</v>
      </c>
      <c r="CS214" s="6" t="n">
        <f aca="false">IF(R214="Y",10,0)</f>
        <v>0</v>
      </c>
      <c r="CT214" s="0" t="n">
        <v>-4</v>
      </c>
      <c r="CU214" s="6" t="s">
        <v>9267</v>
      </c>
      <c r="CV214" s="6" t="s">
        <v>5152</v>
      </c>
      <c r="CW214" s="6" t="s">
        <v>9268</v>
      </c>
      <c r="CX214" s="6" t="s">
        <v>9269</v>
      </c>
      <c r="DA214" s="6" t="s">
        <v>6236</v>
      </c>
      <c r="DY214" s="0" t="str">
        <f aca="false">IF(ISNUMBER(MATCH(U214,{"queued","contacted","replied","call_booked","call_done","yes_in_principle","materials_sent"},0)),"Y","N")</f>
        <v>N</v>
      </c>
      <c r="DZ214" s="0" t="str">
        <f aca="false">IF(COUNTIFS($AN$2:$AN$1000,AN214,$DY$2:$DY$1000,"Y")+COUNTIFS($AN$2:$AN$1000,AN214,$T$2:$T$1000,"Y")&gt;0,"Y","N")</f>
        <v>N</v>
      </c>
      <c r="EA214" s="0" t="str">
        <f aca="false">IF(AND(U214="new",T214="N",AR214="Y",AQ214="",DZ214="N"),"Y","N")</f>
        <v>N</v>
      </c>
      <c r="EB214" s="0" t="str">
        <f aca="false">IF(EA214&lt;&gt;"Y","N",IF(COUNTIFS($AN$2:$AN$1000,AN214,$EA$2:$EA$1000,"Y",$J$2:$J$1000,"&gt;"&amp;J214)+COUNTIFS($AN$2:$AN$1000,AN214,$EA$2:$EA$1000,"Y",$J$2:$J$1000,J214,$ED$2:$ED$1000,"&lt;"&amp;ED214)=0,"Y","N"))</f>
        <v>N</v>
      </c>
      <c r="EC214" s="0" t="str">
        <f aca="false">IF(Y214="","N",IF(Y214&lt;=10,"Y","N"))</f>
        <v>N</v>
      </c>
      <c r="ED214" s="6" t="n">
        <f aca="false">ROW()-1</f>
        <v>213</v>
      </c>
    </row>
    <row r="215" customFormat="false" ht="15" hidden="false" customHeight="false" outlineLevel="0" collapsed="false">
      <c r="A215" s="0" t="s">
        <v>9270</v>
      </c>
      <c r="B215" s="0" t="s">
        <v>9271</v>
      </c>
      <c r="C215" s="0" t="s">
        <v>5746</v>
      </c>
      <c r="D215" s="0" t="s">
        <v>9272</v>
      </c>
      <c r="E215" s="0" t="s">
        <v>4773</v>
      </c>
      <c r="H215" s="5" t="s">
        <v>158</v>
      </c>
      <c r="I215" s="5" t="s">
        <v>159</v>
      </c>
      <c r="J215" s="6" t="n">
        <f aca="false">IF(AU215="pass",CM215+CN215+CO215+CP215+CQ215+CR215+CS215+CT215,0)</f>
        <v>29</v>
      </c>
      <c r="K215" s="6" t="s">
        <v>9273</v>
      </c>
      <c r="M215" s="6" t="s">
        <v>5293</v>
      </c>
      <c r="N215" s="6" t="s">
        <v>598</v>
      </c>
      <c r="R215" s="5" t="s">
        <v>162</v>
      </c>
      <c r="S215" s="6" t="s">
        <v>163</v>
      </c>
      <c r="T215" s="5" t="s">
        <v>162</v>
      </c>
      <c r="U215" s="5" t="s">
        <v>228</v>
      </c>
      <c r="V215" s="6" t="s">
        <v>9274</v>
      </c>
      <c r="W215" s="6" t="s">
        <v>166</v>
      </c>
      <c r="X215" s="6" t="s">
        <v>4586</v>
      </c>
      <c r="Y215" s="6" t="n">
        <f aca="false">IF(EB215&lt;&gt;"Y","",COUNTIFS($EB$2:$EB$1000,"Y",$J$2:$J$1000,"&gt;"&amp;J215)+COUNTIFS($EB$2:$EB$1000,"Y",$J$2:$J$1000,J215,$ED$2:$ED$1000,"&lt;"&amp;ED215)+1)</f>
        <v>166</v>
      </c>
      <c r="Z215" s="0" t="n">
        <v>214</v>
      </c>
      <c r="AA215" s="6" t="s">
        <v>162</v>
      </c>
      <c r="AB215" s="6" t="s">
        <v>9275</v>
      </c>
      <c r="AC215" s="6" t="s">
        <v>4588</v>
      </c>
      <c r="AD215" s="6" t="s">
        <v>171</v>
      </c>
      <c r="AE215" s="6" t="s">
        <v>172</v>
      </c>
      <c r="AF215" s="6" t="s">
        <v>9274</v>
      </c>
      <c r="AG215" s="6" t="s">
        <v>166</v>
      </c>
      <c r="AH215" s="6" t="s">
        <v>9276</v>
      </c>
      <c r="AI215" s="6" t="s">
        <v>5081</v>
      </c>
      <c r="AJ215" s="6" t="s">
        <v>9277</v>
      </c>
      <c r="AK215" s="6" t="s">
        <v>9278</v>
      </c>
      <c r="AL215" s="6" t="s">
        <v>168</v>
      </c>
      <c r="AM215" s="6" t="s">
        <v>9279</v>
      </c>
      <c r="AN215" s="6" t="s">
        <v>9270</v>
      </c>
      <c r="AO215" s="5" t="s">
        <v>162</v>
      </c>
      <c r="AR215" s="0" t="str">
        <f aca="false">IF(AND(AU215="pass",AO215&lt;&gt;"Y",C215&lt;&gt;""),"Y","N")</f>
        <v>Y</v>
      </c>
      <c r="AS215" s="0" t="str">
        <f aca="false">_xlfn.TEXTJOIN("; ",TRUE(),IF(AU215&lt;&gt;"pass","gated out",""),IF(AO215="Y","on hold: "&amp;AP215,""),IF(C215="","no contact named on an opened page",""))</f>
        <v/>
      </c>
      <c r="AU215" s="6" t="s">
        <v>181</v>
      </c>
      <c r="AW215" s="6" t="s">
        <v>182</v>
      </c>
      <c r="AX215" s="6" t="s">
        <v>283</v>
      </c>
      <c r="AY215" s="6" t="s">
        <v>9280</v>
      </c>
      <c r="AZ215" s="6" t="s">
        <v>6478</v>
      </c>
      <c r="BA215" s="6" t="s">
        <v>5193</v>
      </c>
      <c r="BB215" s="6" t="s">
        <v>163</v>
      </c>
      <c r="BD215" s="6" t="s">
        <v>264</v>
      </c>
      <c r="BE215" s="6" t="s">
        <v>9281</v>
      </c>
      <c r="BF215" s="6" t="s">
        <v>163</v>
      </c>
      <c r="BG215" s="6" t="s">
        <v>168</v>
      </c>
      <c r="BH215" s="6" t="s">
        <v>163</v>
      </c>
      <c r="BJ215" s="6" t="s">
        <v>163</v>
      </c>
      <c r="BK215" s="6" t="s">
        <v>162</v>
      </c>
      <c r="BL215" s="6" t="s">
        <v>162</v>
      </c>
      <c r="BO215" s="6" t="s">
        <v>162</v>
      </c>
      <c r="BP215" s="0" t="n">
        <v>0</v>
      </c>
      <c r="BS215" s="6" t="s">
        <v>9282</v>
      </c>
      <c r="BT215" s="6" t="s">
        <v>9283</v>
      </c>
      <c r="BU215" s="6" t="s">
        <v>158</v>
      </c>
      <c r="BX215" s="6" t="s">
        <v>9284</v>
      </c>
      <c r="CF215" s="6" t="s">
        <v>158</v>
      </c>
      <c r="CK215" s="6" t="s">
        <v>158</v>
      </c>
      <c r="CL215" s="0" t="n">
        <v>29</v>
      </c>
      <c r="CM215" s="0" t="n">
        <v>6</v>
      </c>
      <c r="CN215" s="0" t="n">
        <v>8</v>
      </c>
      <c r="CO215" s="0" t="n">
        <v>0</v>
      </c>
      <c r="CP215" s="0" t="n">
        <v>5</v>
      </c>
      <c r="CQ215" s="0" t="n">
        <v>6</v>
      </c>
      <c r="CR215" s="0" t="n">
        <v>6</v>
      </c>
      <c r="CS215" s="6" t="n">
        <f aca="false">IF(R215="Y",10,0)</f>
        <v>0</v>
      </c>
      <c r="CT215" s="0" t="n">
        <v>-2</v>
      </c>
      <c r="CU215" s="6" t="s">
        <v>9285</v>
      </c>
      <c r="CV215" s="6" t="s">
        <v>4704</v>
      </c>
      <c r="CW215" s="6" t="s">
        <v>9286</v>
      </c>
      <c r="CX215" s="6" t="s">
        <v>9287</v>
      </c>
      <c r="CY215" s="6" t="s">
        <v>9288</v>
      </c>
      <c r="DA215" s="6" t="s">
        <v>6236</v>
      </c>
      <c r="DY215" s="0" t="str">
        <f aca="false">IF(ISNUMBER(MATCH(U215,{"queued","contacted","replied","call_booked","call_done","yes_in_principle","materials_sent"},0)),"Y","N")</f>
        <v>N</v>
      </c>
      <c r="DZ215" s="0" t="str">
        <f aca="false">IF(COUNTIFS($AN$2:$AN$1000,AN215,$DY$2:$DY$1000,"Y")+COUNTIFS($AN$2:$AN$1000,AN215,$T$2:$T$1000,"Y")&gt;0,"Y","N")</f>
        <v>N</v>
      </c>
      <c r="EA215" s="0" t="str">
        <f aca="false">IF(AND(U215="new",T215="N",AR215="Y",AQ215="",DZ215="N"),"Y","N")</f>
        <v>Y</v>
      </c>
      <c r="EB215" s="0" t="str">
        <f aca="false">IF(EA215&lt;&gt;"Y","N",IF(COUNTIFS($AN$2:$AN$1000,AN215,$EA$2:$EA$1000,"Y",$J$2:$J$1000,"&gt;"&amp;J215)+COUNTIFS($AN$2:$AN$1000,AN215,$EA$2:$EA$1000,"Y",$J$2:$J$1000,J215,$ED$2:$ED$1000,"&lt;"&amp;ED215)=0,"Y","N"))</f>
        <v>Y</v>
      </c>
      <c r="EC215" s="0" t="str">
        <f aca="false">IF(Y215="","N",IF(Y215&lt;=10,"Y","N"))</f>
        <v>N</v>
      </c>
      <c r="ED215" s="6" t="n">
        <f aca="false">ROW()-1</f>
        <v>214</v>
      </c>
    </row>
    <row r="216" customFormat="false" ht="15" hidden="false" customHeight="false" outlineLevel="0" collapsed="false">
      <c r="A216" s="0" t="s">
        <v>9289</v>
      </c>
      <c r="B216" s="0" t="s">
        <v>9290</v>
      </c>
      <c r="C216" s="0" t="s">
        <v>9291</v>
      </c>
      <c r="D216" s="0" t="s">
        <v>9292</v>
      </c>
      <c r="E216" s="0" t="s">
        <v>4657</v>
      </c>
      <c r="F216" s="0" t="s">
        <v>9293</v>
      </c>
      <c r="H216" s="5" t="s">
        <v>158</v>
      </c>
      <c r="I216" s="5" t="s">
        <v>159</v>
      </c>
      <c r="J216" s="6" t="n">
        <f aca="false">IF(AU216="pass",CM216+CN216+CO216+CP216+CQ216+CR216+CS216+CT216,0)</f>
        <v>28</v>
      </c>
      <c r="K216" s="6" t="s">
        <v>9294</v>
      </c>
      <c r="M216" s="6" t="s">
        <v>4581</v>
      </c>
      <c r="N216" s="6" t="s">
        <v>4582</v>
      </c>
      <c r="R216" s="5" t="s">
        <v>162</v>
      </c>
      <c r="S216" s="6" t="s">
        <v>163</v>
      </c>
      <c r="T216" s="5" t="s">
        <v>162</v>
      </c>
      <c r="U216" s="5" t="s">
        <v>228</v>
      </c>
      <c r="V216" s="6" t="s">
        <v>9295</v>
      </c>
      <c r="W216" s="6" t="s">
        <v>166</v>
      </c>
      <c r="X216" s="6" t="s">
        <v>4586</v>
      </c>
      <c r="Y216" s="6" t="n">
        <f aca="false">IF(EB216&lt;&gt;"Y","",COUNTIFS($EB$2:$EB$1000,"Y",$J$2:$J$1000,"&gt;"&amp;J216)+COUNTIFS($EB$2:$EB$1000,"Y",$J$2:$J$1000,J216,$ED$2:$ED$1000,"&lt;"&amp;ED216)+1)</f>
        <v>167</v>
      </c>
      <c r="Z216" s="0" t="n">
        <v>215</v>
      </c>
      <c r="AA216" s="6" t="s">
        <v>162</v>
      </c>
      <c r="AB216" s="6" t="s">
        <v>9296</v>
      </c>
      <c r="AC216" s="6" t="s">
        <v>4588</v>
      </c>
      <c r="AD216" s="6" t="s">
        <v>171</v>
      </c>
      <c r="AE216" s="6" t="s">
        <v>172</v>
      </c>
      <c r="AF216" s="6" t="s">
        <v>9297</v>
      </c>
      <c r="AG216" s="6" t="s">
        <v>174</v>
      </c>
      <c r="AH216" s="6" t="s">
        <v>9298</v>
      </c>
      <c r="AI216" s="6" t="s">
        <v>4724</v>
      </c>
      <c r="AJ216" s="6" t="s">
        <v>9299</v>
      </c>
      <c r="AK216" s="6" t="s">
        <v>9300</v>
      </c>
      <c r="AL216" s="6" t="s">
        <v>168</v>
      </c>
      <c r="AM216" s="6" t="s">
        <v>9301</v>
      </c>
      <c r="AN216" s="6" t="s">
        <v>9289</v>
      </c>
      <c r="AO216" s="5" t="s">
        <v>162</v>
      </c>
      <c r="AR216" s="0" t="str">
        <f aca="false">IF(AND(AU216="pass",AO216&lt;&gt;"Y",C216&lt;&gt;""),"Y","N")</f>
        <v>Y</v>
      </c>
      <c r="AS216" s="0" t="str">
        <f aca="false">_xlfn.TEXTJOIN("; ",TRUE(),IF(AU216&lt;&gt;"pass","gated out",""),IF(AO216="Y","on hold: "&amp;AP216,""),IF(C216="","no contact named on an opened page",""))</f>
        <v/>
      </c>
      <c r="AU216" s="6" t="s">
        <v>181</v>
      </c>
      <c r="AW216" s="6" t="s">
        <v>182</v>
      </c>
      <c r="AX216" s="6" t="s">
        <v>9302</v>
      </c>
      <c r="AY216" s="6" t="s">
        <v>9300</v>
      </c>
      <c r="AZ216" s="6" t="s">
        <v>4596</v>
      </c>
      <c r="BA216" s="6" t="s">
        <v>4597</v>
      </c>
      <c r="BB216" s="6" t="s">
        <v>163</v>
      </c>
      <c r="BD216" s="6" t="s">
        <v>168</v>
      </c>
      <c r="BE216" s="6" t="s">
        <v>9303</v>
      </c>
      <c r="BF216" s="6" t="s">
        <v>163</v>
      </c>
      <c r="BG216" s="6" t="s">
        <v>168</v>
      </c>
      <c r="BH216" s="6" t="s">
        <v>7181</v>
      </c>
      <c r="BI216" s="6" t="s">
        <v>9304</v>
      </c>
      <c r="BJ216" s="6" t="s">
        <v>9305</v>
      </c>
      <c r="BK216" s="6" t="s">
        <v>162</v>
      </c>
      <c r="BL216" s="6" t="s">
        <v>162</v>
      </c>
      <c r="BN216" s="0" t="n">
        <v>0</v>
      </c>
      <c r="BO216" s="6" t="s">
        <v>168</v>
      </c>
      <c r="BP216" s="0" t="n">
        <v>3</v>
      </c>
      <c r="BQ216" s="6" t="s">
        <v>4670</v>
      </c>
      <c r="BS216" s="6" t="s">
        <v>9306</v>
      </c>
      <c r="BT216" s="6" t="s">
        <v>9307</v>
      </c>
      <c r="BU216" s="6" t="s">
        <v>158</v>
      </c>
      <c r="BX216" s="6" t="s">
        <v>9308</v>
      </c>
      <c r="BY216" s="6" t="s">
        <v>9309</v>
      </c>
      <c r="BZ216" s="6" t="s">
        <v>4608</v>
      </c>
      <c r="CA216" s="6" t="s">
        <v>9310</v>
      </c>
      <c r="CB216" s="6" t="s">
        <v>9311</v>
      </c>
      <c r="CC216" s="6" t="s">
        <v>9312</v>
      </c>
      <c r="CD216" s="6" t="s">
        <v>9313</v>
      </c>
      <c r="CE216" s="6" t="s">
        <v>4613</v>
      </c>
      <c r="CF216" s="6" t="s">
        <v>171</v>
      </c>
      <c r="CG216" s="6" t="s">
        <v>9314</v>
      </c>
      <c r="CK216" s="6" t="s">
        <v>158</v>
      </c>
      <c r="CL216" s="0" t="n">
        <v>28</v>
      </c>
      <c r="CM216" s="0" t="n">
        <v>25</v>
      </c>
      <c r="CN216" s="0" t="n">
        <v>20</v>
      </c>
      <c r="CO216" s="0" t="n">
        <v>0</v>
      </c>
      <c r="CP216" s="0" t="n">
        <v>0</v>
      </c>
      <c r="CQ216" s="0" t="n">
        <v>8</v>
      </c>
      <c r="CR216" s="0" t="n">
        <v>10</v>
      </c>
      <c r="CS216" s="6" t="n">
        <f aca="false">IF(R216="Y",10,0)</f>
        <v>0</v>
      </c>
      <c r="CT216" s="0" t="n">
        <v>-35</v>
      </c>
      <c r="CU216" s="6" t="s">
        <v>9315</v>
      </c>
      <c r="CV216" s="6" t="s">
        <v>4704</v>
      </c>
      <c r="CW216" s="6" t="s">
        <v>9316</v>
      </c>
      <c r="CX216" s="6" t="s">
        <v>9317</v>
      </c>
      <c r="CY216" s="6" t="s">
        <v>9318</v>
      </c>
      <c r="CZ216" s="6" t="s">
        <v>9319</v>
      </c>
      <c r="DA216" s="6" t="s">
        <v>4621</v>
      </c>
      <c r="DC216" s="6" t="s">
        <v>231</v>
      </c>
      <c r="DD216" s="6" t="s">
        <v>9320</v>
      </c>
      <c r="DY216" s="0" t="str">
        <f aca="false">IF(ISNUMBER(MATCH(U216,{"queued","contacted","replied","call_booked","call_done","yes_in_principle","materials_sent"},0)),"Y","N")</f>
        <v>N</v>
      </c>
      <c r="DZ216" s="0" t="str">
        <f aca="false">IF(COUNTIFS($AN$2:$AN$1000,AN216,$DY$2:$DY$1000,"Y")+COUNTIFS($AN$2:$AN$1000,AN216,$T$2:$T$1000,"Y")&gt;0,"Y","N")</f>
        <v>N</v>
      </c>
      <c r="EA216" s="0" t="str">
        <f aca="false">IF(AND(U216="new",T216="N",AR216="Y",AQ216="",DZ216="N"),"Y","N")</f>
        <v>Y</v>
      </c>
      <c r="EB216" s="0" t="str">
        <f aca="false">IF(EA216&lt;&gt;"Y","N",IF(COUNTIFS($AN$2:$AN$1000,AN216,$EA$2:$EA$1000,"Y",$J$2:$J$1000,"&gt;"&amp;J216)+COUNTIFS($AN$2:$AN$1000,AN216,$EA$2:$EA$1000,"Y",$J$2:$J$1000,J216,$ED$2:$ED$1000,"&lt;"&amp;ED216)=0,"Y","N"))</f>
        <v>Y</v>
      </c>
      <c r="EC216" s="0" t="str">
        <f aca="false">IF(Y216="","N",IF(Y216&lt;=10,"Y","N"))</f>
        <v>N</v>
      </c>
      <c r="ED216" s="6" t="n">
        <f aca="false">ROW()-1</f>
        <v>215</v>
      </c>
    </row>
    <row r="217" customFormat="false" ht="15" hidden="false" customHeight="false" outlineLevel="0" collapsed="false">
      <c r="A217" s="0" t="s">
        <v>9321</v>
      </c>
      <c r="B217" s="0" t="s">
        <v>9322</v>
      </c>
      <c r="H217" s="5" t="s">
        <v>158</v>
      </c>
      <c r="I217" s="5"/>
      <c r="J217" s="6" t="n">
        <f aca="false">IF(AU217="pass",CM217+CN217+CO217+CP217+CQ217+CR217+CS217+CT217,0)</f>
        <v>28</v>
      </c>
      <c r="K217" s="6" t="s">
        <v>9323</v>
      </c>
      <c r="M217" s="6" t="s">
        <v>5293</v>
      </c>
      <c r="N217" s="6" t="s">
        <v>598</v>
      </c>
      <c r="O217" s="6" t="s">
        <v>9324</v>
      </c>
      <c r="P217" s="6" t="s">
        <v>9325</v>
      </c>
      <c r="Q217" s="6" t="s">
        <v>4797</v>
      </c>
      <c r="R217" s="5" t="s">
        <v>162</v>
      </c>
      <c r="S217" s="6" t="s">
        <v>163</v>
      </c>
      <c r="T217" s="5" t="s">
        <v>162</v>
      </c>
      <c r="U217" s="5" t="s">
        <v>228</v>
      </c>
      <c r="V217" s="6" t="s">
        <v>9325</v>
      </c>
      <c r="W217" s="6" t="s">
        <v>166</v>
      </c>
      <c r="X217" s="6" t="s">
        <v>4586</v>
      </c>
      <c r="Y217" s="0" t="str">
        <f aca="false">IF(EB217&lt;&gt;"Y","",COUNTIFS($EB$2:$EB$1000,"Y",$J$2:$J$1000,"&gt;"&amp;J217)+COUNTIFS($EB$2:$EB$1000,"Y",$J$2:$J$1000,J217,$ED$2:$ED$1000,"&lt;"&amp;ED217)+1)</f>
        <v/>
      </c>
      <c r="Z217" s="0" t="n">
        <v>216</v>
      </c>
      <c r="AA217" s="6" t="s">
        <v>162</v>
      </c>
      <c r="AB217" s="6" t="s">
        <v>6917</v>
      </c>
      <c r="AD217" s="6" t="s">
        <v>158</v>
      </c>
      <c r="AH217" s="6" t="s">
        <v>9326</v>
      </c>
      <c r="AI217" s="6" t="s">
        <v>5081</v>
      </c>
      <c r="AJ217" s="6" t="s">
        <v>9327</v>
      </c>
      <c r="AK217" s="6" t="s">
        <v>9328</v>
      </c>
      <c r="AL217" s="6" t="s">
        <v>168</v>
      </c>
      <c r="AM217" s="6" t="s">
        <v>9329</v>
      </c>
      <c r="AN217" s="6" t="s">
        <v>9321</v>
      </c>
      <c r="AO217" s="5" t="s">
        <v>162</v>
      </c>
      <c r="AR217" s="0" t="str">
        <f aca="false">IF(AND(AU217="pass",AO217&lt;&gt;"Y",C217&lt;&gt;""),"Y","N")</f>
        <v>N</v>
      </c>
      <c r="AS217" s="0" t="str">
        <f aca="false">_xlfn.TEXTJOIN("; ",TRUE(),IF(AU217&lt;&gt;"pass","gated out",""),IF(AO217="Y","on hold: "&amp;AP217,""),IF(C217="","no contact named on an opened page",""))</f>
        <v>no contact named on an opened page</v>
      </c>
      <c r="AU217" s="6" t="s">
        <v>181</v>
      </c>
      <c r="AW217" s="6" t="s">
        <v>182</v>
      </c>
      <c r="AX217" s="6" t="s">
        <v>4595</v>
      </c>
      <c r="AY217" s="6" t="s">
        <v>9328</v>
      </c>
      <c r="AZ217" s="6" t="s">
        <v>7241</v>
      </c>
      <c r="BA217" s="6" t="s">
        <v>5331</v>
      </c>
      <c r="BB217" s="6" t="s">
        <v>163</v>
      </c>
      <c r="BD217" s="6" t="s">
        <v>168</v>
      </c>
      <c r="BE217" s="6" t="s">
        <v>9330</v>
      </c>
      <c r="BF217" s="6" t="s">
        <v>168</v>
      </c>
      <c r="BG217" s="6" t="s">
        <v>168</v>
      </c>
      <c r="BH217" s="6" t="s">
        <v>163</v>
      </c>
      <c r="BJ217" s="6" t="s">
        <v>163</v>
      </c>
      <c r="BK217" s="6" t="s">
        <v>162</v>
      </c>
      <c r="BL217" s="6" t="s">
        <v>162</v>
      </c>
      <c r="BO217" s="6" t="s">
        <v>162</v>
      </c>
      <c r="BP217" s="0" t="n">
        <v>0</v>
      </c>
      <c r="BS217" s="6" t="s">
        <v>9331</v>
      </c>
      <c r="BT217" s="6" t="s">
        <v>9332</v>
      </c>
      <c r="BU217" s="6" t="s">
        <v>4695</v>
      </c>
      <c r="BV217" s="0" t="n">
        <v>36</v>
      </c>
      <c r="CF217" s="6" t="s">
        <v>158</v>
      </c>
      <c r="CK217" s="6" t="s">
        <v>158</v>
      </c>
      <c r="CL217" s="0" t="n">
        <v>28</v>
      </c>
      <c r="CM217" s="0" t="n">
        <v>6</v>
      </c>
      <c r="CN217" s="0" t="n">
        <v>3</v>
      </c>
      <c r="CO217" s="0" t="n">
        <v>8</v>
      </c>
      <c r="CP217" s="0" t="n">
        <v>5</v>
      </c>
      <c r="CQ217" s="0" t="n">
        <v>10</v>
      </c>
      <c r="CR217" s="0" t="n">
        <v>0</v>
      </c>
      <c r="CS217" s="6" t="n">
        <f aca="false">IF(R217="Y",10,0)</f>
        <v>0</v>
      </c>
      <c r="CT217" s="0" t="n">
        <v>-4</v>
      </c>
      <c r="CU217" s="6" t="s">
        <v>9333</v>
      </c>
      <c r="CV217" s="6" t="s">
        <v>4704</v>
      </c>
      <c r="CW217" s="6" t="s">
        <v>9334</v>
      </c>
      <c r="CX217" s="6" t="s">
        <v>9335</v>
      </c>
      <c r="CY217" s="6" t="s">
        <v>9336</v>
      </c>
      <c r="DA217" s="6" t="s">
        <v>6236</v>
      </c>
      <c r="DY217" s="0" t="str">
        <f aca="false">IF(ISNUMBER(MATCH(U217,{"queued","contacted","replied","call_booked","call_done","yes_in_principle","materials_sent"},0)),"Y","N")</f>
        <v>N</v>
      </c>
      <c r="DZ217" s="0" t="str">
        <f aca="false">IF(COUNTIFS($AN$2:$AN$1000,AN217,$DY$2:$DY$1000,"Y")+COUNTIFS($AN$2:$AN$1000,AN217,$T$2:$T$1000,"Y")&gt;0,"Y","N")</f>
        <v>N</v>
      </c>
      <c r="EA217" s="0" t="str">
        <f aca="false">IF(AND(U217="new",T217="N",AR217="Y",AQ217="",DZ217="N"),"Y","N")</f>
        <v>N</v>
      </c>
      <c r="EB217" s="0" t="str">
        <f aca="false">IF(EA217&lt;&gt;"Y","N",IF(COUNTIFS($AN$2:$AN$1000,AN217,$EA$2:$EA$1000,"Y",$J$2:$J$1000,"&gt;"&amp;J217)+COUNTIFS($AN$2:$AN$1000,AN217,$EA$2:$EA$1000,"Y",$J$2:$J$1000,J217,$ED$2:$ED$1000,"&lt;"&amp;ED217)=0,"Y","N"))</f>
        <v>N</v>
      </c>
      <c r="EC217" s="0" t="str">
        <f aca="false">IF(Y217="","N",IF(Y217&lt;=10,"Y","N"))</f>
        <v>N</v>
      </c>
      <c r="ED217" s="6" t="n">
        <f aca="false">ROW()-1</f>
        <v>216</v>
      </c>
    </row>
    <row r="218" customFormat="false" ht="15" hidden="false" customHeight="false" outlineLevel="0" collapsed="false">
      <c r="A218" s="0" t="s">
        <v>9337</v>
      </c>
      <c r="B218" s="0" t="s">
        <v>9338</v>
      </c>
      <c r="H218" s="5" t="s">
        <v>158</v>
      </c>
      <c r="I218" s="5"/>
      <c r="J218" s="6" t="n">
        <f aca="false">IF(AU218="pass",CM218+CN218+CO218+CP218+CQ218+CR218+CS218+CT218,0)</f>
        <v>28</v>
      </c>
      <c r="K218" s="6" t="s">
        <v>9339</v>
      </c>
      <c r="M218" s="6" t="s">
        <v>5293</v>
      </c>
      <c r="N218" s="6" t="s">
        <v>598</v>
      </c>
      <c r="R218" s="5" t="s">
        <v>162</v>
      </c>
      <c r="S218" s="6" t="s">
        <v>163</v>
      </c>
      <c r="T218" s="5" t="s">
        <v>162</v>
      </c>
      <c r="U218" s="5" t="s">
        <v>228</v>
      </c>
      <c r="V218" s="6" t="s">
        <v>9340</v>
      </c>
      <c r="W218" s="6" t="s">
        <v>166</v>
      </c>
      <c r="X218" s="6" t="s">
        <v>4586</v>
      </c>
      <c r="Y218" s="0" t="str">
        <f aca="false">IF(EB218&lt;&gt;"Y","",COUNTIFS($EB$2:$EB$1000,"Y",$J$2:$J$1000,"&gt;"&amp;J218)+COUNTIFS($EB$2:$EB$1000,"Y",$J$2:$J$1000,J218,$ED$2:$ED$1000,"&lt;"&amp;ED218)+1)</f>
        <v/>
      </c>
      <c r="Z218" s="0" t="n">
        <v>217</v>
      </c>
      <c r="AA218" s="6" t="s">
        <v>162</v>
      </c>
      <c r="AB218" s="6" t="s">
        <v>6917</v>
      </c>
      <c r="AC218" s="6" t="s">
        <v>4588</v>
      </c>
      <c r="AD218" s="6" t="s">
        <v>598</v>
      </c>
      <c r="AE218" s="6" t="s">
        <v>172</v>
      </c>
      <c r="AF218" s="6" t="s">
        <v>9341</v>
      </c>
      <c r="AG218" s="6" t="s">
        <v>166</v>
      </c>
      <c r="AH218" s="6" t="s">
        <v>9342</v>
      </c>
      <c r="AI218" s="6" t="s">
        <v>5385</v>
      </c>
      <c r="AJ218" s="6" t="s">
        <v>9343</v>
      </c>
      <c r="AK218" s="6" t="s">
        <v>9344</v>
      </c>
      <c r="AL218" s="6" t="s">
        <v>168</v>
      </c>
      <c r="AM218" s="6" t="s">
        <v>9345</v>
      </c>
      <c r="AN218" s="6" t="s">
        <v>9337</v>
      </c>
      <c r="AO218" s="5" t="s">
        <v>162</v>
      </c>
      <c r="AR218" s="0" t="str">
        <f aca="false">IF(AND(AU218="pass",AO218&lt;&gt;"Y",C218&lt;&gt;""),"Y","N")</f>
        <v>N</v>
      </c>
      <c r="AS218" s="0" t="str">
        <f aca="false">_xlfn.TEXTJOIN("; ",TRUE(),IF(AU218&lt;&gt;"pass","gated out",""),IF(AO218="Y","on hold: "&amp;AP218,""),IF(C218="","no contact named on an opened page",""))</f>
        <v>no contact named on an opened page</v>
      </c>
      <c r="AU218" s="6" t="s">
        <v>181</v>
      </c>
      <c r="AW218" s="6" t="s">
        <v>182</v>
      </c>
      <c r="AX218" s="6" t="s">
        <v>4595</v>
      </c>
      <c r="AY218" s="6" t="s">
        <v>9344</v>
      </c>
      <c r="AZ218" s="6" t="s">
        <v>4924</v>
      </c>
      <c r="BA218" s="6" t="s">
        <v>5193</v>
      </c>
      <c r="BB218" s="6" t="s">
        <v>163</v>
      </c>
      <c r="BD218" s="6" t="s">
        <v>168</v>
      </c>
      <c r="BE218" s="6" t="s">
        <v>9346</v>
      </c>
      <c r="BF218" s="6" t="s">
        <v>168</v>
      </c>
      <c r="BG218" s="6" t="s">
        <v>168</v>
      </c>
      <c r="BH218" s="6" t="s">
        <v>163</v>
      </c>
      <c r="BJ218" s="6" t="s">
        <v>163</v>
      </c>
      <c r="BK218" s="6" t="s">
        <v>168</v>
      </c>
      <c r="BL218" s="6" t="s">
        <v>162</v>
      </c>
      <c r="BO218" s="6" t="s">
        <v>162</v>
      </c>
      <c r="BP218" s="0" t="n">
        <v>0</v>
      </c>
      <c r="BR218" s="6" t="s">
        <v>6670</v>
      </c>
      <c r="BS218" s="6" t="s">
        <v>6575</v>
      </c>
      <c r="BT218" s="6" t="s">
        <v>9340</v>
      </c>
      <c r="BU218" s="6" t="s">
        <v>158</v>
      </c>
      <c r="BX218" s="6" t="s">
        <v>5527</v>
      </c>
      <c r="BY218" s="6" t="s">
        <v>9347</v>
      </c>
      <c r="CA218" s="6" t="s">
        <v>9348</v>
      </c>
      <c r="CE218" s="6" t="s">
        <v>6725</v>
      </c>
      <c r="CF218" s="6" t="s">
        <v>598</v>
      </c>
      <c r="CG218" s="6" t="s">
        <v>9347</v>
      </c>
      <c r="CK218" s="6" t="s">
        <v>158</v>
      </c>
      <c r="CL218" s="0" t="n">
        <v>28</v>
      </c>
      <c r="CM218" s="0" t="n">
        <v>6</v>
      </c>
      <c r="CN218" s="0" t="n">
        <v>8</v>
      </c>
      <c r="CO218" s="0" t="n">
        <v>0</v>
      </c>
      <c r="CP218" s="0" t="n">
        <v>5</v>
      </c>
      <c r="CQ218" s="0" t="n">
        <v>10</v>
      </c>
      <c r="CR218" s="0" t="n">
        <v>3</v>
      </c>
      <c r="CS218" s="6" t="n">
        <f aca="false">IF(R218="Y",10,0)</f>
        <v>0</v>
      </c>
      <c r="CT218" s="0" t="n">
        <v>-4</v>
      </c>
      <c r="CV218" s="6" t="s">
        <v>4616</v>
      </c>
      <c r="CW218" s="6" t="s">
        <v>9349</v>
      </c>
      <c r="CX218" s="6" t="s">
        <v>9350</v>
      </c>
      <c r="CY218" s="6" t="s">
        <v>9351</v>
      </c>
      <c r="CZ218" s="6" t="s">
        <v>9341</v>
      </c>
      <c r="DA218" s="6" t="s">
        <v>6236</v>
      </c>
      <c r="DC218" s="6" t="s">
        <v>172</v>
      </c>
      <c r="DY218" s="0" t="str">
        <f aca="false">IF(ISNUMBER(MATCH(U218,{"queued","contacted","replied","call_booked","call_done","yes_in_principle","materials_sent"},0)),"Y","N")</f>
        <v>N</v>
      </c>
      <c r="DZ218" s="0" t="str">
        <f aca="false">IF(COUNTIFS($AN$2:$AN$1000,AN218,$DY$2:$DY$1000,"Y")+COUNTIFS($AN$2:$AN$1000,AN218,$T$2:$T$1000,"Y")&gt;0,"Y","N")</f>
        <v>N</v>
      </c>
      <c r="EA218" s="0" t="str">
        <f aca="false">IF(AND(U218="new",T218="N",AR218="Y",AQ218="",DZ218="N"),"Y","N")</f>
        <v>N</v>
      </c>
      <c r="EB218" s="0" t="str">
        <f aca="false">IF(EA218&lt;&gt;"Y","N",IF(COUNTIFS($AN$2:$AN$1000,AN218,$EA$2:$EA$1000,"Y",$J$2:$J$1000,"&gt;"&amp;J218)+COUNTIFS($AN$2:$AN$1000,AN218,$EA$2:$EA$1000,"Y",$J$2:$J$1000,J218,$ED$2:$ED$1000,"&lt;"&amp;ED218)=0,"Y","N"))</f>
        <v>N</v>
      </c>
      <c r="EC218" s="0" t="str">
        <f aca="false">IF(Y218="","N",IF(Y218&lt;=10,"Y","N"))</f>
        <v>N</v>
      </c>
      <c r="ED218" s="6" t="n">
        <f aca="false">ROW()-1</f>
        <v>217</v>
      </c>
    </row>
    <row r="219" customFormat="false" ht="15" hidden="false" customHeight="false" outlineLevel="0" collapsed="false">
      <c r="A219" s="0" t="s">
        <v>9352</v>
      </c>
      <c r="B219" s="0" t="s">
        <v>9353</v>
      </c>
      <c r="C219" s="0" t="s">
        <v>5963</v>
      </c>
      <c r="D219" s="0" t="s">
        <v>9354</v>
      </c>
      <c r="E219" s="0" t="s">
        <v>4773</v>
      </c>
      <c r="H219" s="5" t="s">
        <v>158</v>
      </c>
      <c r="I219" s="5" t="s">
        <v>159</v>
      </c>
      <c r="J219" s="6" t="n">
        <f aca="false">IF(AU219="pass",CM219+CN219+CO219+CP219+CQ219+CR219+CS219+CT219,0)</f>
        <v>27</v>
      </c>
      <c r="K219" s="6" t="s">
        <v>9355</v>
      </c>
      <c r="M219" s="6" t="s">
        <v>4581</v>
      </c>
      <c r="N219" s="6" t="s">
        <v>4582</v>
      </c>
      <c r="O219" s="6" t="s">
        <v>9356</v>
      </c>
      <c r="P219" s="6" t="s">
        <v>9357</v>
      </c>
      <c r="Q219" s="6" t="s">
        <v>9358</v>
      </c>
      <c r="R219" s="5" t="s">
        <v>162</v>
      </c>
      <c r="S219" s="6" t="s">
        <v>163</v>
      </c>
      <c r="T219" s="5" t="s">
        <v>162</v>
      </c>
      <c r="U219" s="5" t="s">
        <v>228</v>
      </c>
      <c r="V219" s="6" t="s">
        <v>9359</v>
      </c>
      <c r="W219" s="6" t="s">
        <v>166</v>
      </c>
      <c r="X219" s="6" t="s">
        <v>4586</v>
      </c>
      <c r="Y219" s="6" t="n">
        <f aca="false">IF(EB219&lt;&gt;"Y","",COUNTIFS($EB$2:$EB$1000,"Y",$J$2:$J$1000,"&gt;"&amp;J219)+COUNTIFS($EB$2:$EB$1000,"Y",$J$2:$J$1000,J219,$ED$2:$ED$1000,"&lt;"&amp;ED219)+1)</f>
        <v>168</v>
      </c>
      <c r="Z219" s="0" t="n">
        <v>218</v>
      </c>
      <c r="AA219" s="6" t="s">
        <v>162</v>
      </c>
      <c r="AB219" s="6" t="s">
        <v>9360</v>
      </c>
      <c r="AC219" s="6" t="s">
        <v>4588</v>
      </c>
      <c r="AD219" s="6" t="s">
        <v>171</v>
      </c>
      <c r="AE219" s="6" t="s">
        <v>1190</v>
      </c>
      <c r="AF219" s="6" t="s">
        <v>9357</v>
      </c>
      <c r="AG219" s="6" t="s">
        <v>166</v>
      </c>
      <c r="AH219" s="6" t="s">
        <v>9361</v>
      </c>
      <c r="AI219" s="6" t="s">
        <v>4828</v>
      </c>
      <c r="AJ219" s="6" t="s">
        <v>9362</v>
      </c>
      <c r="AL219" s="6" t="s">
        <v>168</v>
      </c>
      <c r="AM219" s="6" t="s">
        <v>9363</v>
      </c>
      <c r="AN219" s="6" t="s">
        <v>9352</v>
      </c>
      <c r="AO219" s="5" t="s">
        <v>162</v>
      </c>
      <c r="AR219" s="0" t="str">
        <f aca="false">IF(AND(AU219="pass",AO219&lt;&gt;"Y",C219&lt;&gt;""),"Y","N")</f>
        <v>Y</v>
      </c>
      <c r="AS219" s="0" t="str">
        <f aca="false">_xlfn.TEXTJOIN("; ",TRUE(),IF(AU219&lt;&gt;"pass","gated out",""),IF(AO219="Y","on hold: "&amp;AP219,""),IF(C219="","no contact named on an opened page",""))</f>
        <v/>
      </c>
      <c r="AU219" s="6" t="s">
        <v>181</v>
      </c>
      <c r="AW219" s="6" t="s">
        <v>182</v>
      </c>
      <c r="AX219" s="6" t="s">
        <v>7616</v>
      </c>
      <c r="AY219" s="6" t="s">
        <v>9364</v>
      </c>
      <c r="AZ219" s="6" t="s">
        <v>6388</v>
      </c>
      <c r="BA219" s="6" t="s">
        <v>5060</v>
      </c>
      <c r="BB219" s="6" t="s">
        <v>9365</v>
      </c>
      <c r="BD219" s="6" t="s">
        <v>168</v>
      </c>
      <c r="BE219" s="6" t="s">
        <v>9366</v>
      </c>
      <c r="BF219" s="6" t="s">
        <v>162</v>
      </c>
      <c r="BG219" s="6" t="s">
        <v>163</v>
      </c>
      <c r="BH219" s="6" t="s">
        <v>163</v>
      </c>
      <c r="BJ219" s="6" t="s">
        <v>163</v>
      </c>
      <c r="BK219" s="6" t="s">
        <v>162</v>
      </c>
      <c r="BL219" s="6" t="s">
        <v>162</v>
      </c>
      <c r="BN219" s="0" t="n">
        <v>0</v>
      </c>
      <c r="BO219" s="6" t="s">
        <v>168</v>
      </c>
      <c r="BP219" s="0" t="n">
        <v>3</v>
      </c>
      <c r="BQ219" s="6" t="s">
        <v>4670</v>
      </c>
      <c r="BS219" s="6" t="s">
        <v>4983</v>
      </c>
      <c r="BT219" s="6" t="s">
        <v>9367</v>
      </c>
      <c r="BU219" s="6" t="s">
        <v>4605</v>
      </c>
      <c r="BV219" s="0" t="n">
        <v>281</v>
      </c>
      <c r="BX219" s="6" t="s">
        <v>9368</v>
      </c>
      <c r="CF219" s="6" t="s">
        <v>158</v>
      </c>
      <c r="CK219" s="6" t="s">
        <v>158</v>
      </c>
      <c r="CL219" s="0" t="n">
        <v>27</v>
      </c>
      <c r="CM219" s="0" t="n">
        <v>25</v>
      </c>
      <c r="CN219" s="0" t="n">
        <v>3</v>
      </c>
      <c r="CO219" s="0" t="n">
        <v>8</v>
      </c>
      <c r="CP219" s="0" t="n">
        <v>5</v>
      </c>
      <c r="CQ219" s="0" t="n">
        <v>5</v>
      </c>
      <c r="CR219" s="0" t="n">
        <v>6</v>
      </c>
      <c r="CS219" s="6" t="n">
        <f aca="false">IF(R219="Y",10,0)</f>
        <v>0</v>
      </c>
      <c r="CT219" s="0" t="n">
        <v>-25</v>
      </c>
      <c r="CU219" s="6" t="s">
        <v>163</v>
      </c>
      <c r="CV219" s="6" t="s">
        <v>4843</v>
      </c>
      <c r="CW219" s="6" t="s">
        <v>9369</v>
      </c>
      <c r="CX219" s="6" t="s">
        <v>9370</v>
      </c>
      <c r="CY219" s="6" t="s">
        <v>9371</v>
      </c>
      <c r="DA219" s="6" t="s">
        <v>6236</v>
      </c>
      <c r="DY219" s="0" t="str">
        <f aca="false">IF(ISNUMBER(MATCH(U219,{"queued","contacted","replied","call_booked","call_done","yes_in_principle","materials_sent"},0)),"Y","N")</f>
        <v>N</v>
      </c>
      <c r="DZ219" s="0" t="str">
        <f aca="false">IF(COUNTIFS($AN$2:$AN$1000,AN219,$DY$2:$DY$1000,"Y")+COUNTIFS($AN$2:$AN$1000,AN219,$T$2:$T$1000,"Y")&gt;0,"Y","N")</f>
        <v>N</v>
      </c>
      <c r="EA219" s="0" t="str">
        <f aca="false">IF(AND(U219="new",T219="N",AR219="Y",AQ219="",DZ219="N"),"Y","N")</f>
        <v>Y</v>
      </c>
      <c r="EB219" s="0" t="str">
        <f aca="false">IF(EA219&lt;&gt;"Y","N",IF(COUNTIFS($AN$2:$AN$1000,AN219,$EA$2:$EA$1000,"Y",$J$2:$J$1000,"&gt;"&amp;J219)+COUNTIFS($AN$2:$AN$1000,AN219,$EA$2:$EA$1000,"Y",$J$2:$J$1000,J219,$ED$2:$ED$1000,"&lt;"&amp;ED219)=0,"Y","N"))</f>
        <v>Y</v>
      </c>
      <c r="EC219" s="0" t="str">
        <f aca="false">IF(Y219="","N",IF(Y219&lt;=10,"Y","N"))</f>
        <v>N</v>
      </c>
      <c r="ED219" s="6" t="n">
        <f aca="false">ROW()-1</f>
        <v>218</v>
      </c>
    </row>
    <row r="220" customFormat="false" ht="15" hidden="false" customHeight="false" outlineLevel="0" collapsed="false">
      <c r="A220" s="0" t="s">
        <v>9372</v>
      </c>
      <c r="B220" s="0" t="s">
        <v>9373</v>
      </c>
      <c r="H220" s="5" t="s">
        <v>158</v>
      </c>
      <c r="I220" s="5"/>
      <c r="J220" s="6" t="n">
        <f aca="false">IF(AU220="pass",CM220+CN220+CO220+CP220+CQ220+CR220+CS220+CT220,0)</f>
        <v>27</v>
      </c>
      <c r="K220" s="6" t="s">
        <v>9374</v>
      </c>
      <c r="M220" s="6" t="s">
        <v>5293</v>
      </c>
      <c r="N220" s="6" t="s">
        <v>598</v>
      </c>
      <c r="O220" s="6" t="s">
        <v>9375</v>
      </c>
      <c r="P220" s="6" t="s">
        <v>5600</v>
      </c>
      <c r="Q220" s="6" t="s">
        <v>2614</v>
      </c>
      <c r="R220" s="5" t="s">
        <v>162</v>
      </c>
      <c r="S220" s="6" t="s">
        <v>163</v>
      </c>
      <c r="T220" s="5" t="s">
        <v>162</v>
      </c>
      <c r="U220" s="5" t="s">
        <v>228</v>
      </c>
      <c r="V220" s="6" t="s">
        <v>5600</v>
      </c>
      <c r="W220" s="6" t="s">
        <v>174</v>
      </c>
      <c r="X220" s="6" t="s">
        <v>4586</v>
      </c>
      <c r="Y220" s="0" t="str">
        <f aca="false">IF(EB220&lt;&gt;"Y","",COUNTIFS($EB$2:$EB$1000,"Y",$J$2:$J$1000,"&gt;"&amp;J220)+COUNTIFS($EB$2:$EB$1000,"Y",$J$2:$J$1000,J220,$ED$2:$ED$1000,"&lt;"&amp;ED220)+1)</f>
        <v/>
      </c>
      <c r="Z220" s="0" t="n">
        <v>219</v>
      </c>
      <c r="AA220" s="6" t="s">
        <v>162</v>
      </c>
      <c r="AB220" s="6" t="s">
        <v>9376</v>
      </c>
      <c r="AD220" s="6" t="s">
        <v>158</v>
      </c>
      <c r="AH220" s="6" t="s">
        <v>9377</v>
      </c>
      <c r="AI220" s="6" t="s">
        <v>5030</v>
      </c>
      <c r="AJ220" s="6" t="s">
        <v>9378</v>
      </c>
      <c r="AK220" s="6" t="s">
        <v>9379</v>
      </c>
      <c r="AL220" s="6" t="s">
        <v>168</v>
      </c>
      <c r="AM220" s="6" t="s">
        <v>9380</v>
      </c>
      <c r="AN220" s="6" t="s">
        <v>9372</v>
      </c>
      <c r="AO220" s="5" t="s">
        <v>162</v>
      </c>
      <c r="AR220" s="0" t="str">
        <f aca="false">IF(AND(AU220="pass",AO220&lt;&gt;"Y",C220&lt;&gt;""),"Y","N")</f>
        <v>N</v>
      </c>
      <c r="AS220" s="0" t="str">
        <f aca="false">_xlfn.TEXTJOIN("; ",TRUE(),IF(AU220&lt;&gt;"pass","gated out",""),IF(AO220="Y","on hold: "&amp;AP220,""),IF(C220="","no contact named on an opened page",""))</f>
        <v>no contact named on an opened page</v>
      </c>
      <c r="AU220" s="6" t="s">
        <v>181</v>
      </c>
      <c r="AW220" s="6" t="s">
        <v>182</v>
      </c>
      <c r="AX220" s="6" t="s">
        <v>5607</v>
      </c>
      <c r="AY220" s="6" t="s">
        <v>9379</v>
      </c>
      <c r="AZ220" s="6" t="s">
        <v>5659</v>
      </c>
      <c r="BA220" s="6" t="s">
        <v>5331</v>
      </c>
      <c r="BB220" s="6" t="s">
        <v>163</v>
      </c>
      <c r="BD220" s="6" t="s">
        <v>168</v>
      </c>
      <c r="BE220" s="6" t="s">
        <v>9381</v>
      </c>
      <c r="BF220" s="6" t="s">
        <v>168</v>
      </c>
      <c r="BG220" s="6" t="s">
        <v>168</v>
      </c>
      <c r="BH220" s="6" t="s">
        <v>163</v>
      </c>
      <c r="BJ220" s="6" t="s">
        <v>5145</v>
      </c>
      <c r="BK220" s="6" t="s">
        <v>162</v>
      </c>
      <c r="BL220" s="6" t="s">
        <v>162</v>
      </c>
      <c r="BO220" s="6" t="s">
        <v>162</v>
      </c>
      <c r="BP220" s="0" t="n">
        <v>0</v>
      </c>
      <c r="BS220" s="6" t="s">
        <v>9382</v>
      </c>
      <c r="BU220" s="6" t="s">
        <v>4605</v>
      </c>
      <c r="BV220" s="0" t="n">
        <v>5</v>
      </c>
      <c r="CF220" s="6" t="s">
        <v>158</v>
      </c>
      <c r="CK220" s="6" t="s">
        <v>158</v>
      </c>
      <c r="CL220" s="0" t="n">
        <v>27</v>
      </c>
      <c r="CM220" s="0" t="n">
        <v>6</v>
      </c>
      <c r="CN220" s="0" t="n">
        <v>3</v>
      </c>
      <c r="CO220" s="0" t="n">
        <v>15</v>
      </c>
      <c r="CP220" s="0" t="n">
        <v>5</v>
      </c>
      <c r="CQ220" s="0" t="n">
        <v>10</v>
      </c>
      <c r="CR220" s="0" t="n">
        <v>0</v>
      </c>
      <c r="CS220" s="6" t="n">
        <f aca="false">IF(R220="Y",10,0)</f>
        <v>0</v>
      </c>
      <c r="CT220" s="0" t="n">
        <v>-12</v>
      </c>
      <c r="CU220" s="6" t="s">
        <v>9383</v>
      </c>
      <c r="CV220" s="6" t="s">
        <v>5152</v>
      </c>
      <c r="CW220" s="6" t="s">
        <v>9384</v>
      </c>
      <c r="CX220" s="6" t="s">
        <v>9385</v>
      </c>
      <c r="DA220" s="6" t="s">
        <v>6236</v>
      </c>
      <c r="DY220" s="0" t="str">
        <f aca="false">IF(ISNUMBER(MATCH(U220,{"queued","contacted","replied","call_booked","call_done","yes_in_principle","materials_sent"},0)),"Y","N")</f>
        <v>N</v>
      </c>
      <c r="DZ220" s="0" t="str">
        <f aca="false">IF(COUNTIFS($AN$2:$AN$1000,AN220,$DY$2:$DY$1000,"Y")+COUNTIFS($AN$2:$AN$1000,AN220,$T$2:$T$1000,"Y")&gt;0,"Y","N")</f>
        <v>N</v>
      </c>
      <c r="EA220" s="0" t="str">
        <f aca="false">IF(AND(U220="new",T220="N",AR220="Y",AQ220="",DZ220="N"),"Y","N")</f>
        <v>N</v>
      </c>
      <c r="EB220" s="0" t="str">
        <f aca="false">IF(EA220&lt;&gt;"Y","N",IF(COUNTIFS($AN$2:$AN$1000,AN220,$EA$2:$EA$1000,"Y",$J$2:$J$1000,"&gt;"&amp;J220)+COUNTIFS($AN$2:$AN$1000,AN220,$EA$2:$EA$1000,"Y",$J$2:$J$1000,J220,$ED$2:$ED$1000,"&lt;"&amp;ED220)=0,"Y","N"))</f>
        <v>N</v>
      </c>
      <c r="EC220" s="0" t="str">
        <f aca="false">IF(Y220="","N",IF(Y220&lt;=10,"Y","N"))</f>
        <v>N</v>
      </c>
      <c r="ED220" s="6" t="n">
        <f aca="false">ROW()-1</f>
        <v>219</v>
      </c>
    </row>
    <row r="221" customFormat="false" ht="15" hidden="false" customHeight="false" outlineLevel="0" collapsed="false">
      <c r="A221" s="0" t="s">
        <v>9386</v>
      </c>
      <c r="B221" s="0" t="s">
        <v>9387</v>
      </c>
      <c r="C221" s="0" t="s">
        <v>1358</v>
      </c>
      <c r="D221" s="0" t="s">
        <v>9388</v>
      </c>
      <c r="E221" s="0" t="s">
        <v>6307</v>
      </c>
      <c r="H221" s="5" t="s">
        <v>158</v>
      </c>
      <c r="I221" s="5" t="s">
        <v>159</v>
      </c>
      <c r="J221" s="6" t="n">
        <f aca="false">IF(AU221="pass",CM221+CN221+CO221+CP221+CQ221+CR221+CS221+CT221,0)</f>
        <v>27</v>
      </c>
      <c r="K221" s="6" t="s">
        <v>9389</v>
      </c>
      <c r="M221" s="6" t="s">
        <v>5293</v>
      </c>
      <c r="N221" s="6" t="s">
        <v>598</v>
      </c>
      <c r="O221" s="6" t="s">
        <v>9390</v>
      </c>
      <c r="P221" s="6" t="s">
        <v>9391</v>
      </c>
      <c r="Q221" s="6" t="s">
        <v>9392</v>
      </c>
      <c r="R221" s="5" t="s">
        <v>162</v>
      </c>
      <c r="S221" s="6" t="s">
        <v>168</v>
      </c>
      <c r="T221" s="5" t="s">
        <v>162</v>
      </c>
      <c r="U221" s="5" t="s">
        <v>228</v>
      </c>
      <c r="V221" s="6" t="s">
        <v>9393</v>
      </c>
      <c r="W221" s="6" t="s">
        <v>166</v>
      </c>
      <c r="X221" s="6" t="s">
        <v>4586</v>
      </c>
      <c r="Y221" s="6" t="n">
        <f aca="false">IF(EB221&lt;&gt;"Y","",COUNTIFS($EB$2:$EB$1000,"Y",$J$2:$J$1000,"&gt;"&amp;J221)+COUNTIFS($EB$2:$EB$1000,"Y",$J$2:$J$1000,J221,$ED$2:$ED$1000,"&lt;"&amp;ED221)+1)</f>
        <v>169</v>
      </c>
      <c r="Z221" s="0" t="n">
        <v>220</v>
      </c>
      <c r="AA221" s="6" t="s">
        <v>162</v>
      </c>
      <c r="AB221" s="6" t="s">
        <v>9394</v>
      </c>
      <c r="AC221" s="6" t="s">
        <v>6262</v>
      </c>
      <c r="AD221" s="6" t="s">
        <v>171</v>
      </c>
      <c r="AE221" s="6" t="s">
        <v>1190</v>
      </c>
      <c r="AF221" s="6" t="s">
        <v>9393</v>
      </c>
      <c r="AG221" s="6" t="s">
        <v>166</v>
      </c>
      <c r="AH221" s="6" t="s">
        <v>9395</v>
      </c>
      <c r="AI221" s="6" t="s">
        <v>4828</v>
      </c>
      <c r="AJ221" s="6" t="s">
        <v>9396</v>
      </c>
      <c r="AK221" s="6" t="s">
        <v>9397</v>
      </c>
      <c r="AL221" s="6" t="s">
        <v>168</v>
      </c>
      <c r="AM221" s="6" t="s">
        <v>9398</v>
      </c>
      <c r="AN221" s="6" t="s">
        <v>9386</v>
      </c>
      <c r="AO221" s="5" t="s">
        <v>162</v>
      </c>
      <c r="AR221" s="0" t="str">
        <f aca="false">IF(AND(AU221="pass",AO221&lt;&gt;"Y",C221&lt;&gt;""),"Y","N")</f>
        <v>Y</v>
      </c>
      <c r="AS221" s="0" t="str">
        <f aca="false">_xlfn.TEXTJOIN("; ",TRUE(),IF(AU221&lt;&gt;"pass","gated out",""),IF(AO221="Y","on hold: "&amp;AP221,""),IF(C221="","no contact named on an opened page",""))</f>
        <v/>
      </c>
      <c r="AU221" s="6" t="s">
        <v>181</v>
      </c>
      <c r="AW221" s="6" t="s">
        <v>182</v>
      </c>
      <c r="AX221" s="6" t="s">
        <v>5607</v>
      </c>
      <c r="AY221" s="6" t="s">
        <v>9397</v>
      </c>
      <c r="AZ221" s="6" t="s">
        <v>5059</v>
      </c>
      <c r="BA221" s="6" t="s">
        <v>5331</v>
      </c>
      <c r="BB221" s="6" t="s">
        <v>9399</v>
      </c>
      <c r="BD221" s="6" t="s">
        <v>168</v>
      </c>
      <c r="BE221" s="6" t="s">
        <v>9400</v>
      </c>
      <c r="BF221" s="6" t="s">
        <v>162</v>
      </c>
      <c r="BG221" s="6" t="s">
        <v>168</v>
      </c>
      <c r="BH221" s="6" t="s">
        <v>163</v>
      </c>
      <c r="BJ221" s="6" t="s">
        <v>163</v>
      </c>
      <c r="BK221" s="6" t="s">
        <v>162</v>
      </c>
      <c r="BL221" s="6" t="s">
        <v>162</v>
      </c>
      <c r="BO221" s="6" t="s">
        <v>162</v>
      </c>
      <c r="BP221" s="0" t="n">
        <v>0</v>
      </c>
      <c r="BS221" s="6" t="s">
        <v>9401</v>
      </c>
      <c r="BT221" s="6" t="s">
        <v>9402</v>
      </c>
      <c r="BU221" s="6" t="s">
        <v>4695</v>
      </c>
      <c r="BV221" s="0" t="n">
        <v>3</v>
      </c>
      <c r="BW221" s="6" t="s">
        <v>9393</v>
      </c>
      <c r="BX221" s="6" t="s">
        <v>9403</v>
      </c>
      <c r="CF221" s="6" t="s">
        <v>158</v>
      </c>
      <c r="CK221" s="6" t="s">
        <v>158</v>
      </c>
      <c r="CL221" s="0" t="n">
        <v>27</v>
      </c>
      <c r="CM221" s="0" t="n">
        <v>6</v>
      </c>
      <c r="CN221" s="0" t="n">
        <v>3</v>
      </c>
      <c r="CO221" s="0" t="n">
        <v>8</v>
      </c>
      <c r="CP221" s="0" t="n">
        <v>5</v>
      </c>
      <c r="CQ221" s="0" t="n">
        <v>7</v>
      </c>
      <c r="CR221" s="0" t="n">
        <v>10</v>
      </c>
      <c r="CS221" s="6" t="n">
        <f aca="false">IF(R221="Y",10,0)</f>
        <v>0</v>
      </c>
      <c r="CT221" s="0" t="n">
        <v>-12</v>
      </c>
      <c r="CU221" s="6" t="s">
        <v>163</v>
      </c>
      <c r="CV221" s="6" t="s">
        <v>4843</v>
      </c>
      <c r="CW221" s="6" t="s">
        <v>9404</v>
      </c>
      <c r="CX221" s="6" t="s">
        <v>9405</v>
      </c>
      <c r="DA221" s="6" t="s">
        <v>6236</v>
      </c>
      <c r="DY221" s="0" t="str">
        <f aca="false">IF(ISNUMBER(MATCH(U221,{"queued","contacted","replied","call_booked","call_done","yes_in_principle","materials_sent"},0)),"Y","N")</f>
        <v>N</v>
      </c>
      <c r="DZ221" s="0" t="str">
        <f aca="false">IF(COUNTIFS($AN$2:$AN$1000,AN221,$DY$2:$DY$1000,"Y")+COUNTIFS($AN$2:$AN$1000,AN221,$T$2:$T$1000,"Y")&gt;0,"Y","N")</f>
        <v>N</v>
      </c>
      <c r="EA221" s="0" t="str">
        <f aca="false">IF(AND(U221="new",T221="N",AR221="Y",AQ221="",DZ221="N"),"Y","N")</f>
        <v>Y</v>
      </c>
      <c r="EB221" s="0" t="str">
        <f aca="false">IF(EA221&lt;&gt;"Y","N",IF(COUNTIFS($AN$2:$AN$1000,AN221,$EA$2:$EA$1000,"Y",$J$2:$J$1000,"&gt;"&amp;J221)+COUNTIFS($AN$2:$AN$1000,AN221,$EA$2:$EA$1000,"Y",$J$2:$J$1000,J221,$ED$2:$ED$1000,"&lt;"&amp;ED221)=0,"Y","N"))</f>
        <v>Y</v>
      </c>
      <c r="EC221" s="0" t="str">
        <f aca="false">IF(Y221="","N",IF(Y221&lt;=10,"Y","N"))</f>
        <v>N</v>
      </c>
      <c r="ED221" s="6" t="n">
        <f aca="false">ROW()-1</f>
        <v>220</v>
      </c>
    </row>
    <row r="222" customFormat="false" ht="15" hidden="false" customHeight="false" outlineLevel="0" collapsed="false">
      <c r="A222" s="0" t="s">
        <v>9406</v>
      </c>
      <c r="B222" s="0" t="s">
        <v>9407</v>
      </c>
      <c r="C222" s="0" t="s">
        <v>7707</v>
      </c>
      <c r="D222" s="0" t="s">
        <v>9408</v>
      </c>
      <c r="E222" s="0" t="s">
        <v>4773</v>
      </c>
      <c r="H222" s="5" t="s">
        <v>158</v>
      </c>
      <c r="I222" s="5" t="s">
        <v>159</v>
      </c>
      <c r="J222" s="6" t="n">
        <f aca="false">IF(AU222="pass",CM222+CN222+CO222+CP222+CQ222+CR222+CS222+CT222,0)</f>
        <v>27</v>
      </c>
      <c r="K222" s="6" t="s">
        <v>9409</v>
      </c>
      <c r="M222" s="6" t="s">
        <v>5293</v>
      </c>
      <c r="N222" s="6" t="s">
        <v>598</v>
      </c>
      <c r="O222" s="6" t="s">
        <v>9410</v>
      </c>
      <c r="P222" s="6" t="s">
        <v>9411</v>
      </c>
      <c r="Q222" s="6" t="s">
        <v>1492</v>
      </c>
      <c r="R222" s="5" t="s">
        <v>162</v>
      </c>
      <c r="S222" s="6" t="s">
        <v>163</v>
      </c>
      <c r="T222" s="5" t="s">
        <v>162</v>
      </c>
      <c r="U222" s="5" t="s">
        <v>228</v>
      </c>
      <c r="V222" s="6" t="s">
        <v>9412</v>
      </c>
      <c r="W222" s="6" t="s">
        <v>166</v>
      </c>
      <c r="X222" s="6" t="s">
        <v>4586</v>
      </c>
      <c r="Y222" s="6" t="n">
        <f aca="false">IF(EB222&lt;&gt;"Y","",COUNTIFS($EB$2:$EB$1000,"Y",$J$2:$J$1000,"&gt;"&amp;J222)+COUNTIFS($EB$2:$EB$1000,"Y",$J$2:$J$1000,J222,$ED$2:$ED$1000,"&lt;"&amp;ED222)+1)</f>
        <v>170</v>
      </c>
      <c r="Z222" s="0" t="n">
        <v>221</v>
      </c>
      <c r="AA222" s="6" t="s">
        <v>162</v>
      </c>
      <c r="AB222" s="6" t="s">
        <v>9413</v>
      </c>
      <c r="AC222" s="6" t="s">
        <v>4588</v>
      </c>
      <c r="AD222" s="6" t="s">
        <v>171</v>
      </c>
      <c r="AE222" s="6" t="s">
        <v>172</v>
      </c>
      <c r="AF222" s="6" t="s">
        <v>9412</v>
      </c>
      <c r="AG222" s="6" t="s">
        <v>166</v>
      </c>
      <c r="AH222" s="6" t="s">
        <v>9414</v>
      </c>
      <c r="AI222" s="6" t="s">
        <v>5765</v>
      </c>
      <c r="AJ222" s="6" t="s">
        <v>9415</v>
      </c>
      <c r="AK222" s="6" t="s">
        <v>9416</v>
      </c>
      <c r="AL222" s="6" t="s">
        <v>168</v>
      </c>
      <c r="AM222" s="6" t="s">
        <v>9417</v>
      </c>
      <c r="AN222" s="6" t="s">
        <v>9406</v>
      </c>
      <c r="AO222" s="5" t="s">
        <v>162</v>
      </c>
      <c r="AR222" s="0" t="str">
        <f aca="false">IF(AND(AU222="pass",AO222&lt;&gt;"Y",C222&lt;&gt;""),"Y","N")</f>
        <v>Y</v>
      </c>
      <c r="AS222" s="0" t="str">
        <f aca="false">_xlfn.TEXTJOIN("; ",TRUE(),IF(AU222&lt;&gt;"pass","gated out",""),IF(AO222="Y","on hold: "&amp;AP222,""),IF(C222="","no contact named on an opened page",""))</f>
        <v/>
      </c>
      <c r="AU222" s="6" t="s">
        <v>181</v>
      </c>
      <c r="AW222" s="6" t="s">
        <v>182</v>
      </c>
      <c r="AX222" s="6" t="s">
        <v>5223</v>
      </c>
      <c r="AY222" s="6" t="s">
        <v>9416</v>
      </c>
      <c r="AZ222" s="6" t="s">
        <v>5059</v>
      </c>
      <c r="BA222" s="6" t="s">
        <v>5331</v>
      </c>
      <c r="BB222" s="6" t="s">
        <v>9418</v>
      </c>
      <c r="BC222" s="6" t="s">
        <v>9419</v>
      </c>
      <c r="BD222" s="6" t="s">
        <v>163</v>
      </c>
      <c r="BE222" s="6" t="s">
        <v>9420</v>
      </c>
      <c r="BF222" s="6" t="s">
        <v>168</v>
      </c>
      <c r="BG222" s="6" t="s">
        <v>168</v>
      </c>
      <c r="BH222" s="6" t="s">
        <v>163</v>
      </c>
      <c r="BJ222" s="6" t="s">
        <v>5551</v>
      </c>
      <c r="BK222" s="6" t="s">
        <v>162</v>
      </c>
      <c r="BL222" s="6" t="s">
        <v>162</v>
      </c>
      <c r="BO222" s="6" t="s">
        <v>162</v>
      </c>
      <c r="BP222" s="0" t="n">
        <v>0</v>
      </c>
      <c r="BR222" s="6" t="s">
        <v>8091</v>
      </c>
      <c r="BS222" s="6" t="s">
        <v>9421</v>
      </c>
      <c r="BT222" s="6" t="s">
        <v>9419</v>
      </c>
      <c r="BU222" s="6" t="s">
        <v>4695</v>
      </c>
      <c r="BV222" s="0" t="n">
        <v>59</v>
      </c>
      <c r="BX222" s="6" t="s">
        <v>9422</v>
      </c>
      <c r="CA222" s="6" t="s">
        <v>9423</v>
      </c>
      <c r="CB222" s="6" t="s">
        <v>9424</v>
      </c>
      <c r="CC222" s="6" t="s">
        <v>9425</v>
      </c>
      <c r="CD222" s="6" t="s">
        <v>9426</v>
      </c>
      <c r="CE222" s="6" t="s">
        <v>6262</v>
      </c>
      <c r="CF222" s="6" t="s">
        <v>171</v>
      </c>
      <c r="CK222" s="6" t="s">
        <v>158</v>
      </c>
      <c r="CL222" s="0" t="n">
        <v>27</v>
      </c>
      <c r="CM222" s="0" t="n">
        <v>6</v>
      </c>
      <c r="CN222" s="0" t="n">
        <v>3</v>
      </c>
      <c r="CO222" s="0" t="n">
        <v>8</v>
      </c>
      <c r="CP222" s="0" t="n">
        <v>5</v>
      </c>
      <c r="CQ222" s="0" t="n">
        <v>7</v>
      </c>
      <c r="CR222" s="0" t="n">
        <v>10</v>
      </c>
      <c r="CS222" s="6" t="n">
        <f aca="false">IF(R222="Y",10,0)</f>
        <v>0</v>
      </c>
      <c r="CT222" s="0" t="n">
        <v>-12</v>
      </c>
      <c r="CU222" s="6" t="s">
        <v>163</v>
      </c>
      <c r="CV222" s="6" t="s">
        <v>5564</v>
      </c>
      <c r="CW222" s="6" t="s">
        <v>9427</v>
      </c>
      <c r="CX222" s="6" t="s">
        <v>9428</v>
      </c>
      <c r="CY222" s="6" t="s">
        <v>9429</v>
      </c>
      <c r="CZ222" s="6" t="s">
        <v>9430</v>
      </c>
      <c r="DA222" s="6" t="s">
        <v>6236</v>
      </c>
      <c r="DC222" s="6" t="s">
        <v>1190</v>
      </c>
      <c r="DY222" s="0" t="str">
        <f aca="false">IF(ISNUMBER(MATCH(U222,{"queued","contacted","replied","call_booked","call_done","yes_in_principle","materials_sent"},0)),"Y","N")</f>
        <v>N</v>
      </c>
      <c r="DZ222" s="0" t="str">
        <f aca="false">IF(COUNTIFS($AN$2:$AN$1000,AN222,$DY$2:$DY$1000,"Y")+COUNTIFS($AN$2:$AN$1000,AN222,$T$2:$T$1000,"Y")&gt;0,"Y","N")</f>
        <v>N</v>
      </c>
      <c r="EA222" s="0" t="str">
        <f aca="false">IF(AND(U222="new",T222="N",AR222="Y",AQ222="",DZ222="N"),"Y","N")</f>
        <v>Y</v>
      </c>
      <c r="EB222" s="0" t="str">
        <f aca="false">IF(EA222&lt;&gt;"Y","N",IF(COUNTIFS($AN$2:$AN$1000,AN222,$EA$2:$EA$1000,"Y",$J$2:$J$1000,"&gt;"&amp;J222)+COUNTIFS($AN$2:$AN$1000,AN222,$EA$2:$EA$1000,"Y",$J$2:$J$1000,J222,$ED$2:$ED$1000,"&lt;"&amp;ED222)=0,"Y","N"))</f>
        <v>Y</v>
      </c>
      <c r="EC222" s="0" t="str">
        <f aca="false">IF(Y222="","N",IF(Y222&lt;=10,"Y","N"))</f>
        <v>N</v>
      </c>
      <c r="ED222" s="6" t="n">
        <f aca="false">ROW()-1</f>
        <v>221</v>
      </c>
    </row>
    <row r="223" customFormat="false" ht="15" hidden="false" customHeight="false" outlineLevel="0" collapsed="false">
      <c r="A223" s="0" t="s">
        <v>9431</v>
      </c>
      <c r="B223" s="0" t="s">
        <v>9432</v>
      </c>
      <c r="H223" s="5" t="s">
        <v>158</v>
      </c>
      <c r="I223" s="5"/>
      <c r="J223" s="6" t="n">
        <f aca="false">IF(AU223="pass",CM223+CN223+CO223+CP223+CQ223+CR223+CS223+CT223,0)</f>
        <v>26</v>
      </c>
      <c r="K223" s="6" t="s">
        <v>9433</v>
      </c>
      <c r="M223" s="6" t="s">
        <v>5293</v>
      </c>
      <c r="N223" s="6" t="s">
        <v>598</v>
      </c>
      <c r="O223" s="6" t="s">
        <v>9434</v>
      </c>
      <c r="P223" s="6" t="s">
        <v>9435</v>
      </c>
      <c r="Q223" s="6" t="s">
        <v>9436</v>
      </c>
      <c r="R223" s="5" t="s">
        <v>162</v>
      </c>
      <c r="S223" s="6" t="s">
        <v>163</v>
      </c>
      <c r="T223" s="5" t="s">
        <v>162</v>
      </c>
      <c r="U223" s="5" t="s">
        <v>228</v>
      </c>
      <c r="V223" s="6" t="s">
        <v>9437</v>
      </c>
      <c r="W223" s="6" t="s">
        <v>166</v>
      </c>
      <c r="X223" s="6" t="s">
        <v>4586</v>
      </c>
      <c r="Y223" s="0" t="str">
        <f aca="false">IF(EB223&lt;&gt;"Y","",COUNTIFS($EB$2:$EB$1000,"Y",$J$2:$J$1000,"&gt;"&amp;J223)+COUNTIFS($EB$2:$EB$1000,"Y",$J$2:$J$1000,J223,$ED$2:$ED$1000,"&lt;"&amp;ED223)+1)</f>
        <v/>
      </c>
      <c r="Z223" s="0" t="n">
        <v>222</v>
      </c>
      <c r="AA223" s="6" t="s">
        <v>162</v>
      </c>
      <c r="AB223" s="6" t="s">
        <v>6917</v>
      </c>
      <c r="AD223" s="6" t="s">
        <v>158</v>
      </c>
      <c r="AH223" s="6" t="s">
        <v>9438</v>
      </c>
      <c r="AI223" s="6" t="s">
        <v>5081</v>
      </c>
      <c r="AJ223" s="6" t="s">
        <v>9439</v>
      </c>
      <c r="AK223" s="6" t="s">
        <v>9440</v>
      </c>
      <c r="AL223" s="6" t="s">
        <v>168</v>
      </c>
      <c r="AM223" s="6" t="s">
        <v>9441</v>
      </c>
      <c r="AN223" s="6" t="s">
        <v>9431</v>
      </c>
      <c r="AO223" s="5" t="s">
        <v>162</v>
      </c>
      <c r="AR223" s="0" t="str">
        <f aca="false">IF(AND(AU223="pass",AO223&lt;&gt;"Y",C223&lt;&gt;""),"Y","N")</f>
        <v>N</v>
      </c>
      <c r="AS223" s="0" t="str">
        <f aca="false">_xlfn.TEXTJOIN("; ",TRUE(),IF(AU223&lt;&gt;"pass","gated out",""),IF(AO223="Y","on hold: "&amp;AP223,""),IF(C223="","no contact named on an opened page",""))</f>
        <v>no contact named on an opened page</v>
      </c>
      <c r="AU223" s="6" t="s">
        <v>181</v>
      </c>
      <c r="AW223" s="6" t="s">
        <v>182</v>
      </c>
      <c r="AX223" s="6" t="s">
        <v>4595</v>
      </c>
      <c r="AY223" s="6" t="s">
        <v>9440</v>
      </c>
      <c r="AZ223" s="6" t="s">
        <v>9442</v>
      </c>
      <c r="BA223" s="6" t="s">
        <v>5331</v>
      </c>
      <c r="BB223" s="6" t="s">
        <v>163</v>
      </c>
      <c r="BD223" s="6" t="s">
        <v>264</v>
      </c>
      <c r="BE223" s="6" t="s">
        <v>9443</v>
      </c>
      <c r="BF223" s="6" t="s">
        <v>168</v>
      </c>
      <c r="BG223" s="6" t="s">
        <v>168</v>
      </c>
      <c r="BH223" s="6" t="s">
        <v>163</v>
      </c>
      <c r="BJ223" s="6" t="s">
        <v>163</v>
      </c>
      <c r="BK223" s="6" t="s">
        <v>162</v>
      </c>
      <c r="BL223" s="6" t="s">
        <v>162</v>
      </c>
      <c r="BO223" s="6" t="s">
        <v>162</v>
      </c>
      <c r="BP223" s="0" t="n">
        <v>0</v>
      </c>
      <c r="BS223" s="6" t="s">
        <v>9444</v>
      </c>
      <c r="BT223" s="6" t="s">
        <v>9445</v>
      </c>
      <c r="BU223" s="6" t="s">
        <v>4695</v>
      </c>
      <c r="BV223" s="0" t="n">
        <v>68</v>
      </c>
      <c r="CF223" s="6" t="s">
        <v>158</v>
      </c>
      <c r="CK223" s="6" t="s">
        <v>158</v>
      </c>
      <c r="CL223" s="0" t="n">
        <v>26</v>
      </c>
      <c r="CM223" s="0" t="n">
        <v>6</v>
      </c>
      <c r="CN223" s="0" t="n">
        <v>3</v>
      </c>
      <c r="CO223" s="0" t="n">
        <v>8</v>
      </c>
      <c r="CP223" s="0" t="n">
        <v>5</v>
      </c>
      <c r="CQ223" s="0" t="n">
        <v>8</v>
      </c>
      <c r="CR223" s="0" t="n">
        <v>0</v>
      </c>
      <c r="CS223" s="6" t="n">
        <f aca="false">IF(R223="Y",10,0)</f>
        <v>0</v>
      </c>
      <c r="CT223" s="0" t="n">
        <v>-4</v>
      </c>
      <c r="CU223" s="6" t="s">
        <v>9446</v>
      </c>
      <c r="CV223" s="6" t="s">
        <v>4704</v>
      </c>
      <c r="CW223" s="6" t="s">
        <v>9447</v>
      </c>
      <c r="CX223" s="6" t="s">
        <v>9448</v>
      </c>
      <c r="CY223" s="6" t="s">
        <v>9449</v>
      </c>
      <c r="DA223" s="6" t="s">
        <v>6236</v>
      </c>
      <c r="DY223" s="0" t="str">
        <f aca="false">IF(ISNUMBER(MATCH(U223,{"queued","contacted","replied","call_booked","call_done","yes_in_principle","materials_sent"},0)),"Y","N")</f>
        <v>N</v>
      </c>
      <c r="DZ223" s="0" t="str">
        <f aca="false">IF(COUNTIFS($AN$2:$AN$1000,AN223,$DY$2:$DY$1000,"Y")+COUNTIFS($AN$2:$AN$1000,AN223,$T$2:$T$1000,"Y")&gt;0,"Y","N")</f>
        <v>N</v>
      </c>
      <c r="EA223" s="0" t="str">
        <f aca="false">IF(AND(U223="new",T223="N",AR223="Y",AQ223="",DZ223="N"),"Y","N")</f>
        <v>N</v>
      </c>
      <c r="EB223" s="0" t="str">
        <f aca="false">IF(EA223&lt;&gt;"Y","N",IF(COUNTIFS($AN$2:$AN$1000,AN223,$EA$2:$EA$1000,"Y",$J$2:$J$1000,"&gt;"&amp;J223)+COUNTIFS($AN$2:$AN$1000,AN223,$EA$2:$EA$1000,"Y",$J$2:$J$1000,J223,$ED$2:$ED$1000,"&lt;"&amp;ED223)=0,"Y","N"))</f>
        <v>N</v>
      </c>
      <c r="EC223" s="0" t="str">
        <f aca="false">IF(Y223="","N",IF(Y223&lt;=10,"Y","N"))</f>
        <v>N</v>
      </c>
      <c r="ED223" s="6" t="n">
        <f aca="false">ROW()-1</f>
        <v>222</v>
      </c>
    </row>
    <row r="224" customFormat="false" ht="15" hidden="false" customHeight="false" outlineLevel="0" collapsed="false">
      <c r="A224" s="0" t="s">
        <v>9450</v>
      </c>
      <c r="B224" s="0" t="s">
        <v>9451</v>
      </c>
      <c r="H224" s="5" t="s">
        <v>158</v>
      </c>
      <c r="I224" s="5"/>
      <c r="J224" s="6" t="n">
        <f aca="false">IF(AU224="pass",CM224+CN224+CO224+CP224+CQ224+CR224+CS224+CT224,0)</f>
        <v>26</v>
      </c>
      <c r="K224" s="6" t="s">
        <v>9452</v>
      </c>
      <c r="M224" s="6" t="s">
        <v>5293</v>
      </c>
      <c r="N224" s="6" t="s">
        <v>598</v>
      </c>
      <c r="O224" s="6" t="s">
        <v>9453</v>
      </c>
      <c r="P224" s="6" t="s">
        <v>9454</v>
      </c>
      <c r="Q224" s="6" t="s">
        <v>7155</v>
      </c>
      <c r="R224" s="5" t="s">
        <v>162</v>
      </c>
      <c r="S224" s="6" t="s">
        <v>163</v>
      </c>
      <c r="T224" s="5" t="s">
        <v>162</v>
      </c>
      <c r="U224" s="5" t="s">
        <v>228</v>
      </c>
      <c r="V224" s="6" t="s">
        <v>9455</v>
      </c>
      <c r="W224" s="6" t="s">
        <v>166</v>
      </c>
      <c r="X224" s="6" t="s">
        <v>4586</v>
      </c>
      <c r="Y224" s="0" t="str">
        <f aca="false">IF(EB224&lt;&gt;"Y","",COUNTIFS($EB$2:$EB$1000,"Y",$J$2:$J$1000,"&gt;"&amp;J224)+COUNTIFS($EB$2:$EB$1000,"Y",$J$2:$J$1000,J224,$ED$2:$ED$1000,"&lt;"&amp;ED224)+1)</f>
        <v/>
      </c>
      <c r="Z224" s="0" t="n">
        <v>223</v>
      </c>
      <c r="AA224" s="6" t="s">
        <v>162</v>
      </c>
      <c r="AB224" s="6" t="s">
        <v>6917</v>
      </c>
      <c r="AD224" s="6" t="s">
        <v>158</v>
      </c>
      <c r="AH224" s="6" t="s">
        <v>9456</v>
      </c>
      <c r="AI224" s="6" t="s">
        <v>4591</v>
      </c>
      <c r="AJ224" s="6" t="s">
        <v>163</v>
      </c>
      <c r="AK224" s="6" t="s">
        <v>9455</v>
      </c>
      <c r="AL224" s="6" t="s">
        <v>168</v>
      </c>
      <c r="AM224" s="6" t="s">
        <v>9457</v>
      </c>
      <c r="AN224" s="6" t="s">
        <v>9450</v>
      </c>
      <c r="AO224" s="5" t="s">
        <v>162</v>
      </c>
      <c r="AR224" s="0" t="str">
        <f aca="false">IF(AND(AU224="pass",AO224&lt;&gt;"Y",C224&lt;&gt;""),"Y","N")</f>
        <v>N</v>
      </c>
      <c r="AS224" s="0" t="str">
        <f aca="false">_xlfn.TEXTJOIN("; ",TRUE(),IF(AU224&lt;&gt;"pass","gated out",""),IF(AO224="Y","on hold: "&amp;AP224,""),IF(C224="","no contact named on an opened page",""))</f>
        <v>no contact named on an opened page</v>
      </c>
      <c r="AU224" s="6" t="s">
        <v>181</v>
      </c>
      <c r="AW224" s="6" t="s">
        <v>182</v>
      </c>
      <c r="AX224" s="6" t="s">
        <v>4595</v>
      </c>
      <c r="AY224" s="6" t="s">
        <v>9455</v>
      </c>
      <c r="AZ224" s="6" t="s">
        <v>163</v>
      </c>
      <c r="BA224" s="6" t="s">
        <v>163</v>
      </c>
      <c r="BB224" s="6" t="s">
        <v>163</v>
      </c>
      <c r="BD224" s="6" t="s">
        <v>163</v>
      </c>
      <c r="BE224" s="6" t="s">
        <v>5929</v>
      </c>
      <c r="BF224" s="6" t="s">
        <v>168</v>
      </c>
      <c r="BG224" s="6" t="s">
        <v>168</v>
      </c>
      <c r="BH224" s="6" t="s">
        <v>163</v>
      </c>
      <c r="BJ224" s="6" t="s">
        <v>5551</v>
      </c>
      <c r="BK224" s="6" t="s">
        <v>162</v>
      </c>
      <c r="BL224" s="6" t="s">
        <v>162</v>
      </c>
      <c r="BO224" s="6" t="s">
        <v>162</v>
      </c>
      <c r="BP224" s="0" t="n">
        <v>0</v>
      </c>
      <c r="BR224" s="6" t="s">
        <v>8091</v>
      </c>
      <c r="BS224" s="6" t="s">
        <v>8351</v>
      </c>
      <c r="BT224" s="6" t="s">
        <v>9454</v>
      </c>
      <c r="BU224" s="6" t="s">
        <v>4695</v>
      </c>
      <c r="BV224" s="0" t="n">
        <v>115</v>
      </c>
      <c r="CF224" s="6" t="s">
        <v>158</v>
      </c>
      <c r="CK224" s="6" t="s">
        <v>158</v>
      </c>
      <c r="CL224" s="0" t="n">
        <v>26</v>
      </c>
      <c r="CM224" s="0" t="n">
        <v>6</v>
      </c>
      <c r="CN224" s="0" t="n">
        <v>4</v>
      </c>
      <c r="CO224" s="0" t="n">
        <v>8</v>
      </c>
      <c r="CP224" s="0" t="n">
        <v>5</v>
      </c>
      <c r="CQ224" s="0" t="n">
        <v>7</v>
      </c>
      <c r="CR224" s="0" t="n">
        <v>0</v>
      </c>
      <c r="CS224" s="6" t="n">
        <f aca="false">IF(R224="Y",10,0)</f>
        <v>0</v>
      </c>
      <c r="CT224" s="0" t="n">
        <v>-4</v>
      </c>
      <c r="CU224" s="6" t="s">
        <v>163</v>
      </c>
      <c r="CV224" s="6" t="s">
        <v>5564</v>
      </c>
      <c r="CW224" s="6" t="s">
        <v>9458</v>
      </c>
      <c r="CX224" s="6" t="s">
        <v>9459</v>
      </c>
      <c r="CY224" s="6" t="s">
        <v>9460</v>
      </c>
      <c r="DA224" s="6" t="s">
        <v>6236</v>
      </c>
      <c r="DY224" s="0" t="str">
        <f aca="false">IF(ISNUMBER(MATCH(U224,{"queued","contacted","replied","call_booked","call_done","yes_in_principle","materials_sent"},0)),"Y","N")</f>
        <v>N</v>
      </c>
      <c r="DZ224" s="0" t="str">
        <f aca="false">IF(COUNTIFS($AN$2:$AN$1000,AN224,$DY$2:$DY$1000,"Y")+COUNTIFS($AN$2:$AN$1000,AN224,$T$2:$T$1000,"Y")&gt;0,"Y","N")</f>
        <v>N</v>
      </c>
      <c r="EA224" s="0" t="str">
        <f aca="false">IF(AND(U224="new",T224="N",AR224="Y",AQ224="",DZ224="N"),"Y","N")</f>
        <v>N</v>
      </c>
      <c r="EB224" s="0" t="str">
        <f aca="false">IF(EA224&lt;&gt;"Y","N",IF(COUNTIFS($AN$2:$AN$1000,AN224,$EA$2:$EA$1000,"Y",$J$2:$J$1000,"&gt;"&amp;J224)+COUNTIFS($AN$2:$AN$1000,AN224,$EA$2:$EA$1000,"Y",$J$2:$J$1000,J224,$ED$2:$ED$1000,"&lt;"&amp;ED224)=0,"Y","N"))</f>
        <v>N</v>
      </c>
      <c r="EC224" s="0" t="str">
        <f aca="false">IF(Y224="","N",IF(Y224&lt;=10,"Y","N"))</f>
        <v>N</v>
      </c>
      <c r="ED224" s="6" t="n">
        <f aca="false">ROW()-1</f>
        <v>223</v>
      </c>
    </row>
    <row r="225" customFormat="false" ht="15" hidden="false" customHeight="false" outlineLevel="0" collapsed="false">
      <c r="A225" s="0" t="s">
        <v>9461</v>
      </c>
      <c r="B225" s="0" t="s">
        <v>9462</v>
      </c>
      <c r="H225" s="5" t="s">
        <v>158</v>
      </c>
      <c r="I225" s="5"/>
      <c r="J225" s="6" t="n">
        <f aca="false">IF(AU225="pass",CM225+CN225+CO225+CP225+CQ225+CR225+CS225+CT225,0)</f>
        <v>25</v>
      </c>
      <c r="K225" s="6" t="s">
        <v>9463</v>
      </c>
      <c r="M225" s="6" t="s">
        <v>5293</v>
      </c>
      <c r="N225" s="6" t="s">
        <v>598</v>
      </c>
      <c r="O225" s="6" t="s">
        <v>9464</v>
      </c>
      <c r="P225" s="6" t="s">
        <v>9465</v>
      </c>
      <c r="Q225" s="6" t="s">
        <v>9032</v>
      </c>
      <c r="R225" s="5" t="s">
        <v>162</v>
      </c>
      <c r="S225" s="6" t="s">
        <v>163</v>
      </c>
      <c r="T225" s="5" t="s">
        <v>162</v>
      </c>
      <c r="U225" s="5" t="s">
        <v>228</v>
      </c>
      <c r="V225" s="6" t="s">
        <v>9466</v>
      </c>
      <c r="W225" s="6" t="s">
        <v>166</v>
      </c>
      <c r="X225" s="6" t="s">
        <v>4586</v>
      </c>
      <c r="Y225" s="0" t="str">
        <f aca="false">IF(EB225&lt;&gt;"Y","",COUNTIFS($EB$2:$EB$1000,"Y",$J$2:$J$1000,"&gt;"&amp;J225)+COUNTIFS($EB$2:$EB$1000,"Y",$J$2:$J$1000,J225,$ED$2:$ED$1000,"&lt;"&amp;ED225)+1)</f>
        <v/>
      </c>
      <c r="Z225" s="0" t="n">
        <v>224</v>
      </c>
      <c r="AA225" s="6" t="s">
        <v>162</v>
      </c>
      <c r="AB225" s="6" t="s">
        <v>9108</v>
      </c>
      <c r="AD225" s="6" t="s">
        <v>158</v>
      </c>
      <c r="AH225" s="6" t="s">
        <v>9467</v>
      </c>
      <c r="AI225" s="6" t="s">
        <v>5926</v>
      </c>
      <c r="AJ225" s="6" t="s">
        <v>9468</v>
      </c>
      <c r="AK225" s="6" t="s">
        <v>9469</v>
      </c>
      <c r="AL225" s="6" t="s">
        <v>168</v>
      </c>
      <c r="AM225" s="6" t="s">
        <v>9470</v>
      </c>
      <c r="AN225" s="6" t="s">
        <v>9461</v>
      </c>
      <c r="AO225" s="5" t="s">
        <v>162</v>
      </c>
      <c r="AR225" s="0" t="str">
        <f aca="false">IF(AND(AU225="pass",AO225&lt;&gt;"Y",C225&lt;&gt;""),"Y","N")</f>
        <v>N</v>
      </c>
      <c r="AS225" s="0" t="str">
        <f aca="false">_xlfn.TEXTJOIN("; ",TRUE(),IF(AU225&lt;&gt;"pass","gated out",""),IF(AO225="Y","on hold: "&amp;AP225,""),IF(C225="","no contact named on an opened page",""))</f>
        <v>no contact named on an opened page</v>
      </c>
      <c r="AU225" s="6" t="s">
        <v>181</v>
      </c>
      <c r="AW225" s="6" t="s">
        <v>182</v>
      </c>
      <c r="AX225" s="6" t="s">
        <v>4830</v>
      </c>
      <c r="AY225" s="6" t="s">
        <v>9469</v>
      </c>
      <c r="AZ225" s="6" t="s">
        <v>9471</v>
      </c>
      <c r="BA225" s="6" t="s">
        <v>5331</v>
      </c>
      <c r="BB225" s="6" t="s">
        <v>163</v>
      </c>
      <c r="BD225" s="6" t="s">
        <v>168</v>
      </c>
      <c r="BE225" s="6" t="s">
        <v>9472</v>
      </c>
      <c r="BF225" s="6" t="s">
        <v>162</v>
      </c>
      <c r="BG225" s="6" t="s">
        <v>168</v>
      </c>
      <c r="BH225" s="6" t="s">
        <v>163</v>
      </c>
      <c r="BJ225" s="6" t="s">
        <v>5551</v>
      </c>
      <c r="BK225" s="6" t="s">
        <v>162</v>
      </c>
      <c r="BL225" s="6" t="s">
        <v>162</v>
      </c>
      <c r="BO225" s="6" t="s">
        <v>162</v>
      </c>
      <c r="BP225" s="0" t="n">
        <v>0</v>
      </c>
      <c r="BR225" s="6" t="s">
        <v>8091</v>
      </c>
      <c r="BS225" s="6" t="s">
        <v>8351</v>
      </c>
      <c r="BT225" s="6" t="s">
        <v>9465</v>
      </c>
      <c r="BU225" s="6" t="s">
        <v>4695</v>
      </c>
      <c r="BV225" s="0" t="n">
        <v>25</v>
      </c>
      <c r="CF225" s="6" t="s">
        <v>158</v>
      </c>
      <c r="CK225" s="6" t="s">
        <v>158</v>
      </c>
      <c r="CL225" s="0" t="n">
        <v>25</v>
      </c>
      <c r="CM225" s="0" t="n">
        <v>6</v>
      </c>
      <c r="CN225" s="0" t="n">
        <v>3</v>
      </c>
      <c r="CO225" s="0" t="n">
        <v>8</v>
      </c>
      <c r="CP225" s="0" t="n">
        <v>5</v>
      </c>
      <c r="CQ225" s="0" t="n">
        <v>7</v>
      </c>
      <c r="CR225" s="0" t="n">
        <v>0</v>
      </c>
      <c r="CS225" s="6" t="n">
        <f aca="false">IF(R225="Y",10,0)</f>
        <v>0</v>
      </c>
      <c r="CT225" s="0" t="n">
        <v>-4</v>
      </c>
      <c r="CU225" s="6" t="s">
        <v>163</v>
      </c>
      <c r="CV225" s="6" t="s">
        <v>5564</v>
      </c>
      <c r="CW225" s="6" t="s">
        <v>9473</v>
      </c>
      <c r="CX225" s="6" t="s">
        <v>9474</v>
      </c>
      <c r="CY225" s="6" t="s">
        <v>9475</v>
      </c>
      <c r="DA225" s="6" t="s">
        <v>6236</v>
      </c>
      <c r="DY225" s="0" t="str">
        <f aca="false">IF(ISNUMBER(MATCH(U225,{"queued","contacted","replied","call_booked","call_done","yes_in_principle","materials_sent"},0)),"Y","N")</f>
        <v>N</v>
      </c>
      <c r="DZ225" s="0" t="str">
        <f aca="false">IF(COUNTIFS($AN$2:$AN$1000,AN225,$DY$2:$DY$1000,"Y")+COUNTIFS($AN$2:$AN$1000,AN225,$T$2:$T$1000,"Y")&gt;0,"Y","N")</f>
        <v>N</v>
      </c>
      <c r="EA225" s="0" t="str">
        <f aca="false">IF(AND(U225="new",T225="N",AR225="Y",AQ225="",DZ225="N"),"Y","N")</f>
        <v>N</v>
      </c>
      <c r="EB225" s="0" t="str">
        <f aca="false">IF(EA225&lt;&gt;"Y","N",IF(COUNTIFS($AN$2:$AN$1000,AN225,$EA$2:$EA$1000,"Y",$J$2:$J$1000,"&gt;"&amp;J225)+COUNTIFS($AN$2:$AN$1000,AN225,$EA$2:$EA$1000,"Y",$J$2:$J$1000,J225,$ED$2:$ED$1000,"&lt;"&amp;ED225)=0,"Y","N"))</f>
        <v>N</v>
      </c>
      <c r="EC225" s="0" t="str">
        <f aca="false">IF(Y225="","N",IF(Y225&lt;=10,"Y","N"))</f>
        <v>N</v>
      </c>
      <c r="ED225" s="6" t="n">
        <f aca="false">ROW()-1</f>
        <v>224</v>
      </c>
    </row>
    <row r="226" customFormat="false" ht="15" hidden="false" customHeight="false" outlineLevel="0" collapsed="false">
      <c r="A226" s="0" t="s">
        <v>9476</v>
      </c>
      <c r="B226" s="0" t="s">
        <v>9477</v>
      </c>
      <c r="H226" s="5" t="s">
        <v>158</v>
      </c>
      <c r="I226" s="5"/>
      <c r="J226" s="6" t="n">
        <f aca="false">IF(AU226="pass",CM226+CN226+CO226+CP226+CQ226+CR226+CS226+CT226,0)</f>
        <v>25</v>
      </c>
      <c r="K226" s="6" t="s">
        <v>9478</v>
      </c>
      <c r="M226" s="6" t="s">
        <v>5293</v>
      </c>
      <c r="N226" s="6" t="s">
        <v>598</v>
      </c>
      <c r="O226" s="6" t="s">
        <v>9479</v>
      </c>
      <c r="P226" s="6" t="s">
        <v>9480</v>
      </c>
      <c r="Q226" s="6" t="s">
        <v>4686</v>
      </c>
      <c r="R226" s="5" t="s">
        <v>162</v>
      </c>
      <c r="S226" s="6" t="s">
        <v>163</v>
      </c>
      <c r="T226" s="5" t="s">
        <v>162</v>
      </c>
      <c r="U226" s="5" t="s">
        <v>228</v>
      </c>
      <c r="V226" s="6" t="s">
        <v>9481</v>
      </c>
      <c r="W226" s="6" t="s">
        <v>166</v>
      </c>
      <c r="X226" s="6" t="s">
        <v>4586</v>
      </c>
      <c r="Y226" s="0" t="str">
        <f aca="false">IF(EB226&lt;&gt;"Y","",COUNTIFS($EB$2:$EB$1000,"Y",$J$2:$J$1000,"&gt;"&amp;J226)+COUNTIFS($EB$2:$EB$1000,"Y",$J$2:$J$1000,J226,$ED$2:$ED$1000,"&lt;"&amp;ED226)+1)</f>
        <v/>
      </c>
      <c r="Z226" s="0" t="n">
        <v>225</v>
      </c>
      <c r="AA226" s="6" t="s">
        <v>162</v>
      </c>
      <c r="AB226" s="6" t="s">
        <v>9108</v>
      </c>
      <c r="AD226" s="6" t="s">
        <v>158</v>
      </c>
      <c r="AH226" s="6" t="s">
        <v>9482</v>
      </c>
      <c r="AI226" s="6" t="s">
        <v>5385</v>
      </c>
      <c r="AJ226" s="6" t="s">
        <v>9483</v>
      </c>
      <c r="AK226" s="6" t="s">
        <v>9484</v>
      </c>
      <c r="AL226" s="6" t="s">
        <v>168</v>
      </c>
      <c r="AM226" s="6" t="s">
        <v>9485</v>
      </c>
      <c r="AN226" s="6" t="s">
        <v>9476</v>
      </c>
      <c r="AO226" s="5" t="s">
        <v>162</v>
      </c>
      <c r="AR226" s="0" t="str">
        <f aca="false">IF(AND(AU226="pass",AO226&lt;&gt;"Y",C226&lt;&gt;""),"Y","N")</f>
        <v>N</v>
      </c>
      <c r="AS226" s="0" t="str">
        <f aca="false">_xlfn.TEXTJOIN("; ",TRUE(),IF(AU226&lt;&gt;"pass","gated out",""),IF(AO226="Y","on hold: "&amp;AP226,""),IF(C226="","no contact named on an opened page",""))</f>
        <v>no contact named on an opened page</v>
      </c>
      <c r="AU226" s="6" t="s">
        <v>181</v>
      </c>
      <c r="AW226" s="6" t="s">
        <v>182</v>
      </c>
      <c r="AX226" s="6" t="s">
        <v>4830</v>
      </c>
      <c r="AY226" s="6" t="s">
        <v>9484</v>
      </c>
      <c r="AZ226" s="6" t="s">
        <v>5059</v>
      </c>
      <c r="BA226" s="6" t="s">
        <v>5331</v>
      </c>
      <c r="BB226" s="6" t="s">
        <v>163</v>
      </c>
      <c r="BD226" s="6" t="s">
        <v>168</v>
      </c>
      <c r="BE226" s="6" t="s">
        <v>9486</v>
      </c>
      <c r="BF226" s="6" t="s">
        <v>162</v>
      </c>
      <c r="BG226" s="6" t="s">
        <v>168</v>
      </c>
      <c r="BH226" s="6" t="s">
        <v>163</v>
      </c>
      <c r="BJ226" s="6" t="s">
        <v>163</v>
      </c>
      <c r="BK226" s="6" t="s">
        <v>162</v>
      </c>
      <c r="BL226" s="6" t="s">
        <v>162</v>
      </c>
      <c r="BO226" s="6" t="s">
        <v>162</v>
      </c>
      <c r="BP226" s="0" t="n">
        <v>0</v>
      </c>
      <c r="BR226" s="6" t="s">
        <v>6764</v>
      </c>
      <c r="BS226" s="6" t="s">
        <v>9487</v>
      </c>
      <c r="BT226" s="6" t="s">
        <v>9488</v>
      </c>
      <c r="BU226" s="6" t="s">
        <v>4695</v>
      </c>
      <c r="BV226" s="0" t="n">
        <v>22</v>
      </c>
      <c r="CF226" s="6" t="s">
        <v>158</v>
      </c>
      <c r="CK226" s="6" t="s">
        <v>158</v>
      </c>
      <c r="CL226" s="0" t="n">
        <v>25</v>
      </c>
      <c r="CM226" s="0" t="n">
        <v>6</v>
      </c>
      <c r="CN226" s="0" t="n">
        <v>3</v>
      </c>
      <c r="CO226" s="0" t="n">
        <v>8</v>
      </c>
      <c r="CP226" s="0" t="n">
        <v>5</v>
      </c>
      <c r="CQ226" s="0" t="n">
        <v>7</v>
      </c>
      <c r="CR226" s="0" t="n">
        <v>0</v>
      </c>
      <c r="CS226" s="6" t="n">
        <f aca="false">IF(R226="Y",10,0)</f>
        <v>0</v>
      </c>
      <c r="CT226" s="0" t="n">
        <v>-4</v>
      </c>
      <c r="CU226" s="6" t="s">
        <v>9489</v>
      </c>
      <c r="CV226" s="6" t="s">
        <v>4843</v>
      </c>
      <c r="CW226" s="6" t="s">
        <v>9490</v>
      </c>
      <c r="CX226" s="6" t="s">
        <v>9491</v>
      </c>
      <c r="DA226" s="6" t="s">
        <v>6236</v>
      </c>
      <c r="DY226" s="0" t="str">
        <f aca="false">IF(ISNUMBER(MATCH(U226,{"queued","contacted","replied","call_booked","call_done","yes_in_principle","materials_sent"},0)),"Y","N")</f>
        <v>N</v>
      </c>
      <c r="DZ226" s="0" t="str">
        <f aca="false">IF(COUNTIFS($AN$2:$AN$1000,AN226,$DY$2:$DY$1000,"Y")+COUNTIFS($AN$2:$AN$1000,AN226,$T$2:$T$1000,"Y")&gt;0,"Y","N")</f>
        <v>N</v>
      </c>
      <c r="EA226" s="0" t="str">
        <f aca="false">IF(AND(U226="new",T226="N",AR226="Y",AQ226="",DZ226="N"),"Y","N")</f>
        <v>N</v>
      </c>
      <c r="EB226" s="0" t="str">
        <f aca="false">IF(EA226&lt;&gt;"Y","N",IF(COUNTIFS($AN$2:$AN$1000,AN226,$EA$2:$EA$1000,"Y",$J$2:$J$1000,"&gt;"&amp;J226)+COUNTIFS($AN$2:$AN$1000,AN226,$EA$2:$EA$1000,"Y",$J$2:$J$1000,J226,$ED$2:$ED$1000,"&lt;"&amp;ED226)=0,"Y","N"))</f>
        <v>N</v>
      </c>
      <c r="EC226" s="0" t="str">
        <f aca="false">IF(Y226="","N",IF(Y226&lt;=10,"Y","N"))</f>
        <v>N</v>
      </c>
      <c r="ED226" s="6" t="n">
        <f aca="false">ROW()-1</f>
        <v>225</v>
      </c>
    </row>
    <row r="227" customFormat="false" ht="15" hidden="false" customHeight="false" outlineLevel="0" collapsed="false">
      <c r="A227" s="0" t="s">
        <v>9492</v>
      </c>
      <c r="B227" s="0" t="s">
        <v>9493</v>
      </c>
      <c r="C227" s="0" t="s">
        <v>303</v>
      </c>
      <c r="D227" s="0" t="s">
        <v>6397</v>
      </c>
      <c r="E227" s="0" t="s">
        <v>4657</v>
      </c>
      <c r="H227" s="5" t="s">
        <v>158</v>
      </c>
      <c r="I227" s="5" t="s">
        <v>159</v>
      </c>
      <c r="J227" s="6" t="n">
        <f aca="false">IF(AU227="pass",CM227+CN227+CO227+CP227+CQ227+CR227+CS227+CT227,0)</f>
        <v>24</v>
      </c>
      <c r="K227" s="6" t="s">
        <v>9494</v>
      </c>
      <c r="M227" s="6" t="s">
        <v>4581</v>
      </c>
      <c r="N227" s="6" t="s">
        <v>4582</v>
      </c>
      <c r="O227" s="6" t="s">
        <v>9495</v>
      </c>
      <c r="P227" s="6" t="s">
        <v>9496</v>
      </c>
      <c r="Q227" s="6" t="s">
        <v>4160</v>
      </c>
      <c r="R227" s="5" t="s">
        <v>162</v>
      </c>
      <c r="S227" s="6" t="s">
        <v>163</v>
      </c>
      <c r="T227" s="5" t="s">
        <v>162</v>
      </c>
      <c r="U227" s="5" t="s">
        <v>228</v>
      </c>
      <c r="V227" s="6" t="s">
        <v>9497</v>
      </c>
      <c r="W227" s="6" t="s">
        <v>166</v>
      </c>
      <c r="X227" s="6" t="s">
        <v>4586</v>
      </c>
      <c r="Y227" s="6" t="n">
        <f aca="false">IF(EB227&lt;&gt;"Y","",COUNTIFS($EB$2:$EB$1000,"Y",$J$2:$J$1000,"&gt;"&amp;J227)+COUNTIFS($EB$2:$EB$1000,"Y",$J$2:$J$1000,J227,$ED$2:$ED$1000,"&lt;"&amp;ED227)+1)</f>
        <v>171</v>
      </c>
      <c r="Z227" s="0" t="n">
        <v>226</v>
      </c>
      <c r="AA227" s="6" t="s">
        <v>162</v>
      </c>
      <c r="AB227" s="6" t="s">
        <v>9498</v>
      </c>
      <c r="AC227" s="6" t="s">
        <v>4588</v>
      </c>
      <c r="AD227" s="6" t="s">
        <v>171</v>
      </c>
      <c r="AE227" s="6" t="s">
        <v>1190</v>
      </c>
      <c r="AF227" s="6" t="s">
        <v>9496</v>
      </c>
      <c r="AG227" s="6" t="s">
        <v>166</v>
      </c>
      <c r="AH227" s="6" t="s">
        <v>9499</v>
      </c>
      <c r="AI227" s="6" t="s">
        <v>4828</v>
      </c>
      <c r="AJ227" s="6" t="s">
        <v>6384</v>
      </c>
      <c r="AK227" s="6" t="s">
        <v>9500</v>
      </c>
      <c r="AL227" s="6" t="s">
        <v>168</v>
      </c>
      <c r="AM227" s="6" t="s">
        <v>9501</v>
      </c>
      <c r="AN227" s="6" t="s">
        <v>9492</v>
      </c>
      <c r="AO227" s="5" t="s">
        <v>162</v>
      </c>
      <c r="AR227" s="0" t="str">
        <f aca="false">IF(AND(AU227="pass",AO227&lt;&gt;"Y",C227&lt;&gt;""),"Y","N")</f>
        <v>Y</v>
      </c>
      <c r="AS227" s="0" t="str">
        <f aca="false">_xlfn.TEXTJOIN("; ",TRUE(),IF(AU227&lt;&gt;"pass","gated out",""),IF(AO227="Y","on hold: "&amp;AP227,""),IF(C227="","no contact named on an opened page",""))</f>
        <v/>
      </c>
      <c r="AU227" s="6" t="s">
        <v>181</v>
      </c>
      <c r="AW227" s="6" t="s">
        <v>182</v>
      </c>
      <c r="AX227" s="6" t="s">
        <v>7177</v>
      </c>
      <c r="AY227" s="6" t="s">
        <v>9500</v>
      </c>
      <c r="AZ227" s="6" t="s">
        <v>6388</v>
      </c>
      <c r="BA227" s="6" t="s">
        <v>5331</v>
      </c>
      <c r="BB227" s="6" t="s">
        <v>9502</v>
      </c>
      <c r="BC227" s="6" t="s">
        <v>9496</v>
      </c>
      <c r="BD227" s="6" t="s">
        <v>168</v>
      </c>
      <c r="BE227" s="6" t="s">
        <v>9503</v>
      </c>
      <c r="BF227" s="6" t="s">
        <v>168</v>
      </c>
      <c r="BG227" s="6" t="s">
        <v>168</v>
      </c>
      <c r="BH227" s="6" t="s">
        <v>7181</v>
      </c>
      <c r="BI227" s="6" t="s">
        <v>6459</v>
      </c>
      <c r="BJ227" s="6" t="s">
        <v>9504</v>
      </c>
      <c r="BK227" s="6" t="s">
        <v>162</v>
      </c>
      <c r="BL227" s="6" t="s">
        <v>162</v>
      </c>
      <c r="BN227" s="0" t="n">
        <v>0</v>
      </c>
      <c r="BO227" s="6" t="s">
        <v>168</v>
      </c>
      <c r="BP227" s="0" t="n">
        <v>3</v>
      </c>
      <c r="BQ227" s="6" t="s">
        <v>4670</v>
      </c>
      <c r="BS227" s="6" t="s">
        <v>9505</v>
      </c>
      <c r="BT227" s="6" t="s">
        <v>9506</v>
      </c>
      <c r="BU227" s="6" t="s">
        <v>4605</v>
      </c>
      <c r="BV227" s="0" t="n">
        <v>2</v>
      </c>
      <c r="BX227" s="6" t="s">
        <v>9507</v>
      </c>
      <c r="CF227" s="6" t="s">
        <v>158</v>
      </c>
      <c r="CK227" s="6" t="s">
        <v>158</v>
      </c>
      <c r="CL227" s="0" t="n">
        <v>24</v>
      </c>
      <c r="CM227" s="0" t="n">
        <v>25</v>
      </c>
      <c r="CN227" s="0" t="n">
        <v>3</v>
      </c>
      <c r="CO227" s="0" t="n">
        <v>15</v>
      </c>
      <c r="CP227" s="0" t="n">
        <v>0</v>
      </c>
      <c r="CQ227" s="0" t="n">
        <v>10</v>
      </c>
      <c r="CR227" s="0" t="n">
        <v>6</v>
      </c>
      <c r="CS227" s="6" t="n">
        <f aca="false">IF(R227="Y",10,0)</f>
        <v>0</v>
      </c>
      <c r="CT227" s="0" t="n">
        <v>-35</v>
      </c>
      <c r="CU227" s="6" t="s">
        <v>163</v>
      </c>
      <c r="CV227" s="6" t="s">
        <v>4843</v>
      </c>
      <c r="CW227" s="6" t="s">
        <v>9508</v>
      </c>
      <c r="CX227" s="6" t="s">
        <v>9509</v>
      </c>
      <c r="CY227" s="6" t="s">
        <v>9510</v>
      </c>
      <c r="DA227" s="6" t="s">
        <v>6236</v>
      </c>
      <c r="DY227" s="0" t="str">
        <f aca="false">IF(ISNUMBER(MATCH(U227,{"queued","contacted","replied","call_booked","call_done","yes_in_principle","materials_sent"},0)),"Y","N")</f>
        <v>N</v>
      </c>
      <c r="DZ227" s="0" t="str">
        <f aca="false">IF(COUNTIFS($AN$2:$AN$1000,AN227,$DY$2:$DY$1000,"Y")+COUNTIFS($AN$2:$AN$1000,AN227,$T$2:$T$1000,"Y")&gt;0,"Y","N")</f>
        <v>N</v>
      </c>
      <c r="EA227" s="0" t="str">
        <f aca="false">IF(AND(U227="new",T227="N",AR227="Y",AQ227="",DZ227="N"),"Y","N")</f>
        <v>Y</v>
      </c>
      <c r="EB227" s="0" t="str">
        <f aca="false">IF(EA227&lt;&gt;"Y","N",IF(COUNTIFS($AN$2:$AN$1000,AN227,$EA$2:$EA$1000,"Y",$J$2:$J$1000,"&gt;"&amp;J227)+COUNTIFS($AN$2:$AN$1000,AN227,$EA$2:$EA$1000,"Y",$J$2:$J$1000,J227,$ED$2:$ED$1000,"&lt;"&amp;ED227)=0,"Y","N"))</f>
        <v>Y</v>
      </c>
      <c r="EC227" s="0" t="str">
        <f aca="false">IF(Y227="","N",IF(Y227&lt;=10,"Y","N"))</f>
        <v>N</v>
      </c>
      <c r="ED227" s="6" t="n">
        <f aca="false">ROW()-1</f>
        <v>226</v>
      </c>
    </row>
    <row r="228" customFormat="false" ht="15" hidden="false" customHeight="false" outlineLevel="0" collapsed="false">
      <c r="A228" s="0" t="s">
        <v>9511</v>
      </c>
      <c r="B228" s="0" t="s">
        <v>9512</v>
      </c>
      <c r="H228" s="5" t="s">
        <v>158</v>
      </c>
      <c r="I228" s="5"/>
      <c r="J228" s="6" t="n">
        <f aca="false">IF(AU228="pass",CM228+CN228+CO228+CP228+CQ228+CR228+CS228+CT228,0)</f>
        <v>24</v>
      </c>
      <c r="K228" s="6" t="s">
        <v>9513</v>
      </c>
      <c r="M228" s="6" t="s">
        <v>5293</v>
      </c>
      <c r="N228" s="6" t="s">
        <v>598</v>
      </c>
      <c r="R228" s="5" t="s">
        <v>162</v>
      </c>
      <c r="S228" s="6" t="s">
        <v>163</v>
      </c>
      <c r="T228" s="5" t="s">
        <v>162</v>
      </c>
      <c r="U228" s="5" t="s">
        <v>228</v>
      </c>
      <c r="V228" s="6" t="s">
        <v>9514</v>
      </c>
      <c r="W228" s="6" t="s">
        <v>166</v>
      </c>
      <c r="X228" s="6" t="s">
        <v>4586</v>
      </c>
      <c r="Y228" s="0" t="str">
        <f aca="false">IF(EB228&lt;&gt;"Y","",COUNTIFS($EB$2:$EB$1000,"Y",$J$2:$J$1000,"&gt;"&amp;J228)+COUNTIFS($EB$2:$EB$1000,"Y",$J$2:$J$1000,J228,$ED$2:$ED$1000,"&lt;"&amp;ED228)+1)</f>
        <v/>
      </c>
      <c r="Z228" s="0" t="n">
        <v>227</v>
      </c>
      <c r="AA228" s="6" t="s">
        <v>162</v>
      </c>
      <c r="AB228" s="6" t="s">
        <v>6317</v>
      </c>
      <c r="AD228" s="6" t="s">
        <v>158</v>
      </c>
      <c r="AH228" s="6" t="s">
        <v>9515</v>
      </c>
      <c r="AI228" s="6" t="s">
        <v>4591</v>
      </c>
      <c r="AJ228" s="6" t="s">
        <v>9516</v>
      </c>
      <c r="AK228" s="6" t="s">
        <v>9517</v>
      </c>
      <c r="AL228" s="6" t="s">
        <v>168</v>
      </c>
      <c r="AM228" s="6" t="s">
        <v>9518</v>
      </c>
      <c r="AN228" s="6" t="s">
        <v>9511</v>
      </c>
      <c r="AO228" s="5" t="s">
        <v>162</v>
      </c>
      <c r="AR228" s="0" t="str">
        <f aca="false">IF(AND(AU228="pass",AO228&lt;&gt;"Y",C228&lt;&gt;""),"Y","N")</f>
        <v>N</v>
      </c>
      <c r="AS228" s="0" t="str">
        <f aca="false">_xlfn.TEXTJOIN("; ",TRUE(),IF(AU228&lt;&gt;"pass","gated out",""),IF(AO228="Y","on hold: "&amp;AP228,""),IF(C228="","no contact named on an opened page",""))</f>
        <v>no contact named on an opened page</v>
      </c>
      <c r="AU228" s="6" t="s">
        <v>181</v>
      </c>
      <c r="AW228" s="6" t="s">
        <v>182</v>
      </c>
      <c r="AX228" s="6" t="s">
        <v>283</v>
      </c>
      <c r="AY228" s="6" t="s">
        <v>9519</v>
      </c>
      <c r="AZ228" s="6" t="s">
        <v>6691</v>
      </c>
      <c r="BA228" s="6" t="s">
        <v>5193</v>
      </c>
      <c r="BB228" s="6" t="s">
        <v>8884</v>
      </c>
      <c r="BC228" s="6" t="s">
        <v>9514</v>
      </c>
      <c r="BD228" s="6" t="s">
        <v>163</v>
      </c>
      <c r="BE228" s="6" t="s">
        <v>5929</v>
      </c>
      <c r="BF228" s="6" t="s">
        <v>168</v>
      </c>
      <c r="BG228" s="6" t="s">
        <v>168</v>
      </c>
      <c r="BH228" s="6" t="s">
        <v>163</v>
      </c>
      <c r="BJ228" s="6" t="s">
        <v>5551</v>
      </c>
      <c r="BK228" s="6" t="s">
        <v>162</v>
      </c>
      <c r="BL228" s="6" t="s">
        <v>162</v>
      </c>
      <c r="BO228" s="6" t="s">
        <v>162</v>
      </c>
      <c r="BP228" s="0" t="n">
        <v>0</v>
      </c>
      <c r="BS228" s="6" t="s">
        <v>9520</v>
      </c>
      <c r="BU228" s="6" t="s">
        <v>158</v>
      </c>
      <c r="CF228" s="6" t="s">
        <v>158</v>
      </c>
      <c r="CK228" s="6" t="s">
        <v>158</v>
      </c>
      <c r="CL228" s="0" t="n">
        <v>24</v>
      </c>
      <c r="CM228" s="0" t="n">
        <v>6</v>
      </c>
      <c r="CN228" s="0" t="n">
        <v>8</v>
      </c>
      <c r="CO228" s="0" t="n">
        <v>0</v>
      </c>
      <c r="CP228" s="0" t="n">
        <v>5</v>
      </c>
      <c r="CQ228" s="0" t="n">
        <v>7</v>
      </c>
      <c r="CR228" s="0" t="n">
        <v>0</v>
      </c>
      <c r="CS228" s="6" t="n">
        <f aca="false">IF(R228="Y",10,0)</f>
        <v>0</v>
      </c>
      <c r="CT228" s="0" t="n">
        <v>-2</v>
      </c>
      <c r="CU228" s="6" t="s">
        <v>9521</v>
      </c>
      <c r="CV228" s="6" t="s">
        <v>5564</v>
      </c>
      <c r="CW228" s="6" t="s">
        <v>9522</v>
      </c>
      <c r="CX228" s="6" t="s">
        <v>9523</v>
      </c>
      <c r="CY228" s="6" t="s">
        <v>9524</v>
      </c>
      <c r="DA228" s="6" t="s">
        <v>6236</v>
      </c>
      <c r="DY228" s="0" t="str">
        <f aca="false">IF(ISNUMBER(MATCH(U228,{"queued","contacted","replied","call_booked","call_done","yes_in_principle","materials_sent"},0)),"Y","N")</f>
        <v>N</v>
      </c>
      <c r="DZ228" s="0" t="str">
        <f aca="false">IF(COUNTIFS($AN$2:$AN$1000,AN228,$DY$2:$DY$1000,"Y")+COUNTIFS($AN$2:$AN$1000,AN228,$T$2:$T$1000,"Y")&gt;0,"Y","N")</f>
        <v>N</v>
      </c>
      <c r="EA228" s="0" t="str">
        <f aca="false">IF(AND(U228="new",T228="N",AR228="Y",AQ228="",DZ228="N"),"Y","N")</f>
        <v>N</v>
      </c>
      <c r="EB228" s="0" t="str">
        <f aca="false">IF(EA228&lt;&gt;"Y","N",IF(COUNTIFS($AN$2:$AN$1000,AN228,$EA$2:$EA$1000,"Y",$J$2:$J$1000,"&gt;"&amp;J228)+COUNTIFS($AN$2:$AN$1000,AN228,$EA$2:$EA$1000,"Y",$J$2:$J$1000,J228,$ED$2:$ED$1000,"&lt;"&amp;ED228)=0,"Y","N"))</f>
        <v>N</v>
      </c>
      <c r="EC228" s="0" t="str">
        <f aca="false">IF(Y228="","N",IF(Y228&lt;=10,"Y","N"))</f>
        <v>N</v>
      </c>
      <c r="ED228" s="6" t="n">
        <f aca="false">ROW()-1</f>
        <v>227</v>
      </c>
    </row>
    <row r="229" customFormat="false" ht="15" hidden="false" customHeight="false" outlineLevel="0" collapsed="false">
      <c r="A229" s="0" t="s">
        <v>9525</v>
      </c>
      <c r="B229" s="0" t="s">
        <v>9526</v>
      </c>
      <c r="C229" s="0" t="s">
        <v>9527</v>
      </c>
      <c r="D229" s="0" t="s">
        <v>9528</v>
      </c>
      <c r="E229" s="0" t="s">
        <v>4773</v>
      </c>
      <c r="H229" s="5" t="s">
        <v>158</v>
      </c>
      <c r="I229" s="5" t="s">
        <v>159</v>
      </c>
      <c r="J229" s="6" t="n">
        <f aca="false">IF(AU229="pass",CM229+CN229+CO229+CP229+CQ229+CR229+CS229+CT229,0)</f>
        <v>23</v>
      </c>
      <c r="K229" s="6" t="s">
        <v>9529</v>
      </c>
      <c r="M229" s="6" t="s">
        <v>5293</v>
      </c>
      <c r="N229" s="6" t="s">
        <v>598</v>
      </c>
      <c r="O229" s="6" t="s">
        <v>9530</v>
      </c>
      <c r="P229" s="6" t="s">
        <v>9531</v>
      </c>
      <c r="Q229" s="6" t="s">
        <v>6736</v>
      </c>
      <c r="R229" s="5" t="s">
        <v>162</v>
      </c>
      <c r="S229" s="6" t="s">
        <v>168</v>
      </c>
      <c r="T229" s="5" t="s">
        <v>162</v>
      </c>
      <c r="U229" s="5" t="s">
        <v>228</v>
      </c>
      <c r="V229" s="6" t="s">
        <v>9532</v>
      </c>
      <c r="W229" s="6" t="s">
        <v>166</v>
      </c>
      <c r="X229" s="6" t="s">
        <v>4586</v>
      </c>
      <c r="Y229" s="6" t="n">
        <f aca="false">IF(EB229&lt;&gt;"Y","",COUNTIFS($EB$2:$EB$1000,"Y",$J$2:$J$1000,"&gt;"&amp;J229)+COUNTIFS($EB$2:$EB$1000,"Y",$J$2:$J$1000,J229,$ED$2:$ED$1000,"&lt;"&amp;ED229)+1)</f>
        <v>172</v>
      </c>
      <c r="Z229" s="0" t="n">
        <v>228</v>
      </c>
      <c r="AA229" s="6" t="s">
        <v>162</v>
      </c>
      <c r="AB229" s="6" t="s">
        <v>9533</v>
      </c>
      <c r="AC229" s="6" t="s">
        <v>4588</v>
      </c>
      <c r="AD229" s="6" t="s">
        <v>171</v>
      </c>
      <c r="AE229" s="6" t="s">
        <v>1190</v>
      </c>
      <c r="AF229" s="6" t="s">
        <v>9534</v>
      </c>
      <c r="AG229" s="6" t="s">
        <v>166</v>
      </c>
      <c r="AH229" s="6" t="s">
        <v>9535</v>
      </c>
      <c r="AI229" s="6" t="s">
        <v>4591</v>
      </c>
      <c r="AJ229" s="6" t="s">
        <v>9536</v>
      </c>
      <c r="AK229" s="6" t="s">
        <v>9532</v>
      </c>
      <c r="AL229" s="6" t="s">
        <v>168</v>
      </c>
      <c r="AM229" s="6" t="s">
        <v>9537</v>
      </c>
      <c r="AN229" s="6" t="s">
        <v>9525</v>
      </c>
      <c r="AO229" s="5" t="s">
        <v>162</v>
      </c>
      <c r="AR229" s="0" t="str">
        <f aca="false">IF(AND(AU229="pass",AO229&lt;&gt;"Y",C229&lt;&gt;""),"Y","N")</f>
        <v>Y</v>
      </c>
      <c r="AS229" s="0" t="str">
        <f aca="false">_xlfn.TEXTJOIN("; ",TRUE(),IF(AU229&lt;&gt;"pass","gated out",""),IF(AO229="Y","on hold: "&amp;AP229,""),IF(C229="","no contact named on an opened page",""))</f>
        <v/>
      </c>
      <c r="AU229" s="6" t="s">
        <v>181</v>
      </c>
      <c r="AW229" s="6" t="s">
        <v>182</v>
      </c>
      <c r="AX229" s="6" t="s">
        <v>4595</v>
      </c>
      <c r="AY229" s="6" t="s">
        <v>9532</v>
      </c>
      <c r="AZ229" s="6" t="s">
        <v>9538</v>
      </c>
      <c r="BA229" s="6" t="s">
        <v>5331</v>
      </c>
      <c r="BB229" s="6" t="s">
        <v>163</v>
      </c>
      <c r="BD229" s="6" t="s">
        <v>163</v>
      </c>
      <c r="BE229" s="6" t="s">
        <v>5929</v>
      </c>
      <c r="BF229" s="6" t="s">
        <v>168</v>
      </c>
      <c r="BG229" s="6" t="s">
        <v>168</v>
      </c>
      <c r="BH229" s="6" t="s">
        <v>163</v>
      </c>
      <c r="BJ229" s="6" t="s">
        <v>5551</v>
      </c>
      <c r="BK229" s="6" t="s">
        <v>162</v>
      </c>
      <c r="BL229" s="6" t="s">
        <v>162</v>
      </c>
      <c r="BO229" s="6" t="s">
        <v>162</v>
      </c>
      <c r="BP229" s="0" t="n">
        <v>0</v>
      </c>
      <c r="BR229" s="6" t="s">
        <v>9539</v>
      </c>
      <c r="BS229" s="6" t="s">
        <v>9540</v>
      </c>
      <c r="BT229" s="6" t="s">
        <v>9541</v>
      </c>
      <c r="BU229" s="6" t="s">
        <v>598</v>
      </c>
      <c r="BV229" s="0" t="n">
        <v>60</v>
      </c>
      <c r="BW229" s="6" t="s">
        <v>5817</v>
      </c>
      <c r="BX229" s="6" t="s">
        <v>9542</v>
      </c>
      <c r="CF229" s="6" t="s">
        <v>158</v>
      </c>
      <c r="CK229" s="6" t="s">
        <v>158</v>
      </c>
      <c r="CL229" s="0" t="n">
        <v>23</v>
      </c>
      <c r="CM229" s="0" t="n">
        <v>6</v>
      </c>
      <c r="CN229" s="0" t="n">
        <v>3</v>
      </c>
      <c r="CO229" s="0" t="n">
        <v>0</v>
      </c>
      <c r="CP229" s="0" t="n">
        <v>5</v>
      </c>
      <c r="CQ229" s="0" t="n">
        <v>7</v>
      </c>
      <c r="CR229" s="0" t="n">
        <v>6</v>
      </c>
      <c r="CS229" s="6" t="n">
        <f aca="false">IF(R229="Y",10,0)</f>
        <v>0</v>
      </c>
      <c r="CT229" s="0" t="n">
        <v>-4</v>
      </c>
      <c r="CU229" s="6" t="s">
        <v>9543</v>
      </c>
      <c r="CV229" s="6" t="s">
        <v>5564</v>
      </c>
      <c r="CW229" s="6" t="s">
        <v>9544</v>
      </c>
      <c r="CX229" s="6" t="s">
        <v>9545</v>
      </c>
      <c r="CY229" s="6" t="s">
        <v>9546</v>
      </c>
      <c r="DA229" s="6" t="s">
        <v>6236</v>
      </c>
      <c r="DY229" s="0" t="str">
        <f aca="false">IF(ISNUMBER(MATCH(U229,{"queued","contacted","replied","call_booked","call_done","yes_in_principle","materials_sent"},0)),"Y","N")</f>
        <v>N</v>
      </c>
      <c r="DZ229" s="0" t="str">
        <f aca="false">IF(COUNTIFS($AN$2:$AN$1000,AN229,$DY$2:$DY$1000,"Y")+COUNTIFS($AN$2:$AN$1000,AN229,$T$2:$T$1000,"Y")&gt;0,"Y","N")</f>
        <v>N</v>
      </c>
      <c r="EA229" s="0" t="str">
        <f aca="false">IF(AND(U229="new",T229="N",AR229="Y",AQ229="",DZ229="N"),"Y","N")</f>
        <v>Y</v>
      </c>
      <c r="EB229" s="0" t="str">
        <f aca="false">IF(EA229&lt;&gt;"Y","N",IF(COUNTIFS($AN$2:$AN$1000,AN229,$EA$2:$EA$1000,"Y",$J$2:$J$1000,"&gt;"&amp;J229)+COUNTIFS($AN$2:$AN$1000,AN229,$EA$2:$EA$1000,"Y",$J$2:$J$1000,J229,$ED$2:$ED$1000,"&lt;"&amp;ED229)=0,"Y","N"))</f>
        <v>Y</v>
      </c>
      <c r="EC229" s="0" t="str">
        <f aca="false">IF(Y229="","N",IF(Y229&lt;=10,"Y","N"))</f>
        <v>N</v>
      </c>
      <c r="ED229" s="6" t="n">
        <f aca="false">ROW()-1</f>
        <v>228</v>
      </c>
    </row>
    <row r="230" customFormat="false" ht="15" hidden="false" customHeight="false" outlineLevel="0" collapsed="false">
      <c r="A230" s="0" t="s">
        <v>9547</v>
      </c>
      <c r="B230" s="0" t="s">
        <v>9548</v>
      </c>
      <c r="C230" s="0" t="s">
        <v>9549</v>
      </c>
      <c r="D230" s="0" t="s">
        <v>9550</v>
      </c>
      <c r="E230" s="0" t="s">
        <v>4912</v>
      </c>
      <c r="H230" s="5" t="s">
        <v>158</v>
      </c>
      <c r="I230" s="5" t="s">
        <v>159</v>
      </c>
      <c r="J230" s="6" t="n">
        <f aca="false">IF(AU230="pass",CM230+CN230+CO230+CP230+CQ230+CR230+CS230+CT230,0)</f>
        <v>23</v>
      </c>
      <c r="K230" s="6" t="s">
        <v>9529</v>
      </c>
      <c r="M230" s="6" t="s">
        <v>5293</v>
      </c>
      <c r="N230" s="6" t="s">
        <v>598</v>
      </c>
      <c r="R230" s="5" t="s">
        <v>162</v>
      </c>
      <c r="S230" s="6" t="s">
        <v>163</v>
      </c>
      <c r="T230" s="5" t="s">
        <v>162</v>
      </c>
      <c r="U230" s="5" t="s">
        <v>228</v>
      </c>
      <c r="V230" s="6" t="s">
        <v>9551</v>
      </c>
      <c r="W230" s="6" t="s">
        <v>166</v>
      </c>
      <c r="X230" s="6" t="s">
        <v>4586</v>
      </c>
      <c r="Y230" s="6" t="n">
        <f aca="false">IF(EB230&lt;&gt;"Y","",COUNTIFS($EB$2:$EB$1000,"Y",$J$2:$J$1000,"&gt;"&amp;J230)+COUNTIFS($EB$2:$EB$1000,"Y",$J$2:$J$1000,J230,$ED$2:$ED$1000,"&lt;"&amp;ED230)+1)</f>
        <v>173</v>
      </c>
      <c r="Z230" s="0" t="n">
        <v>229</v>
      </c>
      <c r="AA230" s="6" t="s">
        <v>162</v>
      </c>
      <c r="AB230" s="6" t="s">
        <v>9552</v>
      </c>
      <c r="AC230" s="6" t="s">
        <v>4588</v>
      </c>
      <c r="AD230" s="6" t="s">
        <v>171</v>
      </c>
      <c r="AE230" s="6" t="s">
        <v>1190</v>
      </c>
      <c r="AF230" s="6" t="s">
        <v>9553</v>
      </c>
      <c r="AG230" s="6" t="s">
        <v>166</v>
      </c>
      <c r="AH230" s="6" t="s">
        <v>9554</v>
      </c>
      <c r="AI230" s="6" t="s">
        <v>5765</v>
      </c>
      <c r="AJ230" s="6" t="s">
        <v>656</v>
      </c>
      <c r="AK230" s="6" t="s">
        <v>9555</v>
      </c>
      <c r="AL230" s="6" t="s">
        <v>168</v>
      </c>
      <c r="AM230" s="6" t="s">
        <v>9556</v>
      </c>
      <c r="AN230" s="6" t="s">
        <v>9547</v>
      </c>
      <c r="AO230" s="5" t="s">
        <v>162</v>
      </c>
      <c r="AR230" s="0" t="str">
        <f aca="false">IF(AND(AU230="pass",AO230&lt;&gt;"Y",C230&lt;&gt;""),"Y","N")</f>
        <v>Y</v>
      </c>
      <c r="AS230" s="0" t="str">
        <f aca="false">_xlfn.TEXTJOIN("; ",TRUE(),IF(AU230&lt;&gt;"pass","gated out",""),IF(AO230="Y","on hold: "&amp;AP230,""),IF(C230="","no contact named on an opened page",""))</f>
        <v/>
      </c>
      <c r="AU230" s="6" t="s">
        <v>181</v>
      </c>
      <c r="AW230" s="6" t="s">
        <v>182</v>
      </c>
      <c r="AX230" s="6" t="s">
        <v>4595</v>
      </c>
      <c r="AY230" s="6" t="s">
        <v>9555</v>
      </c>
      <c r="AZ230" s="6" t="s">
        <v>5659</v>
      </c>
      <c r="BA230" s="6" t="s">
        <v>5331</v>
      </c>
      <c r="BB230" s="6" t="s">
        <v>163</v>
      </c>
      <c r="BD230" s="6" t="s">
        <v>163</v>
      </c>
      <c r="BE230" s="6" t="s">
        <v>5929</v>
      </c>
      <c r="BF230" s="6" t="s">
        <v>168</v>
      </c>
      <c r="BG230" s="6" t="s">
        <v>168</v>
      </c>
      <c r="BH230" s="6" t="s">
        <v>163</v>
      </c>
      <c r="BJ230" s="6" t="s">
        <v>5551</v>
      </c>
      <c r="BK230" s="6" t="s">
        <v>162</v>
      </c>
      <c r="BL230" s="6" t="s">
        <v>162</v>
      </c>
      <c r="BO230" s="6" t="s">
        <v>162</v>
      </c>
      <c r="BP230" s="0" t="n">
        <v>0</v>
      </c>
      <c r="BS230" s="6" t="s">
        <v>7162</v>
      </c>
      <c r="BT230" s="6" t="s">
        <v>9557</v>
      </c>
      <c r="BU230" s="6" t="s">
        <v>158</v>
      </c>
      <c r="BX230" s="6" t="s">
        <v>9558</v>
      </c>
      <c r="CA230" s="6" t="s">
        <v>9559</v>
      </c>
      <c r="CB230" s="6" t="s">
        <v>4610</v>
      </c>
      <c r="CC230" s="6" t="s">
        <v>9560</v>
      </c>
      <c r="CD230" s="6" t="s">
        <v>6725</v>
      </c>
      <c r="CE230" s="6" t="s">
        <v>6725</v>
      </c>
      <c r="CF230" s="6" t="s">
        <v>171</v>
      </c>
      <c r="CK230" s="6" t="s">
        <v>158</v>
      </c>
      <c r="CL230" s="0" t="n">
        <v>23</v>
      </c>
      <c r="CM230" s="0" t="n">
        <v>6</v>
      </c>
      <c r="CN230" s="0" t="n">
        <v>3</v>
      </c>
      <c r="CO230" s="0" t="n">
        <v>0</v>
      </c>
      <c r="CP230" s="0" t="n">
        <v>5</v>
      </c>
      <c r="CQ230" s="0" t="n">
        <v>7</v>
      </c>
      <c r="CR230" s="0" t="n">
        <v>6</v>
      </c>
      <c r="CS230" s="6" t="n">
        <f aca="false">IF(R230="Y",10,0)</f>
        <v>0</v>
      </c>
      <c r="CT230" s="0" t="n">
        <v>-4</v>
      </c>
      <c r="CU230" s="6" t="s">
        <v>9561</v>
      </c>
      <c r="CV230" s="6" t="s">
        <v>5564</v>
      </c>
      <c r="CW230" s="6" t="s">
        <v>9562</v>
      </c>
      <c r="CX230" s="6" t="s">
        <v>9563</v>
      </c>
      <c r="CY230" s="6" t="s">
        <v>9564</v>
      </c>
      <c r="CZ230" s="6" t="s">
        <v>9553</v>
      </c>
      <c r="DA230" s="6" t="s">
        <v>6236</v>
      </c>
      <c r="DC230" s="6" t="s">
        <v>1190</v>
      </c>
      <c r="DY230" s="0" t="str">
        <f aca="false">IF(ISNUMBER(MATCH(U230,{"queued","contacted","replied","call_booked","call_done","yes_in_principle","materials_sent"},0)),"Y","N")</f>
        <v>N</v>
      </c>
      <c r="DZ230" s="0" t="str">
        <f aca="false">IF(COUNTIFS($AN$2:$AN$1000,AN230,$DY$2:$DY$1000,"Y")+COUNTIFS($AN$2:$AN$1000,AN230,$T$2:$T$1000,"Y")&gt;0,"Y","N")</f>
        <v>N</v>
      </c>
      <c r="EA230" s="0" t="str">
        <f aca="false">IF(AND(U230="new",T230="N",AR230="Y",AQ230="",DZ230="N"),"Y","N")</f>
        <v>Y</v>
      </c>
      <c r="EB230" s="0" t="str">
        <f aca="false">IF(EA230&lt;&gt;"Y","N",IF(COUNTIFS($AN$2:$AN$1000,AN230,$EA$2:$EA$1000,"Y",$J$2:$J$1000,"&gt;"&amp;J230)+COUNTIFS($AN$2:$AN$1000,AN230,$EA$2:$EA$1000,"Y",$J$2:$J$1000,J230,$ED$2:$ED$1000,"&lt;"&amp;ED230)=0,"Y","N"))</f>
        <v>Y</v>
      </c>
      <c r="EC230" s="0" t="str">
        <f aca="false">IF(Y230="","N",IF(Y230&lt;=10,"Y","N"))</f>
        <v>N</v>
      </c>
      <c r="ED230" s="6" t="n">
        <f aca="false">ROW()-1</f>
        <v>229</v>
      </c>
    </row>
    <row r="231" customFormat="false" ht="15" hidden="false" customHeight="false" outlineLevel="0" collapsed="false">
      <c r="A231" s="0" t="s">
        <v>9565</v>
      </c>
      <c r="B231" s="0" t="s">
        <v>9566</v>
      </c>
      <c r="H231" s="5" t="s">
        <v>158</v>
      </c>
      <c r="I231" s="5"/>
      <c r="J231" s="6" t="n">
        <f aca="false">IF(AU231="pass",CM231+CN231+CO231+CP231+CQ231+CR231+CS231+CT231,0)</f>
        <v>23</v>
      </c>
      <c r="K231" s="6" t="s">
        <v>9567</v>
      </c>
      <c r="M231" s="6" t="s">
        <v>4581</v>
      </c>
      <c r="N231" s="6" t="s">
        <v>598</v>
      </c>
      <c r="O231" s="6" t="s">
        <v>9568</v>
      </c>
      <c r="P231" s="6" t="s">
        <v>6199</v>
      </c>
      <c r="Q231" s="6" t="s">
        <v>9569</v>
      </c>
      <c r="R231" s="5" t="s">
        <v>162</v>
      </c>
      <c r="S231" s="6" t="s">
        <v>168</v>
      </c>
      <c r="T231" s="5" t="s">
        <v>162</v>
      </c>
      <c r="U231" s="5" t="s">
        <v>228</v>
      </c>
      <c r="V231" s="6" t="s">
        <v>9570</v>
      </c>
      <c r="W231" s="6" t="s">
        <v>166</v>
      </c>
      <c r="X231" s="6" t="s">
        <v>4586</v>
      </c>
      <c r="Y231" s="0" t="str">
        <f aca="false">IF(EB231&lt;&gt;"Y","",COUNTIFS($EB$2:$EB$1000,"Y",$J$2:$J$1000,"&gt;"&amp;J231)+COUNTIFS($EB$2:$EB$1000,"Y",$J$2:$J$1000,J231,$ED$2:$ED$1000,"&lt;"&amp;ED231)+1)</f>
        <v/>
      </c>
      <c r="Z231" s="0" t="n">
        <v>230</v>
      </c>
      <c r="AA231" s="6" t="s">
        <v>162</v>
      </c>
      <c r="AB231" s="6" t="s">
        <v>6917</v>
      </c>
      <c r="AC231" s="6" t="s">
        <v>4588</v>
      </c>
      <c r="AD231" s="6" t="s">
        <v>598</v>
      </c>
      <c r="AE231" s="6" t="s">
        <v>172</v>
      </c>
      <c r="AF231" s="6" t="s">
        <v>9570</v>
      </c>
      <c r="AG231" s="6" t="s">
        <v>166</v>
      </c>
      <c r="AH231" s="6" t="s">
        <v>9571</v>
      </c>
      <c r="AI231" s="6" t="s">
        <v>4828</v>
      </c>
      <c r="AJ231" s="6" t="s">
        <v>9572</v>
      </c>
      <c r="AK231" s="6" t="s">
        <v>9573</v>
      </c>
      <c r="AL231" s="6" t="s">
        <v>168</v>
      </c>
      <c r="AM231" s="6" t="s">
        <v>9574</v>
      </c>
      <c r="AN231" s="6" t="s">
        <v>9565</v>
      </c>
      <c r="AO231" s="5" t="s">
        <v>162</v>
      </c>
      <c r="AR231" s="0" t="str">
        <f aca="false">IF(AND(AU231="pass",AO231&lt;&gt;"Y",C231&lt;&gt;""),"Y","N")</f>
        <v>N</v>
      </c>
      <c r="AS231" s="0" t="str">
        <f aca="false">_xlfn.TEXTJOIN("; ",TRUE(),IF(AU231&lt;&gt;"pass","gated out",""),IF(AO231="Y","on hold: "&amp;AP231,""),IF(C231="","no contact named on an opened page",""))</f>
        <v>no contact named on an opened page</v>
      </c>
      <c r="AU231" s="6" t="s">
        <v>181</v>
      </c>
      <c r="AW231" s="6" t="s">
        <v>182</v>
      </c>
      <c r="AX231" s="6" t="s">
        <v>4595</v>
      </c>
      <c r="AY231" s="6" t="s">
        <v>9573</v>
      </c>
      <c r="AZ231" s="6" t="s">
        <v>9575</v>
      </c>
      <c r="BA231" s="6" t="s">
        <v>5060</v>
      </c>
      <c r="BB231" s="6" t="s">
        <v>163</v>
      </c>
      <c r="BD231" s="6" t="s">
        <v>168</v>
      </c>
      <c r="BE231" s="6" t="s">
        <v>9576</v>
      </c>
      <c r="BF231" s="6" t="s">
        <v>168</v>
      </c>
      <c r="BG231" s="6" t="s">
        <v>168</v>
      </c>
      <c r="BH231" s="6" t="s">
        <v>163</v>
      </c>
      <c r="BJ231" s="6" t="s">
        <v>163</v>
      </c>
      <c r="BK231" s="6" t="s">
        <v>162</v>
      </c>
      <c r="BL231" s="6" t="s">
        <v>162</v>
      </c>
      <c r="BN231" s="0" t="n">
        <v>0</v>
      </c>
      <c r="BO231" s="6" t="s">
        <v>168</v>
      </c>
      <c r="BP231" s="0" t="n">
        <v>0</v>
      </c>
      <c r="BQ231" s="6" t="s">
        <v>9577</v>
      </c>
      <c r="BS231" s="6" t="s">
        <v>9578</v>
      </c>
      <c r="BT231" s="6" t="s">
        <v>9579</v>
      </c>
      <c r="BU231" s="6" t="s">
        <v>598</v>
      </c>
      <c r="BV231" s="0" t="n">
        <v>233</v>
      </c>
      <c r="BW231" s="6" t="s">
        <v>6199</v>
      </c>
      <c r="BX231" s="6" t="s">
        <v>9580</v>
      </c>
      <c r="BY231" s="6" t="s">
        <v>9581</v>
      </c>
      <c r="CF231" s="6" t="s">
        <v>158</v>
      </c>
      <c r="CK231" s="6" t="s">
        <v>158</v>
      </c>
      <c r="CL231" s="0" t="n">
        <v>23</v>
      </c>
      <c r="CM231" s="0" t="n">
        <v>6</v>
      </c>
      <c r="CN231" s="0" t="n">
        <v>3</v>
      </c>
      <c r="CO231" s="0" t="n">
        <v>0</v>
      </c>
      <c r="CP231" s="0" t="n">
        <v>5</v>
      </c>
      <c r="CQ231" s="0" t="n">
        <v>10</v>
      </c>
      <c r="CR231" s="0" t="n">
        <v>3</v>
      </c>
      <c r="CS231" s="6" t="n">
        <f aca="false">IF(R231="Y",10,0)</f>
        <v>0</v>
      </c>
      <c r="CT231" s="0" t="n">
        <v>-4</v>
      </c>
      <c r="CU231" s="6" t="s">
        <v>9582</v>
      </c>
      <c r="CV231" s="6" t="s">
        <v>4843</v>
      </c>
      <c r="CW231" s="6" t="s">
        <v>9583</v>
      </c>
      <c r="CX231" s="6" t="s">
        <v>9584</v>
      </c>
      <c r="CY231" s="6" t="s">
        <v>9585</v>
      </c>
      <c r="DA231" s="6" t="s">
        <v>6236</v>
      </c>
      <c r="DY231" s="0" t="str">
        <f aca="false">IF(ISNUMBER(MATCH(U231,{"queued","contacted","replied","call_booked","call_done","yes_in_principle","materials_sent"},0)),"Y","N")</f>
        <v>N</v>
      </c>
      <c r="DZ231" s="0" t="str">
        <f aca="false">IF(COUNTIFS($AN$2:$AN$1000,AN231,$DY$2:$DY$1000,"Y")+COUNTIFS($AN$2:$AN$1000,AN231,$T$2:$T$1000,"Y")&gt;0,"Y","N")</f>
        <v>N</v>
      </c>
      <c r="EA231" s="0" t="str">
        <f aca="false">IF(AND(U231="new",T231="N",AR231="Y",AQ231="",DZ231="N"),"Y","N")</f>
        <v>N</v>
      </c>
      <c r="EB231" s="0" t="str">
        <f aca="false">IF(EA231&lt;&gt;"Y","N",IF(COUNTIFS($AN$2:$AN$1000,AN231,$EA$2:$EA$1000,"Y",$J$2:$J$1000,"&gt;"&amp;J231)+COUNTIFS($AN$2:$AN$1000,AN231,$EA$2:$EA$1000,"Y",$J$2:$J$1000,J231,$ED$2:$ED$1000,"&lt;"&amp;ED231)=0,"Y","N"))</f>
        <v>N</v>
      </c>
      <c r="EC231" s="0" t="str">
        <f aca="false">IF(Y231="","N",IF(Y231&lt;=10,"Y","N"))</f>
        <v>N</v>
      </c>
      <c r="ED231" s="6" t="n">
        <f aca="false">ROW()-1</f>
        <v>230</v>
      </c>
    </row>
    <row r="232" customFormat="false" ht="15" hidden="false" customHeight="false" outlineLevel="0" collapsed="false">
      <c r="A232" s="0" t="s">
        <v>9586</v>
      </c>
      <c r="B232" s="0" t="s">
        <v>9587</v>
      </c>
      <c r="C232" s="0" t="s">
        <v>9588</v>
      </c>
      <c r="D232" s="0" t="s">
        <v>9589</v>
      </c>
      <c r="E232" s="0" t="s">
        <v>4773</v>
      </c>
      <c r="H232" s="5" t="s">
        <v>158</v>
      </c>
      <c r="I232" s="5" t="s">
        <v>159</v>
      </c>
      <c r="J232" s="6" t="n">
        <f aca="false">IF(AU232="pass",CM232+CN232+CO232+CP232+CQ232+CR232+CS232+CT232,0)</f>
        <v>23</v>
      </c>
      <c r="K232" s="6" t="s">
        <v>9590</v>
      </c>
      <c r="M232" s="6" t="s">
        <v>5293</v>
      </c>
      <c r="N232" s="6" t="s">
        <v>598</v>
      </c>
      <c r="R232" s="5" t="s">
        <v>162</v>
      </c>
      <c r="S232" s="6" t="s">
        <v>163</v>
      </c>
      <c r="T232" s="5" t="s">
        <v>162</v>
      </c>
      <c r="U232" s="5" t="s">
        <v>228</v>
      </c>
      <c r="V232" s="6" t="s">
        <v>9591</v>
      </c>
      <c r="W232" s="6" t="s">
        <v>166</v>
      </c>
      <c r="X232" s="6" t="s">
        <v>4586</v>
      </c>
      <c r="Y232" s="6" t="n">
        <f aca="false">IF(EB232&lt;&gt;"Y","",COUNTIFS($EB$2:$EB$1000,"Y",$J$2:$J$1000,"&gt;"&amp;J232)+COUNTIFS($EB$2:$EB$1000,"Y",$J$2:$J$1000,J232,$ED$2:$ED$1000,"&lt;"&amp;ED232)+1)</f>
        <v>174</v>
      </c>
      <c r="Z232" s="0" t="n">
        <v>231</v>
      </c>
      <c r="AA232" s="6" t="s">
        <v>162</v>
      </c>
      <c r="AB232" s="6" t="s">
        <v>9592</v>
      </c>
      <c r="AC232" s="6" t="s">
        <v>4588</v>
      </c>
      <c r="AD232" s="6" t="s">
        <v>171</v>
      </c>
      <c r="AE232" s="6" t="s">
        <v>172</v>
      </c>
      <c r="AF232" s="6" t="s">
        <v>9591</v>
      </c>
      <c r="AG232" s="6" t="s">
        <v>166</v>
      </c>
      <c r="AH232" s="6" t="s">
        <v>9593</v>
      </c>
      <c r="AI232" s="6" t="s">
        <v>5926</v>
      </c>
      <c r="AJ232" s="6" t="s">
        <v>9594</v>
      </c>
      <c r="AK232" s="6" t="s">
        <v>9595</v>
      </c>
      <c r="AL232" s="6" t="s">
        <v>168</v>
      </c>
      <c r="AM232" s="6" t="s">
        <v>9596</v>
      </c>
      <c r="AN232" s="6" t="s">
        <v>9586</v>
      </c>
      <c r="AO232" s="5" t="s">
        <v>162</v>
      </c>
      <c r="AR232" s="0" t="str">
        <f aca="false">IF(AND(AU232="pass",AO232&lt;&gt;"Y",C232&lt;&gt;""),"Y","N")</f>
        <v>Y</v>
      </c>
      <c r="AS232" s="0" t="str">
        <f aca="false">_xlfn.TEXTJOIN("; ",TRUE(),IF(AU232&lt;&gt;"pass","gated out",""),IF(AO232="Y","on hold: "&amp;AP232,""),IF(C232="","no contact named on an opened page",""))</f>
        <v/>
      </c>
      <c r="AU232" s="6" t="s">
        <v>181</v>
      </c>
      <c r="AW232" s="6" t="s">
        <v>182</v>
      </c>
      <c r="AX232" s="6" t="s">
        <v>4830</v>
      </c>
      <c r="AY232" s="6" t="s">
        <v>9595</v>
      </c>
      <c r="AZ232" s="6" t="s">
        <v>5659</v>
      </c>
      <c r="BA232" s="6" t="s">
        <v>5331</v>
      </c>
      <c r="BB232" s="6" t="s">
        <v>163</v>
      </c>
      <c r="BD232" s="6" t="s">
        <v>168</v>
      </c>
      <c r="BE232" s="6" t="s">
        <v>9597</v>
      </c>
      <c r="BF232" s="6" t="s">
        <v>162</v>
      </c>
      <c r="BG232" s="6" t="s">
        <v>168</v>
      </c>
      <c r="BH232" s="6" t="s">
        <v>163</v>
      </c>
      <c r="BJ232" s="6" t="s">
        <v>5551</v>
      </c>
      <c r="BK232" s="6" t="s">
        <v>162</v>
      </c>
      <c r="BL232" s="6" t="s">
        <v>162</v>
      </c>
      <c r="BO232" s="6" t="s">
        <v>162</v>
      </c>
      <c r="BP232" s="0" t="n">
        <v>0</v>
      </c>
      <c r="BS232" s="6" t="s">
        <v>9598</v>
      </c>
      <c r="BT232" s="6" t="s">
        <v>9599</v>
      </c>
      <c r="BU232" s="6" t="s">
        <v>158</v>
      </c>
      <c r="BX232" s="6" t="s">
        <v>9600</v>
      </c>
      <c r="CF232" s="6" t="s">
        <v>158</v>
      </c>
      <c r="CK232" s="6" t="s">
        <v>158</v>
      </c>
      <c r="CL232" s="0" t="n">
        <v>23</v>
      </c>
      <c r="CM232" s="0" t="n">
        <v>6</v>
      </c>
      <c r="CN232" s="0" t="n">
        <v>3</v>
      </c>
      <c r="CO232" s="0" t="n">
        <v>0</v>
      </c>
      <c r="CP232" s="0" t="n">
        <v>5</v>
      </c>
      <c r="CQ232" s="0" t="n">
        <v>7</v>
      </c>
      <c r="CR232" s="0" t="n">
        <v>6</v>
      </c>
      <c r="CS232" s="6" t="n">
        <f aca="false">IF(R232="Y",10,0)</f>
        <v>0</v>
      </c>
      <c r="CT232" s="0" t="n">
        <v>-4</v>
      </c>
      <c r="CU232" s="6" t="s">
        <v>9601</v>
      </c>
      <c r="CV232" s="6" t="s">
        <v>5564</v>
      </c>
      <c r="CW232" s="6" t="s">
        <v>9602</v>
      </c>
      <c r="CX232" s="6" t="s">
        <v>9603</v>
      </c>
      <c r="CY232" s="6" t="s">
        <v>9604</v>
      </c>
      <c r="DA232" s="6" t="s">
        <v>6236</v>
      </c>
      <c r="DY232" s="0" t="str">
        <f aca="false">IF(ISNUMBER(MATCH(U232,{"queued","contacted","replied","call_booked","call_done","yes_in_principle","materials_sent"},0)),"Y","N")</f>
        <v>N</v>
      </c>
      <c r="DZ232" s="0" t="str">
        <f aca="false">IF(COUNTIFS($AN$2:$AN$1000,AN232,$DY$2:$DY$1000,"Y")+COUNTIFS($AN$2:$AN$1000,AN232,$T$2:$T$1000,"Y")&gt;0,"Y","N")</f>
        <v>N</v>
      </c>
      <c r="EA232" s="0" t="str">
        <f aca="false">IF(AND(U232="new",T232="N",AR232="Y",AQ232="",DZ232="N"),"Y","N")</f>
        <v>Y</v>
      </c>
      <c r="EB232" s="0" t="str">
        <f aca="false">IF(EA232&lt;&gt;"Y","N",IF(COUNTIFS($AN$2:$AN$1000,AN232,$EA$2:$EA$1000,"Y",$J$2:$J$1000,"&gt;"&amp;J232)+COUNTIFS($AN$2:$AN$1000,AN232,$EA$2:$EA$1000,"Y",$J$2:$J$1000,J232,$ED$2:$ED$1000,"&lt;"&amp;ED232)=0,"Y","N"))</f>
        <v>Y</v>
      </c>
      <c r="EC232" s="0" t="str">
        <f aca="false">IF(Y232="","N",IF(Y232&lt;=10,"Y","N"))</f>
        <v>N</v>
      </c>
      <c r="ED232" s="6" t="n">
        <f aca="false">ROW()-1</f>
        <v>231</v>
      </c>
    </row>
    <row r="233" customFormat="false" ht="15" hidden="false" customHeight="false" outlineLevel="0" collapsed="false">
      <c r="A233" s="0" t="s">
        <v>9605</v>
      </c>
      <c r="B233" s="0" t="s">
        <v>9606</v>
      </c>
      <c r="C233" s="0" t="s">
        <v>9607</v>
      </c>
      <c r="D233" s="0" t="s">
        <v>8429</v>
      </c>
      <c r="E233" s="0" t="s">
        <v>4626</v>
      </c>
      <c r="H233" s="5" t="s">
        <v>158</v>
      </c>
      <c r="I233" s="5" t="s">
        <v>159</v>
      </c>
      <c r="J233" s="6" t="n">
        <f aca="false">IF(AU233="pass",CM233+CN233+CO233+CP233+CQ233+CR233+CS233+CT233,0)</f>
        <v>22</v>
      </c>
      <c r="K233" s="6" t="s">
        <v>9608</v>
      </c>
      <c r="M233" s="6" t="s">
        <v>4581</v>
      </c>
      <c r="N233" s="6" t="s">
        <v>598</v>
      </c>
      <c r="O233" s="6" t="s">
        <v>9609</v>
      </c>
      <c r="P233" s="6" t="s">
        <v>9610</v>
      </c>
      <c r="Q233" s="6" t="s">
        <v>7155</v>
      </c>
      <c r="R233" s="5" t="s">
        <v>162</v>
      </c>
      <c r="S233" s="6" t="s">
        <v>163</v>
      </c>
      <c r="T233" s="5" t="s">
        <v>162</v>
      </c>
      <c r="U233" s="5" t="s">
        <v>228</v>
      </c>
      <c r="V233" s="6" t="s">
        <v>9611</v>
      </c>
      <c r="W233" s="6" t="s">
        <v>166</v>
      </c>
      <c r="X233" s="6" t="s">
        <v>4586</v>
      </c>
      <c r="Y233" s="6" t="n">
        <f aca="false">IF(EB233&lt;&gt;"Y","",COUNTIFS($EB$2:$EB$1000,"Y",$J$2:$J$1000,"&gt;"&amp;J233)+COUNTIFS($EB$2:$EB$1000,"Y",$J$2:$J$1000,J233,$ED$2:$ED$1000,"&lt;"&amp;ED233)+1)</f>
        <v>175</v>
      </c>
      <c r="Z233" s="0" t="n">
        <v>232</v>
      </c>
      <c r="AA233" s="6" t="s">
        <v>162</v>
      </c>
      <c r="AB233" s="6" t="s">
        <v>9612</v>
      </c>
      <c r="AC233" s="6" t="s">
        <v>4588</v>
      </c>
      <c r="AD233" s="6" t="s">
        <v>171</v>
      </c>
      <c r="AE233" s="6" t="s">
        <v>172</v>
      </c>
      <c r="AF233" s="6" t="s">
        <v>9613</v>
      </c>
      <c r="AG233" s="6" t="s">
        <v>166</v>
      </c>
      <c r="AH233" s="6" t="s">
        <v>9614</v>
      </c>
      <c r="AI233" s="6" t="s">
        <v>5030</v>
      </c>
      <c r="AJ233" s="6" t="s">
        <v>9615</v>
      </c>
      <c r="AK233" s="6" t="s">
        <v>9616</v>
      </c>
      <c r="AL233" s="6" t="s">
        <v>168</v>
      </c>
      <c r="AM233" s="6" t="s">
        <v>9617</v>
      </c>
      <c r="AN233" s="6" t="s">
        <v>9605</v>
      </c>
      <c r="AO233" s="5" t="s">
        <v>162</v>
      </c>
      <c r="AR233" s="0" t="str">
        <f aca="false">IF(AND(AU233="pass",AO233&lt;&gt;"Y",C233&lt;&gt;""),"Y","N")</f>
        <v>Y</v>
      </c>
      <c r="AS233" s="0" t="str">
        <f aca="false">_xlfn.TEXTJOIN("; ",TRUE(),IF(AU233&lt;&gt;"pass","gated out",""),IF(AO233="Y","on hold: "&amp;AP233,""),IF(C233="","no contact named on an opened page",""))</f>
        <v/>
      </c>
      <c r="AU233" s="6" t="s">
        <v>181</v>
      </c>
      <c r="AW233" s="6" t="s">
        <v>182</v>
      </c>
      <c r="AX233" s="6" t="s">
        <v>7616</v>
      </c>
      <c r="AY233" s="6" t="s">
        <v>9616</v>
      </c>
      <c r="AZ233" s="6" t="s">
        <v>6691</v>
      </c>
      <c r="BA233" s="6" t="s">
        <v>5193</v>
      </c>
      <c r="BB233" s="6" t="s">
        <v>9618</v>
      </c>
      <c r="BC233" s="6" t="s">
        <v>9619</v>
      </c>
      <c r="BD233" s="6" t="s">
        <v>168</v>
      </c>
      <c r="BE233" s="6" t="s">
        <v>9620</v>
      </c>
      <c r="BF233" s="6" t="s">
        <v>168</v>
      </c>
      <c r="BG233" s="6" t="s">
        <v>168</v>
      </c>
      <c r="BH233" s="6" t="s">
        <v>163</v>
      </c>
      <c r="BJ233" s="6" t="s">
        <v>9621</v>
      </c>
      <c r="BK233" s="6" t="s">
        <v>162</v>
      </c>
      <c r="BL233" s="6" t="s">
        <v>162</v>
      </c>
      <c r="BN233" s="0" t="n">
        <v>0</v>
      </c>
      <c r="BO233" s="6" t="s">
        <v>168</v>
      </c>
      <c r="BP233" s="0" t="n">
        <v>0</v>
      </c>
      <c r="BQ233" s="6" t="s">
        <v>9622</v>
      </c>
      <c r="BR233" s="6" t="s">
        <v>9623</v>
      </c>
      <c r="BS233" s="6" t="s">
        <v>9624</v>
      </c>
      <c r="BT233" s="6" t="s">
        <v>9625</v>
      </c>
      <c r="BU233" s="6" t="s">
        <v>4695</v>
      </c>
      <c r="BV233" s="0" t="n">
        <v>115</v>
      </c>
      <c r="BX233" s="6" t="s">
        <v>9626</v>
      </c>
      <c r="BY233" s="6" t="s">
        <v>9627</v>
      </c>
      <c r="CA233" s="6" t="s">
        <v>9628</v>
      </c>
      <c r="CB233" s="6" t="s">
        <v>9629</v>
      </c>
      <c r="CC233" s="6" t="s">
        <v>9630</v>
      </c>
      <c r="CD233" s="6" t="s">
        <v>9631</v>
      </c>
      <c r="CE233" s="6" t="s">
        <v>6262</v>
      </c>
      <c r="CF233" s="6" t="s">
        <v>171</v>
      </c>
      <c r="CK233" s="6" t="s">
        <v>158</v>
      </c>
      <c r="CL233" s="0" t="n">
        <v>22</v>
      </c>
      <c r="CM233" s="0" t="n">
        <v>6</v>
      </c>
      <c r="CN233" s="0" t="n">
        <v>8</v>
      </c>
      <c r="CO233" s="0" t="n">
        <v>8</v>
      </c>
      <c r="CP233" s="0" t="n">
        <v>5</v>
      </c>
      <c r="CQ233" s="0" t="n">
        <v>10</v>
      </c>
      <c r="CR233" s="0" t="n">
        <v>10</v>
      </c>
      <c r="CS233" s="6" t="n">
        <f aca="false">IF(R233="Y",10,0)</f>
        <v>0</v>
      </c>
      <c r="CT233" s="0" t="n">
        <v>-25</v>
      </c>
      <c r="CV233" s="6" t="s">
        <v>4616</v>
      </c>
      <c r="CW233" s="6" t="s">
        <v>9632</v>
      </c>
      <c r="CX233" s="6" t="s">
        <v>9633</v>
      </c>
      <c r="CY233" s="6" t="s">
        <v>9634</v>
      </c>
      <c r="CZ233" s="6" t="s">
        <v>9619</v>
      </c>
      <c r="DA233" s="6" t="s">
        <v>6236</v>
      </c>
      <c r="DC233" s="6" t="s">
        <v>1190</v>
      </c>
      <c r="DY233" s="0" t="str">
        <f aca="false">IF(ISNUMBER(MATCH(U233,{"queued","contacted","replied","call_booked","call_done","yes_in_principle","materials_sent"},0)),"Y","N")</f>
        <v>N</v>
      </c>
      <c r="DZ233" s="0" t="str">
        <f aca="false">IF(COUNTIFS($AN$2:$AN$1000,AN233,$DY$2:$DY$1000,"Y")+COUNTIFS($AN$2:$AN$1000,AN233,$T$2:$T$1000,"Y")&gt;0,"Y","N")</f>
        <v>N</v>
      </c>
      <c r="EA233" s="0" t="str">
        <f aca="false">IF(AND(U233="new",T233="N",AR233="Y",AQ233="",DZ233="N"),"Y","N")</f>
        <v>Y</v>
      </c>
      <c r="EB233" s="0" t="str">
        <f aca="false">IF(EA233&lt;&gt;"Y","N",IF(COUNTIFS($AN$2:$AN$1000,AN233,$EA$2:$EA$1000,"Y",$J$2:$J$1000,"&gt;"&amp;J233)+COUNTIFS($AN$2:$AN$1000,AN233,$EA$2:$EA$1000,"Y",$J$2:$J$1000,J233,$ED$2:$ED$1000,"&lt;"&amp;ED233)=0,"Y","N"))</f>
        <v>Y</v>
      </c>
      <c r="EC233" s="0" t="str">
        <f aca="false">IF(Y233="","N",IF(Y233&lt;=10,"Y","N"))</f>
        <v>N</v>
      </c>
      <c r="ED233" s="6" t="n">
        <f aca="false">ROW()-1</f>
        <v>232</v>
      </c>
    </row>
    <row r="234" customFormat="false" ht="15" hidden="false" customHeight="false" outlineLevel="0" collapsed="false">
      <c r="A234" s="0" t="s">
        <v>9635</v>
      </c>
      <c r="B234" s="0" t="s">
        <v>9636</v>
      </c>
      <c r="H234" s="5" t="s">
        <v>158</v>
      </c>
      <c r="I234" s="5"/>
      <c r="J234" s="6" t="n">
        <f aca="false">IF(AU234="pass",CM234+CN234+CO234+CP234+CQ234+CR234+CS234+CT234,0)</f>
        <v>20</v>
      </c>
      <c r="K234" s="6" t="s">
        <v>9637</v>
      </c>
      <c r="M234" s="6" t="s">
        <v>5293</v>
      </c>
      <c r="N234" s="6" t="s">
        <v>598</v>
      </c>
      <c r="O234" s="6" t="s">
        <v>9638</v>
      </c>
      <c r="P234" s="6" t="s">
        <v>9639</v>
      </c>
      <c r="Q234" s="6" t="s">
        <v>1536</v>
      </c>
      <c r="R234" s="5" t="s">
        <v>162</v>
      </c>
      <c r="S234" s="6" t="s">
        <v>163</v>
      </c>
      <c r="T234" s="5" t="s">
        <v>162</v>
      </c>
      <c r="U234" s="5" t="s">
        <v>228</v>
      </c>
      <c r="V234" s="6" t="s">
        <v>9640</v>
      </c>
      <c r="W234" s="6" t="s">
        <v>166</v>
      </c>
      <c r="X234" s="6" t="s">
        <v>4586</v>
      </c>
      <c r="Y234" s="0" t="str">
        <f aca="false">IF(EB234&lt;&gt;"Y","",COUNTIFS($EB$2:$EB$1000,"Y",$J$2:$J$1000,"&gt;"&amp;J234)+COUNTIFS($EB$2:$EB$1000,"Y",$J$2:$J$1000,J234,$ED$2:$ED$1000,"&lt;"&amp;ED234)+1)</f>
        <v/>
      </c>
      <c r="Z234" s="0" t="n">
        <v>233</v>
      </c>
      <c r="AA234" s="6" t="s">
        <v>162</v>
      </c>
      <c r="AB234" s="6" t="s">
        <v>9641</v>
      </c>
      <c r="AD234" s="6" t="s">
        <v>158</v>
      </c>
      <c r="AH234" s="6" t="s">
        <v>9642</v>
      </c>
      <c r="AI234" s="6" t="s">
        <v>4591</v>
      </c>
      <c r="AJ234" s="6" t="s">
        <v>9643</v>
      </c>
      <c r="AK234" s="6" t="s">
        <v>9640</v>
      </c>
      <c r="AL234" s="6" t="s">
        <v>168</v>
      </c>
      <c r="AM234" s="6" t="s">
        <v>9644</v>
      </c>
      <c r="AN234" s="6" t="s">
        <v>9635</v>
      </c>
      <c r="AO234" s="5" t="s">
        <v>162</v>
      </c>
      <c r="AR234" s="0" t="str">
        <f aca="false">IF(AND(AU234="pass",AO234&lt;&gt;"Y",C234&lt;&gt;""),"Y","N")</f>
        <v>N</v>
      </c>
      <c r="AS234" s="0" t="str">
        <f aca="false">_xlfn.TEXTJOIN("; ",TRUE(),IF(AU234&lt;&gt;"pass","gated out",""),IF(AO234="Y","on hold: "&amp;AP234,""),IF(C234="","no contact named on an opened page",""))</f>
        <v>no contact named on an opened page</v>
      </c>
      <c r="AU234" s="6" t="s">
        <v>181</v>
      </c>
      <c r="AW234" s="6" t="s">
        <v>182</v>
      </c>
      <c r="AX234" s="6" t="s">
        <v>6033</v>
      </c>
      <c r="AY234" s="6" t="s">
        <v>9640</v>
      </c>
      <c r="AZ234" s="6" t="s">
        <v>6478</v>
      </c>
      <c r="BA234" s="6" t="s">
        <v>5193</v>
      </c>
      <c r="BB234" s="6" t="s">
        <v>9645</v>
      </c>
      <c r="BD234" s="6" t="s">
        <v>163</v>
      </c>
      <c r="BE234" s="6" t="s">
        <v>5929</v>
      </c>
      <c r="BF234" s="6" t="s">
        <v>168</v>
      </c>
      <c r="BG234" s="6" t="s">
        <v>168</v>
      </c>
      <c r="BH234" s="6" t="s">
        <v>163</v>
      </c>
      <c r="BJ234" s="6" t="s">
        <v>5551</v>
      </c>
      <c r="BK234" s="6" t="s">
        <v>162</v>
      </c>
      <c r="BL234" s="6" t="s">
        <v>162</v>
      </c>
      <c r="BO234" s="6" t="s">
        <v>162</v>
      </c>
      <c r="BP234" s="0" t="n">
        <v>0</v>
      </c>
      <c r="BS234" s="6" t="s">
        <v>163</v>
      </c>
      <c r="BU234" s="6" t="s">
        <v>4695</v>
      </c>
      <c r="BV234" s="0" t="n">
        <v>193</v>
      </c>
      <c r="CF234" s="6" t="s">
        <v>158</v>
      </c>
      <c r="CK234" s="6" t="s">
        <v>158</v>
      </c>
      <c r="CL234" s="0" t="n">
        <v>20</v>
      </c>
      <c r="CM234" s="0" t="n">
        <v>6</v>
      </c>
      <c r="CN234" s="0" t="n">
        <v>8</v>
      </c>
      <c r="CO234" s="0" t="n">
        <v>4</v>
      </c>
      <c r="CP234" s="0" t="n">
        <v>5</v>
      </c>
      <c r="CQ234" s="0" t="n">
        <v>7</v>
      </c>
      <c r="CR234" s="0" t="n">
        <v>0</v>
      </c>
      <c r="CS234" s="6" t="n">
        <f aca="false">IF(R234="Y",10,0)</f>
        <v>0</v>
      </c>
      <c r="CT234" s="0" t="n">
        <v>-10</v>
      </c>
      <c r="CU234" s="6" t="s">
        <v>9646</v>
      </c>
      <c r="CV234" s="6" t="s">
        <v>5564</v>
      </c>
      <c r="CW234" s="6" t="s">
        <v>9647</v>
      </c>
      <c r="CX234" s="6" t="s">
        <v>9648</v>
      </c>
      <c r="CY234" s="6" t="s">
        <v>9649</v>
      </c>
      <c r="DA234" s="6" t="s">
        <v>6236</v>
      </c>
      <c r="DY234" s="0" t="str">
        <f aca="false">IF(ISNUMBER(MATCH(U234,{"queued","contacted","replied","call_booked","call_done","yes_in_principle","materials_sent"},0)),"Y","N")</f>
        <v>N</v>
      </c>
      <c r="DZ234" s="0" t="str">
        <f aca="false">IF(COUNTIFS($AN$2:$AN$1000,AN234,$DY$2:$DY$1000,"Y")+COUNTIFS($AN$2:$AN$1000,AN234,$T$2:$T$1000,"Y")&gt;0,"Y","N")</f>
        <v>N</v>
      </c>
      <c r="EA234" s="0" t="str">
        <f aca="false">IF(AND(U234="new",T234="N",AR234="Y",AQ234="",DZ234="N"),"Y","N")</f>
        <v>N</v>
      </c>
      <c r="EB234" s="0" t="str">
        <f aca="false">IF(EA234&lt;&gt;"Y","N",IF(COUNTIFS($AN$2:$AN$1000,AN234,$EA$2:$EA$1000,"Y",$J$2:$J$1000,"&gt;"&amp;J234)+COUNTIFS($AN$2:$AN$1000,AN234,$EA$2:$EA$1000,"Y",$J$2:$J$1000,J234,$ED$2:$ED$1000,"&lt;"&amp;ED234)=0,"Y","N"))</f>
        <v>N</v>
      </c>
      <c r="EC234" s="0" t="str">
        <f aca="false">IF(Y234="","N",IF(Y234&lt;=10,"Y","N"))</f>
        <v>N</v>
      </c>
      <c r="ED234" s="6" t="n">
        <f aca="false">ROW()-1</f>
        <v>233</v>
      </c>
    </row>
    <row r="235" customFormat="false" ht="15" hidden="false" customHeight="false" outlineLevel="0" collapsed="false">
      <c r="A235" s="0" t="s">
        <v>9650</v>
      </c>
      <c r="B235" s="0" t="s">
        <v>9651</v>
      </c>
      <c r="C235" s="0" t="s">
        <v>9238</v>
      </c>
      <c r="D235" s="0" t="s">
        <v>9652</v>
      </c>
      <c r="E235" s="0" t="s">
        <v>9653</v>
      </c>
      <c r="H235" s="5" t="s">
        <v>158</v>
      </c>
      <c r="I235" s="5" t="s">
        <v>159</v>
      </c>
      <c r="J235" s="6" t="n">
        <f aca="false">IF(AU235="pass",CM235+CN235+CO235+CP235+CQ235+CR235+CS235+CT235,0)</f>
        <v>20</v>
      </c>
      <c r="K235" s="6" t="s">
        <v>9654</v>
      </c>
      <c r="M235" s="6" t="s">
        <v>5293</v>
      </c>
      <c r="N235" s="6" t="s">
        <v>598</v>
      </c>
      <c r="O235" s="6" t="s">
        <v>9655</v>
      </c>
      <c r="P235" s="6" t="s">
        <v>9656</v>
      </c>
      <c r="R235" s="5" t="s">
        <v>162</v>
      </c>
      <c r="S235" s="6" t="s">
        <v>163</v>
      </c>
      <c r="T235" s="5" t="s">
        <v>162</v>
      </c>
      <c r="U235" s="5" t="s">
        <v>228</v>
      </c>
      <c r="V235" s="6" t="s">
        <v>9657</v>
      </c>
      <c r="W235" s="6" t="s">
        <v>166</v>
      </c>
      <c r="X235" s="6" t="s">
        <v>4586</v>
      </c>
      <c r="Y235" s="6" t="n">
        <f aca="false">IF(EB235&lt;&gt;"Y","",COUNTIFS($EB$2:$EB$1000,"Y",$J$2:$J$1000,"&gt;"&amp;J235)+COUNTIFS($EB$2:$EB$1000,"Y",$J$2:$J$1000,J235,$ED$2:$ED$1000,"&lt;"&amp;ED235)+1)</f>
        <v>176</v>
      </c>
      <c r="Z235" s="0" t="n">
        <v>234</v>
      </c>
      <c r="AA235" s="6" t="s">
        <v>162</v>
      </c>
      <c r="AB235" s="6" t="s">
        <v>9658</v>
      </c>
      <c r="AC235" s="6" t="s">
        <v>6262</v>
      </c>
      <c r="AD235" s="6" t="s">
        <v>171</v>
      </c>
      <c r="AE235" s="6" t="s">
        <v>1190</v>
      </c>
      <c r="AF235" s="6" t="s">
        <v>9659</v>
      </c>
      <c r="AG235" s="6" t="s">
        <v>166</v>
      </c>
      <c r="AH235" s="6" t="s">
        <v>9660</v>
      </c>
      <c r="AI235" s="6" t="s">
        <v>5765</v>
      </c>
      <c r="AJ235" s="6" t="s">
        <v>163</v>
      </c>
      <c r="AK235" s="6" t="s">
        <v>9661</v>
      </c>
      <c r="AL235" s="6" t="s">
        <v>168</v>
      </c>
      <c r="AM235" s="6" t="s">
        <v>9662</v>
      </c>
      <c r="AN235" s="6" t="s">
        <v>9650</v>
      </c>
      <c r="AO235" s="5" t="s">
        <v>162</v>
      </c>
      <c r="AR235" s="0" t="str">
        <f aca="false">IF(AND(AU235="pass",AO235&lt;&gt;"Y",C235&lt;&gt;""),"Y","N")</f>
        <v>Y</v>
      </c>
      <c r="AS235" s="0" t="str">
        <f aca="false">_xlfn.TEXTJOIN("; ",TRUE(),IF(AU235&lt;&gt;"pass","gated out",""),IF(AO235="Y","on hold: "&amp;AP235,""),IF(C235="","no contact named on an opened page",""))</f>
        <v/>
      </c>
      <c r="AU235" s="6" t="s">
        <v>181</v>
      </c>
      <c r="AW235" s="6" t="s">
        <v>182</v>
      </c>
      <c r="AX235" s="6" t="s">
        <v>5223</v>
      </c>
      <c r="AY235" s="6" t="s">
        <v>9661</v>
      </c>
      <c r="AZ235" s="6" t="s">
        <v>163</v>
      </c>
      <c r="BA235" s="6" t="s">
        <v>163</v>
      </c>
      <c r="BB235" s="6" t="s">
        <v>163</v>
      </c>
      <c r="BD235" s="6" t="s">
        <v>163</v>
      </c>
      <c r="BE235" s="6" t="s">
        <v>8634</v>
      </c>
      <c r="BF235" s="6" t="s">
        <v>168</v>
      </c>
      <c r="BG235" s="6" t="s">
        <v>168</v>
      </c>
      <c r="BH235" s="6" t="s">
        <v>163</v>
      </c>
      <c r="BJ235" s="6" t="s">
        <v>5551</v>
      </c>
      <c r="BK235" s="6" t="s">
        <v>168</v>
      </c>
      <c r="BL235" s="6" t="s">
        <v>162</v>
      </c>
      <c r="BO235" s="6" t="s">
        <v>162</v>
      </c>
      <c r="BP235" s="0" t="n">
        <v>0</v>
      </c>
      <c r="BS235" s="6" t="s">
        <v>8245</v>
      </c>
      <c r="BU235" s="6" t="s">
        <v>158</v>
      </c>
      <c r="BX235" s="6" t="s">
        <v>9663</v>
      </c>
      <c r="CF235" s="6" t="s">
        <v>158</v>
      </c>
      <c r="CK235" s="6" t="s">
        <v>158</v>
      </c>
      <c r="CL235" s="0" t="n">
        <v>20</v>
      </c>
      <c r="CM235" s="0" t="n">
        <v>6</v>
      </c>
      <c r="CN235" s="0" t="n">
        <v>4</v>
      </c>
      <c r="CO235" s="0" t="n">
        <v>0</v>
      </c>
      <c r="CP235" s="0" t="n">
        <v>5</v>
      </c>
      <c r="CQ235" s="0" t="n">
        <v>7</v>
      </c>
      <c r="CR235" s="0" t="n">
        <v>10</v>
      </c>
      <c r="CS235" s="6" t="n">
        <f aca="false">IF(R235="Y",10,0)</f>
        <v>0</v>
      </c>
      <c r="CT235" s="0" t="n">
        <v>-12</v>
      </c>
      <c r="CU235" s="6" t="s">
        <v>9664</v>
      </c>
      <c r="CV235" s="6" t="s">
        <v>5564</v>
      </c>
      <c r="CW235" s="6" t="s">
        <v>9665</v>
      </c>
      <c r="CX235" s="6" t="s">
        <v>9666</v>
      </c>
      <c r="CY235" s="6" t="s">
        <v>9667</v>
      </c>
      <c r="DA235" s="6" t="s">
        <v>6236</v>
      </c>
      <c r="DY235" s="0" t="str">
        <f aca="false">IF(ISNUMBER(MATCH(U235,{"queued","contacted","replied","call_booked","call_done","yes_in_principle","materials_sent"},0)),"Y","N")</f>
        <v>N</v>
      </c>
      <c r="DZ235" s="0" t="str">
        <f aca="false">IF(COUNTIFS($AN$2:$AN$1000,AN235,$DY$2:$DY$1000,"Y")+COUNTIFS($AN$2:$AN$1000,AN235,$T$2:$T$1000,"Y")&gt;0,"Y","N")</f>
        <v>N</v>
      </c>
      <c r="EA235" s="0" t="str">
        <f aca="false">IF(AND(U235="new",T235="N",AR235="Y",AQ235="",DZ235="N"),"Y","N")</f>
        <v>Y</v>
      </c>
      <c r="EB235" s="0" t="str">
        <f aca="false">IF(EA235&lt;&gt;"Y","N",IF(COUNTIFS($AN$2:$AN$1000,AN235,$EA$2:$EA$1000,"Y",$J$2:$J$1000,"&gt;"&amp;J235)+COUNTIFS($AN$2:$AN$1000,AN235,$EA$2:$EA$1000,"Y",$J$2:$J$1000,J235,$ED$2:$ED$1000,"&lt;"&amp;ED235)=0,"Y","N"))</f>
        <v>Y</v>
      </c>
      <c r="EC235" s="0" t="str">
        <f aca="false">IF(Y235="","N",IF(Y235&lt;=10,"Y","N"))</f>
        <v>N</v>
      </c>
      <c r="ED235" s="6" t="n">
        <f aca="false">ROW()-1</f>
        <v>234</v>
      </c>
    </row>
    <row r="236" customFormat="false" ht="15" hidden="false" customHeight="false" outlineLevel="0" collapsed="false">
      <c r="A236" s="0" t="s">
        <v>9668</v>
      </c>
      <c r="B236" s="0" t="s">
        <v>9669</v>
      </c>
      <c r="H236" s="5" t="s">
        <v>158</v>
      </c>
      <c r="I236" s="5"/>
      <c r="J236" s="6" t="n">
        <f aca="false">IF(AU236="pass",CM236+CN236+CO236+CP236+CQ236+CR236+CS236+CT236,0)</f>
        <v>20</v>
      </c>
      <c r="K236" s="6" t="s">
        <v>9670</v>
      </c>
      <c r="M236" s="6" t="s">
        <v>5293</v>
      </c>
      <c r="N236" s="6" t="s">
        <v>598</v>
      </c>
      <c r="R236" s="5" t="s">
        <v>162</v>
      </c>
      <c r="S236" s="6" t="s">
        <v>163</v>
      </c>
      <c r="T236" s="5" t="s">
        <v>162</v>
      </c>
      <c r="U236" s="5" t="s">
        <v>228</v>
      </c>
      <c r="V236" s="6" t="s">
        <v>9671</v>
      </c>
      <c r="W236" s="6" t="s">
        <v>166</v>
      </c>
      <c r="X236" s="6" t="s">
        <v>4586</v>
      </c>
      <c r="Y236" s="0" t="str">
        <f aca="false">IF(EB236&lt;&gt;"Y","",COUNTIFS($EB$2:$EB$1000,"Y",$J$2:$J$1000,"&gt;"&amp;J236)+COUNTIFS($EB$2:$EB$1000,"Y",$J$2:$J$1000,J236,$ED$2:$ED$1000,"&lt;"&amp;ED236)+1)</f>
        <v/>
      </c>
      <c r="Z236" s="0" t="n">
        <v>235</v>
      </c>
      <c r="AA236" s="6" t="s">
        <v>162</v>
      </c>
      <c r="AB236" s="6" t="s">
        <v>6317</v>
      </c>
      <c r="AD236" s="6" t="s">
        <v>158</v>
      </c>
      <c r="AH236" s="6" t="s">
        <v>9672</v>
      </c>
      <c r="AI236" s="6" t="s">
        <v>5081</v>
      </c>
      <c r="AJ236" s="6" t="s">
        <v>5356</v>
      </c>
      <c r="AK236" s="6" t="s">
        <v>9673</v>
      </c>
      <c r="AL236" s="6" t="s">
        <v>168</v>
      </c>
      <c r="AM236" s="6" t="s">
        <v>9674</v>
      </c>
      <c r="AN236" s="6" t="s">
        <v>9668</v>
      </c>
      <c r="AO236" s="5" t="s">
        <v>162</v>
      </c>
      <c r="AR236" s="0" t="str">
        <f aca="false">IF(AND(AU236="pass",AO236&lt;&gt;"Y",C236&lt;&gt;""),"Y","N")</f>
        <v>N</v>
      </c>
      <c r="AS236" s="0" t="str">
        <f aca="false">_xlfn.TEXTJOIN("; ",TRUE(),IF(AU236&lt;&gt;"pass","gated out",""),IF(AO236="Y","on hold: "&amp;AP236,""),IF(C236="","no contact named on an opened page",""))</f>
        <v>no contact named on an opened page</v>
      </c>
      <c r="AU236" s="6" t="s">
        <v>181</v>
      </c>
      <c r="AW236" s="6" t="s">
        <v>182</v>
      </c>
      <c r="AX236" s="6" t="s">
        <v>283</v>
      </c>
      <c r="AY236" s="6" t="s">
        <v>9675</v>
      </c>
      <c r="AZ236" s="6" t="s">
        <v>5358</v>
      </c>
      <c r="BA236" s="6" t="s">
        <v>5331</v>
      </c>
      <c r="BB236" s="6" t="s">
        <v>163</v>
      </c>
      <c r="BD236" s="6" t="s">
        <v>264</v>
      </c>
      <c r="BE236" s="6" t="s">
        <v>9676</v>
      </c>
      <c r="BF236" s="6" t="s">
        <v>168</v>
      </c>
      <c r="BG236" s="6" t="s">
        <v>168</v>
      </c>
      <c r="BH236" s="6" t="s">
        <v>163</v>
      </c>
      <c r="BJ236" s="6" t="s">
        <v>163</v>
      </c>
      <c r="BK236" s="6" t="s">
        <v>162</v>
      </c>
      <c r="BL236" s="6" t="s">
        <v>162</v>
      </c>
      <c r="BO236" s="6" t="s">
        <v>162</v>
      </c>
      <c r="BP236" s="0" t="n">
        <v>0</v>
      </c>
      <c r="BS236" s="6" t="s">
        <v>9677</v>
      </c>
      <c r="BT236" s="6" t="s">
        <v>9678</v>
      </c>
      <c r="BU236" s="6" t="s">
        <v>158</v>
      </c>
      <c r="CF236" s="6" t="s">
        <v>158</v>
      </c>
      <c r="CK236" s="6" t="s">
        <v>158</v>
      </c>
      <c r="CL236" s="0" t="n">
        <v>20</v>
      </c>
      <c r="CM236" s="0" t="n">
        <v>6</v>
      </c>
      <c r="CN236" s="0" t="n">
        <v>3</v>
      </c>
      <c r="CO236" s="0" t="n">
        <v>0</v>
      </c>
      <c r="CP236" s="0" t="n">
        <v>5</v>
      </c>
      <c r="CQ236" s="0" t="n">
        <v>8</v>
      </c>
      <c r="CR236" s="0" t="n">
        <v>0</v>
      </c>
      <c r="CS236" s="6" t="n">
        <f aca="false">IF(R236="Y",10,0)</f>
        <v>0</v>
      </c>
      <c r="CT236" s="0" t="n">
        <v>-2</v>
      </c>
      <c r="CU236" s="6" t="s">
        <v>9679</v>
      </c>
      <c r="CV236" s="6" t="s">
        <v>4704</v>
      </c>
      <c r="CW236" s="6" t="s">
        <v>9680</v>
      </c>
      <c r="CX236" s="6" t="s">
        <v>9681</v>
      </c>
      <c r="CY236" s="6" t="s">
        <v>9682</v>
      </c>
      <c r="DA236" s="6" t="s">
        <v>6236</v>
      </c>
      <c r="DY236" s="0" t="str">
        <f aca="false">IF(ISNUMBER(MATCH(U236,{"queued","contacted","replied","call_booked","call_done","yes_in_principle","materials_sent"},0)),"Y","N")</f>
        <v>N</v>
      </c>
      <c r="DZ236" s="0" t="str">
        <f aca="false">IF(COUNTIFS($AN$2:$AN$1000,AN236,$DY$2:$DY$1000,"Y")+COUNTIFS($AN$2:$AN$1000,AN236,$T$2:$T$1000,"Y")&gt;0,"Y","N")</f>
        <v>N</v>
      </c>
      <c r="EA236" s="0" t="str">
        <f aca="false">IF(AND(U236="new",T236="N",AR236="Y",AQ236="",DZ236="N"),"Y","N")</f>
        <v>N</v>
      </c>
      <c r="EB236" s="0" t="str">
        <f aca="false">IF(EA236&lt;&gt;"Y","N",IF(COUNTIFS($AN$2:$AN$1000,AN236,$EA$2:$EA$1000,"Y",$J$2:$J$1000,"&gt;"&amp;J236)+COUNTIFS($AN$2:$AN$1000,AN236,$EA$2:$EA$1000,"Y",$J$2:$J$1000,J236,$ED$2:$ED$1000,"&lt;"&amp;ED236)=0,"Y","N"))</f>
        <v>N</v>
      </c>
      <c r="EC236" s="0" t="str">
        <f aca="false">IF(Y236="","N",IF(Y236&lt;=10,"Y","N"))</f>
        <v>N</v>
      </c>
      <c r="ED236" s="6" t="n">
        <f aca="false">ROW()-1</f>
        <v>235</v>
      </c>
    </row>
    <row r="237" customFormat="false" ht="15" hidden="false" customHeight="false" outlineLevel="0" collapsed="false">
      <c r="A237" s="0" t="s">
        <v>9683</v>
      </c>
      <c r="B237" s="0" t="s">
        <v>9684</v>
      </c>
      <c r="H237" s="5" t="s">
        <v>158</v>
      </c>
      <c r="I237" s="5"/>
      <c r="J237" s="6" t="n">
        <f aca="false">IF(AU237="pass",CM237+CN237+CO237+CP237+CQ237+CR237+CS237+CT237,0)</f>
        <v>17</v>
      </c>
      <c r="K237" s="6" t="s">
        <v>9685</v>
      </c>
      <c r="M237" s="6" t="s">
        <v>4628</v>
      </c>
      <c r="N237" s="6" t="s">
        <v>4582</v>
      </c>
      <c r="R237" s="5" t="s">
        <v>162</v>
      </c>
      <c r="S237" s="6" t="s">
        <v>163</v>
      </c>
      <c r="T237" s="5" t="s">
        <v>162</v>
      </c>
      <c r="U237" s="5" t="s">
        <v>228</v>
      </c>
      <c r="V237" s="6" t="s">
        <v>9686</v>
      </c>
      <c r="W237" s="6" t="s">
        <v>166</v>
      </c>
      <c r="X237" s="6" t="s">
        <v>4586</v>
      </c>
      <c r="Y237" s="0" t="str">
        <f aca="false">IF(EB237&lt;&gt;"Y","",COUNTIFS($EB$2:$EB$1000,"Y",$J$2:$J$1000,"&gt;"&amp;J237)+COUNTIFS($EB$2:$EB$1000,"Y",$J$2:$J$1000,J237,$ED$2:$ED$1000,"&lt;"&amp;ED237)+1)</f>
        <v/>
      </c>
      <c r="Z237" s="0" t="n">
        <v>236</v>
      </c>
      <c r="AA237" s="6" t="s">
        <v>162</v>
      </c>
      <c r="AB237" s="6" t="s">
        <v>9687</v>
      </c>
      <c r="AD237" s="6" t="s">
        <v>158</v>
      </c>
      <c r="AH237" s="6" t="s">
        <v>9688</v>
      </c>
      <c r="AI237" s="6" t="s">
        <v>5081</v>
      </c>
      <c r="AJ237" s="6" t="s">
        <v>163</v>
      </c>
      <c r="AK237" s="6" t="s">
        <v>9689</v>
      </c>
      <c r="AL237" s="6" t="s">
        <v>168</v>
      </c>
      <c r="AM237" s="6" t="s">
        <v>9690</v>
      </c>
      <c r="AN237" s="6" t="s">
        <v>9683</v>
      </c>
      <c r="AO237" s="5" t="s">
        <v>162</v>
      </c>
      <c r="AR237" s="0" t="str">
        <f aca="false">IF(AND(AU237="pass",AO237&lt;&gt;"Y",C237&lt;&gt;""),"Y","N")</f>
        <v>N</v>
      </c>
      <c r="AS237" s="0" t="str">
        <f aca="false">_xlfn.TEXTJOIN("; ",TRUE(),IF(AU237&lt;&gt;"pass","gated out",""),IF(AO237="Y","on hold: "&amp;AP237,""),IF(C237="","no contact named on an opened page",""))</f>
        <v>no contact named on an opened page</v>
      </c>
      <c r="AU237" s="6" t="s">
        <v>181</v>
      </c>
      <c r="AW237" s="6" t="s">
        <v>182</v>
      </c>
      <c r="AX237" s="6" t="s">
        <v>8543</v>
      </c>
      <c r="AY237" s="6" t="s">
        <v>9689</v>
      </c>
      <c r="AZ237" s="6" t="s">
        <v>163</v>
      </c>
      <c r="BA237" s="6" t="s">
        <v>163</v>
      </c>
      <c r="BB237" s="6" t="s">
        <v>9691</v>
      </c>
      <c r="BC237" s="6" t="s">
        <v>9686</v>
      </c>
      <c r="BD237" s="6" t="s">
        <v>264</v>
      </c>
      <c r="BE237" s="6" t="s">
        <v>9692</v>
      </c>
      <c r="BF237" s="6" t="s">
        <v>168</v>
      </c>
      <c r="BG237" s="6" t="s">
        <v>168</v>
      </c>
      <c r="BH237" s="6" t="s">
        <v>163</v>
      </c>
      <c r="BJ237" s="6" t="s">
        <v>163</v>
      </c>
      <c r="BK237" s="6" t="s">
        <v>162</v>
      </c>
      <c r="BL237" s="6" t="s">
        <v>162</v>
      </c>
      <c r="BN237" s="0" t="n">
        <v>0</v>
      </c>
      <c r="BO237" s="6" t="s">
        <v>168</v>
      </c>
      <c r="BP237" s="0" t="n">
        <v>1</v>
      </c>
      <c r="BQ237" s="6" t="s">
        <v>4638</v>
      </c>
      <c r="BS237" s="6" t="s">
        <v>4693</v>
      </c>
      <c r="BT237" s="6" t="s">
        <v>9693</v>
      </c>
      <c r="BU237" s="6" t="s">
        <v>158</v>
      </c>
      <c r="CF237" s="6" t="s">
        <v>158</v>
      </c>
      <c r="CK237" s="6" t="s">
        <v>158</v>
      </c>
      <c r="CL237" s="0" t="n">
        <v>17</v>
      </c>
      <c r="CM237" s="0" t="n">
        <v>25</v>
      </c>
      <c r="CN237" s="0" t="n">
        <v>4</v>
      </c>
      <c r="CO237" s="0" t="n">
        <v>0</v>
      </c>
      <c r="CP237" s="0" t="n">
        <v>5</v>
      </c>
      <c r="CQ237" s="0" t="n">
        <v>8</v>
      </c>
      <c r="CR237" s="0" t="n">
        <v>0</v>
      </c>
      <c r="CS237" s="6" t="n">
        <f aca="false">IF(R237="Y",10,0)</f>
        <v>0</v>
      </c>
      <c r="CT237" s="0" t="n">
        <v>-25</v>
      </c>
      <c r="CU237" s="6" t="s">
        <v>9694</v>
      </c>
      <c r="CV237" s="6" t="s">
        <v>4704</v>
      </c>
      <c r="CW237" s="6" t="s">
        <v>9695</v>
      </c>
      <c r="CX237" s="6" t="s">
        <v>9696</v>
      </c>
      <c r="DA237" s="6" t="s">
        <v>6236</v>
      </c>
      <c r="DY237" s="0" t="str">
        <f aca="false">IF(ISNUMBER(MATCH(U237,{"queued","contacted","replied","call_booked","call_done","yes_in_principle","materials_sent"},0)),"Y","N")</f>
        <v>N</v>
      </c>
      <c r="DZ237" s="0" t="str">
        <f aca="false">IF(COUNTIFS($AN$2:$AN$1000,AN237,$DY$2:$DY$1000,"Y")+COUNTIFS($AN$2:$AN$1000,AN237,$T$2:$T$1000,"Y")&gt;0,"Y","N")</f>
        <v>N</v>
      </c>
      <c r="EA237" s="0" t="str">
        <f aca="false">IF(AND(U237="new",T237="N",AR237="Y",AQ237="",DZ237="N"),"Y","N")</f>
        <v>N</v>
      </c>
      <c r="EB237" s="0" t="str">
        <f aca="false">IF(EA237&lt;&gt;"Y","N",IF(COUNTIFS($AN$2:$AN$1000,AN237,$EA$2:$EA$1000,"Y",$J$2:$J$1000,"&gt;"&amp;J237)+COUNTIFS($AN$2:$AN$1000,AN237,$EA$2:$EA$1000,"Y",$J$2:$J$1000,J237,$ED$2:$ED$1000,"&lt;"&amp;ED237)=0,"Y","N"))</f>
        <v>N</v>
      </c>
      <c r="EC237" s="0" t="str">
        <f aca="false">IF(Y237="","N",IF(Y237&lt;=10,"Y","N"))</f>
        <v>N</v>
      </c>
      <c r="ED237" s="6" t="n">
        <f aca="false">ROW()-1</f>
        <v>236</v>
      </c>
    </row>
    <row r="238" customFormat="false" ht="15" hidden="false" customHeight="false" outlineLevel="0" collapsed="false">
      <c r="A238" s="0" t="s">
        <v>9697</v>
      </c>
      <c r="B238" s="0" t="s">
        <v>9698</v>
      </c>
      <c r="C238" s="0" t="s">
        <v>6021</v>
      </c>
      <c r="D238" s="0" t="s">
        <v>9699</v>
      </c>
      <c r="E238" s="0" t="s">
        <v>9700</v>
      </c>
      <c r="H238" s="5" t="s">
        <v>158</v>
      </c>
      <c r="I238" s="5" t="s">
        <v>159</v>
      </c>
      <c r="J238" s="6" t="n">
        <f aca="false">IF(AU238="pass",CM238+CN238+CO238+CP238+CQ238+CR238+CS238+CT238,0)</f>
        <v>17</v>
      </c>
      <c r="K238" s="6" t="s">
        <v>9701</v>
      </c>
      <c r="M238" s="6" t="s">
        <v>5293</v>
      </c>
      <c r="N238" s="6" t="s">
        <v>598</v>
      </c>
      <c r="O238" s="6" t="s">
        <v>9702</v>
      </c>
      <c r="P238" s="6" t="s">
        <v>9703</v>
      </c>
      <c r="Q238" s="6" t="s">
        <v>9124</v>
      </c>
      <c r="R238" s="5" t="s">
        <v>162</v>
      </c>
      <c r="S238" s="6" t="s">
        <v>163</v>
      </c>
      <c r="T238" s="5" t="s">
        <v>162</v>
      </c>
      <c r="U238" s="5" t="s">
        <v>228</v>
      </c>
      <c r="V238" s="6" t="s">
        <v>9704</v>
      </c>
      <c r="W238" s="6" t="s">
        <v>166</v>
      </c>
      <c r="X238" s="6" t="s">
        <v>4586</v>
      </c>
      <c r="Y238" s="6" t="n">
        <f aca="false">IF(EB238&lt;&gt;"Y","",COUNTIFS($EB$2:$EB$1000,"Y",$J$2:$J$1000,"&gt;"&amp;J238)+COUNTIFS($EB$2:$EB$1000,"Y",$J$2:$J$1000,J238,$ED$2:$ED$1000,"&lt;"&amp;ED238)+1)</f>
        <v>177</v>
      </c>
      <c r="Z238" s="0" t="n">
        <v>237</v>
      </c>
      <c r="AA238" s="6" t="s">
        <v>162</v>
      </c>
      <c r="AB238" s="6" t="s">
        <v>9705</v>
      </c>
      <c r="AC238" s="6" t="s">
        <v>4588</v>
      </c>
      <c r="AD238" s="6" t="s">
        <v>171</v>
      </c>
      <c r="AE238" s="6" t="s">
        <v>1190</v>
      </c>
      <c r="AF238" s="6" t="s">
        <v>9703</v>
      </c>
      <c r="AG238" s="6" t="s">
        <v>166</v>
      </c>
      <c r="AH238" s="6" t="s">
        <v>9706</v>
      </c>
      <c r="AI238" s="6" t="s">
        <v>5926</v>
      </c>
      <c r="AJ238" s="6" t="s">
        <v>9707</v>
      </c>
      <c r="AK238" s="6" t="s">
        <v>9708</v>
      </c>
      <c r="AL238" s="6" t="s">
        <v>168</v>
      </c>
      <c r="AM238" s="6" t="s">
        <v>9709</v>
      </c>
      <c r="AN238" s="6" t="s">
        <v>9697</v>
      </c>
      <c r="AO238" s="5" t="s">
        <v>162</v>
      </c>
      <c r="AR238" s="0" t="str">
        <f aca="false">IF(AND(AU238="pass",AO238&lt;&gt;"Y",C238&lt;&gt;""),"Y","N")</f>
        <v>Y</v>
      </c>
      <c r="AS238" s="0" t="str">
        <f aca="false">_xlfn.TEXTJOIN("; ",TRUE(),IF(AU238&lt;&gt;"pass","gated out",""),IF(AO238="Y","on hold: "&amp;AP238,""),IF(C238="","no contact named on an opened page",""))</f>
        <v/>
      </c>
      <c r="AU238" s="6" t="s">
        <v>181</v>
      </c>
      <c r="AW238" s="6" t="s">
        <v>182</v>
      </c>
      <c r="AX238" s="6" t="s">
        <v>7616</v>
      </c>
      <c r="AY238" s="6" t="s">
        <v>9708</v>
      </c>
      <c r="AZ238" s="6" t="s">
        <v>5659</v>
      </c>
      <c r="BA238" s="6" t="s">
        <v>5331</v>
      </c>
      <c r="BB238" s="6" t="s">
        <v>163</v>
      </c>
      <c r="BD238" s="6" t="s">
        <v>163</v>
      </c>
      <c r="BE238" s="6" t="s">
        <v>8634</v>
      </c>
      <c r="BF238" s="6" t="s">
        <v>168</v>
      </c>
      <c r="BG238" s="6" t="s">
        <v>168</v>
      </c>
      <c r="BH238" s="6" t="s">
        <v>163</v>
      </c>
      <c r="BJ238" s="6" t="s">
        <v>9710</v>
      </c>
      <c r="BK238" s="6" t="s">
        <v>162</v>
      </c>
      <c r="BL238" s="6" t="s">
        <v>162</v>
      </c>
      <c r="BO238" s="6" t="s">
        <v>162</v>
      </c>
      <c r="BP238" s="0" t="n">
        <v>0</v>
      </c>
      <c r="BS238" s="6" t="s">
        <v>9711</v>
      </c>
      <c r="BT238" s="6" t="s">
        <v>9712</v>
      </c>
      <c r="BU238" s="6" t="s">
        <v>4605</v>
      </c>
      <c r="BV238" s="0" t="n">
        <v>39</v>
      </c>
      <c r="BX238" s="6" t="s">
        <v>9713</v>
      </c>
      <c r="CF238" s="6" t="s">
        <v>158</v>
      </c>
      <c r="CK238" s="6" t="s">
        <v>158</v>
      </c>
      <c r="CL238" s="0" t="n">
        <v>17</v>
      </c>
      <c r="CM238" s="0" t="n">
        <v>6</v>
      </c>
      <c r="CN238" s="0" t="n">
        <v>3</v>
      </c>
      <c r="CO238" s="0" t="n">
        <v>15</v>
      </c>
      <c r="CP238" s="0" t="n">
        <v>5</v>
      </c>
      <c r="CQ238" s="0" t="n">
        <v>7</v>
      </c>
      <c r="CR238" s="0" t="n">
        <v>6</v>
      </c>
      <c r="CS238" s="6" t="n">
        <f aca="false">IF(R238="Y",10,0)</f>
        <v>0</v>
      </c>
      <c r="CT238" s="0" t="n">
        <v>-25</v>
      </c>
      <c r="CU238" s="6" t="s">
        <v>163</v>
      </c>
      <c r="CV238" s="6" t="s">
        <v>5564</v>
      </c>
      <c r="CW238" s="6" t="s">
        <v>9714</v>
      </c>
      <c r="CX238" s="6" t="s">
        <v>9715</v>
      </c>
      <c r="CY238" s="6" t="s">
        <v>9716</v>
      </c>
      <c r="DA238" s="6" t="s">
        <v>6236</v>
      </c>
      <c r="DY238" s="0" t="str">
        <f aca="false">IF(ISNUMBER(MATCH(U238,{"queued","contacted","replied","call_booked","call_done","yes_in_principle","materials_sent"},0)),"Y","N")</f>
        <v>N</v>
      </c>
      <c r="DZ238" s="0" t="str">
        <f aca="false">IF(COUNTIFS($AN$2:$AN$1000,AN238,$DY$2:$DY$1000,"Y")+COUNTIFS($AN$2:$AN$1000,AN238,$T$2:$T$1000,"Y")&gt;0,"Y","N")</f>
        <v>N</v>
      </c>
      <c r="EA238" s="0" t="str">
        <f aca="false">IF(AND(U238="new",T238="N",AR238="Y",AQ238="",DZ238="N"),"Y","N")</f>
        <v>Y</v>
      </c>
      <c r="EB238" s="0" t="str">
        <f aca="false">IF(EA238&lt;&gt;"Y","N",IF(COUNTIFS($AN$2:$AN$1000,AN238,$EA$2:$EA$1000,"Y",$J$2:$J$1000,"&gt;"&amp;J238)+COUNTIFS($AN$2:$AN$1000,AN238,$EA$2:$EA$1000,"Y",$J$2:$J$1000,J238,$ED$2:$ED$1000,"&lt;"&amp;ED238)=0,"Y","N"))</f>
        <v>Y</v>
      </c>
      <c r="EC238" s="0" t="str">
        <f aca="false">IF(Y238="","N",IF(Y238&lt;=10,"Y","N"))</f>
        <v>N</v>
      </c>
      <c r="ED238" s="6" t="n">
        <f aca="false">ROW()-1</f>
        <v>237</v>
      </c>
    </row>
    <row r="239" customFormat="false" ht="15" hidden="false" customHeight="false" outlineLevel="0" collapsed="false">
      <c r="A239" s="0" t="s">
        <v>9717</v>
      </c>
      <c r="B239" s="0" t="s">
        <v>9718</v>
      </c>
      <c r="H239" s="5" t="s">
        <v>158</v>
      </c>
      <c r="I239" s="5"/>
      <c r="J239" s="6" t="n">
        <f aca="false">IF(AU239="pass",CM239+CN239+CO239+CP239+CQ239+CR239+CS239+CT239,0)</f>
        <v>16</v>
      </c>
      <c r="K239" s="6" t="s">
        <v>9719</v>
      </c>
      <c r="M239" s="6" t="s">
        <v>5293</v>
      </c>
      <c r="N239" s="6" t="s">
        <v>598</v>
      </c>
      <c r="R239" s="5" t="s">
        <v>162</v>
      </c>
      <c r="S239" s="6" t="s">
        <v>163</v>
      </c>
      <c r="T239" s="5" t="s">
        <v>162</v>
      </c>
      <c r="U239" s="5" t="s">
        <v>228</v>
      </c>
      <c r="V239" s="6" t="s">
        <v>9720</v>
      </c>
      <c r="W239" s="6" t="s">
        <v>166</v>
      </c>
      <c r="X239" s="6" t="s">
        <v>4586</v>
      </c>
      <c r="Y239" s="0" t="str">
        <f aca="false">IF(EB239&lt;&gt;"Y","",COUNTIFS($EB$2:$EB$1000,"Y",$J$2:$J$1000,"&gt;"&amp;J239)+COUNTIFS($EB$2:$EB$1000,"Y",$J$2:$J$1000,J239,$ED$2:$ED$1000,"&lt;"&amp;ED239)+1)</f>
        <v/>
      </c>
      <c r="Z239" s="0" t="n">
        <v>238</v>
      </c>
      <c r="AA239" s="6" t="s">
        <v>162</v>
      </c>
      <c r="AB239" s="6" t="s">
        <v>9641</v>
      </c>
      <c r="AD239" s="6" t="s">
        <v>158</v>
      </c>
      <c r="AH239" s="6" t="s">
        <v>9721</v>
      </c>
      <c r="AI239" s="6" t="s">
        <v>4591</v>
      </c>
      <c r="AJ239" s="6" t="s">
        <v>9722</v>
      </c>
      <c r="AK239" s="6" t="s">
        <v>9720</v>
      </c>
      <c r="AL239" s="6" t="s">
        <v>168</v>
      </c>
      <c r="AM239" s="6" t="s">
        <v>9723</v>
      </c>
      <c r="AN239" s="6" t="s">
        <v>9717</v>
      </c>
      <c r="AO239" s="5" t="s">
        <v>162</v>
      </c>
      <c r="AR239" s="0" t="str">
        <f aca="false">IF(AND(AU239="pass",AO239&lt;&gt;"Y",C239&lt;&gt;""),"Y","N")</f>
        <v>N</v>
      </c>
      <c r="AS239" s="0" t="str">
        <f aca="false">_xlfn.TEXTJOIN("; ",TRUE(),IF(AU239&lt;&gt;"pass","gated out",""),IF(AO239="Y","on hold: "&amp;AP239,""),IF(C239="","no contact named on an opened page",""))</f>
        <v>no contact named on an opened page</v>
      </c>
      <c r="AU239" s="6" t="s">
        <v>181</v>
      </c>
      <c r="AW239" s="6" t="s">
        <v>182</v>
      </c>
      <c r="AX239" s="6" t="s">
        <v>6033</v>
      </c>
      <c r="AY239" s="6" t="s">
        <v>9720</v>
      </c>
      <c r="AZ239" s="6" t="s">
        <v>6478</v>
      </c>
      <c r="BA239" s="6" t="s">
        <v>5193</v>
      </c>
      <c r="BB239" s="6" t="s">
        <v>9724</v>
      </c>
      <c r="BC239" s="6" t="s">
        <v>9720</v>
      </c>
      <c r="BD239" s="6" t="s">
        <v>163</v>
      </c>
      <c r="BE239" s="6" t="s">
        <v>5929</v>
      </c>
      <c r="BF239" s="6" t="s">
        <v>168</v>
      </c>
      <c r="BG239" s="6" t="s">
        <v>168</v>
      </c>
      <c r="BH239" s="6" t="s">
        <v>163</v>
      </c>
      <c r="BJ239" s="6" t="s">
        <v>5551</v>
      </c>
      <c r="BK239" s="6" t="s">
        <v>162</v>
      </c>
      <c r="BL239" s="6" t="s">
        <v>162</v>
      </c>
      <c r="BO239" s="6" t="s">
        <v>162</v>
      </c>
      <c r="BP239" s="0" t="n">
        <v>0</v>
      </c>
      <c r="BS239" s="6" t="s">
        <v>163</v>
      </c>
      <c r="BU239" s="6" t="s">
        <v>158</v>
      </c>
      <c r="CF239" s="6" t="s">
        <v>158</v>
      </c>
      <c r="CK239" s="6" t="s">
        <v>158</v>
      </c>
      <c r="CL239" s="0" t="n">
        <v>16</v>
      </c>
      <c r="CM239" s="0" t="n">
        <v>6</v>
      </c>
      <c r="CN239" s="0" t="n">
        <v>8</v>
      </c>
      <c r="CO239" s="0" t="n">
        <v>0</v>
      </c>
      <c r="CP239" s="0" t="n">
        <v>5</v>
      </c>
      <c r="CQ239" s="0" t="n">
        <v>7</v>
      </c>
      <c r="CR239" s="0" t="n">
        <v>0</v>
      </c>
      <c r="CS239" s="6" t="n">
        <f aca="false">IF(R239="Y",10,0)</f>
        <v>0</v>
      </c>
      <c r="CT239" s="0" t="n">
        <v>-10</v>
      </c>
      <c r="CU239" s="6" t="s">
        <v>163</v>
      </c>
      <c r="CV239" s="6" t="s">
        <v>5564</v>
      </c>
      <c r="CW239" s="6" t="s">
        <v>9725</v>
      </c>
      <c r="CX239" s="6" t="s">
        <v>9726</v>
      </c>
      <c r="DA239" s="6" t="s">
        <v>6236</v>
      </c>
      <c r="DY239" s="0" t="str">
        <f aca="false">IF(ISNUMBER(MATCH(U239,{"queued","contacted","replied","call_booked","call_done","yes_in_principle","materials_sent"},0)),"Y","N")</f>
        <v>N</v>
      </c>
      <c r="DZ239" s="0" t="str">
        <f aca="false">IF(COUNTIFS($AN$2:$AN$1000,AN239,$DY$2:$DY$1000,"Y")+COUNTIFS($AN$2:$AN$1000,AN239,$T$2:$T$1000,"Y")&gt;0,"Y","N")</f>
        <v>N</v>
      </c>
      <c r="EA239" s="0" t="str">
        <f aca="false">IF(AND(U239="new",T239="N",AR239="Y",AQ239="",DZ239="N"),"Y","N")</f>
        <v>N</v>
      </c>
      <c r="EB239" s="0" t="str">
        <f aca="false">IF(EA239&lt;&gt;"Y","N",IF(COUNTIFS($AN$2:$AN$1000,AN239,$EA$2:$EA$1000,"Y",$J$2:$J$1000,"&gt;"&amp;J239)+COUNTIFS($AN$2:$AN$1000,AN239,$EA$2:$EA$1000,"Y",$J$2:$J$1000,J239,$ED$2:$ED$1000,"&lt;"&amp;ED239)=0,"Y","N"))</f>
        <v>N</v>
      </c>
      <c r="EC239" s="0" t="str">
        <f aca="false">IF(Y239="","N",IF(Y239&lt;=10,"Y","N"))</f>
        <v>N</v>
      </c>
      <c r="ED239" s="6" t="n">
        <f aca="false">ROW()-1</f>
        <v>238</v>
      </c>
    </row>
    <row r="240" customFormat="false" ht="15" hidden="false" customHeight="false" outlineLevel="0" collapsed="false">
      <c r="A240" s="0" t="s">
        <v>9727</v>
      </c>
      <c r="B240" s="0" t="s">
        <v>9728</v>
      </c>
      <c r="C240" s="0" t="s">
        <v>9729</v>
      </c>
      <c r="D240" s="0" t="s">
        <v>9730</v>
      </c>
      <c r="E240" s="0" t="s">
        <v>4773</v>
      </c>
      <c r="H240" s="5" t="s">
        <v>158</v>
      </c>
      <c r="I240" s="5" t="s">
        <v>159</v>
      </c>
      <c r="J240" s="6" t="n">
        <f aca="false">IF(AU240="pass",CM240+CN240+CO240+CP240+CQ240+CR240+CS240+CT240,0)</f>
        <v>6</v>
      </c>
      <c r="K240" s="6" t="s">
        <v>9731</v>
      </c>
      <c r="M240" s="6" t="s">
        <v>5293</v>
      </c>
      <c r="N240" s="6" t="s">
        <v>598</v>
      </c>
      <c r="O240" s="6" t="s">
        <v>9732</v>
      </c>
      <c r="P240" s="6" t="s">
        <v>9733</v>
      </c>
      <c r="Q240" s="6" t="s">
        <v>9734</v>
      </c>
      <c r="R240" s="5" t="s">
        <v>162</v>
      </c>
      <c r="S240" s="6" t="s">
        <v>163</v>
      </c>
      <c r="T240" s="5" t="s">
        <v>162</v>
      </c>
      <c r="U240" s="5" t="s">
        <v>228</v>
      </c>
      <c r="V240" s="6" t="s">
        <v>9735</v>
      </c>
      <c r="W240" s="6" t="s">
        <v>166</v>
      </c>
      <c r="X240" s="6" t="s">
        <v>4586</v>
      </c>
      <c r="Y240" s="6" t="n">
        <f aca="false">IF(EB240&lt;&gt;"Y","",COUNTIFS($EB$2:$EB$1000,"Y",$J$2:$J$1000,"&gt;"&amp;J240)+COUNTIFS($EB$2:$EB$1000,"Y",$J$2:$J$1000,J240,$ED$2:$ED$1000,"&lt;"&amp;ED240)+1)</f>
        <v>178</v>
      </c>
      <c r="Z240" s="0" t="n">
        <v>239</v>
      </c>
      <c r="AA240" s="6" t="s">
        <v>162</v>
      </c>
      <c r="AB240" s="6" t="s">
        <v>9736</v>
      </c>
      <c r="AC240" s="6" t="s">
        <v>4588</v>
      </c>
      <c r="AD240" s="6" t="s">
        <v>171</v>
      </c>
      <c r="AE240" s="6" t="s">
        <v>1190</v>
      </c>
      <c r="AF240" s="6" t="s">
        <v>9737</v>
      </c>
      <c r="AG240" s="6" t="s">
        <v>166</v>
      </c>
      <c r="AH240" s="6" t="s">
        <v>9738</v>
      </c>
      <c r="AI240" s="6" t="s">
        <v>5385</v>
      </c>
      <c r="AJ240" s="6" t="s">
        <v>9739</v>
      </c>
      <c r="AK240" s="6" t="s">
        <v>9740</v>
      </c>
      <c r="AL240" s="6" t="s">
        <v>168</v>
      </c>
      <c r="AM240" s="6" t="s">
        <v>9741</v>
      </c>
      <c r="AN240" s="6" t="s">
        <v>9727</v>
      </c>
      <c r="AO240" s="5" t="s">
        <v>162</v>
      </c>
      <c r="AR240" s="0" t="str">
        <f aca="false">IF(AND(AU240="pass",AO240&lt;&gt;"Y",C240&lt;&gt;""),"Y","N")</f>
        <v>Y</v>
      </c>
      <c r="AS240" s="0" t="str">
        <f aca="false">_xlfn.TEXTJOIN("; ",TRUE(),IF(AU240&lt;&gt;"pass","gated out",""),IF(AO240="Y","on hold: "&amp;AP240,""),IF(C240="","no contact named on an opened page",""))</f>
        <v/>
      </c>
      <c r="AU240" s="6" t="s">
        <v>181</v>
      </c>
      <c r="AW240" s="6" t="s">
        <v>182</v>
      </c>
      <c r="AX240" s="6" t="s">
        <v>9742</v>
      </c>
      <c r="AY240" s="6" t="s">
        <v>9740</v>
      </c>
      <c r="AZ240" s="6" t="s">
        <v>4596</v>
      </c>
      <c r="BA240" s="6" t="s">
        <v>4953</v>
      </c>
      <c r="BB240" s="6" t="s">
        <v>9743</v>
      </c>
      <c r="BD240" s="6" t="s">
        <v>168</v>
      </c>
      <c r="BE240" s="6" t="s">
        <v>9744</v>
      </c>
      <c r="BF240" s="6" t="s">
        <v>163</v>
      </c>
      <c r="BG240" s="6" t="s">
        <v>168</v>
      </c>
      <c r="BH240" s="6" t="s">
        <v>7181</v>
      </c>
      <c r="BI240" s="6" t="s">
        <v>9745</v>
      </c>
      <c r="BJ240" s="6" t="s">
        <v>9746</v>
      </c>
      <c r="BK240" s="6" t="s">
        <v>162</v>
      </c>
      <c r="BL240" s="6" t="s">
        <v>162</v>
      </c>
      <c r="BO240" s="6" t="s">
        <v>162</v>
      </c>
      <c r="BP240" s="0" t="n">
        <v>0</v>
      </c>
      <c r="BS240" s="6" t="s">
        <v>9747</v>
      </c>
      <c r="BT240" s="6" t="s">
        <v>9748</v>
      </c>
      <c r="BU240" s="6" t="s">
        <v>4695</v>
      </c>
      <c r="BV240" s="0" t="n">
        <v>40</v>
      </c>
      <c r="BX240" s="6" t="s">
        <v>9749</v>
      </c>
      <c r="CF240" s="6" t="s">
        <v>158</v>
      </c>
      <c r="CK240" s="6" t="s">
        <v>158</v>
      </c>
      <c r="CL240" s="0" t="n">
        <v>6</v>
      </c>
      <c r="CM240" s="0" t="n">
        <v>6</v>
      </c>
      <c r="CN240" s="0" t="n">
        <v>13</v>
      </c>
      <c r="CO240" s="0" t="n">
        <v>8</v>
      </c>
      <c r="CP240" s="0" t="n">
        <v>0</v>
      </c>
      <c r="CQ240" s="0" t="n">
        <v>8</v>
      </c>
      <c r="CR240" s="0" t="n">
        <v>6</v>
      </c>
      <c r="CS240" s="6" t="n">
        <f aca="false">IF(R240="Y",10,0)</f>
        <v>0</v>
      </c>
      <c r="CT240" s="0" t="n">
        <v>-35</v>
      </c>
      <c r="CU240" s="6" t="s">
        <v>163</v>
      </c>
      <c r="CV240" s="6" t="s">
        <v>4843</v>
      </c>
      <c r="CW240" s="6" t="s">
        <v>9750</v>
      </c>
      <c r="CX240" s="6" t="s">
        <v>9751</v>
      </c>
      <c r="CY240" s="6" t="s">
        <v>9752</v>
      </c>
      <c r="DA240" s="6" t="s">
        <v>6236</v>
      </c>
      <c r="DY240" s="0" t="str">
        <f aca="false">IF(ISNUMBER(MATCH(U240,{"queued","contacted","replied","call_booked","call_done","yes_in_principle","materials_sent"},0)),"Y","N")</f>
        <v>N</v>
      </c>
      <c r="DZ240" s="0" t="str">
        <f aca="false">IF(COUNTIFS($AN$2:$AN$1000,AN240,$DY$2:$DY$1000,"Y")+COUNTIFS($AN$2:$AN$1000,AN240,$T$2:$T$1000,"Y")&gt;0,"Y","N")</f>
        <v>N</v>
      </c>
      <c r="EA240" s="0" t="str">
        <f aca="false">IF(AND(U240="new",T240="N",AR240="Y",AQ240="",DZ240="N"),"Y","N")</f>
        <v>Y</v>
      </c>
      <c r="EB240" s="0" t="str">
        <f aca="false">IF(EA240&lt;&gt;"Y","N",IF(COUNTIFS($AN$2:$AN$1000,AN240,$EA$2:$EA$1000,"Y",$J$2:$J$1000,"&gt;"&amp;J240)+COUNTIFS($AN$2:$AN$1000,AN240,$EA$2:$EA$1000,"Y",$J$2:$J$1000,J240,$ED$2:$ED$1000,"&lt;"&amp;ED240)=0,"Y","N"))</f>
        <v>Y</v>
      </c>
      <c r="EC240" s="0" t="str">
        <f aca="false">IF(Y240="","N",IF(Y240&lt;=10,"Y","N"))</f>
        <v>N</v>
      </c>
      <c r="ED240" s="6" t="n">
        <f aca="false">ROW()-1</f>
        <v>239</v>
      </c>
    </row>
    <row r="241" customFormat="false" ht="15" hidden="false" customHeight="false" outlineLevel="0" collapsed="false">
      <c r="A241" s="0" t="s">
        <v>9753</v>
      </c>
      <c r="B241" s="0" t="s">
        <v>9754</v>
      </c>
      <c r="C241" s="0" t="s">
        <v>5963</v>
      </c>
      <c r="D241" s="0" t="s">
        <v>9755</v>
      </c>
      <c r="E241" s="0" t="s">
        <v>4773</v>
      </c>
      <c r="H241" s="5" t="s">
        <v>158</v>
      </c>
      <c r="I241" s="5" t="s">
        <v>159</v>
      </c>
      <c r="J241" s="6" t="n">
        <f aca="false">IF(AU241="pass",CM241+CN241+CO241+CP241+CQ241+CR241+CS241+CT241,0)</f>
        <v>0</v>
      </c>
      <c r="K241" s="6" t="s">
        <v>9756</v>
      </c>
      <c r="M241" s="6" t="s">
        <v>4581</v>
      </c>
      <c r="N241" s="6" t="s">
        <v>4582</v>
      </c>
      <c r="O241" s="6" t="s">
        <v>9757</v>
      </c>
      <c r="P241" s="6" t="s">
        <v>9758</v>
      </c>
      <c r="Q241" s="6" t="s">
        <v>5576</v>
      </c>
      <c r="R241" s="5" t="s">
        <v>162</v>
      </c>
      <c r="S241" s="6" t="s">
        <v>168</v>
      </c>
      <c r="T241" s="5" t="s">
        <v>162</v>
      </c>
      <c r="U241" s="5" t="s">
        <v>228</v>
      </c>
      <c r="V241" s="6" t="s">
        <v>9759</v>
      </c>
      <c r="W241" s="6" t="s">
        <v>166</v>
      </c>
      <c r="X241" s="6" t="s">
        <v>4586</v>
      </c>
      <c r="Y241" s="0" t="str">
        <f aca="false">IF(EB241&lt;&gt;"Y","",COUNTIFS($EB$2:$EB$1000,"Y",$J$2:$J$1000,"&gt;"&amp;J241)+COUNTIFS($EB$2:$EB$1000,"Y",$J$2:$J$1000,J241,$ED$2:$ED$1000,"&lt;"&amp;ED241)+1)</f>
        <v/>
      </c>
      <c r="AA241" s="6" t="s">
        <v>162</v>
      </c>
      <c r="AC241" s="6" t="s">
        <v>4588</v>
      </c>
      <c r="AD241" s="6" t="s">
        <v>171</v>
      </c>
      <c r="AE241" s="6" t="s">
        <v>1190</v>
      </c>
      <c r="AF241" s="6" t="s">
        <v>9758</v>
      </c>
      <c r="AG241" s="6" t="s">
        <v>166</v>
      </c>
      <c r="AH241" s="6" t="s">
        <v>9760</v>
      </c>
      <c r="AI241" s="6" t="s">
        <v>5926</v>
      </c>
      <c r="AJ241" s="6" t="s">
        <v>9761</v>
      </c>
      <c r="AK241" s="6" t="s">
        <v>9762</v>
      </c>
      <c r="AL241" s="6" t="s">
        <v>168</v>
      </c>
      <c r="AM241" s="6" t="s">
        <v>9763</v>
      </c>
      <c r="AN241" s="6" t="s">
        <v>9753</v>
      </c>
      <c r="AO241" s="5" t="s">
        <v>162</v>
      </c>
      <c r="AR241" s="0" t="str">
        <f aca="false">IF(AND(AU241="pass",AO241&lt;&gt;"Y",C241&lt;&gt;""),"Y","N")</f>
        <v>N</v>
      </c>
      <c r="AS241" s="0" t="str">
        <f aca="false">_xlfn.TEXTJOIN("; ",TRUE(),IF(AU241&lt;&gt;"pass","gated out",""),IF(AO241="Y","on hold: "&amp;AP241,""),IF(C241="","no contact named on an opened page",""))</f>
        <v>gated out</v>
      </c>
      <c r="AU241" s="6" t="s">
        <v>3704</v>
      </c>
      <c r="AV241" s="6" t="s">
        <v>9764</v>
      </c>
      <c r="AW241" s="6" t="s">
        <v>9765</v>
      </c>
      <c r="AX241" s="6" t="s">
        <v>4595</v>
      </c>
      <c r="AY241" s="6" t="s">
        <v>9762</v>
      </c>
      <c r="AZ241" s="6" t="s">
        <v>4596</v>
      </c>
      <c r="BA241" s="6" t="s">
        <v>4597</v>
      </c>
      <c r="BB241" s="6" t="s">
        <v>9766</v>
      </c>
      <c r="BD241" s="6" t="s">
        <v>168</v>
      </c>
      <c r="BE241" s="6" t="s">
        <v>9767</v>
      </c>
      <c r="BF241" s="6" t="s">
        <v>168</v>
      </c>
      <c r="BG241" s="6" t="s">
        <v>168</v>
      </c>
      <c r="BH241" s="6" t="s">
        <v>163</v>
      </c>
      <c r="BJ241" s="6" t="s">
        <v>163</v>
      </c>
      <c r="BK241" s="6" t="s">
        <v>168</v>
      </c>
      <c r="BL241" s="6" t="s">
        <v>168</v>
      </c>
      <c r="BM241" s="6" t="s">
        <v>9768</v>
      </c>
      <c r="BN241" s="0" t="n">
        <v>0</v>
      </c>
      <c r="BO241" s="6" t="s">
        <v>168</v>
      </c>
      <c r="BP241" s="0" t="n">
        <v>3</v>
      </c>
      <c r="BQ241" s="6" t="s">
        <v>4670</v>
      </c>
      <c r="BR241" s="6" t="s">
        <v>4671</v>
      </c>
      <c r="BS241" s="6" t="s">
        <v>9769</v>
      </c>
      <c r="BT241" s="6" t="s">
        <v>9770</v>
      </c>
      <c r="BU241" s="6" t="s">
        <v>4605</v>
      </c>
      <c r="BV241" s="0" t="n">
        <v>15</v>
      </c>
      <c r="BW241" s="6" t="s">
        <v>5734</v>
      </c>
      <c r="BX241" s="6" t="s">
        <v>9771</v>
      </c>
      <c r="CF241" s="6" t="s">
        <v>158</v>
      </c>
      <c r="CK241" s="6" t="s">
        <v>158</v>
      </c>
      <c r="CL241" s="0" t="n">
        <v>77</v>
      </c>
      <c r="CM241" s="0" t="n">
        <v>25</v>
      </c>
      <c r="CN241" s="0" t="n">
        <v>20</v>
      </c>
      <c r="CO241" s="0" t="n">
        <v>15</v>
      </c>
      <c r="CP241" s="0" t="n">
        <v>5</v>
      </c>
      <c r="CQ241" s="0" t="n">
        <v>10</v>
      </c>
      <c r="CR241" s="0" t="n">
        <v>6</v>
      </c>
      <c r="CS241" s="6" t="n">
        <f aca="false">IF(R241="Y",10,0)</f>
        <v>0</v>
      </c>
      <c r="CT241" s="0" t="n">
        <v>-4</v>
      </c>
      <c r="CV241" s="6" t="s">
        <v>4616</v>
      </c>
      <c r="CW241" s="6" t="s">
        <v>9772</v>
      </c>
      <c r="CX241" s="6" t="s">
        <v>9773</v>
      </c>
      <c r="DA241" s="6" t="s">
        <v>6236</v>
      </c>
      <c r="DY241" s="0" t="str">
        <f aca="false">IF(ISNUMBER(MATCH(U241,{"queued","contacted","replied","call_booked","call_done","yes_in_principle","materials_sent"},0)),"Y","N")</f>
        <v>N</v>
      </c>
      <c r="DZ241" s="0" t="str">
        <f aca="false">IF(COUNTIFS($AN$2:$AN$1000,AN241,$DY$2:$DY$1000,"Y")+COUNTIFS($AN$2:$AN$1000,AN241,$T$2:$T$1000,"Y")&gt;0,"Y","N")</f>
        <v>N</v>
      </c>
      <c r="EA241" s="0" t="str">
        <f aca="false">IF(AND(U241="new",T241="N",AR241="Y",AQ241="",DZ241="N"),"Y","N")</f>
        <v>N</v>
      </c>
      <c r="EB241" s="0" t="str">
        <f aca="false">IF(EA241&lt;&gt;"Y","N",IF(COUNTIFS($AN$2:$AN$1000,AN241,$EA$2:$EA$1000,"Y",$J$2:$J$1000,"&gt;"&amp;J241)+COUNTIFS($AN$2:$AN$1000,AN241,$EA$2:$EA$1000,"Y",$J$2:$J$1000,J241,$ED$2:$ED$1000,"&lt;"&amp;ED241)=0,"Y","N"))</f>
        <v>N</v>
      </c>
      <c r="EC241" s="0" t="str">
        <f aca="false">IF(Y241="","N",IF(Y241&lt;=10,"Y","N"))</f>
        <v>N</v>
      </c>
      <c r="ED241" s="6" t="n">
        <f aca="false">ROW()-1</f>
        <v>240</v>
      </c>
    </row>
    <row r="242" customFormat="false" ht="15" hidden="false" customHeight="false" outlineLevel="0" collapsed="false">
      <c r="A242" s="0" t="s">
        <v>9774</v>
      </c>
      <c r="B242" s="0" t="s">
        <v>9775</v>
      </c>
      <c r="H242" s="5" t="s">
        <v>158</v>
      </c>
      <c r="I242" s="5"/>
      <c r="J242" s="6" t="n">
        <f aca="false">IF(AU242="pass",CM242+CN242+CO242+CP242+CQ242+CR242+CS242+CT242,0)</f>
        <v>0</v>
      </c>
      <c r="K242" s="6" t="s">
        <v>9776</v>
      </c>
      <c r="M242" s="6" t="s">
        <v>4581</v>
      </c>
      <c r="N242" s="6" t="s">
        <v>4582</v>
      </c>
      <c r="O242" s="6" t="s">
        <v>9777</v>
      </c>
      <c r="P242" s="6" t="s">
        <v>9778</v>
      </c>
      <c r="Q242" s="6" t="s">
        <v>9779</v>
      </c>
      <c r="R242" s="5" t="s">
        <v>162</v>
      </c>
      <c r="S242" s="6" t="s">
        <v>163</v>
      </c>
      <c r="T242" s="5" t="s">
        <v>162</v>
      </c>
      <c r="U242" s="5" t="s">
        <v>228</v>
      </c>
      <c r="V242" s="6" t="s">
        <v>9780</v>
      </c>
      <c r="W242" s="6" t="s">
        <v>166</v>
      </c>
      <c r="X242" s="6" t="s">
        <v>4586</v>
      </c>
      <c r="Y242" s="0" t="str">
        <f aca="false">IF(EB242&lt;&gt;"Y","",COUNTIFS($EB$2:$EB$1000,"Y",$J$2:$J$1000,"&gt;"&amp;J242)+COUNTIFS($EB$2:$EB$1000,"Y",$J$2:$J$1000,J242,$ED$2:$ED$1000,"&lt;"&amp;ED242)+1)</f>
        <v/>
      </c>
      <c r="AA242" s="6" t="s">
        <v>162</v>
      </c>
      <c r="AD242" s="6" t="s">
        <v>158</v>
      </c>
      <c r="AH242" s="6" t="s">
        <v>9781</v>
      </c>
      <c r="AI242" s="6" t="s">
        <v>4665</v>
      </c>
      <c r="AJ242" s="6" t="s">
        <v>9782</v>
      </c>
      <c r="AK242" s="6" t="s">
        <v>9783</v>
      </c>
      <c r="AL242" s="6" t="s">
        <v>162</v>
      </c>
      <c r="AN242" s="6" t="s">
        <v>9774</v>
      </c>
      <c r="AO242" s="5" t="s">
        <v>162</v>
      </c>
      <c r="AR242" s="0" t="str">
        <f aca="false">IF(AND(AU242="pass",AO242&lt;&gt;"Y",C242&lt;&gt;""),"Y","N")</f>
        <v>N</v>
      </c>
      <c r="AS242" s="0" t="str">
        <f aca="false">_xlfn.TEXTJOIN("; ",TRUE(),IF(AU242&lt;&gt;"pass","gated out",""),IF(AO242="Y","on hold: "&amp;AP242,""),IF(C242="","no contact named on an opened page",""))</f>
        <v>gated out; no contact named on an opened page</v>
      </c>
      <c r="AU242" s="6" t="s">
        <v>3704</v>
      </c>
      <c r="AV242" s="6" t="s">
        <v>9784</v>
      </c>
      <c r="AW242" s="6" t="s">
        <v>9785</v>
      </c>
      <c r="AY242" s="6" t="s">
        <v>9783</v>
      </c>
      <c r="AZ242" s="6" t="s">
        <v>9786</v>
      </c>
      <c r="BA242" s="6" t="s">
        <v>5331</v>
      </c>
      <c r="BB242" s="6" t="s">
        <v>163</v>
      </c>
      <c r="BD242" s="6" t="s">
        <v>162</v>
      </c>
      <c r="BE242" s="6" t="s">
        <v>9787</v>
      </c>
      <c r="BF242" s="6" t="s">
        <v>168</v>
      </c>
      <c r="BG242" s="6" t="s">
        <v>168</v>
      </c>
      <c r="BH242" s="6" t="s">
        <v>163</v>
      </c>
      <c r="BJ242" s="6" t="s">
        <v>163</v>
      </c>
      <c r="BK242" s="6" t="s">
        <v>162</v>
      </c>
      <c r="BL242" s="6" t="s">
        <v>168</v>
      </c>
      <c r="BM242" s="6" t="s">
        <v>9788</v>
      </c>
      <c r="BN242" s="0" t="n">
        <v>0</v>
      </c>
      <c r="BO242" s="6" t="s">
        <v>168</v>
      </c>
      <c r="BP242" s="0" t="n">
        <v>3</v>
      </c>
      <c r="BQ242" s="6" t="s">
        <v>4670</v>
      </c>
      <c r="BS242" s="6" t="s">
        <v>9789</v>
      </c>
      <c r="BT242" s="6" t="s">
        <v>9790</v>
      </c>
      <c r="BU242" s="6" t="s">
        <v>4695</v>
      </c>
      <c r="BV242" s="0" t="n">
        <v>31</v>
      </c>
      <c r="CF242" s="6" t="s">
        <v>158</v>
      </c>
      <c r="CK242" s="6" t="s">
        <v>158</v>
      </c>
      <c r="CL242" s="0" t="n">
        <v>47</v>
      </c>
      <c r="CM242" s="0" t="n">
        <v>25</v>
      </c>
      <c r="CN242" s="0" t="n">
        <v>3</v>
      </c>
      <c r="CO242" s="0" t="n">
        <v>8</v>
      </c>
      <c r="CP242" s="0" t="n">
        <v>5</v>
      </c>
      <c r="CQ242" s="0" t="n">
        <v>6</v>
      </c>
      <c r="CR242" s="0" t="n">
        <v>0</v>
      </c>
      <c r="CS242" s="6" t="n">
        <f aca="false">IF(R242="Y",10,0)</f>
        <v>0</v>
      </c>
      <c r="CT242" s="0" t="n">
        <v>0</v>
      </c>
      <c r="CU242" s="6" t="s">
        <v>9791</v>
      </c>
      <c r="CV242" s="6" t="s">
        <v>4704</v>
      </c>
      <c r="CW242" s="6" t="s">
        <v>9792</v>
      </c>
      <c r="CX242" s="6" t="s">
        <v>9793</v>
      </c>
      <c r="DA242" s="6" t="s">
        <v>6236</v>
      </c>
      <c r="DY242" s="0" t="str">
        <f aca="false">IF(ISNUMBER(MATCH(U242,{"queued","contacted","replied","call_booked","call_done","yes_in_principle","materials_sent"},0)),"Y","N")</f>
        <v>N</v>
      </c>
      <c r="DZ242" s="0" t="str">
        <f aca="false">IF(COUNTIFS($AN$2:$AN$1000,AN242,$DY$2:$DY$1000,"Y")+COUNTIFS($AN$2:$AN$1000,AN242,$T$2:$T$1000,"Y")&gt;0,"Y","N")</f>
        <v>N</v>
      </c>
      <c r="EA242" s="0" t="str">
        <f aca="false">IF(AND(U242="new",T242="N",AR242="Y",AQ242="",DZ242="N"),"Y","N")</f>
        <v>N</v>
      </c>
      <c r="EB242" s="0" t="str">
        <f aca="false">IF(EA242&lt;&gt;"Y","N",IF(COUNTIFS($AN$2:$AN$1000,AN242,$EA$2:$EA$1000,"Y",$J$2:$J$1000,"&gt;"&amp;J242)+COUNTIFS($AN$2:$AN$1000,AN242,$EA$2:$EA$1000,"Y",$J$2:$J$1000,J242,$ED$2:$ED$1000,"&lt;"&amp;ED242)=0,"Y","N"))</f>
        <v>N</v>
      </c>
      <c r="EC242" s="0" t="str">
        <f aca="false">IF(Y242="","N",IF(Y242&lt;=10,"Y","N"))</f>
        <v>N</v>
      </c>
      <c r="ED242" s="6" t="n">
        <f aca="false">ROW()-1</f>
        <v>241</v>
      </c>
    </row>
    <row r="243" customFormat="false" ht="15" hidden="false" customHeight="false" outlineLevel="0" collapsed="false">
      <c r="A243" s="0" t="s">
        <v>9794</v>
      </c>
      <c r="B243" s="0" t="s">
        <v>9795</v>
      </c>
      <c r="H243" s="5" t="s">
        <v>158</v>
      </c>
      <c r="I243" s="5"/>
      <c r="J243" s="6" t="n">
        <f aca="false">IF(AU243="pass",CM243+CN243+CO243+CP243+CQ243+CR243+CS243+CT243,0)</f>
        <v>0</v>
      </c>
      <c r="K243" s="6" t="s">
        <v>9796</v>
      </c>
      <c r="M243" s="6" t="s">
        <v>4581</v>
      </c>
      <c r="N243" s="6" t="s">
        <v>4582</v>
      </c>
      <c r="O243" s="6" t="s">
        <v>9797</v>
      </c>
      <c r="P243" s="6" t="s">
        <v>9798</v>
      </c>
      <c r="Q243" s="6" t="s">
        <v>9799</v>
      </c>
      <c r="R243" s="5" t="s">
        <v>162</v>
      </c>
      <c r="S243" s="6" t="s">
        <v>163</v>
      </c>
      <c r="T243" s="5" t="s">
        <v>162</v>
      </c>
      <c r="U243" s="5" t="s">
        <v>228</v>
      </c>
      <c r="V243" s="6" t="s">
        <v>9800</v>
      </c>
      <c r="W243" s="6" t="s">
        <v>166</v>
      </c>
      <c r="X243" s="6" t="s">
        <v>4586</v>
      </c>
      <c r="Y243" s="0" t="str">
        <f aca="false">IF(EB243&lt;&gt;"Y","",COUNTIFS($EB$2:$EB$1000,"Y",$J$2:$J$1000,"&gt;"&amp;J243)+COUNTIFS($EB$2:$EB$1000,"Y",$J$2:$J$1000,J243,$ED$2:$ED$1000,"&lt;"&amp;ED243)+1)</f>
        <v/>
      </c>
      <c r="AA243" s="6" t="s">
        <v>162</v>
      </c>
      <c r="AD243" s="6" t="s">
        <v>158</v>
      </c>
      <c r="AH243" s="6" t="s">
        <v>9801</v>
      </c>
      <c r="AI243" s="6" t="s">
        <v>5081</v>
      </c>
      <c r="AJ243" s="6" t="s">
        <v>9802</v>
      </c>
      <c r="AK243" s="6" t="s">
        <v>9803</v>
      </c>
      <c r="AL243" s="6" t="s">
        <v>168</v>
      </c>
      <c r="AM243" s="6" t="s">
        <v>9804</v>
      </c>
      <c r="AN243" s="6" t="s">
        <v>9794</v>
      </c>
      <c r="AO243" s="5" t="s">
        <v>162</v>
      </c>
      <c r="AR243" s="0" t="str">
        <f aca="false">IF(AND(AU243="pass",AO243&lt;&gt;"Y",C243&lt;&gt;""),"Y","N")</f>
        <v>N</v>
      </c>
      <c r="AS243" s="0" t="str">
        <f aca="false">_xlfn.TEXTJOIN("; ",TRUE(),IF(AU243&lt;&gt;"pass","gated out",""),IF(AO243="Y","on hold: "&amp;AP243,""),IF(C243="","no contact named on an opened page",""))</f>
        <v>gated out; no contact named on an opened page</v>
      </c>
      <c r="AU243" s="6" t="s">
        <v>3704</v>
      </c>
      <c r="AV243" s="6" t="s">
        <v>9764</v>
      </c>
      <c r="AW243" s="6" t="s">
        <v>9805</v>
      </c>
      <c r="AX243" s="6" t="s">
        <v>5974</v>
      </c>
      <c r="AY243" s="6" t="s">
        <v>9803</v>
      </c>
      <c r="AZ243" s="6" t="s">
        <v>6691</v>
      </c>
      <c r="BA243" s="6" t="s">
        <v>5193</v>
      </c>
      <c r="BB243" s="6" t="s">
        <v>9806</v>
      </c>
      <c r="BD243" s="6" t="s">
        <v>264</v>
      </c>
      <c r="BE243" s="6" t="s">
        <v>9807</v>
      </c>
      <c r="BF243" s="6" t="s">
        <v>168</v>
      </c>
      <c r="BG243" s="6" t="s">
        <v>168</v>
      </c>
      <c r="BH243" s="6" t="s">
        <v>163</v>
      </c>
      <c r="BJ243" s="6" t="s">
        <v>163</v>
      </c>
      <c r="BK243" s="6" t="s">
        <v>162</v>
      </c>
      <c r="BL243" s="6" t="s">
        <v>168</v>
      </c>
      <c r="BM243" s="6" t="s">
        <v>9808</v>
      </c>
      <c r="BN243" s="0" t="n">
        <v>0</v>
      </c>
      <c r="BO243" s="6" t="s">
        <v>168</v>
      </c>
      <c r="BP243" s="0" t="n">
        <v>3</v>
      </c>
      <c r="BQ243" s="6" t="s">
        <v>4670</v>
      </c>
      <c r="BS243" s="6" t="s">
        <v>4693</v>
      </c>
      <c r="BT243" s="6" t="s">
        <v>9809</v>
      </c>
      <c r="BU243" s="6" t="s">
        <v>4695</v>
      </c>
      <c r="BV243" s="0" t="n">
        <v>100</v>
      </c>
      <c r="CF243" s="6" t="s">
        <v>158</v>
      </c>
      <c r="CK243" s="6" t="s">
        <v>158</v>
      </c>
      <c r="CL243" s="0" t="n">
        <v>42</v>
      </c>
      <c r="CM243" s="0" t="n">
        <v>25</v>
      </c>
      <c r="CN243" s="0" t="n">
        <v>8</v>
      </c>
      <c r="CO243" s="0" t="n">
        <v>8</v>
      </c>
      <c r="CP243" s="0" t="n">
        <v>5</v>
      </c>
      <c r="CQ243" s="0" t="n">
        <v>8</v>
      </c>
      <c r="CR243" s="0" t="n">
        <v>0</v>
      </c>
      <c r="CS243" s="6" t="n">
        <f aca="false">IF(R243="Y",10,0)</f>
        <v>0</v>
      </c>
      <c r="CT243" s="0" t="n">
        <v>-12</v>
      </c>
      <c r="CU243" s="6" t="s">
        <v>9810</v>
      </c>
      <c r="CV243" s="6" t="s">
        <v>4704</v>
      </c>
      <c r="CW243" s="6" t="s">
        <v>9811</v>
      </c>
      <c r="CX243" s="6" t="s">
        <v>9812</v>
      </c>
      <c r="CY243" s="6" t="s">
        <v>9813</v>
      </c>
      <c r="DA243" s="6" t="s">
        <v>6236</v>
      </c>
      <c r="DY243" s="0" t="str">
        <f aca="false">IF(ISNUMBER(MATCH(U243,{"queued","contacted","replied","call_booked","call_done","yes_in_principle","materials_sent"},0)),"Y","N")</f>
        <v>N</v>
      </c>
      <c r="DZ243" s="0" t="str">
        <f aca="false">IF(COUNTIFS($AN$2:$AN$1000,AN243,$DY$2:$DY$1000,"Y")+COUNTIFS($AN$2:$AN$1000,AN243,$T$2:$T$1000,"Y")&gt;0,"Y","N")</f>
        <v>N</v>
      </c>
      <c r="EA243" s="0" t="str">
        <f aca="false">IF(AND(U243="new",T243="N",AR243="Y",AQ243="",DZ243="N"),"Y","N")</f>
        <v>N</v>
      </c>
      <c r="EB243" s="0" t="str">
        <f aca="false">IF(EA243&lt;&gt;"Y","N",IF(COUNTIFS($AN$2:$AN$1000,AN243,$EA$2:$EA$1000,"Y",$J$2:$J$1000,"&gt;"&amp;J243)+COUNTIFS($AN$2:$AN$1000,AN243,$EA$2:$EA$1000,"Y",$J$2:$J$1000,J243,$ED$2:$ED$1000,"&lt;"&amp;ED243)=0,"Y","N"))</f>
        <v>N</v>
      </c>
      <c r="EC243" s="0" t="str">
        <f aca="false">IF(Y243="","N",IF(Y243&lt;=10,"Y","N"))</f>
        <v>N</v>
      </c>
      <c r="ED243" s="6" t="n">
        <f aca="false">ROW()-1</f>
        <v>242</v>
      </c>
    </row>
    <row r="244" customFormat="false" ht="15" hidden="false" customHeight="false" outlineLevel="0" collapsed="false">
      <c r="A244" s="0" t="s">
        <v>9814</v>
      </c>
      <c r="B244" s="0" t="s">
        <v>9815</v>
      </c>
      <c r="C244" s="0" t="s">
        <v>9816</v>
      </c>
      <c r="D244" s="0" t="s">
        <v>163</v>
      </c>
      <c r="E244" s="0" t="s">
        <v>4626</v>
      </c>
      <c r="H244" s="5" t="s">
        <v>158</v>
      </c>
      <c r="I244" s="5" t="s">
        <v>159</v>
      </c>
      <c r="J244" s="6" t="n">
        <f aca="false">IF(AU244="pass",CM244+CN244+CO244+CP244+CQ244+CR244+CS244+CT244,0)</f>
        <v>0</v>
      </c>
      <c r="K244" s="6" t="s">
        <v>9817</v>
      </c>
      <c r="M244" s="6" t="s">
        <v>4581</v>
      </c>
      <c r="N244" s="6" t="s">
        <v>4582</v>
      </c>
      <c r="O244" s="6" t="s">
        <v>9818</v>
      </c>
      <c r="P244" s="6" t="s">
        <v>9819</v>
      </c>
      <c r="Q244" s="6" t="s">
        <v>4823</v>
      </c>
      <c r="R244" s="5" t="s">
        <v>162</v>
      </c>
      <c r="S244" s="6" t="s">
        <v>163</v>
      </c>
      <c r="T244" s="5" t="s">
        <v>162</v>
      </c>
      <c r="U244" s="5" t="s">
        <v>228</v>
      </c>
      <c r="V244" s="6" t="s">
        <v>9820</v>
      </c>
      <c r="W244" s="6" t="s">
        <v>166</v>
      </c>
      <c r="X244" s="6" t="s">
        <v>4586</v>
      </c>
      <c r="Y244" s="0" t="str">
        <f aca="false">IF(EB244&lt;&gt;"Y","",COUNTIFS($EB$2:$EB$1000,"Y",$J$2:$J$1000,"&gt;"&amp;J244)+COUNTIFS($EB$2:$EB$1000,"Y",$J$2:$J$1000,J244,$ED$2:$ED$1000,"&lt;"&amp;ED244)+1)</f>
        <v/>
      </c>
      <c r="AA244" s="6" t="s">
        <v>162</v>
      </c>
      <c r="AC244" s="6" t="s">
        <v>4588</v>
      </c>
      <c r="AD244" s="6" t="s">
        <v>5010</v>
      </c>
      <c r="AE244" s="6" t="s">
        <v>172</v>
      </c>
      <c r="AF244" s="6" t="s">
        <v>9821</v>
      </c>
      <c r="AG244" s="6" t="s">
        <v>174</v>
      </c>
      <c r="AH244" s="6" t="s">
        <v>9822</v>
      </c>
      <c r="AI244" s="6" t="s">
        <v>4665</v>
      </c>
      <c r="AJ244" s="6" t="s">
        <v>9093</v>
      </c>
      <c r="AK244" s="6" t="s">
        <v>9823</v>
      </c>
      <c r="AL244" s="6" t="s">
        <v>168</v>
      </c>
      <c r="AM244" s="6" t="s">
        <v>9824</v>
      </c>
      <c r="AN244" s="6" t="s">
        <v>9814</v>
      </c>
      <c r="AO244" s="5" t="s">
        <v>162</v>
      </c>
      <c r="AR244" s="0" t="str">
        <f aca="false">IF(AND(AU244="pass",AO244&lt;&gt;"Y",C244&lt;&gt;""),"Y","N")</f>
        <v>N</v>
      </c>
      <c r="AS244" s="0" t="str">
        <f aca="false">_xlfn.TEXTJOIN("; ",TRUE(),IF(AU244&lt;&gt;"pass","gated out",""),IF(AO244="Y","on hold: "&amp;AP244,""),IF(C244="","no contact named on an opened page",""))</f>
        <v>gated out</v>
      </c>
      <c r="AU244" s="6" t="s">
        <v>3704</v>
      </c>
      <c r="AV244" s="6" t="s">
        <v>9764</v>
      </c>
      <c r="AW244" s="6" t="s">
        <v>9825</v>
      </c>
      <c r="AX244" s="6" t="s">
        <v>4595</v>
      </c>
      <c r="AY244" s="6" t="s">
        <v>9823</v>
      </c>
      <c r="AZ244" s="6" t="s">
        <v>5875</v>
      </c>
      <c r="BA244" s="6" t="s">
        <v>5331</v>
      </c>
      <c r="BB244" s="6" t="s">
        <v>163</v>
      </c>
      <c r="BD244" s="6" t="s">
        <v>168</v>
      </c>
      <c r="BE244" s="6" t="s">
        <v>9826</v>
      </c>
      <c r="BF244" s="6" t="s">
        <v>168</v>
      </c>
      <c r="BG244" s="6" t="s">
        <v>168</v>
      </c>
      <c r="BH244" s="6" t="s">
        <v>163</v>
      </c>
      <c r="BJ244" s="6" t="s">
        <v>163</v>
      </c>
      <c r="BK244" s="6" t="s">
        <v>162</v>
      </c>
      <c r="BL244" s="6" t="s">
        <v>168</v>
      </c>
      <c r="BM244" s="6" t="s">
        <v>9827</v>
      </c>
      <c r="BN244" s="0" t="n">
        <v>0</v>
      </c>
      <c r="BO244" s="6" t="s">
        <v>168</v>
      </c>
      <c r="BP244" s="0" t="n">
        <v>3</v>
      </c>
      <c r="BQ244" s="6" t="s">
        <v>4670</v>
      </c>
      <c r="BS244" s="6" t="s">
        <v>9828</v>
      </c>
      <c r="BT244" s="6" t="s">
        <v>9829</v>
      </c>
      <c r="BU244" s="6" t="s">
        <v>4695</v>
      </c>
      <c r="BV244" s="0" t="n">
        <v>12</v>
      </c>
      <c r="BX244" s="6" t="s">
        <v>9816</v>
      </c>
      <c r="BY244" s="6" t="s">
        <v>9830</v>
      </c>
      <c r="CA244" s="6" t="s">
        <v>6563</v>
      </c>
      <c r="CB244" s="6" t="s">
        <v>6563</v>
      </c>
      <c r="CC244" s="6" t="s">
        <v>163</v>
      </c>
      <c r="CD244" s="6" t="s">
        <v>4626</v>
      </c>
      <c r="CE244" s="6" t="s">
        <v>4810</v>
      </c>
      <c r="CF244" s="6" t="s">
        <v>5010</v>
      </c>
      <c r="CG244" s="6" t="s">
        <v>9831</v>
      </c>
      <c r="CK244" s="6" t="s">
        <v>158</v>
      </c>
      <c r="CL244" s="0" t="n">
        <v>50</v>
      </c>
      <c r="CM244" s="0" t="n">
        <v>25</v>
      </c>
      <c r="CN244" s="0" t="n">
        <v>3</v>
      </c>
      <c r="CO244" s="0" t="n">
        <v>8</v>
      </c>
      <c r="CP244" s="0" t="n">
        <v>5</v>
      </c>
      <c r="CQ244" s="0" t="n">
        <v>10</v>
      </c>
      <c r="CR244" s="0" t="n">
        <v>3</v>
      </c>
      <c r="CS244" s="6" t="n">
        <f aca="false">IF(R244="Y",10,0)</f>
        <v>0</v>
      </c>
      <c r="CT244" s="0" t="n">
        <v>-4</v>
      </c>
      <c r="CU244" s="6" t="s">
        <v>9832</v>
      </c>
      <c r="CV244" s="6" t="s">
        <v>4704</v>
      </c>
      <c r="CW244" s="6" t="s">
        <v>9833</v>
      </c>
      <c r="CX244" s="6" t="s">
        <v>9834</v>
      </c>
      <c r="CY244" s="6" t="s">
        <v>9835</v>
      </c>
      <c r="CZ244" s="6" t="s">
        <v>9821</v>
      </c>
      <c r="DA244" s="6" t="s">
        <v>5914</v>
      </c>
      <c r="DC244" s="6" t="s">
        <v>172</v>
      </c>
      <c r="DY244" s="0" t="str">
        <f aca="false">IF(ISNUMBER(MATCH(U244,{"queued","contacted","replied","call_booked","call_done","yes_in_principle","materials_sent"},0)),"Y","N")</f>
        <v>N</v>
      </c>
      <c r="DZ244" s="0" t="str">
        <f aca="false">IF(COUNTIFS($AN$2:$AN$1000,AN244,$DY$2:$DY$1000,"Y")+COUNTIFS($AN$2:$AN$1000,AN244,$T$2:$T$1000,"Y")&gt;0,"Y","N")</f>
        <v>N</v>
      </c>
      <c r="EA244" s="0" t="str">
        <f aca="false">IF(AND(U244="new",T244="N",AR244="Y",AQ244="",DZ244="N"),"Y","N")</f>
        <v>N</v>
      </c>
      <c r="EB244" s="0" t="str">
        <f aca="false">IF(EA244&lt;&gt;"Y","N",IF(COUNTIFS($AN$2:$AN$1000,AN244,$EA$2:$EA$1000,"Y",$J$2:$J$1000,"&gt;"&amp;J244)+COUNTIFS($AN$2:$AN$1000,AN244,$EA$2:$EA$1000,"Y",$J$2:$J$1000,J244,$ED$2:$ED$1000,"&lt;"&amp;ED244)=0,"Y","N"))</f>
        <v>N</v>
      </c>
      <c r="EC244" s="0" t="str">
        <f aca="false">IF(Y244="","N",IF(Y244&lt;=10,"Y","N"))</f>
        <v>N</v>
      </c>
      <c r="ED244" s="6" t="n">
        <f aca="false">ROW()-1</f>
        <v>243</v>
      </c>
    </row>
    <row r="245" customFormat="false" ht="15" hidden="false" customHeight="false" outlineLevel="0" collapsed="false">
      <c r="A245" s="0" t="s">
        <v>9836</v>
      </c>
      <c r="B245" s="0" t="s">
        <v>9837</v>
      </c>
      <c r="H245" s="5" t="s">
        <v>158</v>
      </c>
      <c r="I245" s="5"/>
      <c r="J245" s="6" t="n">
        <f aca="false">IF(AU245="pass",CM245+CN245+CO245+CP245+CQ245+CR245+CS245+CT245,0)</f>
        <v>0</v>
      </c>
      <c r="K245" s="6" t="s">
        <v>9838</v>
      </c>
      <c r="M245" s="6" t="s">
        <v>4581</v>
      </c>
      <c r="N245" s="6" t="s">
        <v>4582</v>
      </c>
      <c r="R245" s="5" t="s">
        <v>162</v>
      </c>
      <c r="S245" s="6" t="s">
        <v>163</v>
      </c>
      <c r="T245" s="5" t="s">
        <v>162</v>
      </c>
      <c r="U245" s="5" t="s">
        <v>228</v>
      </c>
      <c r="V245" s="6" t="s">
        <v>9839</v>
      </c>
      <c r="W245" s="6" t="s">
        <v>166</v>
      </c>
      <c r="X245" s="6" t="s">
        <v>4586</v>
      </c>
      <c r="Y245" s="0" t="str">
        <f aca="false">IF(EB245&lt;&gt;"Y","",COUNTIFS($EB$2:$EB$1000,"Y",$J$2:$J$1000,"&gt;"&amp;J245)+COUNTIFS($EB$2:$EB$1000,"Y",$J$2:$J$1000,J245,$ED$2:$ED$1000,"&lt;"&amp;ED245)+1)</f>
        <v/>
      </c>
      <c r="AA245" s="6" t="s">
        <v>162</v>
      </c>
      <c r="AC245" s="6" t="s">
        <v>4588</v>
      </c>
      <c r="AD245" s="6" t="s">
        <v>598</v>
      </c>
      <c r="AE245" s="6" t="s">
        <v>172</v>
      </c>
      <c r="AF245" s="6" t="s">
        <v>9839</v>
      </c>
      <c r="AG245" s="6" t="s">
        <v>166</v>
      </c>
      <c r="AH245" s="6" t="s">
        <v>9840</v>
      </c>
      <c r="AI245" s="6" t="s">
        <v>4591</v>
      </c>
      <c r="AJ245" s="6" t="s">
        <v>9841</v>
      </c>
      <c r="AK245" s="6" t="s">
        <v>9842</v>
      </c>
      <c r="AL245" s="6" t="s">
        <v>168</v>
      </c>
      <c r="AM245" s="6" t="s">
        <v>9843</v>
      </c>
      <c r="AN245" s="6" t="s">
        <v>9836</v>
      </c>
      <c r="AO245" s="5" t="s">
        <v>162</v>
      </c>
      <c r="AR245" s="0" t="str">
        <f aca="false">IF(AND(AU245="pass",AO245&lt;&gt;"Y",C245&lt;&gt;""),"Y","N")</f>
        <v>N</v>
      </c>
      <c r="AS245" s="0" t="str">
        <f aca="false">_xlfn.TEXTJOIN("; ",TRUE(),IF(AU245&lt;&gt;"pass","gated out",""),IF(AO245="Y","on hold: "&amp;AP245,""),IF(C245="","no contact named on an opened page",""))</f>
        <v>gated out; no contact named on an opened page</v>
      </c>
      <c r="AU245" s="6" t="s">
        <v>3704</v>
      </c>
      <c r="AV245" s="6" t="s">
        <v>9764</v>
      </c>
      <c r="AW245" s="6" t="s">
        <v>9844</v>
      </c>
      <c r="AX245" s="6" t="s">
        <v>4595</v>
      </c>
      <c r="AY245" s="6" t="s">
        <v>9842</v>
      </c>
      <c r="AZ245" s="6" t="s">
        <v>9845</v>
      </c>
      <c r="BA245" s="6" t="s">
        <v>4597</v>
      </c>
      <c r="BB245" s="6" t="s">
        <v>163</v>
      </c>
      <c r="BD245" s="6" t="s">
        <v>163</v>
      </c>
      <c r="BE245" s="6" t="s">
        <v>9846</v>
      </c>
      <c r="BF245" s="6" t="s">
        <v>168</v>
      </c>
      <c r="BG245" s="6" t="s">
        <v>168</v>
      </c>
      <c r="BH245" s="6" t="s">
        <v>163</v>
      </c>
      <c r="BJ245" s="6" t="s">
        <v>163</v>
      </c>
      <c r="BK245" s="6" t="s">
        <v>168</v>
      </c>
      <c r="BL245" s="6" t="s">
        <v>168</v>
      </c>
      <c r="BM245" s="6" t="s">
        <v>9847</v>
      </c>
      <c r="BN245" s="0" t="n">
        <v>0</v>
      </c>
      <c r="BO245" s="6" t="s">
        <v>168</v>
      </c>
      <c r="BP245" s="0" t="n">
        <v>3</v>
      </c>
      <c r="BQ245" s="6" t="s">
        <v>4670</v>
      </c>
      <c r="BR245" s="6" t="s">
        <v>4671</v>
      </c>
      <c r="BS245" s="6" t="s">
        <v>7415</v>
      </c>
      <c r="BT245" s="6" t="s">
        <v>9848</v>
      </c>
      <c r="BU245" s="6" t="s">
        <v>158</v>
      </c>
      <c r="BX245" s="6" t="s">
        <v>5103</v>
      </c>
      <c r="BY245" s="6" t="s">
        <v>9849</v>
      </c>
      <c r="CA245" s="6" t="s">
        <v>6779</v>
      </c>
      <c r="CE245" s="6" t="s">
        <v>6725</v>
      </c>
      <c r="CF245" s="6" t="s">
        <v>598</v>
      </c>
      <c r="CG245" s="6" t="s">
        <v>9849</v>
      </c>
      <c r="CK245" s="6" t="s">
        <v>158</v>
      </c>
      <c r="CL245" s="0" t="n">
        <v>56</v>
      </c>
      <c r="CM245" s="0" t="n">
        <v>25</v>
      </c>
      <c r="CN245" s="0" t="n">
        <v>20</v>
      </c>
      <c r="CO245" s="0" t="n">
        <v>0</v>
      </c>
      <c r="CP245" s="0" t="n">
        <v>5</v>
      </c>
      <c r="CQ245" s="0" t="n">
        <v>7</v>
      </c>
      <c r="CR245" s="0" t="n">
        <v>3</v>
      </c>
      <c r="CS245" s="6" t="n">
        <f aca="false">IF(R245="Y",10,0)</f>
        <v>0</v>
      </c>
      <c r="CT245" s="0" t="n">
        <v>-4</v>
      </c>
      <c r="CV245" s="6" t="s">
        <v>4616</v>
      </c>
      <c r="CW245" s="6" t="s">
        <v>9850</v>
      </c>
      <c r="CX245" s="6" t="s">
        <v>9851</v>
      </c>
      <c r="CZ245" s="6" t="s">
        <v>9839</v>
      </c>
      <c r="DA245" s="6" t="s">
        <v>6236</v>
      </c>
      <c r="DC245" s="6" t="s">
        <v>172</v>
      </c>
      <c r="DY245" s="0" t="str">
        <f aca="false">IF(ISNUMBER(MATCH(U245,{"queued","contacted","replied","call_booked","call_done","yes_in_principle","materials_sent"},0)),"Y","N")</f>
        <v>N</v>
      </c>
      <c r="DZ245" s="0" t="str">
        <f aca="false">IF(COUNTIFS($AN$2:$AN$1000,AN245,$DY$2:$DY$1000,"Y")+COUNTIFS($AN$2:$AN$1000,AN245,$T$2:$T$1000,"Y")&gt;0,"Y","N")</f>
        <v>N</v>
      </c>
      <c r="EA245" s="0" t="str">
        <f aca="false">IF(AND(U245="new",T245="N",AR245="Y",AQ245="",DZ245="N"),"Y","N")</f>
        <v>N</v>
      </c>
      <c r="EB245" s="0" t="str">
        <f aca="false">IF(EA245&lt;&gt;"Y","N",IF(COUNTIFS($AN$2:$AN$1000,AN245,$EA$2:$EA$1000,"Y",$J$2:$J$1000,"&gt;"&amp;J245)+COUNTIFS($AN$2:$AN$1000,AN245,$EA$2:$EA$1000,"Y",$J$2:$J$1000,J245,$ED$2:$ED$1000,"&lt;"&amp;ED245)=0,"Y","N"))</f>
        <v>N</v>
      </c>
      <c r="EC245" s="0" t="str">
        <f aca="false">IF(Y245="","N",IF(Y245&lt;=10,"Y","N"))</f>
        <v>N</v>
      </c>
      <c r="ED245" s="6" t="n">
        <f aca="false">ROW()-1</f>
        <v>244</v>
      </c>
    </row>
    <row r="246" customFormat="false" ht="15" hidden="false" customHeight="false" outlineLevel="0" collapsed="false">
      <c r="A246" s="0" t="s">
        <v>9852</v>
      </c>
      <c r="B246" s="0" t="s">
        <v>9853</v>
      </c>
      <c r="C246" s="0" t="s">
        <v>6845</v>
      </c>
      <c r="D246" s="0" t="s">
        <v>9854</v>
      </c>
      <c r="E246" s="0" t="s">
        <v>4773</v>
      </c>
      <c r="H246" s="5" t="s">
        <v>158</v>
      </c>
      <c r="I246" s="5" t="s">
        <v>159</v>
      </c>
      <c r="J246" s="6" t="n">
        <f aca="false">IF(AU246="pass",CM246+CN246+CO246+CP246+CQ246+CR246+CS246+CT246,0)</f>
        <v>0</v>
      </c>
      <c r="K246" s="6" t="s">
        <v>9855</v>
      </c>
      <c r="M246" s="6" t="s">
        <v>4581</v>
      </c>
      <c r="N246" s="6" t="s">
        <v>4582</v>
      </c>
      <c r="O246" s="6" t="s">
        <v>9856</v>
      </c>
      <c r="Q246" s="6" t="s">
        <v>5026</v>
      </c>
      <c r="R246" s="5" t="s">
        <v>162</v>
      </c>
      <c r="S246" s="6" t="s">
        <v>168</v>
      </c>
      <c r="T246" s="5" t="s">
        <v>162</v>
      </c>
      <c r="U246" s="5" t="s">
        <v>228</v>
      </c>
      <c r="V246" s="6" t="s">
        <v>9857</v>
      </c>
      <c r="W246" s="6" t="s">
        <v>166</v>
      </c>
      <c r="X246" s="6" t="s">
        <v>4586</v>
      </c>
      <c r="Y246" s="0" t="str">
        <f aca="false">IF(EB246&lt;&gt;"Y","",COUNTIFS($EB$2:$EB$1000,"Y",$J$2:$J$1000,"&gt;"&amp;J246)+COUNTIFS($EB$2:$EB$1000,"Y",$J$2:$J$1000,J246,$ED$2:$ED$1000,"&lt;"&amp;ED246)+1)</f>
        <v/>
      </c>
      <c r="AA246" s="6" t="s">
        <v>162</v>
      </c>
      <c r="AC246" s="6" t="s">
        <v>4588</v>
      </c>
      <c r="AD246" s="6" t="s">
        <v>171</v>
      </c>
      <c r="AE246" s="6" t="s">
        <v>172</v>
      </c>
      <c r="AF246" s="6" t="s">
        <v>9858</v>
      </c>
      <c r="AG246" s="6" t="s">
        <v>166</v>
      </c>
      <c r="AH246" s="6" t="s">
        <v>9859</v>
      </c>
      <c r="AI246" s="6" t="s">
        <v>4977</v>
      </c>
      <c r="AJ246" s="6" t="s">
        <v>9860</v>
      </c>
      <c r="AK246" s="6" t="s">
        <v>9861</v>
      </c>
      <c r="AL246" s="6" t="s">
        <v>168</v>
      </c>
      <c r="AM246" s="6" t="s">
        <v>9862</v>
      </c>
      <c r="AN246" s="6" t="s">
        <v>9852</v>
      </c>
      <c r="AO246" s="5" t="s">
        <v>162</v>
      </c>
      <c r="AR246" s="0" t="str">
        <f aca="false">IF(AND(AU246="pass",AO246&lt;&gt;"Y",C246&lt;&gt;""),"Y","N")</f>
        <v>N</v>
      </c>
      <c r="AS246" s="0" t="str">
        <f aca="false">_xlfn.TEXTJOIN("; ",TRUE(),IF(AU246&lt;&gt;"pass","gated out",""),IF(AO246="Y","on hold: "&amp;AP246,""),IF(C246="","no contact named on an opened page",""))</f>
        <v>gated out</v>
      </c>
      <c r="AU246" s="6" t="s">
        <v>3704</v>
      </c>
      <c r="AV246" s="6" t="s">
        <v>9764</v>
      </c>
      <c r="AW246" s="6" t="s">
        <v>9863</v>
      </c>
      <c r="AX246" s="6" t="s">
        <v>4893</v>
      </c>
      <c r="AY246" s="6" t="s">
        <v>9864</v>
      </c>
      <c r="AZ246" s="6" t="s">
        <v>9865</v>
      </c>
      <c r="BA246" s="6" t="s">
        <v>5273</v>
      </c>
      <c r="BB246" s="6" t="s">
        <v>9866</v>
      </c>
      <c r="BD246" s="6" t="s">
        <v>168</v>
      </c>
      <c r="BE246" s="6" t="s">
        <v>9867</v>
      </c>
      <c r="BF246" s="6" t="s">
        <v>168</v>
      </c>
      <c r="BG246" s="6" t="s">
        <v>168</v>
      </c>
      <c r="BH246" s="6" t="s">
        <v>163</v>
      </c>
      <c r="BJ246" s="6" t="s">
        <v>163</v>
      </c>
      <c r="BK246" s="6" t="s">
        <v>168</v>
      </c>
      <c r="BL246" s="6" t="s">
        <v>168</v>
      </c>
      <c r="BM246" s="6" t="s">
        <v>9868</v>
      </c>
      <c r="BN246" s="0" t="n">
        <v>0</v>
      </c>
      <c r="BO246" s="6" t="s">
        <v>168</v>
      </c>
      <c r="BP246" s="0" t="n">
        <v>3</v>
      </c>
      <c r="BQ246" s="6" t="s">
        <v>4670</v>
      </c>
      <c r="BR246" s="6" t="s">
        <v>4671</v>
      </c>
      <c r="BS246" s="6" t="s">
        <v>4983</v>
      </c>
      <c r="BT246" s="6" t="s">
        <v>9869</v>
      </c>
      <c r="BU246" s="6" t="s">
        <v>598</v>
      </c>
      <c r="BV246" s="0" t="n">
        <v>158</v>
      </c>
      <c r="BW246" s="6" t="s">
        <v>9870</v>
      </c>
      <c r="BX246" s="6" t="s">
        <v>9871</v>
      </c>
      <c r="CF246" s="6" t="s">
        <v>158</v>
      </c>
      <c r="CK246" s="6" t="s">
        <v>158</v>
      </c>
      <c r="CL246" s="0" t="n">
        <v>51</v>
      </c>
      <c r="CM246" s="0" t="n">
        <v>25</v>
      </c>
      <c r="CN246" s="0" t="n">
        <v>17</v>
      </c>
      <c r="CO246" s="0" t="n">
        <v>0</v>
      </c>
      <c r="CP246" s="0" t="n">
        <v>5</v>
      </c>
      <c r="CQ246" s="0" t="n">
        <v>10</v>
      </c>
      <c r="CR246" s="0" t="n">
        <v>6</v>
      </c>
      <c r="CS246" s="6" t="n">
        <f aca="false">IF(R246="Y",10,0)</f>
        <v>0</v>
      </c>
      <c r="CT246" s="0" t="n">
        <v>-12</v>
      </c>
      <c r="CV246" s="6" t="s">
        <v>4616</v>
      </c>
      <c r="CW246" s="6" t="s">
        <v>9872</v>
      </c>
      <c r="CX246" s="6" t="s">
        <v>9873</v>
      </c>
      <c r="DA246" s="6" t="s">
        <v>6236</v>
      </c>
      <c r="DY246" s="0" t="str">
        <f aca="false">IF(ISNUMBER(MATCH(U246,{"queued","contacted","replied","call_booked","call_done","yes_in_principle","materials_sent"},0)),"Y","N")</f>
        <v>N</v>
      </c>
      <c r="DZ246" s="0" t="str">
        <f aca="false">IF(COUNTIFS($AN$2:$AN$1000,AN246,$DY$2:$DY$1000,"Y")+COUNTIFS($AN$2:$AN$1000,AN246,$T$2:$T$1000,"Y")&gt;0,"Y","N")</f>
        <v>N</v>
      </c>
      <c r="EA246" s="0" t="str">
        <f aca="false">IF(AND(U246="new",T246="N",AR246="Y",AQ246="",DZ246="N"),"Y","N")</f>
        <v>N</v>
      </c>
      <c r="EB246" s="0" t="str">
        <f aca="false">IF(EA246&lt;&gt;"Y","N",IF(COUNTIFS($AN$2:$AN$1000,AN246,$EA$2:$EA$1000,"Y",$J$2:$J$1000,"&gt;"&amp;J246)+COUNTIFS($AN$2:$AN$1000,AN246,$EA$2:$EA$1000,"Y",$J$2:$J$1000,J246,$ED$2:$ED$1000,"&lt;"&amp;ED246)=0,"Y","N"))</f>
        <v>N</v>
      </c>
      <c r="EC246" s="0" t="str">
        <f aca="false">IF(Y246="","N",IF(Y246&lt;=10,"Y","N"))</f>
        <v>N</v>
      </c>
      <c r="ED246" s="6" t="n">
        <f aca="false">ROW()-1</f>
        <v>245</v>
      </c>
    </row>
    <row r="247" customFormat="false" ht="15" hidden="false" customHeight="false" outlineLevel="0" collapsed="false">
      <c r="A247" s="0" t="s">
        <v>9874</v>
      </c>
      <c r="B247" s="0" t="s">
        <v>9875</v>
      </c>
      <c r="C247" s="0" t="s">
        <v>9876</v>
      </c>
      <c r="D247" s="0" t="s">
        <v>9877</v>
      </c>
      <c r="E247" s="0" t="s">
        <v>4773</v>
      </c>
      <c r="H247" s="5" t="s">
        <v>158</v>
      </c>
      <c r="I247" s="5" t="s">
        <v>159</v>
      </c>
      <c r="J247" s="6" t="n">
        <f aca="false">IF(AU247="pass",CM247+CN247+CO247+CP247+CQ247+CR247+CS247+CT247,0)</f>
        <v>0</v>
      </c>
      <c r="K247" s="6" t="s">
        <v>9878</v>
      </c>
      <c r="M247" s="6" t="s">
        <v>4581</v>
      </c>
      <c r="N247" s="6" t="s">
        <v>4582</v>
      </c>
      <c r="R247" s="5" t="s">
        <v>162</v>
      </c>
      <c r="S247" s="6" t="s">
        <v>163</v>
      </c>
      <c r="T247" s="5" t="s">
        <v>162</v>
      </c>
      <c r="U247" s="5" t="s">
        <v>228</v>
      </c>
      <c r="V247" s="6" t="s">
        <v>9879</v>
      </c>
      <c r="W247" s="6" t="s">
        <v>166</v>
      </c>
      <c r="X247" s="6" t="s">
        <v>4586</v>
      </c>
      <c r="Y247" s="0" t="str">
        <f aca="false">IF(EB247&lt;&gt;"Y","",COUNTIFS($EB$2:$EB$1000,"Y",$J$2:$J$1000,"&gt;"&amp;J247)+COUNTIFS($EB$2:$EB$1000,"Y",$J$2:$J$1000,J247,$ED$2:$ED$1000,"&lt;"&amp;ED247)+1)</f>
        <v/>
      </c>
      <c r="AA247" s="6" t="s">
        <v>162</v>
      </c>
      <c r="AC247" s="6" t="s">
        <v>4588</v>
      </c>
      <c r="AD247" s="6" t="s">
        <v>171</v>
      </c>
      <c r="AE247" s="6" t="s">
        <v>172</v>
      </c>
      <c r="AF247" s="6" t="s">
        <v>9880</v>
      </c>
      <c r="AG247" s="6" t="s">
        <v>166</v>
      </c>
      <c r="AH247" s="6" t="s">
        <v>9881</v>
      </c>
      <c r="AI247" s="6" t="s">
        <v>4724</v>
      </c>
      <c r="AJ247" s="6" t="s">
        <v>9882</v>
      </c>
      <c r="AK247" s="6" t="s">
        <v>9883</v>
      </c>
      <c r="AL247" s="6" t="s">
        <v>168</v>
      </c>
      <c r="AM247" s="6" t="s">
        <v>9884</v>
      </c>
      <c r="AN247" s="6" t="s">
        <v>9874</v>
      </c>
      <c r="AO247" s="5" t="s">
        <v>162</v>
      </c>
      <c r="AR247" s="0" t="str">
        <f aca="false">IF(AND(AU247="pass",AO247&lt;&gt;"Y",C247&lt;&gt;""),"Y","N")</f>
        <v>N</v>
      </c>
      <c r="AS247" s="0" t="str">
        <f aca="false">_xlfn.TEXTJOIN("; ",TRUE(),IF(AU247&lt;&gt;"pass","gated out",""),IF(AO247="Y","on hold: "&amp;AP247,""),IF(C247="","no contact named on an opened page",""))</f>
        <v>gated out</v>
      </c>
      <c r="AU247" s="6" t="s">
        <v>3704</v>
      </c>
      <c r="AV247" s="6" t="s">
        <v>9885</v>
      </c>
      <c r="AW247" s="6" t="s">
        <v>9886</v>
      </c>
      <c r="AX247" s="6" t="s">
        <v>283</v>
      </c>
      <c r="AY247" s="6" t="s">
        <v>9883</v>
      </c>
      <c r="AZ247" s="6" t="s">
        <v>4596</v>
      </c>
      <c r="BA247" s="6" t="s">
        <v>4953</v>
      </c>
      <c r="BB247" s="6" t="s">
        <v>9887</v>
      </c>
      <c r="BD247" s="6" t="s">
        <v>162</v>
      </c>
      <c r="BE247" s="6" t="s">
        <v>9888</v>
      </c>
      <c r="BF247" s="6" t="s">
        <v>168</v>
      </c>
      <c r="BG247" s="6" t="s">
        <v>168</v>
      </c>
      <c r="BH247" s="6" t="s">
        <v>163</v>
      </c>
      <c r="BJ247" s="6" t="s">
        <v>163</v>
      </c>
      <c r="BK247" s="6" t="s">
        <v>162</v>
      </c>
      <c r="BL247" s="6" t="s">
        <v>168</v>
      </c>
      <c r="BM247" s="6" t="s">
        <v>9889</v>
      </c>
      <c r="BN247" s="0" t="n">
        <v>0</v>
      </c>
      <c r="BO247" s="6" t="s">
        <v>168</v>
      </c>
      <c r="BP247" s="0" t="n">
        <v>3</v>
      </c>
      <c r="BQ247" s="6" t="s">
        <v>4670</v>
      </c>
      <c r="BS247" s="6" t="s">
        <v>4693</v>
      </c>
      <c r="BT247" s="6" t="s">
        <v>9890</v>
      </c>
      <c r="BU247" s="6" t="s">
        <v>158</v>
      </c>
      <c r="BX247" s="6" t="s">
        <v>9891</v>
      </c>
      <c r="CF247" s="6" t="s">
        <v>158</v>
      </c>
      <c r="CK247" s="6" t="s">
        <v>158</v>
      </c>
      <c r="CL247" s="0" t="n">
        <v>53</v>
      </c>
      <c r="CM247" s="0" t="n">
        <v>25</v>
      </c>
      <c r="CN247" s="0" t="n">
        <v>13</v>
      </c>
      <c r="CO247" s="0" t="n">
        <v>0</v>
      </c>
      <c r="CP247" s="0" t="n">
        <v>5</v>
      </c>
      <c r="CQ247" s="0" t="n">
        <v>6</v>
      </c>
      <c r="CR247" s="0" t="n">
        <v>6</v>
      </c>
      <c r="CS247" s="6" t="n">
        <f aca="false">IF(R247="Y",10,0)</f>
        <v>0</v>
      </c>
      <c r="CT247" s="0" t="n">
        <v>-2</v>
      </c>
      <c r="CU247" s="6" t="s">
        <v>9892</v>
      </c>
      <c r="CV247" s="6" t="s">
        <v>4704</v>
      </c>
      <c r="CW247" s="6" t="s">
        <v>9893</v>
      </c>
      <c r="CX247" s="6" t="s">
        <v>9894</v>
      </c>
      <c r="DA247" s="6" t="s">
        <v>6236</v>
      </c>
      <c r="DY247" s="0" t="str">
        <f aca="false">IF(ISNUMBER(MATCH(U247,{"queued","contacted","replied","call_booked","call_done","yes_in_principle","materials_sent"},0)),"Y","N")</f>
        <v>N</v>
      </c>
      <c r="DZ247" s="0" t="str">
        <f aca="false">IF(COUNTIFS($AN$2:$AN$1000,AN247,$DY$2:$DY$1000,"Y")+COUNTIFS($AN$2:$AN$1000,AN247,$T$2:$T$1000,"Y")&gt;0,"Y","N")</f>
        <v>N</v>
      </c>
      <c r="EA247" s="0" t="str">
        <f aca="false">IF(AND(U247="new",T247="N",AR247="Y",AQ247="",DZ247="N"),"Y","N")</f>
        <v>N</v>
      </c>
      <c r="EB247" s="0" t="str">
        <f aca="false">IF(EA247&lt;&gt;"Y","N",IF(COUNTIFS($AN$2:$AN$1000,AN247,$EA$2:$EA$1000,"Y",$J$2:$J$1000,"&gt;"&amp;J247)+COUNTIFS($AN$2:$AN$1000,AN247,$EA$2:$EA$1000,"Y",$J$2:$J$1000,J247,$ED$2:$ED$1000,"&lt;"&amp;ED247)=0,"Y","N"))</f>
        <v>N</v>
      </c>
      <c r="EC247" s="0" t="str">
        <f aca="false">IF(Y247="","N",IF(Y247&lt;=10,"Y","N"))</f>
        <v>N</v>
      </c>
      <c r="ED247" s="6" t="n">
        <f aca="false">ROW()-1</f>
        <v>246</v>
      </c>
    </row>
    <row r="248" customFormat="false" ht="15" hidden="false" customHeight="false" outlineLevel="0" collapsed="false">
      <c r="A248" s="0" t="s">
        <v>9895</v>
      </c>
      <c r="B248" s="0" t="s">
        <v>9896</v>
      </c>
      <c r="C248" s="0" t="s">
        <v>6981</v>
      </c>
      <c r="D248" s="0" t="s">
        <v>9897</v>
      </c>
      <c r="E248" s="0" t="s">
        <v>4626</v>
      </c>
      <c r="H248" s="5" t="s">
        <v>158</v>
      </c>
      <c r="I248" s="5" t="s">
        <v>159</v>
      </c>
      <c r="J248" s="6" t="n">
        <f aca="false">IF(AU248="pass",CM248+CN248+CO248+CP248+CQ248+CR248+CS248+CT248,0)</f>
        <v>0</v>
      </c>
      <c r="K248" s="6" t="s">
        <v>9898</v>
      </c>
      <c r="M248" s="6" t="s">
        <v>4581</v>
      </c>
      <c r="N248" s="6" t="s">
        <v>4582</v>
      </c>
      <c r="R248" s="5" t="s">
        <v>162</v>
      </c>
      <c r="S248" s="6" t="s">
        <v>163</v>
      </c>
      <c r="T248" s="5" t="s">
        <v>162</v>
      </c>
      <c r="U248" s="5" t="s">
        <v>228</v>
      </c>
      <c r="V248" s="6" t="s">
        <v>9899</v>
      </c>
      <c r="W248" s="6" t="s">
        <v>166</v>
      </c>
      <c r="X248" s="6" t="s">
        <v>4586</v>
      </c>
      <c r="Y248" s="0" t="str">
        <f aca="false">IF(EB248&lt;&gt;"Y","",COUNTIFS($EB$2:$EB$1000,"Y",$J$2:$J$1000,"&gt;"&amp;J248)+COUNTIFS($EB$2:$EB$1000,"Y",$J$2:$J$1000,J248,$ED$2:$ED$1000,"&lt;"&amp;ED248)+1)</f>
        <v/>
      </c>
      <c r="AA248" s="6" t="s">
        <v>162</v>
      </c>
      <c r="AC248" s="6" t="s">
        <v>4588</v>
      </c>
      <c r="AD248" s="6" t="s">
        <v>171</v>
      </c>
      <c r="AE248" s="6" t="s">
        <v>172</v>
      </c>
      <c r="AF248" s="6" t="s">
        <v>9899</v>
      </c>
      <c r="AG248" s="6" t="s">
        <v>166</v>
      </c>
      <c r="AH248" s="6" t="s">
        <v>9900</v>
      </c>
      <c r="AI248" s="6" t="s">
        <v>5655</v>
      </c>
      <c r="AJ248" s="6" t="s">
        <v>2955</v>
      </c>
      <c r="AK248" s="6" t="s">
        <v>9901</v>
      </c>
      <c r="AL248" s="6" t="s">
        <v>168</v>
      </c>
      <c r="AM248" s="6" t="s">
        <v>9902</v>
      </c>
      <c r="AN248" s="6" t="s">
        <v>9895</v>
      </c>
      <c r="AO248" s="5" t="s">
        <v>162</v>
      </c>
      <c r="AR248" s="0" t="str">
        <f aca="false">IF(AND(AU248="pass",AO248&lt;&gt;"Y",C248&lt;&gt;""),"Y","N")</f>
        <v>N</v>
      </c>
      <c r="AS248" s="0" t="str">
        <f aca="false">_xlfn.TEXTJOIN("; ",TRUE(),IF(AU248&lt;&gt;"pass","gated out",""),IF(AO248="Y","on hold: "&amp;AP248,""),IF(C248="","no contact named on an opened page",""))</f>
        <v>gated out</v>
      </c>
      <c r="AU248" s="6" t="s">
        <v>3704</v>
      </c>
      <c r="AV248" s="6" t="s">
        <v>9764</v>
      </c>
      <c r="AW248" s="6" t="s">
        <v>9903</v>
      </c>
      <c r="AX248" s="6" t="s">
        <v>5607</v>
      </c>
      <c r="AY248" s="6" t="s">
        <v>9901</v>
      </c>
      <c r="AZ248" s="6" t="s">
        <v>5659</v>
      </c>
      <c r="BA248" s="6" t="s">
        <v>5331</v>
      </c>
      <c r="BB248" s="6" t="s">
        <v>163</v>
      </c>
      <c r="BD248" s="6" t="s">
        <v>264</v>
      </c>
      <c r="BE248" s="6" t="s">
        <v>9904</v>
      </c>
      <c r="BF248" s="6" t="s">
        <v>163</v>
      </c>
      <c r="BG248" s="6" t="s">
        <v>168</v>
      </c>
      <c r="BH248" s="6" t="s">
        <v>163</v>
      </c>
      <c r="BJ248" s="6" t="s">
        <v>163</v>
      </c>
      <c r="BK248" s="6" t="s">
        <v>162</v>
      </c>
      <c r="BL248" s="6" t="s">
        <v>168</v>
      </c>
      <c r="BM248" s="6" t="s">
        <v>9905</v>
      </c>
      <c r="BN248" s="0" t="n">
        <v>0</v>
      </c>
      <c r="BO248" s="6" t="s">
        <v>168</v>
      </c>
      <c r="BP248" s="0" t="n">
        <v>3</v>
      </c>
      <c r="BQ248" s="6" t="s">
        <v>4670</v>
      </c>
      <c r="BS248" s="6" t="s">
        <v>9906</v>
      </c>
      <c r="BT248" s="6" t="s">
        <v>9907</v>
      </c>
      <c r="BU248" s="6" t="s">
        <v>158</v>
      </c>
      <c r="BX248" s="6" t="s">
        <v>9908</v>
      </c>
      <c r="CA248" s="6" t="s">
        <v>9909</v>
      </c>
      <c r="CB248" s="6" t="s">
        <v>9910</v>
      </c>
      <c r="CC248" s="6" t="s">
        <v>9911</v>
      </c>
      <c r="CD248" s="6" t="s">
        <v>4626</v>
      </c>
      <c r="CE248" s="6" t="s">
        <v>6725</v>
      </c>
      <c r="CF248" s="6" t="s">
        <v>171</v>
      </c>
      <c r="CK248" s="6" t="s">
        <v>158</v>
      </c>
      <c r="CL248" s="0" t="n">
        <v>33</v>
      </c>
      <c r="CM248" s="0" t="n">
        <v>25</v>
      </c>
      <c r="CN248" s="0" t="n">
        <v>3</v>
      </c>
      <c r="CO248" s="0" t="n">
        <v>0</v>
      </c>
      <c r="CP248" s="0" t="n">
        <v>5</v>
      </c>
      <c r="CQ248" s="0" t="n">
        <v>6</v>
      </c>
      <c r="CR248" s="0" t="n">
        <v>6</v>
      </c>
      <c r="CS248" s="6" t="n">
        <f aca="false">IF(R248="Y",10,0)</f>
        <v>0</v>
      </c>
      <c r="CT248" s="0" t="n">
        <v>-12</v>
      </c>
      <c r="CU248" s="6" t="s">
        <v>9912</v>
      </c>
      <c r="CV248" s="6" t="s">
        <v>4704</v>
      </c>
      <c r="CW248" s="6" t="s">
        <v>9913</v>
      </c>
      <c r="CX248" s="6" t="s">
        <v>9914</v>
      </c>
      <c r="CY248" s="6" t="s">
        <v>9915</v>
      </c>
      <c r="CZ248" s="6" t="s">
        <v>9899</v>
      </c>
      <c r="DA248" s="6" t="s">
        <v>6236</v>
      </c>
      <c r="DC248" s="6" t="s">
        <v>172</v>
      </c>
      <c r="DY248" s="0" t="str">
        <f aca="false">IF(ISNUMBER(MATCH(U248,{"queued","contacted","replied","call_booked","call_done","yes_in_principle","materials_sent"},0)),"Y","N")</f>
        <v>N</v>
      </c>
      <c r="DZ248" s="0" t="str">
        <f aca="false">IF(COUNTIFS($AN$2:$AN$1000,AN248,$DY$2:$DY$1000,"Y")+COUNTIFS($AN$2:$AN$1000,AN248,$T$2:$T$1000,"Y")&gt;0,"Y","N")</f>
        <v>N</v>
      </c>
      <c r="EA248" s="0" t="str">
        <f aca="false">IF(AND(U248="new",T248="N",AR248="Y",AQ248="",DZ248="N"),"Y","N")</f>
        <v>N</v>
      </c>
      <c r="EB248" s="0" t="str">
        <f aca="false">IF(EA248&lt;&gt;"Y","N",IF(COUNTIFS($AN$2:$AN$1000,AN248,$EA$2:$EA$1000,"Y",$J$2:$J$1000,"&gt;"&amp;J248)+COUNTIFS($AN$2:$AN$1000,AN248,$EA$2:$EA$1000,"Y",$J$2:$J$1000,J248,$ED$2:$ED$1000,"&lt;"&amp;ED248)=0,"Y","N"))</f>
        <v>N</v>
      </c>
      <c r="EC248" s="0" t="str">
        <f aca="false">IF(Y248="","N",IF(Y248&lt;=10,"Y","N"))</f>
        <v>N</v>
      </c>
      <c r="ED248" s="6" t="n">
        <f aca="false">ROW()-1</f>
        <v>247</v>
      </c>
    </row>
    <row r="249" customFormat="false" ht="15" hidden="false" customHeight="false" outlineLevel="0" collapsed="false">
      <c r="A249" s="0" t="s">
        <v>9916</v>
      </c>
      <c r="B249" s="0" t="s">
        <v>9917</v>
      </c>
      <c r="H249" s="5" t="s">
        <v>158</v>
      </c>
      <c r="I249" s="5"/>
      <c r="J249" s="6" t="n">
        <f aca="false">IF(AU249="pass",CM249+CN249+CO249+CP249+CQ249+CR249+CS249+CT249,0)</f>
        <v>0</v>
      </c>
      <c r="K249" s="6" t="s">
        <v>9918</v>
      </c>
      <c r="M249" s="6" t="s">
        <v>4581</v>
      </c>
      <c r="N249" s="6" t="s">
        <v>4582</v>
      </c>
      <c r="R249" s="5" t="s">
        <v>162</v>
      </c>
      <c r="S249" s="6" t="s">
        <v>163</v>
      </c>
      <c r="T249" s="5" t="s">
        <v>162</v>
      </c>
      <c r="U249" s="5" t="s">
        <v>228</v>
      </c>
      <c r="V249" s="6" t="s">
        <v>9919</v>
      </c>
      <c r="W249" s="6" t="s">
        <v>166</v>
      </c>
      <c r="X249" s="6" t="s">
        <v>4586</v>
      </c>
      <c r="Y249" s="0" t="str">
        <f aca="false">IF(EB249&lt;&gt;"Y","",COUNTIFS($EB$2:$EB$1000,"Y",$J$2:$J$1000,"&gt;"&amp;J249)+COUNTIFS($EB$2:$EB$1000,"Y",$J$2:$J$1000,J249,$ED$2:$ED$1000,"&lt;"&amp;ED249)+1)</f>
        <v/>
      </c>
      <c r="AA249" s="6" t="s">
        <v>162</v>
      </c>
      <c r="AD249" s="6" t="s">
        <v>158</v>
      </c>
      <c r="AH249" s="6" t="s">
        <v>9920</v>
      </c>
      <c r="AI249" s="6" t="s">
        <v>5926</v>
      </c>
      <c r="AJ249" s="6" t="s">
        <v>9921</v>
      </c>
      <c r="AL249" s="6" t="s">
        <v>168</v>
      </c>
      <c r="AM249" s="6" t="s">
        <v>4922</v>
      </c>
      <c r="AN249" s="6" t="s">
        <v>9916</v>
      </c>
      <c r="AO249" s="5" t="s">
        <v>162</v>
      </c>
      <c r="AR249" s="0" t="str">
        <f aca="false">IF(AND(AU249="pass",AO249&lt;&gt;"Y",C249&lt;&gt;""),"Y","N")</f>
        <v>N</v>
      </c>
      <c r="AS249" s="0" t="str">
        <f aca="false">_xlfn.TEXTJOIN("; ",TRUE(),IF(AU249&lt;&gt;"pass","gated out",""),IF(AO249="Y","on hold: "&amp;AP249,""),IF(C249="","no contact named on an opened page",""))</f>
        <v>gated out; no contact named on an opened page</v>
      </c>
      <c r="AU249" s="6" t="s">
        <v>3704</v>
      </c>
      <c r="AV249" s="6" t="s">
        <v>9922</v>
      </c>
      <c r="AW249" s="6" t="s">
        <v>9923</v>
      </c>
      <c r="AY249" s="6" t="s">
        <v>9924</v>
      </c>
      <c r="AZ249" s="6" t="s">
        <v>4596</v>
      </c>
      <c r="BA249" s="6" t="s">
        <v>4597</v>
      </c>
      <c r="BB249" s="6" t="s">
        <v>163</v>
      </c>
      <c r="BD249" s="6" t="s">
        <v>168</v>
      </c>
      <c r="BE249" s="6" t="s">
        <v>9925</v>
      </c>
      <c r="BF249" s="6" t="s">
        <v>168</v>
      </c>
      <c r="BG249" s="6" t="s">
        <v>163</v>
      </c>
      <c r="BH249" s="6" t="s">
        <v>163</v>
      </c>
      <c r="BJ249" s="6" t="s">
        <v>163</v>
      </c>
      <c r="BK249" s="6" t="s">
        <v>162</v>
      </c>
      <c r="BL249" s="6" t="s">
        <v>168</v>
      </c>
      <c r="BM249" s="6" t="s">
        <v>9926</v>
      </c>
      <c r="BN249" s="0" t="n">
        <v>0</v>
      </c>
      <c r="BO249" s="6" t="s">
        <v>168</v>
      </c>
      <c r="BP249" s="0" t="n">
        <v>2</v>
      </c>
      <c r="BQ249" s="6" t="s">
        <v>4783</v>
      </c>
      <c r="BS249" s="6" t="s">
        <v>9927</v>
      </c>
      <c r="BT249" s="6" t="s">
        <v>9928</v>
      </c>
      <c r="BU249" s="6" t="s">
        <v>158</v>
      </c>
      <c r="CF249" s="6" t="s">
        <v>158</v>
      </c>
      <c r="CK249" s="6" t="s">
        <v>158</v>
      </c>
      <c r="CL249" s="0" t="n">
        <v>58</v>
      </c>
      <c r="CM249" s="0" t="n">
        <v>25</v>
      </c>
      <c r="CN249" s="0" t="n">
        <v>20</v>
      </c>
      <c r="CO249" s="0" t="n">
        <v>0</v>
      </c>
      <c r="CP249" s="0" t="n">
        <v>5</v>
      </c>
      <c r="CQ249" s="0" t="n">
        <v>8</v>
      </c>
      <c r="CR249" s="0" t="n">
        <v>0</v>
      </c>
      <c r="CS249" s="6" t="n">
        <f aca="false">IF(R249="Y",10,0)</f>
        <v>0</v>
      </c>
      <c r="CT249" s="0" t="n">
        <v>0</v>
      </c>
      <c r="CV249" s="6" t="s">
        <v>4616</v>
      </c>
      <c r="CW249" s="6" t="s">
        <v>9929</v>
      </c>
      <c r="CX249" s="6" t="s">
        <v>9930</v>
      </c>
      <c r="DA249" s="6" t="s">
        <v>6236</v>
      </c>
      <c r="DY249" s="0" t="str">
        <f aca="false">IF(ISNUMBER(MATCH(U249,{"queued","contacted","replied","call_booked","call_done","yes_in_principle","materials_sent"},0)),"Y","N")</f>
        <v>N</v>
      </c>
      <c r="DZ249" s="0" t="str">
        <f aca="false">IF(COUNTIFS($AN$2:$AN$1000,AN249,$DY$2:$DY$1000,"Y")+COUNTIFS($AN$2:$AN$1000,AN249,$T$2:$T$1000,"Y")&gt;0,"Y","N")</f>
        <v>N</v>
      </c>
      <c r="EA249" s="0" t="str">
        <f aca="false">IF(AND(U249="new",T249="N",AR249="Y",AQ249="",DZ249="N"),"Y","N")</f>
        <v>N</v>
      </c>
      <c r="EB249" s="0" t="str">
        <f aca="false">IF(EA249&lt;&gt;"Y","N",IF(COUNTIFS($AN$2:$AN$1000,AN249,$EA$2:$EA$1000,"Y",$J$2:$J$1000,"&gt;"&amp;J249)+COUNTIFS($AN$2:$AN$1000,AN249,$EA$2:$EA$1000,"Y",$J$2:$J$1000,J249,$ED$2:$ED$1000,"&lt;"&amp;ED249)=0,"Y","N"))</f>
        <v>N</v>
      </c>
      <c r="EC249" s="0" t="str">
        <f aca="false">IF(Y249="","N",IF(Y249&lt;=10,"Y","N"))</f>
        <v>N</v>
      </c>
      <c r="ED249" s="6" t="n">
        <f aca="false">ROW()-1</f>
        <v>248</v>
      </c>
    </row>
    <row r="250" customFormat="false" ht="15" hidden="false" customHeight="false" outlineLevel="0" collapsed="false">
      <c r="A250" s="0" t="s">
        <v>9931</v>
      </c>
      <c r="B250" s="0" t="s">
        <v>9932</v>
      </c>
      <c r="H250" s="5" t="s">
        <v>158</v>
      </c>
      <c r="I250" s="5"/>
      <c r="J250" s="6" t="n">
        <f aca="false">IF(AU250="pass",CM250+CN250+CO250+CP250+CQ250+CR250+CS250+CT250,0)</f>
        <v>0</v>
      </c>
      <c r="K250" s="6" t="s">
        <v>9933</v>
      </c>
      <c r="M250" s="6" t="s">
        <v>9934</v>
      </c>
      <c r="N250" s="6" t="s">
        <v>5023</v>
      </c>
      <c r="O250" s="6" t="s">
        <v>9935</v>
      </c>
      <c r="P250" s="6" t="s">
        <v>9936</v>
      </c>
      <c r="Q250" s="6" t="s">
        <v>3103</v>
      </c>
      <c r="R250" s="5" t="s">
        <v>162</v>
      </c>
      <c r="S250" s="6" t="s">
        <v>163</v>
      </c>
      <c r="T250" s="5" t="s">
        <v>162</v>
      </c>
      <c r="U250" s="5" t="s">
        <v>228</v>
      </c>
      <c r="V250" s="6" t="s">
        <v>9937</v>
      </c>
      <c r="W250" s="6" t="s">
        <v>166</v>
      </c>
      <c r="X250" s="6" t="s">
        <v>4586</v>
      </c>
      <c r="Y250" s="0" t="str">
        <f aca="false">IF(EB250&lt;&gt;"Y","",COUNTIFS($EB$2:$EB$1000,"Y",$J$2:$J$1000,"&gt;"&amp;J250)+COUNTIFS($EB$2:$EB$1000,"Y",$J$2:$J$1000,J250,$ED$2:$ED$1000,"&lt;"&amp;ED250)+1)</f>
        <v/>
      </c>
      <c r="AA250" s="6" t="s">
        <v>162</v>
      </c>
      <c r="AD250" s="6" t="s">
        <v>158</v>
      </c>
      <c r="AH250" s="6" t="s">
        <v>9938</v>
      </c>
      <c r="AI250" s="6" t="s">
        <v>4591</v>
      </c>
      <c r="AJ250" s="6" t="s">
        <v>4635</v>
      </c>
      <c r="AK250" s="6" t="s">
        <v>9939</v>
      </c>
      <c r="AL250" s="6" t="s">
        <v>168</v>
      </c>
      <c r="AM250" s="6" t="s">
        <v>9940</v>
      </c>
      <c r="AN250" s="6" t="s">
        <v>9931</v>
      </c>
      <c r="AO250" s="5" t="s">
        <v>162</v>
      </c>
      <c r="AR250" s="0" t="str">
        <f aca="false">IF(AND(AU250="pass",AO250&lt;&gt;"Y",C250&lt;&gt;""),"Y","N")</f>
        <v>N</v>
      </c>
      <c r="AS250" s="0" t="str">
        <f aca="false">_xlfn.TEXTJOIN("; ",TRUE(),IF(AU250&lt;&gt;"pass","gated out",""),IF(AO250="Y","on hold: "&amp;AP250,""),IF(C250="","no contact named on an opened page",""))</f>
        <v>gated out; no contact named on an opened page</v>
      </c>
      <c r="AU250" s="6" t="s">
        <v>3704</v>
      </c>
      <c r="AV250" s="6" t="s">
        <v>9764</v>
      </c>
      <c r="AW250" s="6" t="s">
        <v>9941</v>
      </c>
      <c r="AX250" s="6" t="s">
        <v>4595</v>
      </c>
      <c r="AY250" s="6" t="s">
        <v>9939</v>
      </c>
      <c r="AZ250" s="6" t="s">
        <v>4596</v>
      </c>
      <c r="BA250" s="6" t="s">
        <v>4597</v>
      </c>
      <c r="BB250" s="6" t="s">
        <v>163</v>
      </c>
      <c r="BD250" s="6" t="s">
        <v>163</v>
      </c>
      <c r="BE250" s="6" t="s">
        <v>5929</v>
      </c>
      <c r="BF250" s="6" t="s">
        <v>168</v>
      </c>
      <c r="BG250" s="6" t="s">
        <v>168</v>
      </c>
      <c r="BH250" s="6" t="s">
        <v>163</v>
      </c>
      <c r="BJ250" s="6" t="s">
        <v>5551</v>
      </c>
      <c r="BK250" s="6" t="s">
        <v>168</v>
      </c>
      <c r="BL250" s="6" t="s">
        <v>168</v>
      </c>
      <c r="BM250" s="6" t="s">
        <v>9942</v>
      </c>
      <c r="BN250" s="0" t="n">
        <v>0</v>
      </c>
      <c r="BO250" s="6" t="s">
        <v>168</v>
      </c>
      <c r="BP250" s="0" t="n">
        <v>8</v>
      </c>
      <c r="BQ250" s="6" t="s">
        <v>9943</v>
      </c>
      <c r="BS250" s="6" t="s">
        <v>9944</v>
      </c>
      <c r="BT250" s="6" t="s">
        <v>9945</v>
      </c>
      <c r="BU250" s="6" t="s">
        <v>4695</v>
      </c>
      <c r="BV250" s="0" t="n">
        <v>79</v>
      </c>
      <c r="CF250" s="6" t="s">
        <v>158</v>
      </c>
      <c r="CK250" s="6" t="s">
        <v>158</v>
      </c>
      <c r="CL250" s="0" t="n">
        <v>53</v>
      </c>
      <c r="CM250" s="0" t="n">
        <v>17</v>
      </c>
      <c r="CN250" s="0" t="n">
        <v>20</v>
      </c>
      <c r="CO250" s="0" t="n">
        <v>8</v>
      </c>
      <c r="CP250" s="0" t="n">
        <v>5</v>
      </c>
      <c r="CQ250" s="0" t="n">
        <v>7</v>
      </c>
      <c r="CR250" s="0" t="n">
        <v>0</v>
      </c>
      <c r="CS250" s="6" t="n">
        <f aca="false">IF(R250="Y",10,0)</f>
        <v>0</v>
      </c>
      <c r="CT250" s="0" t="n">
        <v>-4</v>
      </c>
      <c r="CU250" s="6" t="s">
        <v>163</v>
      </c>
      <c r="CV250" s="6" t="s">
        <v>5564</v>
      </c>
      <c r="CW250" s="6" t="s">
        <v>9946</v>
      </c>
      <c r="CX250" s="6" t="s">
        <v>9947</v>
      </c>
      <c r="DA250" s="6" t="s">
        <v>6236</v>
      </c>
      <c r="DY250" s="0" t="str">
        <f aca="false">IF(ISNUMBER(MATCH(U250,{"queued","contacted","replied","call_booked","call_done","yes_in_principle","materials_sent"},0)),"Y","N")</f>
        <v>N</v>
      </c>
      <c r="DZ250" s="0" t="str">
        <f aca="false">IF(COUNTIFS($AN$2:$AN$1000,AN250,$DY$2:$DY$1000,"Y")+COUNTIFS($AN$2:$AN$1000,AN250,$T$2:$T$1000,"Y")&gt;0,"Y","N")</f>
        <v>N</v>
      </c>
      <c r="EA250" s="0" t="str">
        <f aca="false">IF(AND(U250="new",T250="N",AR250="Y",AQ250="",DZ250="N"),"Y","N")</f>
        <v>N</v>
      </c>
      <c r="EB250" s="0" t="str">
        <f aca="false">IF(EA250&lt;&gt;"Y","N",IF(COUNTIFS($AN$2:$AN$1000,AN250,$EA$2:$EA$1000,"Y",$J$2:$J$1000,"&gt;"&amp;J250)+COUNTIFS($AN$2:$AN$1000,AN250,$EA$2:$EA$1000,"Y",$J$2:$J$1000,J250,$ED$2:$ED$1000,"&lt;"&amp;ED250)=0,"Y","N"))</f>
        <v>N</v>
      </c>
      <c r="EC250" s="0" t="str">
        <f aca="false">IF(Y250="","N",IF(Y250&lt;=10,"Y","N"))</f>
        <v>N</v>
      </c>
      <c r="ED250" s="6" t="n">
        <f aca="false">ROW()-1</f>
        <v>249</v>
      </c>
    </row>
    <row r="251" customFormat="false" ht="15" hidden="false" customHeight="false" outlineLevel="0" collapsed="false">
      <c r="A251" s="0" t="s">
        <v>9948</v>
      </c>
      <c r="B251" s="0" t="s">
        <v>9949</v>
      </c>
      <c r="C251" s="0" t="s">
        <v>9950</v>
      </c>
      <c r="D251" s="0" t="s">
        <v>163</v>
      </c>
      <c r="E251" s="0" t="s">
        <v>4657</v>
      </c>
      <c r="H251" s="5" t="s">
        <v>158</v>
      </c>
      <c r="I251" s="5" t="s">
        <v>159</v>
      </c>
      <c r="J251" s="6" t="n">
        <f aca="false">IF(AU251="pass",CM251+CN251+CO251+CP251+CQ251+CR251+CS251+CT251,0)</f>
        <v>0</v>
      </c>
      <c r="K251" s="6" t="s">
        <v>9951</v>
      </c>
      <c r="M251" s="6" t="s">
        <v>9952</v>
      </c>
      <c r="N251" s="6" t="s">
        <v>5023</v>
      </c>
      <c r="O251" s="6" t="s">
        <v>9953</v>
      </c>
      <c r="P251" s="6" t="s">
        <v>9954</v>
      </c>
      <c r="Q251" s="6" t="s">
        <v>9955</v>
      </c>
      <c r="R251" s="5" t="s">
        <v>162</v>
      </c>
      <c r="S251" s="6" t="s">
        <v>163</v>
      </c>
      <c r="T251" s="5" t="s">
        <v>162</v>
      </c>
      <c r="U251" s="5" t="s">
        <v>228</v>
      </c>
      <c r="V251" s="6" t="s">
        <v>9956</v>
      </c>
      <c r="W251" s="6" t="s">
        <v>166</v>
      </c>
      <c r="X251" s="6" t="s">
        <v>4586</v>
      </c>
      <c r="Y251" s="0" t="str">
        <f aca="false">IF(EB251&lt;&gt;"Y","",COUNTIFS($EB$2:$EB$1000,"Y",$J$2:$J$1000,"&gt;"&amp;J251)+COUNTIFS($EB$2:$EB$1000,"Y",$J$2:$J$1000,J251,$ED$2:$ED$1000,"&lt;"&amp;ED251)+1)</f>
        <v/>
      </c>
      <c r="AA251" s="6" t="s">
        <v>162</v>
      </c>
      <c r="AC251" s="6" t="s">
        <v>4588</v>
      </c>
      <c r="AD251" s="6" t="s">
        <v>5010</v>
      </c>
      <c r="AE251" s="6" t="s">
        <v>172</v>
      </c>
      <c r="AF251" s="6" t="s">
        <v>9956</v>
      </c>
      <c r="AG251" s="6" t="s">
        <v>166</v>
      </c>
      <c r="AH251" s="6" t="s">
        <v>9957</v>
      </c>
      <c r="AI251" s="6" t="s">
        <v>5926</v>
      </c>
      <c r="AJ251" s="6" t="s">
        <v>163</v>
      </c>
      <c r="AK251" s="6" t="s">
        <v>9958</v>
      </c>
      <c r="AL251" s="6" t="s">
        <v>168</v>
      </c>
      <c r="AM251" s="6" t="s">
        <v>9959</v>
      </c>
      <c r="AN251" s="6" t="s">
        <v>9948</v>
      </c>
      <c r="AO251" s="5" t="s">
        <v>162</v>
      </c>
      <c r="AR251" s="0" t="str">
        <f aca="false">IF(AND(AU251="pass",AO251&lt;&gt;"Y",C251&lt;&gt;""),"Y","N")</f>
        <v>N</v>
      </c>
      <c r="AS251" s="0" t="str">
        <f aca="false">_xlfn.TEXTJOIN("; ",TRUE(),IF(AU251&lt;&gt;"pass","gated out",""),IF(AO251="Y","on hold: "&amp;AP251,""),IF(C251="","no contact named on an opened page",""))</f>
        <v>gated out</v>
      </c>
      <c r="AU251" s="6" t="s">
        <v>3704</v>
      </c>
      <c r="AV251" s="6" t="s">
        <v>9764</v>
      </c>
      <c r="AW251" s="6" t="s">
        <v>9960</v>
      </c>
      <c r="AX251" s="6" t="s">
        <v>4595</v>
      </c>
      <c r="AY251" s="6" t="s">
        <v>9958</v>
      </c>
      <c r="AZ251" s="6" t="s">
        <v>163</v>
      </c>
      <c r="BA251" s="6" t="s">
        <v>163</v>
      </c>
      <c r="BB251" s="6" t="s">
        <v>163</v>
      </c>
      <c r="BD251" s="6" t="s">
        <v>168</v>
      </c>
      <c r="BE251" s="6" t="s">
        <v>9961</v>
      </c>
      <c r="BF251" s="6" t="s">
        <v>168</v>
      </c>
      <c r="BG251" s="6" t="s">
        <v>168</v>
      </c>
      <c r="BH251" s="6" t="s">
        <v>163</v>
      </c>
      <c r="BJ251" s="6" t="s">
        <v>5551</v>
      </c>
      <c r="BK251" s="6" t="s">
        <v>168</v>
      </c>
      <c r="BL251" s="6" t="s">
        <v>168</v>
      </c>
      <c r="BM251" s="6" t="s">
        <v>9962</v>
      </c>
      <c r="BN251" s="0" t="n">
        <v>0</v>
      </c>
      <c r="BO251" s="6" t="s">
        <v>168</v>
      </c>
      <c r="BP251" s="0" t="n">
        <v>7</v>
      </c>
      <c r="BQ251" s="6" t="s">
        <v>9963</v>
      </c>
      <c r="BS251" s="6" t="s">
        <v>9964</v>
      </c>
      <c r="BT251" s="6" t="s">
        <v>9965</v>
      </c>
      <c r="BU251" s="6" t="s">
        <v>4695</v>
      </c>
      <c r="BV251" s="0" t="n">
        <v>267</v>
      </c>
      <c r="BX251" s="6" t="s">
        <v>9950</v>
      </c>
      <c r="CF251" s="6" t="s">
        <v>158</v>
      </c>
      <c r="CK251" s="6" t="s">
        <v>158</v>
      </c>
      <c r="CL251" s="0" t="n">
        <v>39</v>
      </c>
      <c r="CM251" s="0" t="n">
        <v>17</v>
      </c>
      <c r="CN251" s="0" t="n">
        <v>4</v>
      </c>
      <c r="CO251" s="0" t="n">
        <v>4</v>
      </c>
      <c r="CP251" s="0" t="n">
        <v>5</v>
      </c>
      <c r="CQ251" s="0" t="n">
        <v>10</v>
      </c>
      <c r="CR251" s="0" t="n">
        <v>3</v>
      </c>
      <c r="CS251" s="6" t="n">
        <f aca="false">IF(R251="Y",10,0)</f>
        <v>0</v>
      </c>
      <c r="CT251" s="0" t="n">
        <v>-4</v>
      </c>
      <c r="CU251" s="6" t="s">
        <v>9966</v>
      </c>
      <c r="CV251" s="6" t="s">
        <v>5564</v>
      </c>
      <c r="CW251" s="6" t="s">
        <v>9967</v>
      </c>
      <c r="CX251" s="6" t="s">
        <v>9968</v>
      </c>
      <c r="DA251" s="6" t="s">
        <v>6236</v>
      </c>
      <c r="DY251" s="0" t="str">
        <f aca="false">IF(ISNUMBER(MATCH(U251,{"queued","contacted","replied","call_booked","call_done","yes_in_principle","materials_sent"},0)),"Y","N")</f>
        <v>N</v>
      </c>
      <c r="DZ251" s="0" t="str">
        <f aca="false">IF(COUNTIFS($AN$2:$AN$1000,AN251,$DY$2:$DY$1000,"Y")+COUNTIFS($AN$2:$AN$1000,AN251,$T$2:$T$1000,"Y")&gt;0,"Y","N")</f>
        <v>N</v>
      </c>
      <c r="EA251" s="0" t="str">
        <f aca="false">IF(AND(U251="new",T251="N",AR251="Y",AQ251="",DZ251="N"),"Y","N")</f>
        <v>N</v>
      </c>
      <c r="EB251" s="0" t="str">
        <f aca="false">IF(EA251&lt;&gt;"Y","N",IF(COUNTIFS($AN$2:$AN$1000,AN251,$EA$2:$EA$1000,"Y",$J$2:$J$1000,"&gt;"&amp;J251)+COUNTIFS($AN$2:$AN$1000,AN251,$EA$2:$EA$1000,"Y",$J$2:$J$1000,J251,$ED$2:$ED$1000,"&lt;"&amp;ED251)=0,"Y","N"))</f>
        <v>N</v>
      </c>
      <c r="EC251" s="0" t="str">
        <f aca="false">IF(Y251="","N",IF(Y251&lt;=10,"Y","N"))</f>
        <v>N</v>
      </c>
      <c r="ED251" s="6" t="n">
        <f aca="false">ROW()-1</f>
        <v>250</v>
      </c>
    </row>
    <row r="252" customFormat="false" ht="15" hidden="false" customHeight="false" outlineLevel="0" collapsed="false">
      <c r="A252" s="0" t="s">
        <v>9969</v>
      </c>
      <c r="B252" s="0" t="s">
        <v>9970</v>
      </c>
      <c r="C252" s="0" t="s">
        <v>9971</v>
      </c>
      <c r="D252" s="0" t="s">
        <v>9972</v>
      </c>
      <c r="E252" s="0" t="s">
        <v>4773</v>
      </c>
      <c r="H252" s="5" t="s">
        <v>158</v>
      </c>
      <c r="I252" s="5" t="s">
        <v>159</v>
      </c>
      <c r="J252" s="6" t="n">
        <f aca="false">IF(AU252="pass",CM252+CN252+CO252+CP252+CQ252+CR252+CS252+CT252,0)</f>
        <v>0</v>
      </c>
      <c r="K252" s="6" t="s">
        <v>9973</v>
      </c>
      <c r="M252" s="6" t="s">
        <v>9974</v>
      </c>
      <c r="N252" s="6" t="s">
        <v>5023</v>
      </c>
      <c r="R252" s="5" t="s">
        <v>162</v>
      </c>
      <c r="S252" s="6" t="s">
        <v>163</v>
      </c>
      <c r="T252" s="5" t="s">
        <v>162</v>
      </c>
      <c r="U252" s="5" t="s">
        <v>228</v>
      </c>
      <c r="V252" s="6" t="s">
        <v>9975</v>
      </c>
      <c r="W252" s="6" t="s">
        <v>166</v>
      </c>
      <c r="X252" s="6" t="s">
        <v>4586</v>
      </c>
      <c r="Y252" s="0" t="str">
        <f aca="false">IF(EB252&lt;&gt;"Y","",COUNTIFS($EB$2:$EB$1000,"Y",$J$2:$J$1000,"&gt;"&amp;J252)+COUNTIFS($EB$2:$EB$1000,"Y",$J$2:$J$1000,J252,$ED$2:$ED$1000,"&lt;"&amp;ED252)+1)</f>
        <v/>
      </c>
      <c r="AA252" s="6" t="s">
        <v>162</v>
      </c>
      <c r="AC252" s="6" t="s">
        <v>4588</v>
      </c>
      <c r="AD252" s="6" t="s">
        <v>171</v>
      </c>
      <c r="AE252" s="6" t="s">
        <v>172</v>
      </c>
      <c r="AF252" s="6" t="s">
        <v>9975</v>
      </c>
      <c r="AG252" s="6" t="s">
        <v>166</v>
      </c>
      <c r="AH252" s="6" t="s">
        <v>9976</v>
      </c>
      <c r="AI252" s="6" t="s">
        <v>5765</v>
      </c>
      <c r="AJ252" s="6" t="s">
        <v>163</v>
      </c>
      <c r="AK252" s="6" t="s">
        <v>9977</v>
      </c>
      <c r="AL252" s="6" t="s">
        <v>168</v>
      </c>
      <c r="AM252" s="6" t="s">
        <v>4691</v>
      </c>
      <c r="AN252" s="6" t="s">
        <v>9969</v>
      </c>
      <c r="AO252" s="5" t="s">
        <v>162</v>
      </c>
      <c r="AR252" s="0" t="str">
        <f aca="false">IF(AND(AU252="pass",AO252&lt;&gt;"Y",C252&lt;&gt;""),"Y","N")</f>
        <v>N</v>
      </c>
      <c r="AS252" s="0" t="str">
        <f aca="false">_xlfn.TEXTJOIN("; ",TRUE(),IF(AU252&lt;&gt;"pass","gated out",""),IF(AO252="Y","on hold: "&amp;AP252,""),IF(C252="","no contact named on an opened page",""))</f>
        <v>gated out</v>
      </c>
      <c r="AU252" s="6" t="s">
        <v>3704</v>
      </c>
      <c r="AV252" s="6" t="s">
        <v>9764</v>
      </c>
      <c r="AW252" s="6" t="s">
        <v>9978</v>
      </c>
      <c r="AY252" s="6" t="s">
        <v>9977</v>
      </c>
      <c r="AZ252" s="6" t="s">
        <v>163</v>
      </c>
      <c r="BA252" s="6" t="s">
        <v>163</v>
      </c>
      <c r="BB252" s="6" t="s">
        <v>163</v>
      </c>
      <c r="BD252" s="6" t="s">
        <v>163</v>
      </c>
      <c r="BE252" s="6" t="s">
        <v>8634</v>
      </c>
      <c r="BF252" s="6" t="s">
        <v>168</v>
      </c>
      <c r="BG252" s="6" t="s">
        <v>168</v>
      </c>
      <c r="BH252" s="6" t="s">
        <v>163</v>
      </c>
      <c r="BJ252" s="6" t="s">
        <v>5551</v>
      </c>
      <c r="BK252" s="6" t="s">
        <v>168</v>
      </c>
      <c r="BL252" s="6" t="s">
        <v>168</v>
      </c>
      <c r="BM252" s="6" t="s">
        <v>9979</v>
      </c>
      <c r="BN252" s="0" t="n">
        <v>0</v>
      </c>
      <c r="BO252" s="6" t="s">
        <v>168</v>
      </c>
      <c r="BP252" s="0" t="n">
        <v>5</v>
      </c>
      <c r="BQ252" s="6" t="s">
        <v>9980</v>
      </c>
      <c r="BS252" s="6" t="s">
        <v>9981</v>
      </c>
      <c r="BT252" s="6" t="s">
        <v>9982</v>
      </c>
      <c r="BU252" s="6" t="s">
        <v>158</v>
      </c>
      <c r="BX252" s="6" t="s">
        <v>9983</v>
      </c>
      <c r="CF252" s="6" t="s">
        <v>158</v>
      </c>
      <c r="CK252" s="6" t="s">
        <v>158</v>
      </c>
      <c r="CL252" s="0" t="n">
        <v>39</v>
      </c>
      <c r="CM252" s="0" t="n">
        <v>17</v>
      </c>
      <c r="CN252" s="0" t="n">
        <v>4</v>
      </c>
      <c r="CO252" s="0" t="n">
        <v>0</v>
      </c>
      <c r="CP252" s="0" t="n">
        <v>5</v>
      </c>
      <c r="CQ252" s="0" t="n">
        <v>7</v>
      </c>
      <c r="CR252" s="0" t="n">
        <v>6</v>
      </c>
      <c r="CS252" s="6" t="n">
        <f aca="false">IF(R252="Y",10,0)</f>
        <v>0</v>
      </c>
      <c r="CT252" s="0" t="n">
        <v>0</v>
      </c>
      <c r="CU252" s="6" t="s">
        <v>163</v>
      </c>
      <c r="CV252" s="6" t="s">
        <v>5564</v>
      </c>
      <c r="CW252" s="6" t="s">
        <v>9984</v>
      </c>
      <c r="CX252" s="6" t="s">
        <v>9985</v>
      </c>
      <c r="DA252" s="6" t="s">
        <v>6236</v>
      </c>
      <c r="DY252" s="0" t="str">
        <f aca="false">IF(ISNUMBER(MATCH(U252,{"queued","contacted","replied","call_booked","call_done","yes_in_principle","materials_sent"},0)),"Y","N")</f>
        <v>N</v>
      </c>
      <c r="DZ252" s="0" t="str">
        <f aca="false">IF(COUNTIFS($AN$2:$AN$1000,AN252,$DY$2:$DY$1000,"Y")+COUNTIFS($AN$2:$AN$1000,AN252,$T$2:$T$1000,"Y")&gt;0,"Y","N")</f>
        <v>N</v>
      </c>
      <c r="EA252" s="0" t="str">
        <f aca="false">IF(AND(U252="new",T252="N",AR252="Y",AQ252="",DZ252="N"),"Y","N")</f>
        <v>N</v>
      </c>
      <c r="EB252" s="0" t="str">
        <f aca="false">IF(EA252&lt;&gt;"Y","N",IF(COUNTIFS($AN$2:$AN$1000,AN252,$EA$2:$EA$1000,"Y",$J$2:$J$1000,"&gt;"&amp;J252)+COUNTIFS($AN$2:$AN$1000,AN252,$EA$2:$EA$1000,"Y",$J$2:$J$1000,J252,$ED$2:$ED$1000,"&lt;"&amp;ED252)=0,"Y","N"))</f>
        <v>N</v>
      </c>
      <c r="EC252" s="0" t="str">
        <f aca="false">IF(Y252="","N",IF(Y252&lt;=10,"Y","N"))</f>
        <v>N</v>
      </c>
      <c r="ED252" s="6" t="n">
        <f aca="false">ROW()-1</f>
        <v>251</v>
      </c>
    </row>
    <row r="253" customFormat="false" ht="15" hidden="false" customHeight="false" outlineLevel="0" collapsed="false">
      <c r="A253" s="0" t="s">
        <v>9986</v>
      </c>
      <c r="B253" s="0" t="s">
        <v>9987</v>
      </c>
      <c r="C253" s="0" t="s">
        <v>4942</v>
      </c>
      <c r="D253" s="0" t="s">
        <v>9988</v>
      </c>
      <c r="E253" s="0" t="s">
        <v>4626</v>
      </c>
      <c r="H253" s="5" t="s">
        <v>158</v>
      </c>
      <c r="I253" s="5" t="s">
        <v>159</v>
      </c>
      <c r="J253" s="6" t="n">
        <f aca="false">IF(AU253="pass",CM253+CN253+CO253+CP253+CQ253+CR253+CS253+CT253,0)</f>
        <v>0</v>
      </c>
      <c r="K253" s="6" t="s">
        <v>9989</v>
      </c>
      <c r="M253" s="6" t="s">
        <v>5293</v>
      </c>
      <c r="N253" s="6" t="s">
        <v>598</v>
      </c>
      <c r="O253" s="6" t="s">
        <v>9990</v>
      </c>
      <c r="P253" s="6" t="s">
        <v>9991</v>
      </c>
      <c r="Q253" s="6" t="s">
        <v>6296</v>
      </c>
      <c r="R253" s="5" t="s">
        <v>162</v>
      </c>
      <c r="S253" s="6" t="s">
        <v>168</v>
      </c>
      <c r="T253" s="5" t="s">
        <v>162</v>
      </c>
      <c r="U253" s="5" t="s">
        <v>228</v>
      </c>
      <c r="V253" s="6" t="s">
        <v>9992</v>
      </c>
      <c r="W253" s="6" t="s">
        <v>166</v>
      </c>
      <c r="X253" s="6" t="s">
        <v>4586</v>
      </c>
      <c r="Y253" s="0" t="str">
        <f aca="false">IF(EB253&lt;&gt;"Y","",COUNTIFS($EB$2:$EB$1000,"Y",$J$2:$J$1000,"&gt;"&amp;J253)+COUNTIFS($EB$2:$EB$1000,"Y",$J$2:$J$1000,J253,$ED$2:$ED$1000,"&lt;"&amp;ED253)+1)</f>
        <v/>
      </c>
      <c r="AA253" s="6" t="s">
        <v>162</v>
      </c>
      <c r="AC253" s="6" t="s">
        <v>4588</v>
      </c>
      <c r="AD253" s="6" t="s">
        <v>171</v>
      </c>
      <c r="AE253" s="6" t="s">
        <v>1190</v>
      </c>
      <c r="AF253" s="6" t="s">
        <v>9993</v>
      </c>
      <c r="AG253" s="6" t="s">
        <v>166</v>
      </c>
      <c r="AH253" s="6" t="s">
        <v>9994</v>
      </c>
      <c r="AI253" s="6" t="s">
        <v>5765</v>
      </c>
      <c r="AJ253" s="6" t="s">
        <v>9995</v>
      </c>
      <c r="AK253" s="6" t="s">
        <v>9996</v>
      </c>
      <c r="AL253" s="6" t="s">
        <v>168</v>
      </c>
      <c r="AM253" s="6" t="s">
        <v>9997</v>
      </c>
      <c r="AN253" s="6" t="s">
        <v>9986</v>
      </c>
      <c r="AO253" s="5" t="s">
        <v>162</v>
      </c>
      <c r="AR253" s="0" t="str">
        <f aca="false">IF(AND(AU253="pass",AO253&lt;&gt;"Y",C253&lt;&gt;""),"Y","N")</f>
        <v>N</v>
      </c>
      <c r="AS253" s="0" t="str">
        <f aca="false">_xlfn.TEXTJOIN("; ",TRUE(),IF(AU253&lt;&gt;"pass","gated out",""),IF(AO253="Y","on hold: "&amp;AP253,""),IF(C253="","no contact named on an opened page",""))</f>
        <v>gated out</v>
      </c>
      <c r="AU253" s="6" t="s">
        <v>3704</v>
      </c>
      <c r="AV253" s="6" t="s">
        <v>9764</v>
      </c>
      <c r="AW253" s="6" t="s">
        <v>9998</v>
      </c>
      <c r="AX253" s="6" t="s">
        <v>4595</v>
      </c>
      <c r="AY253" s="6" t="s">
        <v>9996</v>
      </c>
      <c r="AZ253" s="6" t="s">
        <v>7694</v>
      </c>
      <c r="BA253" s="6" t="s">
        <v>5193</v>
      </c>
      <c r="BB253" s="6" t="s">
        <v>163</v>
      </c>
      <c r="BD253" s="6" t="s">
        <v>163</v>
      </c>
      <c r="BE253" s="6" t="s">
        <v>9999</v>
      </c>
      <c r="BF253" s="6" t="s">
        <v>168</v>
      </c>
      <c r="BG253" s="6" t="s">
        <v>168</v>
      </c>
      <c r="BH253" s="6" t="s">
        <v>163</v>
      </c>
      <c r="BJ253" s="6" t="s">
        <v>5551</v>
      </c>
      <c r="BK253" s="6" t="s">
        <v>162</v>
      </c>
      <c r="BL253" s="6" t="s">
        <v>168</v>
      </c>
      <c r="BM253" s="6" t="s">
        <v>10000</v>
      </c>
      <c r="BO253" s="6" t="s">
        <v>162</v>
      </c>
      <c r="BP253" s="0" t="n">
        <v>0</v>
      </c>
      <c r="BS253" s="6" t="s">
        <v>10001</v>
      </c>
      <c r="BT253" s="6" t="s">
        <v>10002</v>
      </c>
      <c r="BU253" s="6" t="s">
        <v>4605</v>
      </c>
      <c r="BV253" s="0" t="n">
        <v>122</v>
      </c>
      <c r="BW253" s="6" t="s">
        <v>9991</v>
      </c>
      <c r="BX253" s="6" t="s">
        <v>10003</v>
      </c>
      <c r="CF253" s="6" t="s">
        <v>158</v>
      </c>
      <c r="CK253" s="6" t="s">
        <v>158</v>
      </c>
      <c r="CL253" s="0" t="n">
        <v>43</v>
      </c>
      <c r="CM253" s="0" t="n">
        <v>6</v>
      </c>
      <c r="CN253" s="0" t="n">
        <v>8</v>
      </c>
      <c r="CO253" s="0" t="n">
        <v>15</v>
      </c>
      <c r="CP253" s="0" t="n">
        <v>5</v>
      </c>
      <c r="CQ253" s="0" t="n">
        <v>7</v>
      </c>
      <c r="CR253" s="0" t="n">
        <v>6</v>
      </c>
      <c r="CS253" s="6" t="n">
        <f aca="false">IF(R253="Y",10,0)</f>
        <v>0</v>
      </c>
      <c r="CT253" s="0" t="n">
        <v>-4</v>
      </c>
      <c r="CU253" s="6" t="s">
        <v>10004</v>
      </c>
      <c r="CV253" s="6" t="s">
        <v>5564</v>
      </c>
      <c r="CW253" s="6" t="s">
        <v>10005</v>
      </c>
      <c r="CX253" s="6" t="s">
        <v>10006</v>
      </c>
      <c r="CY253" s="6" t="s">
        <v>10007</v>
      </c>
      <c r="DA253" s="6" t="s">
        <v>6236</v>
      </c>
      <c r="DY253" s="0" t="str">
        <f aca="false">IF(ISNUMBER(MATCH(U253,{"queued","contacted","replied","call_booked","call_done","yes_in_principle","materials_sent"},0)),"Y","N")</f>
        <v>N</v>
      </c>
      <c r="DZ253" s="0" t="str">
        <f aca="false">IF(COUNTIFS($AN$2:$AN$1000,AN253,$DY$2:$DY$1000,"Y")+COUNTIFS($AN$2:$AN$1000,AN253,$T$2:$T$1000,"Y")&gt;0,"Y","N")</f>
        <v>N</v>
      </c>
      <c r="EA253" s="0" t="str">
        <f aca="false">IF(AND(U253="new",T253="N",AR253="Y",AQ253="",DZ253="N"),"Y","N")</f>
        <v>N</v>
      </c>
      <c r="EB253" s="0" t="str">
        <f aca="false">IF(EA253&lt;&gt;"Y","N",IF(COUNTIFS($AN$2:$AN$1000,AN253,$EA$2:$EA$1000,"Y",$J$2:$J$1000,"&gt;"&amp;J253)+COUNTIFS($AN$2:$AN$1000,AN253,$EA$2:$EA$1000,"Y",$J$2:$J$1000,J253,$ED$2:$ED$1000,"&lt;"&amp;ED253)=0,"Y","N"))</f>
        <v>N</v>
      </c>
      <c r="EC253" s="0" t="str">
        <f aca="false">IF(Y253="","N",IF(Y253&lt;=10,"Y","N"))</f>
        <v>N</v>
      </c>
      <c r="ED253" s="6" t="n">
        <f aca="false">ROW()-1</f>
        <v>252</v>
      </c>
    </row>
    <row r="254" customFormat="false" ht="15" hidden="false" customHeight="false" outlineLevel="0" collapsed="false">
      <c r="A254" s="0" t="s">
        <v>10008</v>
      </c>
      <c r="B254" s="0" t="s">
        <v>10009</v>
      </c>
      <c r="C254" s="0" t="s">
        <v>10010</v>
      </c>
      <c r="D254" s="0" t="s">
        <v>6865</v>
      </c>
      <c r="E254" s="0" t="s">
        <v>4626</v>
      </c>
      <c r="H254" s="5" t="s">
        <v>158</v>
      </c>
      <c r="I254" s="5" t="s">
        <v>159</v>
      </c>
      <c r="J254" s="6" t="n">
        <f aca="false">IF(AU254="pass",CM254+CN254+CO254+CP254+CQ254+CR254+CS254+CT254,0)</f>
        <v>0</v>
      </c>
      <c r="K254" s="6" t="s">
        <v>10011</v>
      </c>
      <c r="M254" s="6" t="s">
        <v>5293</v>
      </c>
      <c r="N254" s="6" t="s">
        <v>598</v>
      </c>
      <c r="O254" s="6" t="s">
        <v>10012</v>
      </c>
      <c r="P254" s="6" t="s">
        <v>10013</v>
      </c>
      <c r="Q254" s="6" t="s">
        <v>6296</v>
      </c>
      <c r="R254" s="5" t="s">
        <v>162</v>
      </c>
      <c r="S254" s="6" t="s">
        <v>168</v>
      </c>
      <c r="T254" s="5" t="s">
        <v>162</v>
      </c>
      <c r="U254" s="5" t="s">
        <v>228</v>
      </c>
      <c r="V254" s="6" t="s">
        <v>10013</v>
      </c>
      <c r="W254" s="6" t="s">
        <v>166</v>
      </c>
      <c r="X254" s="6" t="s">
        <v>4586</v>
      </c>
      <c r="Y254" s="0" t="str">
        <f aca="false">IF(EB254&lt;&gt;"Y","",COUNTIFS($EB$2:$EB$1000,"Y",$J$2:$J$1000,"&gt;"&amp;J254)+COUNTIFS($EB$2:$EB$1000,"Y",$J$2:$J$1000,J254,$ED$2:$ED$1000,"&lt;"&amp;ED254)+1)</f>
        <v/>
      </c>
      <c r="AA254" s="6" t="s">
        <v>162</v>
      </c>
      <c r="AC254" s="6" t="s">
        <v>4588</v>
      </c>
      <c r="AD254" s="6" t="s">
        <v>171</v>
      </c>
      <c r="AE254" s="6" t="s">
        <v>1190</v>
      </c>
      <c r="AF254" s="6" t="s">
        <v>10013</v>
      </c>
      <c r="AG254" s="6" t="s">
        <v>166</v>
      </c>
      <c r="AH254" s="6" t="s">
        <v>10014</v>
      </c>
      <c r="AI254" s="6" t="s">
        <v>4977</v>
      </c>
      <c r="AJ254" s="6" t="s">
        <v>10015</v>
      </c>
      <c r="AL254" s="6" t="s">
        <v>162</v>
      </c>
      <c r="AN254" s="6" t="s">
        <v>10008</v>
      </c>
      <c r="AO254" s="5" t="s">
        <v>162</v>
      </c>
      <c r="AR254" s="0" t="str">
        <f aca="false">IF(AND(AU254="pass",AO254&lt;&gt;"Y",C254&lt;&gt;""),"Y","N")</f>
        <v>N</v>
      </c>
      <c r="AS254" s="0" t="str">
        <f aca="false">_xlfn.TEXTJOIN("; ",TRUE(),IF(AU254&lt;&gt;"pass","gated out",""),IF(AO254="Y","on hold: "&amp;AP254,""),IF(C254="","no contact named on an opened page",""))</f>
        <v>gated out</v>
      </c>
      <c r="AU254" s="6" t="s">
        <v>3704</v>
      </c>
      <c r="AV254" s="6" t="s">
        <v>10016</v>
      </c>
      <c r="AW254" s="6" t="s">
        <v>10017</v>
      </c>
      <c r="AY254" s="6" t="s">
        <v>10018</v>
      </c>
      <c r="AZ254" s="6" t="s">
        <v>4596</v>
      </c>
      <c r="BA254" s="6" t="s">
        <v>4597</v>
      </c>
      <c r="BB254" s="6" t="s">
        <v>163</v>
      </c>
      <c r="BD254" s="6" t="s">
        <v>162</v>
      </c>
      <c r="BE254" s="6" t="s">
        <v>10019</v>
      </c>
      <c r="BF254" s="6" t="s">
        <v>163</v>
      </c>
      <c r="BG254" s="6" t="s">
        <v>163</v>
      </c>
      <c r="BH254" s="6" t="s">
        <v>163</v>
      </c>
      <c r="BJ254" s="6" t="s">
        <v>163</v>
      </c>
      <c r="BK254" s="6" t="s">
        <v>162</v>
      </c>
      <c r="BL254" s="6" t="s">
        <v>168</v>
      </c>
      <c r="BM254" s="6" t="s">
        <v>10020</v>
      </c>
      <c r="BO254" s="6" t="s">
        <v>162</v>
      </c>
      <c r="BP254" s="0" t="n">
        <v>0</v>
      </c>
      <c r="BU254" s="6" t="s">
        <v>4605</v>
      </c>
      <c r="BV254" s="0" t="n">
        <v>122</v>
      </c>
      <c r="BW254" s="6" t="s">
        <v>5136</v>
      </c>
      <c r="BX254" s="6" t="s">
        <v>10021</v>
      </c>
      <c r="CF254" s="6" t="s">
        <v>158</v>
      </c>
      <c r="CK254" s="6" t="s">
        <v>158</v>
      </c>
      <c r="CL254" s="0" t="n">
        <v>48</v>
      </c>
      <c r="CM254" s="0" t="n">
        <v>0</v>
      </c>
      <c r="CN254" s="0" t="n">
        <v>20</v>
      </c>
      <c r="CO254" s="0" t="n">
        <v>15</v>
      </c>
      <c r="CP254" s="0" t="n">
        <v>5</v>
      </c>
      <c r="CQ254" s="0" t="n">
        <v>2</v>
      </c>
      <c r="CR254" s="0" t="n">
        <v>6</v>
      </c>
      <c r="CS254" s="6" t="n">
        <f aca="false">IF(R254="Y",10,0)</f>
        <v>0</v>
      </c>
      <c r="CT254" s="0" t="n">
        <v>0</v>
      </c>
      <c r="CV254" s="6" t="s">
        <v>4616</v>
      </c>
      <c r="CW254" s="6" t="s">
        <v>10022</v>
      </c>
      <c r="CX254" s="6" t="s">
        <v>10023</v>
      </c>
      <c r="DA254" s="6" t="s">
        <v>6236</v>
      </c>
      <c r="DY254" s="0" t="str">
        <f aca="false">IF(ISNUMBER(MATCH(U254,{"queued","contacted","replied","call_booked","call_done","yes_in_principle","materials_sent"},0)),"Y","N")</f>
        <v>N</v>
      </c>
      <c r="DZ254" s="0" t="str">
        <f aca="false">IF(COUNTIFS($AN$2:$AN$1000,AN254,$DY$2:$DY$1000,"Y")+COUNTIFS($AN$2:$AN$1000,AN254,$T$2:$T$1000,"Y")&gt;0,"Y","N")</f>
        <v>N</v>
      </c>
      <c r="EA254" s="0" t="str">
        <f aca="false">IF(AND(U254="new",T254="N",AR254="Y",AQ254="",DZ254="N"),"Y","N")</f>
        <v>N</v>
      </c>
      <c r="EB254" s="0" t="str">
        <f aca="false">IF(EA254&lt;&gt;"Y","N",IF(COUNTIFS($AN$2:$AN$1000,AN254,$EA$2:$EA$1000,"Y",$J$2:$J$1000,"&gt;"&amp;J254)+COUNTIFS($AN$2:$AN$1000,AN254,$EA$2:$EA$1000,"Y",$J$2:$J$1000,J254,$ED$2:$ED$1000,"&lt;"&amp;ED254)=0,"Y","N"))</f>
        <v>N</v>
      </c>
      <c r="EC254" s="0" t="str">
        <f aca="false">IF(Y254="","N",IF(Y254&lt;=10,"Y","N"))</f>
        <v>N</v>
      </c>
      <c r="ED254" s="6" t="n">
        <f aca="false">ROW()-1</f>
        <v>253</v>
      </c>
    </row>
    <row r="255" customFormat="false" ht="15" hidden="false" customHeight="false" outlineLevel="0" collapsed="false">
      <c r="A255" s="0" t="s">
        <v>10024</v>
      </c>
      <c r="B255" s="0" t="s">
        <v>10025</v>
      </c>
      <c r="H255" s="5" t="s">
        <v>158</v>
      </c>
      <c r="I255" s="5"/>
      <c r="J255" s="6" t="n">
        <f aca="false">IF(AU255="pass",CM255+CN255+CO255+CP255+CQ255+CR255+CS255+CT255,0)</f>
        <v>0</v>
      </c>
      <c r="K255" s="6" t="s">
        <v>10026</v>
      </c>
      <c r="M255" s="6" t="s">
        <v>5293</v>
      </c>
      <c r="N255" s="6" t="s">
        <v>598</v>
      </c>
      <c r="O255" s="6" t="s">
        <v>10027</v>
      </c>
      <c r="P255" s="6" t="s">
        <v>5600</v>
      </c>
      <c r="Q255" s="6" t="s">
        <v>2614</v>
      </c>
      <c r="R255" s="5" t="s">
        <v>162</v>
      </c>
      <c r="S255" s="6" t="s">
        <v>168</v>
      </c>
      <c r="T255" s="5" t="s">
        <v>162</v>
      </c>
      <c r="U255" s="5" t="s">
        <v>228</v>
      </c>
      <c r="V255" s="6" t="s">
        <v>5600</v>
      </c>
      <c r="W255" s="6" t="s">
        <v>174</v>
      </c>
      <c r="X255" s="6" t="s">
        <v>4586</v>
      </c>
      <c r="Y255" s="0" t="str">
        <f aca="false">IF(EB255&lt;&gt;"Y","",COUNTIFS($EB$2:$EB$1000,"Y",$J$2:$J$1000,"&gt;"&amp;J255)+COUNTIFS($EB$2:$EB$1000,"Y",$J$2:$J$1000,J255,$ED$2:$ED$1000,"&lt;"&amp;ED255)+1)</f>
        <v/>
      </c>
      <c r="AA255" s="6" t="s">
        <v>162</v>
      </c>
      <c r="AD255" s="6" t="s">
        <v>158</v>
      </c>
      <c r="AH255" s="6" t="s">
        <v>10028</v>
      </c>
      <c r="AI255" s="6" t="s">
        <v>4977</v>
      </c>
      <c r="AJ255" s="6" t="s">
        <v>6433</v>
      </c>
      <c r="AK255" s="6" t="s">
        <v>10029</v>
      </c>
      <c r="AL255" s="6" t="s">
        <v>162</v>
      </c>
      <c r="AN255" s="6" t="s">
        <v>10024</v>
      </c>
      <c r="AO255" s="5" t="s">
        <v>162</v>
      </c>
      <c r="AR255" s="0" t="str">
        <f aca="false">IF(AND(AU255="pass",AO255&lt;&gt;"Y",C255&lt;&gt;""),"Y","N")</f>
        <v>N</v>
      </c>
      <c r="AS255" s="0" t="str">
        <f aca="false">_xlfn.TEXTJOIN("; ",TRUE(),IF(AU255&lt;&gt;"pass","gated out",""),IF(AO255="Y","on hold: "&amp;AP255,""),IF(C255="","no contact named on an opened page",""))</f>
        <v>gated out; no contact named on an opened page</v>
      </c>
      <c r="AU255" s="6" t="s">
        <v>3704</v>
      </c>
      <c r="AV255" s="6" t="s">
        <v>9764</v>
      </c>
      <c r="AW255" s="6" t="s">
        <v>10030</v>
      </c>
      <c r="AY255" s="6" t="s">
        <v>10029</v>
      </c>
      <c r="AZ255" s="6" t="s">
        <v>4596</v>
      </c>
      <c r="BA255" s="6" t="s">
        <v>4953</v>
      </c>
      <c r="BB255" s="6" t="s">
        <v>163</v>
      </c>
      <c r="BD255" s="6" t="s">
        <v>168</v>
      </c>
      <c r="BE255" s="6" t="s">
        <v>10031</v>
      </c>
      <c r="BF255" s="6" t="s">
        <v>168</v>
      </c>
      <c r="BG255" s="6" t="s">
        <v>168</v>
      </c>
      <c r="BH255" s="6" t="s">
        <v>163</v>
      </c>
      <c r="BJ255" s="6" t="s">
        <v>5145</v>
      </c>
      <c r="BK255" s="6" t="s">
        <v>168</v>
      </c>
      <c r="BL255" s="6" t="s">
        <v>168</v>
      </c>
      <c r="BM255" s="6" t="s">
        <v>10032</v>
      </c>
      <c r="BO255" s="6" t="s">
        <v>162</v>
      </c>
      <c r="BP255" s="0" t="n">
        <v>0</v>
      </c>
      <c r="BS255" s="6" t="s">
        <v>163</v>
      </c>
      <c r="BU255" s="6" t="s">
        <v>4605</v>
      </c>
      <c r="BV255" s="0" t="n">
        <v>5</v>
      </c>
      <c r="BW255" s="6" t="s">
        <v>10033</v>
      </c>
      <c r="CF255" s="6" t="s">
        <v>158</v>
      </c>
      <c r="CK255" s="6" t="s">
        <v>158</v>
      </c>
      <c r="CL255" s="0" t="n">
        <v>49</v>
      </c>
      <c r="CM255" s="0" t="n">
        <v>6</v>
      </c>
      <c r="CN255" s="0" t="n">
        <v>13</v>
      </c>
      <c r="CO255" s="0" t="n">
        <v>15</v>
      </c>
      <c r="CP255" s="0" t="n">
        <v>5</v>
      </c>
      <c r="CQ255" s="0" t="n">
        <v>10</v>
      </c>
      <c r="CR255" s="0" t="n">
        <v>0</v>
      </c>
      <c r="CS255" s="6" t="n">
        <f aca="false">IF(R255="Y",10,0)</f>
        <v>0</v>
      </c>
      <c r="CT255" s="0" t="n">
        <v>0</v>
      </c>
      <c r="CU255" s="6" t="s">
        <v>10034</v>
      </c>
      <c r="CV255" s="6" t="s">
        <v>5152</v>
      </c>
      <c r="CW255" s="6" t="s">
        <v>10035</v>
      </c>
      <c r="CX255" s="6" t="s">
        <v>10036</v>
      </c>
      <c r="DA255" s="6" t="s">
        <v>6236</v>
      </c>
      <c r="DY255" s="0" t="str">
        <f aca="false">IF(ISNUMBER(MATCH(U255,{"queued","contacted","replied","call_booked","call_done","yes_in_principle","materials_sent"},0)),"Y","N")</f>
        <v>N</v>
      </c>
      <c r="DZ255" s="0" t="str">
        <f aca="false">IF(COUNTIFS($AN$2:$AN$1000,AN255,$DY$2:$DY$1000,"Y")+COUNTIFS($AN$2:$AN$1000,AN255,$T$2:$T$1000,"Y")&gt;0,"Y","N")</f>
        <v>N</v>
      </c>
      <c r="EA255" s="0" t="str">
        <f aca="false">IF(AND(U255="new",T255="N",AR255="Y",AQ255="",DZ255="N"),"Y","N")</f>
        <v>N</v>
      </c>
      <c r="EB255" s="0" t="str">
        <f aca="false">IF(EA255&lt;&gt;"Y","N",IF(COUNTIFS($AN$2:$AN$1000,AN255,$EA$2:$EA$1000,"Y",$J$2:$J$1000,"&gt;"&amp;J255)+COUNTIFS($AN$2:$AN$1000,AN255,$EA$2:$EA$1000,"Y",$J$2:$J$1000,J255,$ED$2:$ED$1000,"&lt;"&amp;ED255)=0,"Y","N"))</f>
        <v>N</v>
      </c>
      <c r="EC255" s="0" t="str">
        <f aca="false">IF(Y255="","N",IF(Y255&lt;=10,"Y","N"))</f>
        <v>N</v>
      </c>
      <c r="ED255" s="6" t="n">
        <f aca="false">ROW()-1</f>
        <v>254</v>
      </c>
    </row>
    <row r="256" customFormat="false" ht="15" hidden="false" customHeight="false" outlineLevel="0" collapsed="false">
      <c r="A256" s="0" t="s">
        <v>10037</v>
      </c>
      <c r="B256" s="0" t="s">
        <v>10038</v>
      </c>
      <c r="H256" s="5" t="s">
        <v>158</v>
      </c>
      <c r="I256" s="5"/>
      <c r="J256" s="6" t="n">
        <f aca="false">IF(AU256="pass",CM256+CN256+CO256+CP256+CQ256+CR256+CS256+CT256,0)</f>
        <v>0</v>
      </c>
      <c r="K256" s="6" t="s">
        <v>10039</v>
      </c>
      <c r="M256" s="6" t="s">
        <v>5293</v>
      </c>
      <c r="N256" s="6" t="s">
        <v>598</v>
      </c>
      <c r="O256" s="6" t="s">
        <v>10040</v>
      </c>
      <c r="P256" s="6" t="s">
        <v>5600</v>
      </c>
      <c r="Q256" s="6" t="s">
        <v>2614</v>
      </c>
      <c r="R256" s="5" t="s">
        <v>162</v>
      </c>
      <c r="S256" s="6" t="s">
        <v>168</v>
      </c>
      <c r="T256" s="5" t="s">
        <v>162</v>
      </c>
      <c r="U256" s="5" t="s">
        <v>228</v>
      </c>
      <c r="V256" s="6" t="s">
        <v>10041</v>
      </c>
      <c r="W256" s="6" t="s">
        <v>174</v>
      </c>
      <c r="X256" s="6" t="s">
        <v>4586</v>
      </c>
      <c r="Y256" s="0" t="str">
        <f aca="false">IF(EB256&lt;&gt;"Y","",COUNTIFS($EB$2:$EB$1000,"Y",$J$2:$J$1000,"&gt;"&amp;J256)+COUNTIFS($EB$2:$EB$1000,"Y",$J$2:$J$1000,J256,$ED$2:$ED$1000,"&lt;"&amp;ED256)+1)</f>
        <v/>
      </c>
      <c r="AA256" s="6" t="s">
        <v>162</v>
      </c>
      <c r="AD256" s="6" t="s">
        <v>158</v>
      </c>
      <c r="AH256" s="6" t="s">
        <v>10042</v>
      </c>
      <c r="AI256" s="6" t="s">
        <v>4724</v>
      </c>
      <c r="AJ256" s="6" t="s">
        <v>5299</v>
      </c>
      <c r="AK256" s="6" t="s">
        <v>10043</v>
      </c>
      <c r="AL256" s="6" t="s">
        <v>162</v>
      </c>
      <c r="AN256" s="6" t="s">
        <v>10037</v>
      </c>
      <c r="AO256" s="5" t="s">
        <v>162</v>
      </c>
      <c r="AR256" s="0" t="str">
        <f aca="false">IF(AND(AU256="pass",AO256&lt;&gt;"Y",C256&lt;&gt;""),"Y","N")</f>
        <v>N</v>
      </c>
      <c r="AS256" s="0" t="str">
        <f aca="false">_xlfn.TEXTJOIN("; ",TRUE(),IF(AU256&lt;&gt;"pass","gated out",""),IF(AO256="Y","on hold: "&amp;AP256,""),IF(C256="","no contact named on an opened page",""))</f>
        <v>gated out; no contact named on an opened page</v>
      </c>
      <c r="AU256" s="6" t="s">
        <v>3704</v>
      </c>
      <c r="AV256" s="6" t="s">
        <v>9922</v>
      </c>
      <c r="AW256" s="6" t="s">
        <v>10044</v>
      </c>
      <c r="AY256" s="6" t="s">
        <v>10043</v>
      </c>
      <c r="AZ256" s="6" t="s">
        <v>4596</v>
      </c>
      <c r="BA256" s="6" t="s">
        <v>4597</v>
      </c>
      <c r="BB256" s="6" t="s">
        <v>163</v>
      </c>
      <c r="BD256" s="6" t="s">
        <v>168</v>
      </c>
      <c r="BE256" s="6" t="s">
        <v>10045</v>
      </c>
      <c r="BF256" s="6" t="s">
        <v>162</v>
      </c>
      <c r="BG256" s="6" t="s">
        <v>168</v>
      </c>
      <c r="BH256" s="6" t="s">
        <v>163</v>
      </c>
      <c r="BJ256" s="6" t="s">
        <v>5145</v>
      </c>
      <c r="BK256" s="6" t="s">
        <v>162</v>
      </c>
      <c r="BL256" s="6" t="s">
        <v>168</v>
      </c>
      <c r="BM256" s="6" t="s">
        <v>10046</v>
      </c>
      <c r="BO256" s="6" t="s">
        <v>162</v>
      </c>
      <c r="BP256" s="0" t="n">
        <v>0</v>
      </c>
      <c r="BS256" s="6" t="s">
        <v>163</v>
      </c>
      <c r="BU256" s="6" t="s">
        <v>4605</v>
      </c>
      <c r="BV256" s="0" t="n">
        <v>5</v>
      </c>
      <c r="BW256" s="6" t="s">
        <v>5734</v>
      </c>
      <c r="CF256" s="6" t="s">
        <v>158</v>
      </c>
      <c r="CK256" s="6" t="s">
        <v>158</v>
      </c>
      <c r="CL256" s="0" t="n">
        <v>53</v>
      </c>
      <c r="CM256" s="0" t="n">
        <v>6</v>
      </c>
      <c r="CN256" s="0" t="n">
        <v>20</v>
      </c>
      <c r="CO256" s="0" t="n">
        <v>15</v>
      </c>
      <c r="CP256" s="0" t="n">
        <v>5</v>
      </c>
      <c r="CQ256" s="0" t="n">
        <v>7</v>
      </c>
      <c r="CR256" s="0" t="n">
        <v>0</v>
      </c>
      <c r="CS256" s="6" t="n">
        <f aca="false">IF(R256="Y",10,0)</f>
        <v>0</v>
      </c>
      <c r="CT256" s="0" t="n">
        <v>0</v>
      </c>
      <c r="CU256" s="6" t="s">
        <v>10047</v>
      </c>
      <c r="CV256" s="6" t="s">
        <v>5152</v>
      </c>
      <c r="CW256" s="6" t="s">
        <v>10048</v>
      </c>
      <c r="CX256" s="6" t="s">
        <v>10049</v>
      </c>
      <c r="DA256" s="6" t="s">
        <v>6236</v>
      </c>
      <c r="DY256" s="0" t="str">
        <f aca="false">IF(ISNUMBER(MATCH(U256,{"queued","contacted","replied","call_booked","call_done","yes_in_principle","materials_sent"},0)),"Y","N")</f>
        <v>N</v>
      </c>
      <c r="DZ256" s="0" t="str">
        <f aca="false">IF(COUNTIFS($AN$2:$AN$1000,AN256,$DY$2:$DY$1000,"Y")+COUNTIFS($AN$2:$AN$1000,AN256,$T$2:$T$1000,"Y")&gt;0,"Y","N")</f>
        <v>N</v>
      </c>
      <c r="EA256" s="0" t="str">
        <f aca="false">IF(AND(U256="new",T256="N",AR256="Y",AQ256="",DZ256="N"),"Y","N")</f>
        <v>N</v>
      </c>
      <c r="EB256" s="0" t="str">
        <f aca="false">IF(EA256&lt;&gt;"Y","N",IF(COUNTIFS($AN$2:$AN$1000,AN256,$EA$2:$EA$1000,"Y",$J$2:$J$1000,"&gt;"&amp;J256)+COUNTIFS($AN$2:$AN$1000,AN256,$EA$2:$EA$1000,"Y",$J$2:$J$1000,J256,$ED$2:$ED$1000,"&lt;"&amp;ED256)=0,"Y","N"))</f>
        <v>N</v>
      </c>
      <c r="EC256" s="0" t="str">
        <f aca="false">IF(Y256="","N",IF(Y256&lt;=10,"Y","N"))</f>
        <v>N</v>
      </c>
      <c r="ED256" s="6" t="n">
        <f aca="false">ROW()-1</f>
        <v>255</v>
      </c>
    </row>
    <row r="257" customFormat="false" ht="15" hidden="false" customHeight="false" outlineLevel="0" collapsed="false">
      <c r="A257" s="0" t="s">
        <v>10050</v>
      </c>
      <c r="B257" s="0" t="s">
        <v>10051</v>
      </c>
      <c r="C257" s="0" t="s">
        <v>10052</v>
      </c>
      <c r="D257" s="0" t="s">
        <v>10053</v>
      </c>
      <c r="E257" s="0" t="s">
        <v>4912</v>
      </c>
      <c r="H257" s="5" t="s">
        <v>158</v>
      </c>
      <c r="I257" s="5" t="s">
        <v>159</v>
      </c>
      <c r="J257" s="6" t="n">
        <f aca="false">IF(AU257="pass",CM257+CN257+CO257+CP257+CQ257+CR257+CS257+CT257,0)</f>
        <v>0</v>
      </c>
      <c r="K257" s="6" t="s">
        <v>10054</v>
      </c>
      <c r="M257" s="6" t="s">
        <v>5293</v>
      </c>
      <c r="N257" s="6" t="s">
        <v>598</v>
      </c>
      <c r="O257" s="6" t="s">
        <v>10055</v>
      </c>
      <c r="P257" s="6" t="s">
        <v>10056</v>
      </c>
      <c r="Q257" s="6" t="s">
        <v>3273</v>
      </c>
      <c r="R257" s="5" t="s">
        <v>162</v>
      </c>
      <c r="S257" s="6" t="s">
        <v>163</v>
      </c>
      <c r="T257" s="5" t="s">
        <v>162</v>
      </c>
      <c r="U257" s="5" t="s">
        <v>228</v>
      </c>
      <c r="V257" s="6" t="s">
        <v>10056</v>
      </c>
      <c r="W257" s="6" t="s">
        <v>166</v>
      </c>
      <c r="X257" s="6" t="s">
        <v>4586</v>
      </c>
      <c r="Y257" s="0" t="str">
        <f aca="false">IF(EB257&lt;&gt;"Y","",COUNTIFS($EB$2:$EB$1000,"Y",$J$2:$J$1000,"&gt;"&amp;J257)+COUNTIFS($EB$2:$EB$1000,"Y",$J$2:$J$1000,J257,$ED$2:$ED$1000,"&lt;"&amp;ED257)+1)</f>
        <v/>
      </c>
      <c r="AA257" s="6" t="s">
        <v>162</v>
      </c>
      <c r="AC257" s="6" t="s">
        <v>4588</v>
      </c>
      <c r="AD257" s="6" t="s">
        <v>171</v>
      </c>
      <c r="AE257" s="6" t="s">
        <v>1190</v>
      </c>
      <c r="AF257" s="6" t="s">
        <v>10056</v>
      </c>
      <c r="AG257" s="6" t="s">
        <v>166</v>
      </c>
      <c r="AH257" s="6" t="s">
        <v>10057</v>
      </c>
      <c r="AI257" s="6" t="s">
        <v>4977</v>
      </c>
      <c r="AJ257" s="6" t="s">
        <v>9396</v>
      </c>
      <c r="AL257" s="6" t="s">
        <v>162</v>
      </c>
      <c r="AN257" s="6" t="s">
        <v>10050</v>
      </c>
      <c r="AO257" s="5" t="s">
        <v>162</v>
      </c>
      <c r="AR257" s="0" t="str">
        <f aca="false">IF(AND(AU257="pass",AO257&lt;&gt;"Y",C257&lt;&gt;""),"Y","N")</f>
        <v>N</v>
      </c>
      <c r="AS257" s="0" t="str">
        <f aca="false">_xlfn.TEXTJOIN("; ",TRUE(),IF(AU257&lt;&gt;"pass","gated out",""),IF(AO257="Y","on hold: "&amp;AP257,""),IF(C257="","no contact named on an opened page",""))</f>
        <v>gated out</v>
      </c>
      <c r="AU257" s="6" t="s">
        <v>3704</v>
      </c>
      <c r="AV257" s="6" t="s">
        <v>10058</v>
      </c>
      <c r="AW257" s="6" t="s">
        <v>10059</v>
      </c>
      <c r="AY257" s="6" t="s">
        <v>10060</v>
      </c>
      <c r="AZ257" s="6" t="s">
        <v>5059</v>
      </c>
      <c r="BA257" s="6" t="s">
        <v>5331</v>
      </c>
      <c r="BB257" s="6" t="s">
        <v>163</v>
      </c>
      <c r="BD257" s="6" t="s">
        <v>168</v>
      </c>
      <c r="BE257" s="6" t="s">
        <v>10061</v>
      </c>
      <c r="BF257" s="6" t="s">
        <v>168</v>
      </c>
      <c r="BG257" s="6" t="s">
        <v>163</v>
      </c>
      <c r="BH257" s="6" t="s">
        <v>163</v>
      </c>
      <c r="BJ257" s="6" t="s">
        <v>163</v>
      </c>
      <c r="BK257" s="6" t="s">
        <v>162</v>
      </c>
      <c r="BL257" s="6" t="s">
        <v>162</v>
      </c>
      <c r="BO257" s="6" t="s">
        <v>162</v>
      </c>
      <c r="BP257" s="0" t="n">
        <v>0</v>
      </c>
      <c r="BS257" s="6" t="s">
        <v>10062</v>
      </c>
      <c r="BT257" s="6" t="s">
        <v>10063</v>
      </c>
      <c r="BU257" s="6" t="s">
        <v>4605</v>
      </c>
      <c r="BV257" s="0" t="n">
        <v>38</v>
      </c>
      <c r="BX257" s="6" t="s">
        <v>10064</v>
      </c>
      <c r="CA257" s="6" t="s">
        <v>10065</v>
      </c>
      <c r="CB257" s="6" t="s">
        <v>10066</v>
      </c>
      <c r="CC257" s="6" t="s">
        <v>10067</v>
      </c>
      <c r="CD257" s="6" t="s">
        <v>4626</v>
      </c>
      <c r="CE257" s="6" t="s">
        <v>6262</v>
      </c>
      <c r="CF257" s="6" t="s">
        <v>171</v>
      </c>
      <c r="CK257" s="6" t="s">
        <v>158</v>
      </c>
      <c r="CL257" s="0" t="n">
        <v>41</v>
      </c>
      <c r="CM257" s="0" t="n">
        <v>0</v>
      </c>
      <c r="CN257" s="0" t="n">
        <v>3</v>
      </c>
      <c r="CO257" s="0" t="n">
        <v>15</v>
      </c>
      <c r="CP257" s="0" t="n">
        <v>5</v>
      </c>
      <c r="CQ257" s="0" t="n">
        <v>8</v>
      </c>
      <c r="CR257" s="0" t="n">
        <v>10</v>
      </c>
      <c r="CS257" s="6" t="n">
        <f aca="false">IF(R257="Y",10,0)</f>
        <v>0</v>
      </c>
      <c r="CT257" s="0" t="n">
        <v>0</v>
      </c>
      <c r="CU257" s="6" t="s">
        <v>163</v>
      </c>
      <c r="CV257" s="6" t="s">
        <v>4843</v>
      </c>
      <c r="CW257" s="6" t="s">
        <v>10068</v>
      </c>
      <c r="CX257" s="6" t="s">
        <v>10069</v>
      </c>
      <c r="CZ257" s="6" t="s">
        <v>10056</v>
      </c>
      <c r="DA257" s="6" t="s">
        <v>6236</v>
      </c>
      <c r="DC257" s="6" t="s">
        <v>1190</v>
      </c>
      <c r="DY257" s="0" t="str">
        <f aca="false">IF(ISNUMBER(MATCH(U257,{"queued","contacted","replied","call_booked","call_done","yes_in_principle","materials_sent"},0)),"Y","N")</f>
        <v>N</v>
      </c>
      <c r="DZ257" s="0" t="str">
        <f aca="false">IF(COUNTIFS($AN$2:$AN$1000,AN257,$DY$2:$DY$1000,"Y")+COUNTIFS($AN$2:$AN$1000,AN257,$T$2:$T$1000,"Y")&gt;0,"Y","N")</f>
        <v>N</v>
      </c>
      <c r="EA257" s="0" t="str">
        <f aca="false">IF(AND(U257="new",T257="N",AR257="Y",AQ257="",DZ257="N"),"Y","N")</f>
        <v>N</v>
      </c>
      <c r="EB257" s="0" t="str">
        <f aca="false">IF(EA257&lt;&gt;"Y","N",IF(COUNTIFS($AN$2:$AN$1000,AN257,$EA$2:$EA$1000,"Y",$J$2:$J$1000,"&gt;"&amp;J257)+COUNTIFS($AN$2:$AN$1000,AN257,$EA$2:$EA$1000,"Y",$J$2:$J$1000,J257,$ED$2:$ED$1000,"&lt;"&amp;ED257)=0,"Y","N"))</f>
        <v>N</v>
      </c>
      <c r="EC257" s="0" t="str">
        <f aca="false">IF(Y257="","N",IF(Y257&lt;=10,"Y","N"))</f>
        <v>N</v>
      </c>
      <c r="ED257" s="6" t="n">
        <f aca="false">ROW()-1</f>
        <v>256</v>
      </c>
    </row>
    <row r="258" customFormat="false" ht="15" hidden="false" customHeight="false" outlineLevel="0" collapsed="false">
      <c r="A258" s="0" t="s">
        <v>10070</v>
      </c>
      <c r="B258" s="0" t="s">
        <v>10071</v>
      </c>
      <c r="H258" s="5" t="s">
        <v>158</v>
      </c>
      <c r="I258" s="5"/>
      <c r="J258" s="6" t="n">
        <f aca="false">IF(AU258="pass",CM258+CN258+CO258+CP258+CQ258+CR258+CS258+CT258,0)</f>
        <v>0</v>
      </c>
      <c r="K258" s="6" t="s">
        <v>10072</v>
      </c>
      <c r="M258" s="6" t="s">
        <v>5293</v>
      </c>
      <c r="N258" s="6" t="s">
        <v>598</v>
      </c>
      <c r="O258" s="6" t="s">
        <v>10073</v>
      </c>
      <c r="P258" s="6" t="s">
        <v>10074</v>
      </c>
      <c r="Q258" s="6" t="s">
        <v>5137</v>
      </c>
      <c r="R258" s="5" t="s">
        <v>162</v>
      </c>
      <c r="S258" s="6" t="s">
        <v>163</v>
      </c>
      <c r="T258" s="5" t="s">
        <v>162</v>
      </c>
      <c r="U258" s="5" t="s">
        <v>228</v>
      </c>
      <c r="V258" s="6" t="s">
        <v>10074</v>
      </c>
      <c r="W258" s="6" t="s">
        <v>174</v>
      </c>
      <c r="X258" s="6" t="s">
        <v>4586</v>
      </c>
      <c r="Y258" s="0" t="str">
        <f aca="false">IF(EB258&lt;&gt;"Y","",COUNTIFS($EB$2:$EB$1000,"Y",$J$2:$J$1000,"&gt;"&amp;J258)+COUNTIFS($EB$2:$EB$1000,"Y",$J$2:$J$1000,J258,$ED$2:$ED$1000,"&lt;"&amp;ED258)+1)</f>
        <v/>
      </c>
      <c r="AA258" s="6" t="s">
        <v>162</v>
      </c>
      <c r="AD258" s="6" t="s">
        <v>158</v>
      </c>
      <c r="AH258" s="6" t="s">
        <v>10075</v>
      </c>
      <c r="AI258" s="6" t="s">
        <v>5765</v>
      </c>
      <c r="AJ258" s="6" t="s">
        <v>5189</v>
      </c>
      <c r="AK258" s="6" t="s">
        <v>10076</v>
      </c>
      <c r="AL258" s="6" t="s">
        <v>168</v>
      </c>
      <c r="AM258" s="6" t="s">
        <v>10077</v>
      </c>
      <c r="AN258" s="6" t="s">
        <v>10070</v>
      </c>
      <c r="AO258" s="5" t="s">
        <v>162</v>
      </c>
      <c r="AR258" s="0" t="str">
        <f aca="false">IF(AND(AU258="pass",AO258&lt;&gt;"Y",C258&lt;&gt;""),"Y","N")</f>
        <v>N</v>
      </c>
      <c r="AS258" s="0" t="str">
        <f aca="false">_xlfn.TEXTJOIN("; ",TRUE(),IF(AU258&lt;&gt;"pass","gated out",""),IF(AO258="Y","on hold: "&amp;AP258,""),IF(C258="","no contact named on an opened page",""))</f>
        <v>gated out; no contact named on an opened page</v>
      </c>
      <c r="AU258" s="6" t="s">
        <v>3704</v>
      </c>
      <c r="AV258" s="6" t="s">
        <v>9764</v>
      </c>
      <c r="AW258" s="6" t="s">
        <v>10078</v>
      </c>
      <c r="AX258" s="6" t="s">
        <v>4595</v>
      </c>
      <c r="AY258" s="6" t="s">
        <v>10076</v>
      </c>
      <c r="AZ258" s="6" t="s">
        <v>5192</v>
      </c>
      <c r="BA258" s="6" t="s">
        <v>5193</v>
      </c>
      <c r="BB258" s="6" t="s">
        <v>163</v>
      </c>
      <c r="BD258" s="6" t="s">
        <v>163</v>
      </c>
      <c r="BE258" s="6" t="s">
        <v>10079</v>
      </c>
      <c r="BF258" s="6" t="s">
        <v>168</v>
      </c>
      <c r="BG258" s="6" t="s">
        <v>168</v>
      </c>
      <c r="BH258" s="6" t="s">
        <v>163</v>
      </c>
      <c r="BJ258" s="6" t="s">
        <v>5145</v>
      </c>
      <c r="BK258" s="6" t="s">
        <v>168</v>
      </c>
      <c r="BL258" s="6" t="s">
        <v>168</v>
      </c>
      <c r="BM258" s="6" t="s">
        <v>10080</v>
      </c>
      <c r="BO258" s="6" t="s">
        <v>162</v>
      </c>
      <c r="BP258" s="0" t="n">
        <v>0</v>
      </c>
      <c r="BS258" s="6" t="s">
        <v>163</v>
      </c>
      <c r="BU258" s="6" t="s">
        <v>4605</v>
      </c>
      <c r="BV258" s="0" t="n">
        <v>118</v>
      </c>
      <c r="CF258" s="6" t="s">
        <v>158</v>
      </c>
      <c r="CK258" s="6" t="s">
        <v>158</v>
      </c>
      <c r="CL258" s="0" t="n">
        <v>37</v>
      </c>
      <c r="CM258" s="0" t="n">
        <v>6</v>
      </c>
      <c r="CN258" s="0" t="n">
        <v>8</v>
      </c>
      <c r="CO258" s="0" t="n">
        <v>15</v>
      </c>
      <c r="CP258" s="0" t="n">
        <v>5</v>
      </c>
      <c r="CQ258" s="0" t="n">
        <v>7</v>
      </c>
      <c r="CR258" s="0" t="n">
        <v>0</v>
      </c>
      <c r="CS258" s="6" t="n">
        <f aca="false">IF(R258="Y",10,0)</f>
        <v>0</v>
      </c>
      <c r="CT258" s="0" t="n">
        <v>-4</v>
      </c>
      <c r="CU258" s="6" t="s">
        <v>10081</v>
      </c>
      <c r="CV258" s="6" t="s">
        <v>5152</v>
      </c>
      <c r="CW258" s="6" t="s">
        <v>10082</v>
      </c>
      <c r="CX258" s="6" t="s">
        <v>10083</v>
      </c>
      <c r="DA258" s="6" t="s">
        <v>6236</v>
      </c>
      <c r="DY258" s="0" t="str">
        <f aca="false">IF(ISNUMBER(MATCH(U258,{"queued","contacted","replied","call_booked","call_done","yes_in_principle","materials_sent"},0)),"Y","N")</f>
        <v>N</v>
      </c>
      <c r="DZ258" s="0" t="str">
        <f aca="false">IF(COUNTIFS($AN$2:$AN$1000,AN258,$DY$2:$DY$1000,"Y")+COUNTIFS($AN$2:$AN$1000,AN258,$T$2:$T$1000,"Y")&gt;0,"Y","N")</f>
        <v>N</v>
      </c>
      <c r="EA258" s="0" t="str">
        <f aca="false">IF(AND(U258="new",T258="N",AR258="Y",AQ258="",DZ258="N"),"Y","N")</f>
        <v>N</v>
      </c>
      <c r="EB258" s="0" t="str">
        <f aca="false">IF(EA258&lt;&gt;"Y","N",IF(COUNTIFS($AN$2:$AN$1000,AN258,$EA$2:$EA$1000,"Y",$J$2:$J$1000,"&gt;"&amp;J258)+COUNTIFS($AN$2:$AN$1000,AN258,$EA$2:$EA$1000,"Y",$J$2:$J$1000,J258,$ED$2:$ED$1000,"&lt;"&amp;ED258)=0,"Y","N"))</f>
        <v>N</v>
      </c>
      <c r="EC258" s="0" t="str">
        <f aca="false">IF(Y258="","N",IF(Y258&lt;=10,"Y","N"))</f>
        <v>N</v>
      </c>
      <c r="ED258" s="6" t="n">
        <f aca="false">ROW()-1</f>
        <v>257</v>
      </c>
    </row>
    <row r="259" customFormat="false" ht="15" hidden="false" customHeight="false" outlineLevel="0" collapsed="false">
      <c r="A259" s="0" t="s">
        <v>10084</v>
      </c>
      <c r="B259" s="0" t="s">
        <v>10085</v>
      </c>
      <c r="H259" s="5" t="s">
        <v>158</v>
      </c>
      <c r="I259" s="5"/>
      <c r="J259" s="6" t="n">
        <f aca="false">IF(AU259="pass",CM259+CN259+CO259+CP259+CQ259+CR259+CS259+CT259,0)</f>
        <v>0</v>
      </c>
      <c r="K259" s="6" t="s">
        <v>10086</v>
      </c>
      <c r="M259" s="6" t="s">
        <v>5293</v>
      </c>
      <c r="N259" s="6" t="s">
        <v>598</v>
      </c>
      <c r="O259" s="6" t="s">
        <v>10087</v>
      </c>
      <c r="P259" s="6" t="s">
        <v>10088</v>
      </c>
      <c r="Q259" s="6" t="s">
        <v>6296</v>
      </c>
      <c r="R259" s="5" t="s">
        <v>162</v>
      </c>
      <c r="S259" s="6" t="s">
        <v>168</v>
      </c>
      <c r="T259" s="5" t="s">
        <v>162</v>
      </c>
      <c r="U259" s="5" t="s">
        <v>228</v>
      </c>
      <c r="V259" s="6" t="s">
        <v>10088</v>
      </c>
      <c r="W259" s="6" t="s">
        <v>166</v>
      </c>
      <c r="X259" s="6" t="s">
        <v>4586</v>
      </c>
      <c r="Y259" s="0" t="str">
        <f aca="false">IF(EB259&lt;&gt;"Y","",COUNTIFS($EB$2:$EB$1000,"Y",$J$2:$J$1000,"&gt;"&amp;J259)+COUNTIFS($EB$2:$EB$1000,"Y",$J$2:$J$1000,J259,$ED$2:$ED$1000,"&lt;"&amp;ED259)+1)</f>
        <v/>
      </c>
      <c r="AA259" s="6" t="s">
        <v>162</v>
      </c>
      <c r="AD259" s="6" t="s">
        <v>158</v>
      </c>
      <c r="AH259" s="6" t="s">
        <v>10089</v>
      </c>
      <c r="AI259" s="6" t="s">
        <v>5926</v>
      </c>
      <c r="AJ259" s="6" t="s">
        <v>10015</v>
      </c>
      <c r="AL259" s="6" t="s">
        <v>162</v>
      </c>
      <c r="AN259" s="6" t="s">
        <v>10084</v>
      </c>
      <c r="AO259" s="5" t="s">
        <v>162</v>
      </c>
      <c r="AR259" s="0" t="str">
        <f aca="false">IF(AND(AU259="pass",AO259&lt;&gt;"Y",C259&lt;&gt;""),"Y","N")</f>
        <v>N</v>
      </c>
      <c r="AS259" s="0" t="str">
        <f aca="false">_xlfn.TEXTJOIN("; ",TRUE(),IF(AU259&lt;&gt;"pass","gated out",""),IF(AO259="Y","on hold: "&amp;AP259,""),IF(C259="","no contact named on an opened page",""))</f>
        <v>gated out; no contact named on an opened page</v>
      </c>
      <c r="AU259" s="6" t="s">
        <v>3704</v>
      </c>
      <c r="AV259" s="6" t="s">
        <v>10090</v>
      </c>
      <c r="AW259" s="6" t="s">
        <v>10091</v>
      </c>
      <c r="AY259" s="6" t="s">
        <v>10092</v>
      </c>
      <c r="AZ259" s="6" t="s">
        <v>4596</v>
      </c>
      <c r="BA259" s="6" t="s">
        <v>4597</v>
      </c>
      <c r="BB259" s="6" t="s">
        <v>163</v>
      </c>
      <c r="BD259" s="6" t="s">
        <v>168</v>
      </c>
      <c r="BE259" s="6" t="s">
        <v>10093</v>
      </c>
      <c r="BF259" s="6" t="s">
        <v>162</v>
      </c>
      <c r="BG259" s="6" t="s">
        <v>163</v>
      </c>
      <c r="BH259" s="6" t="s">
        <v>163</v>
      </c>
      <c r="BJ259" s="6" t="s">
        <v>163</v>
      </c>
      <c r="BK259" s="6" t="s">
        <v>162</v>
      </c>
      <c r="BL259" s="6" t="s">
        <v>168</v>
      </c>
      <c r="BM259" s="6" t="s">
        <v>10094</v>
      </c>
      <c r="BO259" s="6" t="s">
        <v>162</v>
      </c>
      <c r="BP259" s="0" t="n">
        <v>0</v>
      </c>
      <c r="BU259" s="6" t="s">
        <v>4605</v>
      </c>
      <c r="BV259" s="0" t="n">
        <v>122</v>
      </c>
      <c r="BW259" s="6" t="s">
        <v>10088</v>
      </c>
      <c r="CF259" s="6" t="s">
        <v>158</v>
      </c>
      <c r="CK259" s="6" t="s">
        <v>158</v>
      </c>
      <c r="CL259" s="0" t="n">
        <v>45</v>
      </c>
      <c r="CM259" s="0" t="n">
        <v>0</v>
      </c>
      <c r="CN259" s="0" t="n">
        <v>20</v>
      </c>
      <c r="CO259" s="0" t="n">
        <v>15</v>
      </c>
      <c r="CP259" s="0" t="n">
        <v>5</v>
      </c>
      <c r="CQ259" s="0" t="n">
        <v>5</v>
      </c>
      <c r="CR259" s="0" t="n">
        <v>0</v>
      </c>
      <c r="CS259" s="6" t="n">
        <f aca="false">IF(R259="Y",10,0)</f>
        <v>0</v>
      </c>
      <c r="CT259" s="0" t="n">
        <v>0</v>
      </c>
      <c r="CV259" s="6" t="s">
        <v>4616</v>
      </c>
      <c r="CW259" s="6" t="s">
        <v>10095</v>
      </c>
      <c r="CX259" s="6" t="s">
        <v>10023</v>
      </c>
      <c r="DA259" s="6" t="s">
        <v>6236</v>
      </c>
      <c r="DY259" s="0" t="str">
        <f aca="false">IF(ISNUMBER(MATCH(U259,{"queued","contacted","replied","call_booked","call_done","yes_in_principle","materials_sent"},0)),"Y","N")</f>
        <v>N</v>
      </c>
      <c r="DZ259" s="0" t="str">
        <f aca="false">IF(COUNTIFS($AN$2:$AN$1000,AN259,$DY$2:$DY$1000,"Y")+COUNTIFS($AN$2:$AN$1000,AN259,$T$2:$T$1000,"Y")&gt;0,"Y","N")</f>
        <v>N</v>
      </c>
      <c r="EA259" s="0" t="str">
        <f aca="false">IF(AND(U259="new",T259="N",AR259="Y",AQ259="",DZ259="N"),"Y","N")</f>
        <v>N</v>
      </c>
      <c r="EB259" s="0" t="str">
        <f aca="false">IF(EA259&lt;&gt;"Y","N",IF(COUNTIFS($AN$2:$AN$1000,AN259,$EA$2:$EA$1000,"Y",$J$2:$J$1000,"&gt;"&amp;J259)+COUNTIFS($AN$2:$AN$1000,AN259,$EA$2:$EA$1000,"Y",$J$2:$J$1000,J259,$ED$2:$ED$1000,"&lt;"&amp;ED259)=0,"Y","N"))</f>
        <v>N</v>
      </c>
      <c r="EC259" s="0" t="str">
        <f aca="false">IF(Y259="","N",IF(Y259&lt;=10,"Y","N"))</f>
        <v>N</v>
      </c>
      <c r="ED259" s="6" t="n">
        <f aca="false">ROW()-1</f>
        <v>258</v>
      </c>
    </row>
    <row r="260" customFormat="false" ht="15" hidden="false" customHeight="false" outlineLevel="0" collapsed="false">
      <c r="A260" s="0" t="s">
        <v>10096</v>
      </c>
      <c r="B260" s="0" t="s">
        <v>10097</v>
      </c>
      <c r="H260" s="5" t="s">
        <v>158</v>
      </c>
      <c r="I260" s="5"/>
      <c r="J260" s="6" t="n">
        <f aca="false">IF(AU260="pass",CM260+CN260+CO260+CP260+CQ260+CR260+CS260+CT260,0)</f>
        <v>0</v>
      </c>
      <c r="K260" s="6" t="s">
        <v>10098</v>
      </c>
      <c r="M260" s="6" t="s">
        <v>5293</v>
      </c>
      <c r="N260" s="6" t="s">
        <v>598</v>
      </c>
      <c r="O260" s="6" t="s">
        <v>10099</v>
      </c>
      <c r="P260" s="6" t="s">
        <v>10100</v>
      </c>
      <c r="Q260" s="6" t="s">
        <v>5137</v>
      </c>
      <c r="R260" s="5" t="s">
        <v>162</v>
      </c>
      <c r="S260" s="6" t="s">
        <v>163</v>
      </c>
      <c r="T260" s="5" t="s">
        <v>162</v>
      </c>
      <c r="U260" s="5" t="s">
        <v>228</v>
      </c>
      <c r="V260" s="6" t="s">
        <v>10100</v>
      </c>
      <c r="W260" s="6" t="s">
        <v>174</v>
      </c>
      <c r="X260" s="6" t="s">
        <v>4586</v>
      </c>
      <c r="Y260" s="0" t="str">
        <f aca="false">IF(EB260&lt;&gt;"Y","",COUNTIFS($EB$2:$EB$1000,"Y",$J$2:$J$1000,"&gt;"&amp;J260)+COUNTIFS($EB$2:$EB$1000,"Y",$J$2:$J$1000,J260,$ED$2:$ED$1000,"&lt;"&amp;ED260)+1)</f>
        <v/>
      </c>
      <c r="AA260" s="6" t="s">
        <v>162</v>
      </c>
      <c r="AD260" s="6" t="s">
        <v>158</v>
      </c>
      <c r="AH260" s="6" t="s">
        <v>10101</v>
      </c>
      <c r="AI260" s="6" t="s">
        <v>5765</v>
      </c>
      <c r="AJ260" s="6" t="s">
        <v>163</v>
      </c>
      <c r="AL260" s="6" t="s">
        <v>168</v>
      </c>
      <c r="AM260" s="6" t="s">
        <v>10102</v>
      </c>
      <c r="AN260" s="6" t="s">
        <v>10096</v>
      </c>
      <c r="AO260" s="5" t="s">
        <v>162</v>
      </c>
      <c r="AR260" s="0" t="str">
        <f aca="false">IF(AND(AU260="pass",AO260&lt;&gt;"Y",C260&lt;&gt;""),"Y","N")</f>
        <v>N</v>
      </c>
      <c r="AS260" s="0" t="str">
        <f aca="false">_xlfn.TEXTJOIN("; ",TRUE(),IF(AU260&lt;&gt;"pass","gated out",""),IF(AO260="Y","on hold: "&amp;AP260,""),IF(C260="","no contact named on an opened page",""))</f>
        <v>gated out; no contact named on an opened page</v>
      </c>
      <c r="AU260" s="6" t="s">
        <v>3704</v>
      </c>
      <c r="AV260" s="6" t="s">
        <v>10058</v>
      </c>
      <c r="AW260" s="6" t="s">
        <v>10103</v>
      </c>
      <c r="AX260" s="6" t="s">
        <v>10104</v>
      </c>
      <c r="AY260" s="6" t="s">
        <v>10105</v>
      </c>
      <c r="AZ260" s="6" t="s">
        <v>4596</v>
      </c>
      <c r="BA260" s="6" t="s">
        <v>4953</v>
      </c>
      <c r="BB260" s="6" t="s">
        <v>163</v>
      </c>
      <c r="BD260" s="6" t="s">
        <v>163</v>
      </c>
      <c r="BE260" s="6" t="s">
        <v>10106</v>
      </c>
      <c r="BF260" s="6" t="s">
        <v>163</v>
      </c>
      <c r="BG260" s="6" t="s">
        <v>162</v>
      </c>
      <c r="BH260" s="6" t="s">
        <v>163</v>
      </c>
      <c r="BJ260" s="6" t="s">
        <v>5145</v>
      </c>
      <c r="BK260" s="6" t="s">
        <v>162</v>
      </c>
      <c r="BL260" s="6" t="s">
        <v>162</v>
      </c>
      <c r="BO260" s="6" t="s">
        <v>162</v>
      </c>
      <c r="BP260" s="0" t="n">
        <v>0</v>
      </c>
      <c r="BS260" s="6" t="s">
        <v>163</v>
      </c>
      <c r="BU260" s="6" t="s">
        <v>4605</v>
      </c>
      <c r="BV260" s="0" t="n">
        <v>118</v>
      </c>
      <c r="CF260" s="6" t="s">
        <v>158</v>
      </c>
      <c r="CK260" s="6" t="s">
        <v>158</v>
      </c>
      <c r="CL260" s="0" t="n">
        <v>23</v>
      </c>
      <c r="CM260" s="0" t="n">
        <v>0</v>
      </c>
      <c r="CN260" s="0" t="n">
        <v>13</v>
      </c>
      <c r="CO260" s="0" t="n">
        <v>15</v>
      </c>
      <c r="CP260" s="0" t="n">
        <v>5</v>
      </c>
      <c r="CQ260" s="0" t="n">
        <v>2</v>
      </c>
      <c r="CR260" s="0" t="n">
        <v>0</v>
      </c>
      <c r="CS260" s="6" t="n">
        <f aca="false">IF(R260="Y",10,0)</f>
        <v>0</v>
      </c>
      <c r="CT260" s="0" t="n">
        <v>-12</v>
      </c>
      <c r="CV260" s="6" t="s">
        <v>5152</v>
      </c>
      <c r="CW260" s="6" t="s">
        <v>10107</v>
      </c>
      <c r="CX260" s="6" t="s">
        <v>10108</v>
      </c>
      <c r="DA260" s="6" t="s">
        <v>6236</v>
      </c>
      <c r="DY260" s="0" t="str">
        <f aca="false">IF(ISNUMBER(MATCH(U260,{"queued","contacted","replied","call_booked","call_done","yes_in_principle","materials_sent"},0)),"Y","N")</f>
        <v>N</v>
      </c>
      <c r="DZ260" s="0" t="str">
        <f aca="false">IF(COUNTIFS($AN$2:$AN$1000,AN260,$DY$2:$DY$1000,"Y")+COUNTIFS($AN$2:$AN$1000,AN260,$T$2:$T$1000,"Y")&gt;0,"Y","N")</f>
        <v>N</v>
      </c>
      <c r="EA260" s="0" t="str">
        <f aca="false">IF(AND(U260="new",T260="N",AR260="Y",AQ260="",DZ260="N"),"Y","N")</f>
        <v>N</v>
      </c>
      <c r="EB260" s="0" t="str">
        <f aca="false">IF(EA260&lt;&gt;"Y","N",IF(COUNTIFS($AN$2:$AN$1000,AN260,$EA$2:$EA$1000,"Y",$J$2:$J$1000,"&gt;"&amp;J260)+COUNTIFS($AN$2:$AN$1000,AN260,$EA$2:$EA$1000,"Y",$J$2:$J$1000,J260,$ED$2:$ED$1000,"&lt;"&amp;ED260)=0,"Y","N"))</f>
        <v>N</v>
      </c>
      <c r="EC260" s="0" t="str">
        <f aca="false">IF(Y260="","N",IF(Y260&lt;=10,"Y","N"))</f>
        <v>N</v>
      </c>
      <c r="ED260" s="6" t="n">
        <f aca="false">ROW()-1</f>
        <v>259</v>
      </c>
    </row>
    <row r="261" customFormat="false" ht="15" hidden="false" customHeight="false" outlineLevel="0" collapsed="false">
      <c r="A261" s="0" t="s">
        <v>10109</v>
      </c>
      <c r="B261" s="0" t="s">
        <v>10110</v>
      </c>
      <c r="H261" s="5" t="s">
        <v>158</v>
      </c>
      <c r="I261" s="5"/>
      <c r="J261" s="6" t="n">
        <f aca="false">IF(AU261="pass",CM261+CN261+CO261+CP261+CQ261+CR261+CS261+CT261,0)</f>
        <v>0</v>
      </c>
      <c r="K261" s="6" t="s">
        <v>10111</v>
      </c>
      <c r="M261" s="6" t="s">
        <v>5293</v>
      </c>
      <c r="N261" s="6" t="s">
        <v>598</v>
      </c>
      <c r="O261" s="6" t="s">
        <v>10073</v>
      </c>
      <c r="P261" s="6" t="s">
        <v>10112</v>
      </c>
      <c r="Q261" s="6" t="s">
        <v>5137</v>
      </c>
      <c r="R261" s="5" t="s">
        <v>162</v>
      </c>
      <c r="S261" s="6" t="s">
        <v>163</v>
      </c>
      <c r="T261" s="5" t="s">
        <v>162</v>
      </c>
      <c r="U261" s="5" t="s">
        <v>228</v>
      </c>
      <c r="V261" s="6" t="s">
        <v>10112</v>
      </c>
      <c r="W261" s="6" t="s">
        <v>174</v>
      </c>
      <c r="X261" s="6" t="s">
        <v>4586</v>
      </c>
      <c r="Y261" s="0" t="str">
        <f aca="false">IF(EB261&lt;&gt;"Y","",COUNTIFS($EB$2:$EB$1000,"Y",$J$2:$J$1000,"&gt;"&amp;J261)+COUNTIFS($EB$2:$EB$1000,"Y",$J$2:$J$1000,J261,$ED$2:$ED$1000,"&lt;"&amp;ED261)+1)</f>
        <v/>
      </c>
      <c r="AA261" s="6" t="s">
        <v>162</v>
      </c>
      <c r="AD261" s="6" t="s">
        <v>158</v>
      </c>
      <c r="AH261" s="6" t="s">
        <v>10113</v>
      </c>
      <c r="AI261" s="6" t="s">
        <v>5081</v>
      </c>
      <c r="AJ261" s="6" t="s">
        <v>10114</v>
      </c>
      <c r="AK261" s="6" t="s">
        <v>10115</v>
      </c>
      <c r="AL261" s="6" t="s">
        <v>162</v>
      </c>
      <c r="AN261" s="6" t="s">
        <v>10109</v>
      </c>
      <c r="AO261" s="5" t="s">
        <v>162</v>
      </c>
      <c r="AR261" s="0" t="str">
        <f aca="false">IF(AND(AU261="pass",AO261&lt;&gt;"Y",C261&lt;&gt;""),"Y","N")</f>
        <v>N</v>
      </c>
      <c r="AS261" s="0" t="str">
        <f aca="false">_xlfn.TEXTJOIN("; ",TRUE(),IF(AU261&lt;&gt;"pass","gated out",""),IF(AO261="Y","on hold: "&amp;AP261,""),IF(C261="","no contact named on an opened page",""))</f>
        <v>gated out; no contact named on an opened page</v>
      </c>
      <c r="AU261" s="6" t="s">
        <v>3704</v>
      </c>
      <c r="AV261" s="6" t="s">
        <v>9885</v>
      </c>
      <c r="AW261" s="6" t="s">
        <v>10116</v>
      </c>
      <c r="AY261" s="6" t="s">
        <v>10115</v>
      </c>
      <c r="AZ261" s="6" t="s">
        <v>4596</v>
      </c>
      <c r="BA261" s="6" t="s">
        <v>4953</v>
      </c>
      <c r="BB261" s="6" t="s">
        <v>163</v>
      </c>
      <c r="BD261" s="6" t="s">
        <v>162</v>
      </c>
      <c r="BE261" s="6" t="s">
        <v>10117</v>
      </c>
      <c r="BF261" s="6" t="s">
        <v>168</v>
      </c>
      <c r="BG261" s="6" t="s">
        <v>168</v>
      </c>
      <c r="BH261" s="6" t="s">
        <v>163</v>
      </c>
      <c r="BJ261" s="6" t="s">
        <v>5145</v>
      </c>
      <c r="BK261" s="6" t="s">
        <v>162</v>
      </c>
      <c r="BL261" s="6" t="s">
        <v>168</v>
      </c>
      <c r="BM261" s="6" t="s">
        <v>10118</v>
      </c>
      <c r="BO261" s="6" t="s">
        <v>162</v>
      </c>
      <c r="BP261" s="0" t="n">
        <v>0</v>
      </c>
      <c r="BS261" s="6" t="s">
        <v>10119</v>
      </c>
      <c r="BU261" s="6" t="s">
        <v>4605</v>
      </c>
      <c r="BV261" s="0" t="n">
        <v>118</v>
      </c>
      <c r="CF261" s="6" t="s">
        <v>158</v>
      </c>
      <c r="CK261" s="6" t="s">
        <v>158</v>
      </c>
      <c r="CL261" s="0" t="n">
        <v>45</v>
      </c>
      <c r="CM261" s="0" t="n">
        <v>6</v>
      </c>
      <c r="CN261" s="0" t="n">
        <v>13</v>
      </c>
      <c r="CO261" s="0" t="n">
        <v>15</v>
      </c>
      <c r="CP261" s="0" t="n">
        <v>5</v>
      </c>
      <c r="CQ261" s="0" t="n">
        <v>6</v>
      </c>
      <c r="CR261" s="0" t="n">
        <v>0</v>
      </c>
      <c r="CS261" s="6" t="n">
        <f aca="false">IF(R261="Y",10,0)</f>
        <v>0</v>
      </c>
      <c r="CT261" s="0" t="n">
        <v>0</v>
      </c>
      <c r="CU261" s="6" t="s">
        <v>10120</v>
      </c>
      <c r="CV261" s="6" t="s">
        <v>5152</v>
      </c>
      <c r="CW261" s="6" t="s">
        <v>10121</v>
      </c>
      <c r="CX261" s="6" t="s">
        <v>10122</v>
      </c>
      <c r="DA261" s="6" t="s">
        <v>6236</v>
      </c>
      <c r="DY261" s="0" t="str">
        <f aca="false">IF(ISNUMBER(MATCH(U261,{"queued","contacted","replied","call_booked","call_done","yes_in_principle","materials_sent"},0)),"Y","N")</f>
        <v>N</v>
      </c>
      <c r="DZ261" s="0" t="str">
        <f aca="false">IF(COUNTIFS($AN$2:$AN$1000,AN261,$DY$2:$DY$1000,"Y")+COUNTIFS($AN$2:$AN$1000,AN261,$T$2:$T$1000,"Y")&gt;0,"Y","N")</f>
        <v>N</v>
      </c>
      <c r="EA261" s="0" t="str">
        <f aca="false">IF(AND(U261="new",T261="N",AR261="Y",AQ261="",DZ261="N"),"Y","N")</f>
        <v>N</v>
      </c>
      <c r="EB261" s="0" t="str">
        <f aca="false">IF(EA261&lt;&gt;"Y","N",IF(COUNTIFS($AN$2:$AN$1000,AN261,$EA$2:$EA$1000,"Y",$J$2:$J$1000,"&gt;"&amp;J261)+COUNTIFS($AN$2:$AN$1000,AN261,$EA$2:$EA$1000,"Y",$J$2:$J$1000,J261,$ED$2:$ED$1000,"&lt;"&amp;ED261)=0,"Y","N"))</f>
        <v>N</v>
      </c>
      <c r="EC261" s="0" t="str">
        <f aca="false">IF(Y261="","N",IF(Y261&lt;=10,"Y","N"))</f>
        <v>N</v>
      </c>
      <c r="ED261" s="6" t="n">
        <f aca="false">ROW()-1</f>
        <v>260</v>
      </c>
    </row>
    <row r="262" customFormat="false" ht="15" hidden="false" customHeight="false" outlineLevel="0" collapsed="false">
      <c r="A262" s="0" t="s">
        <v>10123</v>
      </c>
      <c r="B262" s="0" t="s">
        <v>10124</v>
      </c>
      <c r="H262" s="5" t="s">
        <v>158</v>
      </c>
      <c r="I262" s="5"/>
      <c r="J262" s="6" t="n">
        <f aca="false">IF(AU262="pass",CM262+CN262+CO262+CP262+CQ262+CR262+CS262+CT262,0)</f>
        <v>0</v>
      </c>
      <c r="K262" s="6" t="s">
        <v>10098</v>
      </c>
      <c r="M262" s="6" t="s">
        <v>5293</v>
      </c>
      <c r="N262" s="6" t="s">
        <v>598</v>
      </c>
      <c r="O262" s="6" t="s">
        <v>10125</v>
      </c>
      <c r="P262" s="6" t="s">
        <v>10126</v>
      </c>
      <c r="Q262" s="6" t="s">
        <v>5137</v>
      </c>
      <c r="R262" s="5" t="s">
        <v>162</v>
      </c>
      <c r="S262" s="6" t="s">
        <v>163</v>
      </c>
      <c r="T262" s="5" t="s">
        <v>162</v>
      </c>
      <c r="U262" s="5" t="s">
        <v>228</v>
      </c>
      <c r="V262" s="6" t="s">
        <v>10126</v>
      </c>
      <c r="W262" s="6" t="s">
        <v>174</v>
      </c>
      <c r="X262" s="6" t="s">
        <v>4586</v>
      </c>
      <c r="Y262" s="0" t="str">
        <f aca="false">IF(EB262&lt;&gt;"Y","",COUNTIFS($EB$2:$EB$1000,"Y",$J$2:$J$1000,"&gt;"&amp;J262)+COUNTIFS($EB$2:$EB$1000,"Y",$J$2:$J$1000,J262,$ED$2:$ED$1000,"&lt;"&amp;ED262)+1)</f>
        <v/>
      </c>
      <c r="AA262" s="6" t="s">
        <v>162</v>
      </c>
      <c r="AD262" s="6" t="s">
        <v>158</v>
      </c>
      <c r="AH262" s="6" t="s">
        <v>10127</v>
      </c>
      <c r="AI262" s="6" t="s">
        <v>5030</v>
      </c>
      <c r="AJ262" s="6" t="s">
        <v>10128</v>
      </c>
      <c r="AL262" s="6" t="s">
        <v>168</v>
      </c>
      <c r="AM262" s="6" t="s">
        <v>10129</v>
      </c>
      <c r="AN262" s="6" t="s">
        <v>10123</v>
      </c>
      <c r="AO262" s="5" t="s">
        <v>162</v>
      </c>
      <c r="AR262" s="0" t="str">
        <f aca="false">IF(AND(AU262="pass",AO262&lt;&gt;"Y",C262&lt;&gt;""),"Y","N")</f>
        <v>N</v>
      </c>
      <c r="AS262" s="0" t="str">
        <f aca="false">_xlfn.TEXTJOIN("; ",TRUE(),IF(AU262&lt;&gt;"pass","gated out",""),IF(AO262="Y","on hold: "&amp;AP262,""),IF(C262="","no contact named on an opened page",""))</f>
        <v>gated out; no contact named on an opened page</v>
      </c>
      <c r="AU262" s="6" t="s">
        <v>3704</v>
      </c>
      <c r="AV262" s="6" t="s">
        <v>10058</v>
      </c>
      <c r="AW262" s="6" t="s">
        <v>10103</v>
      </c>
      <c r="AX262" s="6" t="s">
        <v>283</v>
      </c>
      <c r="AY262" s="6" t="s">
        <v>10130</v>
      </c>
      <c r="AZ262" s="6" t="s">
        <v>4596</v>
      </c>
      <c r="BA262" s="6" t="s">
        <v>4597</v>
      </c>
      <c r="BB262" s="6" t="s">
        <v>163</v>
      </c>
      <c r="BD262" s="6" t="s">
        <v>168</v>
      </c>
      <c r="BE262" s="6" t="s">
        <v>10131</v>
      </c>
      <c r="BF262" s="6" t="s">
        <v>163</v>
      </c>
      <c r="BG262" s="6" t="s">
        <v>162</v>
      </c>
      <c r="BH262" s="6" t="s">
        <v>163</v>
      </c>
      <c r="BJ262" s="6" t="s">
        <v>5145</v>
      </c>
      <c r="BK262" s="6" t="s">
        <v>162</v>
      </c>
      <c r="BL262" s="6" t="s">
        <v>162</v>
      </c>
      <c r="BO262" s="6" t="s">
        <v>162</v>
      </c>
      <c r="BP262" s="0" t="n">
        <v>0</v>
      </c>
      <c r="BS262" s="6" t="s">
        <v>10132</v>
      </c>
      <c r="BU262" s="6" t="s">
        <v>4605</v>
      </c>
      <c r="BV262" s="0" t="n">
        <v>118</v>
      </c>
      <c r="CF262" s="6" t="s">
        <v>158</v>
      </c>
      <c r="CK262" s="6" t="s">
        <v>158</v>
      </c>
      <c r="CL262" s="0" t="n">
        <v>43</v>
      </c>
      <c r="CM262" s="0" t="n">
        <v>0</v>
      </c>
      <c r="CN262" s="0" t="n">
        <v>20</v>
      </c>
      <c r="CO262" s="0" t="n">
        <v>15</v>
      </c>
      <c r="CP262" s="0" t="n">
        <v>5</v>
      </c>
      <c r="CQ262" s="0" t="n">
        <v>5</v>
      </c>
      <c r="CR262" s="0" t="n">
        <v>0</v>
      </c>
      <c r="CS262" s="6" t="n">
        <f aca="false">IF(R262="Y",10,0)</f>
        <v>0</v>
      </c>
      <c r="CT262" s="0" t="n">
        <v>-2</v>
      </c>
      <c r="CV262" s="6" t="s">
        <v>5152</v>
      </c>
      <c r="CW262" s="6" t="s">
        <v>10133</v>
      </c>
      <c r="CX262" s="6" t="s">
        <v>10134</v>
      </c>
      <c r="DA262" s="6" t="s">
        <v>6236</v>
      </c>
      <c r="DY262" s="0" t="str">
        <f aca="false">IF(ISNUMBER(MATCH(U262,{"queued","contacted","replied","call_booked","call_done","yes_in_principle","materials_sent"},0)),"Y","N")</f>
        <v>N</v>
      </c>
      <c r="DZ262" s="0" t="str">
        <f aca="false">IF(COUNTIFS($AN$2:$AN$1000,AN262,$DY$2:$DY$1000,"Y")+COUNTIFS($AN$2:$AN$1000,AN262,$T$2:$T$1000,"Y")&gt;0,"Y","N")</f>
        <v>N</v>
      </c>
      <c r="EA262" s="0" t="str">
        <f aca="false">IF(AND(U262="new",T262="N",AR262="Y",AQ262="",DZ262="N"),"Y","N")</f>
        <v>N</v>
      </c>
      <c r="EB262" s="0" t="str">
        <f aca="false">IF(EA262&lt;&gt;"Y","N",IF(COUNTIFS($AN$2:$AN$1000,AN262,$EA$2:$EA$1000,"Y",$J$2:$J$1000,"&gt;"&amp;J262)+COUNTIFS($AN$2:$AN$1000,AN262,$EA$2:$EA$1000,"Y",$J$2:$J$1000,J262,$ED$2:$ED$1000,"&lt;"&amp;ED262)=0,"Y","N"))</f>
        <v>N</v>
      </c>
      <c r="EC262" s="0" t="str">
        <f aca="false">IF(Y262="","N",IF(Y262&lt;=10,"Y","N"))</f>
        <v>N</v>
      </c>
      <c r="ED262" s="6" t="n">
        <f aca="false">ROW()-1</f>
        <v>261</v>
      </c>
    </row>
    <row r="263" customFormat="false" ht="15" hidden="false" customHeight="false" outlineLevel="0" collapsed="false">
      <c r="A263" s="0" t="s">
        <v>10135</v>
      </c>
      <c r="B263" s="0" t="s">
        <v>10136</v>
      </c>
      <c r="C263" s="0" t="s">
        <v>10137</v>
      </c>
      <c r="D263" s="0" t="s">
        <v>10138</v>
      </c>
      <c r="E263" s="0" t="s">
        <v>4912</v>
      </c>
      <c r="H263" s="5" t="s">
        <v>158</v>
      </c>
      <c r="I263" s="5" t="s">
        <v>159</v>
      </c>
      <c r="J263" s="6" t="n">
        <f aca="false">IF(AU263="pass",CM263+CN263+CO263+CP263+CQ263+CR263+CS263+CT263,0)</f>
        <v>0</v>
      </c>
      <c r="K263" s="6" t="s">
        <v>10139</v>
      </c>
      <c r="M263" s="6" t="s">
        <v>5293</v>
      </c>
      <c r="N263" s="6" t="s">
        <v>598</v>
      </c>
      <c r="O263" s="6" t="s">
        <v>10140</v>
      </c>
      <c r="P263" s="6" t="s">
        <v>10141</v>
      </c>
      <c r="Q263" s="6" t="s">
        <v>3388</v>
      </c>
      <c r="R263" s="5" t="s">
        <v>162</v>
      </c>
      <c r="S263" s="6" t="s">
        <v>168</v>
      </c>
      <c r="T263" s="5" t="s">
        <v>162</v>
      </c>
      <c r="U263" s="5" t="s">
        <v>228</v>
      </c>
      <c r="V263" s="6" t="s">
        <v>10141</v>
      </c>
      <c r="W263" s="6" t="s">
        <v>166</v>
      </c>
      <c r="X263" s="6" t="s">
        <v>4586</v>
      </c>
      <c r="Y263" s="0" t="str">
        <f aca="false">IF(EB263&lt;&gt;"Y","",COUNTIFS($EB$2:$EB$1000,"Y",$J$2:$J$1000,"&gt;"&amp;J263)+COUNTIFS($EB$2:$EB$1000,"Y",$J$2:$J$1000,J263,$ED$2:$ED$1000,"&lt;"&amp;ED263)+1)</f>
        <v/>
      </c>
      <c r="AA263" s="6" t="s">
        <v>162</v>
      </c>
      <c r="AC263" s="6" t="s">
        <v>4588</v>
      </c>
      <c r="AD263" s="6" t="s">
        <v>171</v>
      </c>
      <c r="AE263" s="6" t="s">
        <v>1190</v>
      </c>
      <c r="AF263" s="6" t="s">
        <v>10141</v>
      </c>
      <c r="AG263" s="6" t="s">
        <v>166</v>
      </c>
      <c r="AH263" s="6" t="s">
        <v>10142</v>
      </c>
      <c r="AI263" s="6" t="s">
        <v>5926</v>
      </c>
      <c r="AJ263" s="6" t="s">
        <v>10015</v>
      </c>
      <c r="AL263" s="6" t="s">
        <v>168</v>
      </c>
      <c r="AM263" s="6" t="s">
        <v>4691</v>
      </c>
      <c r="AN263" s="6" t="s">
        <v>10135</v>
      </c>
      <c r="AO263" s="5" t="s">
        <v>162</v>
      </c>
      <c r="AR263" s="0" t="str">
        <f aca="false">IF(AND(AU263="pass",AO263&lt;&gt;"Y",C263&lt;&gt;""),"Y","N")</f>
        <v>N</v>
      </c>
      <c r="AS263" s="0" t="str">
        <f aca="false">_xlfn.TEXTJOIN("; ",TRUE(),IF(AU263&lt;&gt;"pass","gated out",""),IF(AO263="Y","on hold: "&amp;AP263,""),IF(C263="","no contact named on an opened page",""))</f>
        <v>gated out</v>
      </c>
      <c r="AU263" s="6" t="s">
        <v>3704</v>
      </c>
      <c r="AV263" s="6" t="s">
        <v>10143</v>
      </c>
      <c r="AW263" s="6" t="s">
        <v>10144</v>
      </c>
      <c r="AY263" s="6" t="s">
        <v>10145</v>
      </c>
      <c r="AZ263" s="6" t="s">
        <v>4596</v>
      </c>
      <c r="BA263" s="6" t="s">
        <v>4597</v>
      </c>
      <c r="BB263" s="6" t="s">
        <v>163</v>
      </c>
      <c r="BD263" s="6" t="s">
        <v>163</v>
      </c>
      <c r="BF263" s="6" t="s">
        <v>163</v>
      </c>
      <c r="BG263" s="6" t="s">
        <v>163</v>
      </c>
      <c r="BH263" s="6" t="s">
        <v>163</v>
      </c>
      <c r="BJ263" s="6" t="s">
        <v>163</v>
      </c>
      <c r="BK263" s="6" t="s">
        <v>168</v>
      </c>
      <c r="BL263" s="6" t="s">
        <v>168</v>
      </c>
      <c r="BM263" s="6" t="s">
        <v>10146</v>
      </c>
      <c r="BO263" s="6" t="s">
        <v>162</v>
      </c>
      <c r="BP263" s="0" t="n">
        <v>0</v>
      </c>
      <c r="BU263" s="6" t="s">
        <v>4605</v>
      </c>
      <c r="BV263" s="0" t="n">
        <v>137</v>
      </c>
      <c r="BW263" s="6" t="s">
        <v>10141</v>
      </c>
      <c r="BX263" s="6" t="s">
        <v>10147</v>
      </c>
      <c r="CF263" s="6" t="s">
        <v>158</v>
      </c>
      <c r="CK263" s="6" t="s">
        <v>158</v>
      </c>
      <c r="CL263" s="0" t="n">
        <v>49</v>
      </c>
      <c r="CM263" s="0" t="n">
        <v>0</v>
      </c>
      <c r="CN263" s="0" t="n">
        <v>20</v>
      </c>
      <c r="CO263" s="0" t="n">
        <v>15</v>
      </c>
      <c r="CP263" s="0" t="n">
        <v>5</v>
      </c>
      <c r="CQ263" s="0" t="n">
        <v>3</v>
      </c>
      <c r="CR263" s="0" t="n">
        <v>6</v>
      </c>
      <c r="CS263" s="6" t="n">
        <f aca="false">IF(R263="Y",10,0)</f>
        <v>0</v>
      </c>
      <c r="CT263" s="0" t="n">
        <v>0</v>
      </c>
      <c r="CV263" s="6" t="s">
        <v>4616</v>
      </c>
      <c r="CW263" s="6" t="s">
        <v>10148</v>
      </c>
      <c r="CX263" s="6" t="s">
        <v>10023</v>
      </c>
      <c r="DA263" s="6" t="s">
        <v>6236</v>
      </c>
      <c r="DY263" s="0" t="str">
        <f aca="false">IF(ISNUMBER(MATCH(U263,{"queued","contacted","replied","call_booked","call_done","yes_in_principle","materials_sent"},0)),"Y","N")</f>
        <v>N</v>
      </c>
      <c r="DZ263" s="0" t="str">
        <f aca="false">IF(COUNTIFS($AN$2:$AN$1000,AN263,$DY$2:$DY$1000,"Y")+COUNTIFS($AN$2:$AN$1000,AN263,$T$2:$T$1000,"Y")&gt;0,"Y","N")</f>
        <v>N</v>
      </c>
      <c r="EA263" s="0" t="str">
        <f aca="false">IF(AND(U263="new",T263="N",AR263="Y",AQ263="",DZ263="N"),"Y","N")</f>
        <v>N</v>
      </c>
      <c r="EB263" s="0" t="str">
        <f aca="false">IF(EA263&lt;&gt;"Y","N",IF(COUNTIFS($AN$2:$AN$1000,AN263,$EA$2:$EA$1000,"Y",$J$2:$J$1000,"&gt;"&amp;J263)+COUNTIFS($AN$2:$AN$1000,AN263,$EA$2:$EA$1000,"Y",$J$2:$J$1000,J263,$ED$2:$ED$1000,"&lt;"&amp;ED263)=0,"Y","N"))</f>
        <v>N</v>
      </c>
      <c r="EC263" s="0" t="str">
        <f aca="false">IF(Y263="","N",IF(Y263&lt;=10,"Y","N"))</f>
        <v>N</v>
      </c>
      <c r="ED263" s="6" t="n">
        <f aca="false">ROW()-1</f>
        <v>262</v>
      </c>
    </row>
    <row r="264" customFormat="false" ht="15" hidden="false" customHeight="false" outlineLevel="0" collapsed="false">
      <c r="A264" s="0" t="s">
        <v>10149</v>
      </c>
      <c r="B264" s="0" t="s">
        <v>10150</v>
      </c>
      <c r="C264" s="0" t="s">
        <v>10151</v>
      </c>
      <c r="D264" s="0" t="s">
        <v>10152</v>
      </c>
      <c r="E264" s="0" t="s">
        <v>4773</v>
      </c>
      <c r="H264" s="5" t="s">
        <v>158</v>
      </c>
      <c r="I264" s="5" t="s">
        <v>159</v>
      </c>
      <c r="J264" s="6" t="n">
        <f aca="false">IF(AU264="pass",CM264+CN264+CO264+CP264+CQ264+CR264+CS264+CT264,0)</f>
        <v>0</v>
      </c>
      <c r="K264" s="6" t="s">
        <v>10054</v>
      </c>
      <c r="M264" s="6" t="s">
        <v>5293</v>
      </c>
      <c r="N264" s="6" t="s">
        <v>598</v>
      </c>
      <c r="O264" s="6" t="s">
        <v>10153</v>
      </c>
      <c r="P264" s="6" t="s">
        <v>10154</v>
      </c>
      <c r="Q264" s="6" t="s">
        <v>2614</v>
      </c>
      <c r="R264" s="5" t="s">
        <v>162</v>
      </c>
      <c r="S264" s="6" t="s">
        <v>163</v>
      </c>
      <c r="T264" s="5" t="s">
        <v>162</v>
      </c>
      <c r="U264" s="5" t="s">
        <v>228</v>
      </c>
      <c r="V264" s="6" t="s">
        <v>10154</v>
      </c>
      <c r="W264" s="6" t="s">
        <v>166</v>
      </c>
      <c r="X264" s="6" t="s">
        <v>4586</v>
      </c>
      <c r="Y264" s="0" t="str">
        <f aca="false">IF(EB264&lt;&gt;"Y","",COUNTIFS($EB$2:$EB$1000,"Y",$J$2:$J$1000,"&gt;"&amp;J264)+COUNTIFS($EB$2:$EB$1000,"Y",$J$2:$J$1000,J264,$ED$2:$ED$1000,"&lt;"&amp;ED264)+1)</f>
        <v/>
      </c>
      <c r="AA264" s="6" t="s">
        <v>162</v>
      </c>
      <c r="AC264" s="6" t="s">
        <v>4588</v>
      </c>
      <c r="AD264" s="6" t="s">
        <v>171</v>
      </c>
      <c r="AE264" s="6" t="s">
        <v>1190</v>
      </c>
      <c r="AF264" s="6" t="s">
        <v>10155</v>
      </c>
      <c r="AG264" s="6" t="s">
        <v>166</v>
      </c>
      <c r="AH264" s="6" t="s">
        <v>10156</v>
      </c>
      <c r="AI264" s="6" t="s">
        <v>5463</v>
      </c>
      <c r="AJ264" s="6" t="s">
        <v>10157</v>
      </c>
      <c r="AL264" s="6" t="s">
        <v>168</v>
      </c>
      <c r="AM264" s="6" t="s">
        <v>10158</v>
      </c>
      <c r="AN264" s="6" t="s">
        <v>10149</v>
      </c>
      <c r="AO264" s="5" t="s">
        <v>162</v>
      </c>
      <c r="AR264" s="0" t="str">
        <f aca="false">IF(AND(AU264="pass",AO264&lt;&gt;"Y",C264&lt;&gt;""),"Y","N")</f>
        <v>N</v>
      </c>
      <c r="AS264" s="0" t="str">
        <f aca="false">_xlfn.TEXTJOIN("; ",TRUE(),IF(AU264&lt;&gt;"pass","gated out",""),IF(AO264="Y","on hold: "&amp;AP264,""),IF(C264="","no contact named on an opened page",""))</f>
        <v>gated out</v>
      </c>
      <c r="AU264" s="6" t="s">
        <v>3704</v>
      </c>
      <c r="AV264" s="6" t="s">
        <v>10058</v>
      </c>
      <c r="AW264" s="6" t="s">
        <v>10059</v>
      </c>
      <c r="AX264" s="6" t="s">
        <v>4595</v>
      </c>
      <c r="AY264" s="6" t="s">
        <v>10159</v>
      </c>
      <c r="AZ264" s="6" t="s">
        <v>5714</v>
      </c>
      <c r="BA264" s="6" t="s">
        <v>5331</v>
      </c>
      <c r="BB264" s="6" t="s">
        <v>163</v>
      </c>
      <c r="BD264" s="6" t="s">
        <v>168</v>
      </c>
      <c r="BE264" s="6" t="s">
        <v>10160</v>
      </c>
      <c r="BF264" s="6" t="s">
        <v>168</v>
      </c>
      <c r="BG264" s="6" t="s">
        <v>163</v>
      </c>
      <c r="BH264" s="6" t="s">
        <v>163</v>
      </c>
      <c r="BJ264" s="6" t="s">
        <v>163</v>
      </c>
      <c r="BK264" s="6" t="s">
        <v>162</v>
      </c>
      <c r="BL264" s="6" t="s">
        <v>162</v>
      </c>
      <c r="BO264" s="6" t="s">
        <v>162</v>
      </c>
      <c r="BP264" s="0" t="n">
        <v>0</v>
      </c>
      <c r="BS264" s="6" t="s">
        <v>163</v>
      </c>
      <c r="BT264" s="6" t="s">
        <v>10161</v>
      </c>
      <c r="BU264" s="6" t="s">
        <v>4605</v>
      </c>
      <c r="BV264" s="0" t="n">
        <v>5</v>
      </c>
      <c r="BX264" s="6" t="s">
        <v>10162</v>
      </c>
      <c r="BY264" s="6" t="s">
        <v>10163</v>
      </c>
      <c r="CF264" s="6" t="s">
        <v>158</v>
      </c>
      <c r="CK264" s="6" t="s">
        <v>158</v>
      </c>
      <c r="CL264" s="0" t="n">
        <v>33</v>
      </c>
      <c r="CM264" s="0" t="n">
        <v>0</v>
      </c>
      <c r="CN264" s="0" t="n">
        <v>3</v>
      </c>
      <c r="CO264" s="0" t="n">
        <v>15</v>
      </c>
      <c r="CP264" s="0" t="n">
        <v>5</v>
      </c>
      <c r="CQ264" s="0" t="n">
        <v>8</v>
      </c>
      <c r="CR264" s="0" t="n">
        <v>6</v>
      </c>
      <c r="CS264" s="6" t="n">
        <f aca="false">IF(R264="Y",10,0)</f>
        <v>0</v>
      </c>
      <c r="CT264" s="0" t="n">
        <v>-4</v>
      </c>
      <c r="CU264" s="6" t="s">
        <v>163</v>
      </c>
      <c r="CV264" s="6" t="s">
        <v>4843</v>
      </c>
      <c r="CW264" s="6" t="s">
        <v>10164</v>
      </c>
      <c r="CX264" s="6" t="s">
        <v>10165</v>
      </c>
      <c r="CY264" s="6" t="s">
        <v>10166</v>
      </c>
      <c r="DA264" s="6" t="s">
        <v>6236</v>
      </c>
      <c r="DY264" s="0" t="str">
        <f aca="false">IF(ISNUMBER(MATCH(U264,{"queued","contacted","replied","call_booked","call_done","yes_in_principle","materials_sent"},0)),"Y","N")</f>
        <v>N</v>
      </c>
      <c r="DZ264" s="0" t="str">
        <f aca="false">IF(COUNTIFS($AN$2:$AN$1000,AN264,$DY$2:$DY$1000,"Y")+COUNTIFS($AN$2:$AN$1000,AN264,$T$2:$T$1000,"Y")&gt;0,"Y","N")</f>
        <v>N</v>
      </c>
      <c r="EA264" s="0" t="str">
        <f aca="false">IF(AND(U264="new",T264="N",AR264="Y",AQ264="",DZ264="N"),"Y","N")</f>
        <v>N</v>
      </c>
      <c r="EB264" s="0" t="str">
        <f aca="false">IF(EA264&lt;&gt;"Y","N",IF(COUNTIFS($AN$2:$AN$1000,AN264,$EA$2:$EA$1000,"Y",$J$2:$J$1000,"&gt;"&amp;J264)+COUNTIFS($AN$2:$AN$1000,AN264,$EA$2:$EA$1000,"Y",$J$2:$J$1000,J264,$ED$2:$ED$1000,"&lt;"&amp;ED264)=0,"Y","N"))</f>
        <v>N</v>
      </c>
      <c r="EC264" s="0" t="str">
        <f aca="false">IF(Y264="","N",IF(Y264&lt;=10,"Y","N"))</f>
        <v>N</v>
      </c>
      <c r="ED264" s="6" t="n">
        <f aca="false">ROW()-1</f>
        <v>263</v>
      </c>
    </row>
    <row r="265" customFormat="false" ht="15" hidden="false" customHeight="false" outlineLevel="0" collapsed="false">
      <c r="A265" s="0" t="s">
        <v>10167</v>
      </c>
      <c r="B265" s="0" t="s">
        <v>10168</v>
      </c>
      <c r="H265" s="5" t="s">
        <v>158</v>
      </c>
      <c r="I265" s="5"/>
      <c r="J265" s="6" t="n">
        <f aca="false">IF(AU265="pass",CM265+CN265+CO265+CP265+CQ265+CR265+CS265+CT265,0)</f>
        <v>0</v>
      </c>
      <c r="K265" s="6" t="s">
        <v>10098</v>
      </c>
      <c r="M265" s="6" t="s">
        <v>5293</v>
      </c>
      <c r="N265" s="6" t="s">
        <v>598</v>
      </c>
      <c r="O265" s="6" t="s">
        <v>10169</v>
      </c>
      <c r="P265" s="6" t="s">
        <v>10170</v>
      </c>
      <c r="Q265" s="6" t="s">
        <v>5137</v>
      </c>
      <c r="R265" s="5" t="s">
        <v>162</v>
      </c>
      <c r="S265" s="6" t="s">
        <v>163</v>
      </c>
      <c r="T265" s="5" t="s">
        <v>162</v>
      </c>
      <c r="U265" s="5" t="s">
        <v>228</v>
      </c>
      <c r="V265" s="6" t="s">
        <v>10170</v>
      </c>
      <c r="W265" s="6" t="s">
        <v>174</v>
      </c>
      <c r="X265" s="6" t="s">
        <v>4586</v>
      </c>
      <c r="Y265" s="0" t="str">
        <f aca="false">IF(EB265&lt;&gt;"Y","",COUNTIFS($EB$2:$EB$1000,"Y",$J$2:$J$1000,"&gt;"&amp;J265)+COUNTIFS($EB$2:$EB$1000,"Y",$J$2:$J$1000,J265,$ED$2:$ED$1000,"&lt;"&amp;ED265)+1)</f>
        <v/>
      </c>
      <c r="AA265" s="6" t="s">
        <v>162</v>
      </c>
      <c r="AD265" s="6" t="s">
        <v>158</v>
      </c>
      <c r="AH265" s="6" t="s">
        <v>10171</v>
      </c>
      <c r="AI265" s="6" t="s">
        <v>4591</v>
      </c>
      <c r="AJ265" s="6" t="s">
        <v>10172</v>
      </c>
      <c r="AL265" s="6" t="s">
        <v>168</v>
      </c>
      <c r="AM265" s="6" t="s">
        <v>10173</v>
      </c>
      <c r="AN265" s="6" t="s">
        <v>10167</v>
      </c>
      <c r="AO265" s="5" t="s">
        <v>162</v>
      </c>
      <c r="AR265" s="0" t="str">
        <f aca="false">IF(AND(AU265="pass",AO265&lt;&gt;"Y",C265&lt;&gt;""),"Y","N")</f>
        <v>N</v>
      </c>
      <c r="AS265" s="0" t="str">
        <f aca="false">_xlfn.TEXTJOIN("; ",TRUE(),IF(AU265&lt;&gt;"pass","gated out",""),IF(AO265="Y","on hold: "&amp;AP265,""),IF(C265="","no contact named on an opened page",""))</f>
        <v>gated out; no contact named on an opened page</v>
      </c>
      <c r="AU265" s="6" t="s">
        <v>3704</v>
      </c>
      <c r="AV265" s="6" t="s">
        <v>10058</v>
      </c>
      <c r="AW265" s="6" t="s">
        <v>10103</v>
      </c>
      <c r="AX265" s="6" t="s">
        <v>283</v>
      </c>
      <c r="AY265" s="6" t="s">
        <v>10174</v>
      </c>
      <c r="AZ265" s="6" t="s">
        <v>4596</v>
      </c>
      <c r="BA265" s="6" t="s">
        <v>4953</v>
      </c>
      <c r="BB265" s="6" t="s">
        <v>163</v>
      </c>
      <c r="BD265" s="6" t="s">
        <v>163</v>
      </c>
      <c r="BE265" s="6" t="s">
        <v>10175</v>
      </c>
      <c r="BF265" s="6" t="s">
        <v>163</v>
      </c>
      <c r="BG265" s="6" t="s">
        <v>162</v>
      </c>
      <c r="BH265" s="6" t="s">
        <v>163</v>
      </c>
      <c r="BJ265" s="6" t="s">
        <v>5145</v>
      </c>
      <c r="BK265" s="6" t="s">
        <v>162</v>
      </c>
      <c r="BL265" s="6" t="s">
        <v>162</v>
      </c>
      <c r="BO265" s="6" t="s">
        <v>162</v>
      </c>
      <c r="BP265" s="0" t="n">
        <v>0</v>
      </c>
      <c r="BS265" s="6" t="s">
        <v>10176</v>
      </c>
      <c r="BU265" s="6" t="s">
        <v>4605</v>
      </c>
      <c r="BV265" s="0" t="n">
        <v>118</v>
      </c>
      <c r="CF265" s="6" t="s">
        <v>158</v>
      </c>
      <c r="CK265" s="6" t="s">
        <v>158</v>
      </c>
      <c r="CL265" s="0" t="n">
        <v>33</v>
      </c>
      <c r="CM265" s="0" t="n">
        <v>0</v>
      </c>
      <c r="CN265" s="0" t="n">
        <v>13</v>
      </c>
      <c r="CO265" s="0" t="n">
        <v>15</v>
      </c>
      <c r="CP265" s="0" t="n">
        <v>5</v>
      </c>
      <c r="CQ265" s="0" t="n">
        <v>2</v>
      </c>
      <c r="CR265" s="0" t="n">
        <v>0</v>
      </c>
      <c r="CS265" s="6" t="n">
        <f aca="false">IF(R265="Y",10,0)</f>
        <v>0</v>
      </c>
      <c r="CT265" s="0" t="n">
        <v>-2</v>
      </c>
      <c r="CU265" s="6" t="s">
        <v>10177</v>
      </c>
      <c r="CV265" s="6" t="s">
        <v>5152</v>
      </c>
      <c r="CW265" s="6" t="s">
        <v>10178</v>
      </c>
      <c r="CX265" s="6" t="s">
        <v>10179</v>
      </c>
      <c r="DA265" s="6" t="s">
        <v>6236</v>
      </c>
      <c r="DY265" s="0" t="str">
        <f aca="false">IF(ISNUMBER(MATCH(U265,{"queued","contacted","replied","call_booked","call_done","yes_in_principle","materials_sent"},0)),"Y","N")</f>
        <v>N</v>
      </c>
      <c r="DZ265" s="0" t="str">
        <f aca="false">IF(COUNTIFS($AN$2:$AN$1000,AN265,$DY$2:$DY$1000,"Y")+COUNTIFS($AN$2:$AN$1000,AN265,$T$2:$T$1000,"Y")&gt;0,"Y","N")</f>
        <v>N</v>
      </c>
      <c r="EA265" s="0" t="str">
        <f aca="false">IF(AND(U265="new",T265="N",AR265="Y",AQ265="",DZ265="N"),"Y","N")</f>
        <v>N</v>
      </c>
      <c r="EB265" s="0" t="str">
        <f aca="false">IF(EA265&lt;&gt;"Y","N",IF(COUNTIFS($AN$2:$AN$1000,AN265,$EA$2:$EA$1000,"Y",$J$2:$J$1000,"&gt;"&amp;J265)+COUNTIFS($AN$2:$AN$1000,AN265,$EA$2:$EA$1000,"Y",$J$2:$J$1000,J265,$ED$2:$ED$1000,"&lt;"&amp;ED265)=0,"Y","N"))</f>
        <v>N</v>
      </c>
      <c r="EC265" s="0" t="str">
        <f aca="false">IF(Y265="","N",IF(Y265&lt;=10,"Y","N"))</f>
        <v>N</v>
      </c>
      <c r="ED265" s="6" t="n">
        <f aca="false">ROW()-1</f>
        <v>264</v>
      </c>
    </row>
    <row r="266" customFormat="false" ht="15" hidden="false" customHeight="false" outlineLevel="0" collapsed="false">
      <c r="A266" s="0" t="s">
        <v>10180</v>
      </c>
      <c r="B266" s="0" t="s">
        <v>10181</v>
      </c>
      <c r="C266" s="0" t="s">
        <v>10182</v>
      </c>
      <c r="D266" s="0" t="s">
        <v>10183</v>
      </c>
      <c r="E266" s="0" t="s">
        <v>4912</v>
      </c>
      <c r="H266" s="5" t="s">
        <v>158</v>
      </c>
      <c r="I266" s="5" t="s">
        <v>159</v>
      </c>
      <c r="J266" s="6" t="n">
        <f aca="false">IF(AU266="pass",CM266+CN266+CO266+CP266+CQ266+CR266+CS266+CT266,0)</f>
        <v>0</v>
      </c>
      <c r="K266" s="6" t="s">
        <v>10184</v>
      </c>
      <c r="M266" s="6" t="s">
        <v>5293</v>
      </c>
      <c r="N266" s="6" t="s">
        <v>598</v>
      </c>
      <c r="O266" s="6" t="s">
        <v>10185</v>
      </c>
      <c r="P266" s="6" t="s">
        <v>10186</v>
      </c>
      <c r="Q266" s="6" t="s">
        <v>7647</v>
      </c>
      <c r="R266" s="5" t="s">
        <v>162</v>
      </c>
      <c r="S266" s="6" t="s">
        <v>168</v>
      </c>
      <c r="T266" s="5" t="s">
        <v>162</v>
      </c>
      <c r="U266" s="5" t="s">
        <v>228</v>
      </c>
      <c r="V266" s="6" t="s">
        <v>10186</v>
      </c>
      <c r="W266" s="6" t="s">
        <v>166</v>
      </c>
      <c r="X266" s="6" t="s">
        <v>4586</v>
      </c>
      <c r="Y266" s="0" t="str">
        <f aca="false">IF(EB266&lt;&gt;"Y","",COUNTIFS($EB$2:$EB$1000,"Y",$J$2:$J$1000,"&gt;"&amp;J266)+COUNTIFS($EB$2:$EB$1000,"Y",$J$2:$J$1000,J266,$ED$2:$ED$1000,"&lt;"&amp;ED266)+1)</f>
        <v/>
      </c>
      <c r="AA266" s="6" t="s">
        <v>162</v>
      </c>
      <c r="AC266" s="6" t="s">
        <v>4588</v>
      </c>
      <c r="AD266" s="6" t="s">
        <v>171</v>
      </c>
      <c r="AE266" s="6" t="s">
        <v>1190</v>
      </c>
      <c r="AF266" s="6" t="s">
        <v>10186</v>
      </c>
      <c r="AG266" s="6" t="s">
        <v>166</v>
      </c>
      <c r="AH266" s="6" t="s">
        <v>10187</v>
      </c>
      <c r="AI266" s="6" t="s">
        <v>5926</v>
      </c>
      <c r="AJ266" s="6" t="s">
        <v>10015</v>
      </c>
      <c r="AL266" s="6" t="s">
        <v>168</v>
      </c>
      <c r="AM266" s="6" t="s">
        <v>4691</v>
      </c>
      <c r="AN266" s="6" t="s">
        <v>10180</v>
      </c>
      <c r="AO266" s="5" t="s">
        <v>162</v>
      </c>
      <c r="AR266" s="0" t="str">
        <f aca="false">IF(AND(AU266="pass",AO266&lt;&gt;"Y",C266&lt;&gt;""),"Y","N")</f>
        <v>N</v>
      </c>
      <c r="AS266" s="0" t="str">
        <f aca="false">_xlfn.TEXTJOIN("; ",TRUE(),IF(AU266&lt;&gt;"pass","gated out",""),IF(AO266="Y","on hold: "&amp;AP266,""),IF(C266="","no contact named on an opened page",""))</f>
        <v>gated out</v>
      </c>
      <c r="AU266" s="6" t="s">
        <v>3704</v>
      </c>
      <c r="AV266" s="6" t="s">
        <v>10090</v>
      </c>
      <c r="AW266" s="6" t="s">
        <v>10188</v>
      </c>
      <c r="AY266" s="6" t="s">
        <v>10189</v>
      </c>
      <c r="AZ266" s="6" t="s">
        <v>4596</v>
      </c>
      <c r="BA266" s="6" t="s">
        <v>4597</v>
      </c>
      <c r="BB266" s="6" t="s">
        <v>163</v>
      </c>
      <c r="BD266" s="6" t="s">
        <v>163</v>
      </c>
      <c r="BE266" s="6" t="s">
        <v>10190</v>
      </c>
      <c r="BF266" s="6" t="s">
        <v>162</v>
      </c>
      <c r="BG266" s="6" t="s">
        <v>163</v>
      </c>
      <c r="BH266" s="6" t="s">
        <v>163</v>
      </c>
      <c r="BJ266" s="6" t="s">
        <v>163</v>
      </c>
      <c r="BK266" s="6" t="s">
        <v>162</v>
      </c>
      <c r="BL266" s="6" t="s">
        <v>168</v>
      </c>
      <c r="BM266" s="6" t="s">
        <v>10191</v>
      </c>
      <c r="BO266" s="6" t="s">
        <v>162</v>
      </c>
      <c r="BP266" s="0" t="n">
        <v>0</v>
      </c>
      <c r="BS266" s="6" t="s">
        <v>10192</v>
      </c>
      <c r="BU266" s="6" t="s">
        <v>4605</v>
      </c>
      <c r="BV266" s="0" t="n">
        <v>87</v>
      </c>
      <c r="BW266" s="6" t="s">
        <v>10186</v>
      </c>
      <c r="BX266" s="6" t="s">
        <v>10193</v>
      </c>
      <c r="CF266" s="6" t="s">
        <v>158</v>
      </c>
      <c r="CK266" s="6" t="s">
        <v>158</v>
      </c>
      <c r="CL266" s="0" t="n">
        <v>48</v>
      </c>
      <c r="CM266" s="0" t="n">
        <v>0</v>
      </c>
      <c r="CN266" s="0" t="n">
        <v>20</v>
      </c>
      <c r="CO266" s="0" t="n">
        <v>15</v>
      </c>
      <c r="CP266" s="0" t="n">
        <v>5</v>
      </c>
      <c r="CQ266" s="0" t="n">
        <v>2</v>
      </c>
      <c r="CR266" s="0" t="n">
        <v>6</v>
      </c>
      <c r="CS266" s="6" t="n">
        <f aca="false">IF(R266="Y",10,0)</f>
        <v>0</v>
      </c>
      <c r="CT266" s="0" t="n">
        <v>0</v>
      </c>
      <c r="CV266" s="6" t="s">
        <v>4616</v>
      </c>
      <c r="CW266" s="6" t="s">
        <v>10194</v>
      </c>
      <c r="CX266" s="6" t="s">
        <v>10195</v>
      </c>
      <c r="DA266" s="6" t="s">
        <v>6236</v>
      </c>
      <c r="DY266" s="0" t="str">
        <f aca="false">IF(ISNUMBER(MATCH(U266,{"queued","contacted","replied","call_booked","call_done","yes_in_principle","materials_sent"},0)),"Y","N")</f>
        <v>N</v>
      </c>
      <c r="DZ266" s="0" t="str">
        <f aca="false">IF(COUNTIFS($AN$2:$AN$1000,AN266,$DY$2:$DY$1000,"Y")+COUNTIFS($AN$2:$AN$1000,AN266,$T$2:$T$1000,"Y")&gt;0,"Y","N")</f>
        <v>N</v>
      </c>
      <c r="EA266" s="0" t="str">
        <f aca="false">IF(AND(U266="new",T266="N",AR266="Y",AQ266="",DZ266="N"),"Y","N")</f>
        <v>N</v>
      </c>
      <c r="EB266" s="0" t="str">
        <f aca="false">IF(EA266&lt;&gt;"Y","N",IF(COUNTIFS($AN$2:$AN$1000,AN266,$EA$2:$EA$1000,"Y",$J$2:$J$1000,"&gt;"&amp;J266)+COUNTIFS($AN$2:$AN$1000,AN266,$EA$2:$EA$1000,"Y",$J$2:$J$1000,J266,$ED$2:$ED$1000,"&lt;"&amp;ED266)=0,"Y","N"))</f>
        <v>N</v>
      </c>
      <c r="EC266" s="0" t="str">
        <f aca="false">IF(Y266="","N",IF(Y266&lt;=10,"Y","N"))</f>
        <v>N</v>
      </c>
      <c r="ED266" s="6" t="n">
        <f aca="false">ROW()-1</f>
        <v>265</v>
      </c>
    </row>
    <row r="267" customFormat="false" ht="15" hidden="false" customHeight="false" outlineLevel="0" collapsed="false">
      <c r="A267" s="0" t="s">
        <v>10196</v>
      </c>
      <c r="B267" s="0" t="s">
        <v>10197</v>
      </c>
      <c r="C267" s="0" t="s">
        <v>10198</v>
      </c>
      <c r="D267" s="0" t="s">
        <v>9755</v>
      </c>
      <c r="E267" s="0" t="s">
        <v>5509</v>
      </c>
      <c r="H267" s="5" t="s">
        <v>158</v>
      </c>
      <c r="I267" s="5" t="s">
        <v>159</v>
      </c>
      <c r="J267" s="6" t="n">
        <f aca="false">IF(AU267="pass",CM267+CN267+CO267+CP267+CQ267+CR267+CS267+CT267,0)</f>
        <v>0</v>
      </c>
      <c r="K267" s="6" t="s">
        <v>10199</v>
      </c>
      <c r="M267" s="6" t="s">
        <v>5293</v>
      </c>
      <c r="N267" s="6" t="s">
        <v>598</v>
      </c>
      <c r="O267" s="6" t="s">
        <v>10200</v>
      </c>
      <c r="P267" s="6" t="s">
        <v>10201</v>
      </c>
      <c r="Q267" s="6" t="s">
        <v>5322</v>
      </c>
      <c r="R267" s="5" t="s">
        <v>162</v>
      </c>
      <c r="S267" s="6" t="s">
        <v>168</v>
      </c>
      <c r="T267" s="5" t="s">
        <v>162</v>
      </c>
      <c r="U267" s="5" t="s">
        <v>228</v>
      </c>
      <c r="V267" s="6" t="s">
        <v>10201</v>
      </c>
      <c r="W267" s="6" t="s">
        <v>166</v>
      </c>
      <c r="X267" s="6" t="s">
        <v>4586</v>
      </c>
      <c r="Y267" s="0" t="str">
        <f aca="false">IF(EB267&lt;&gt;"Y","",COUNTIFS($EB$2:$EB$1000,"Y",$J$2:$J$1000,"&gt;"&amp;J267)+COUNTIFS($EB$2:$EB$1000,"Y",$J$2:$J$1000,J267,$ED$2:$ED$1000,"&lt;"&amp;ED267)+1)</f>
        <v/>
      </c>
      <c r="AA267" s="6" t="s">
        <v>162</v>
      </c>
      <c r="AC267" s="6" t="s">
        <v>4588</v>
      </c>
      <c r="AD267" s="6" t="s">
        <v>171</v>
      </c>
      <c r="AE267" s="6" t="s">
        <v>1190</v>
      </c>
      <c r="AF267" s="6" t="s">
        <v>10201</v>
      </c>
      <c r="AG267" s="6" t="s">
        <v>166</v>
      </c>
      <c r="AH267" s="6" t="s">
        <v>10202</v>
      </c>
      <c r="AI267" s="6" t="s">
        <v>4977</v>
      </c>
      <c r="AJ267" s="6" t="s">
        <v>10203</v>
      </c>
      <c r="AL267" s="6" t="s">
        <v>162</v>
      </c>
      <c r="AN267" s="6" t="s">
        <v>10196</v>
      </c>
      <c r="AO267" s="5" t="s">
        <v>162</v>
      </c>
      <c r="AR267" s="0" t="str">
        <f aca="false">IF(AND(AU267="pass",AO267&lt;&gt;"Y",C267&lt;&gt;""),"Y","N")</f>
        <v>N</v>
      </c>
      <c r="AS267" s="0" t="str">
        <f aca="false">_xlfn.TEXTJOIN("; ",TRUE(),IF(AU267&lt;&gt;"pass","gated out",""),IF(AO267="Y","on hold: "&amp;AP267,""),IF(C267="","no contact named on an opened page",""))</f>
        <v>gated out</v>
      </c>
      <c r="AU267" s="6" t="s">
        <v>3704</v>
      </c>
      <c r="AV267" s="6" t="s">
        <v>10204</v>
      </c>
      <c r="AW267" s="6" t="s">
        <v>10205</v>
      </c>
      <c r="AX267" s="6" t="s">
        <v>4595</v>
      </c>
      <c r="AY267" s="6" t="s">
        <v>10206</v>
      </c>
      <c r="AZ267" s="6" t="s">
        <v>4596</v>
      </c>
      <c r="BA267" s="6" t="s">
        <v>4953</v>
      </c>
      <c r="BB267" s="6" t="s">
        <v>163</v>
      </c>
      <c r="BD267" s="6" t="s">
        <v>162</v>
      </c>
      <c r="BE267" s="6" t="s">
        <v>10207</v>
      </c>
      <c r="BF267" s="6" t="s">
        <v>163</v>
      </c>
      <c r="BG267" s="6" t="s">
        <v>163</v>
      </c>
      <c r="BH267" s="6" t="s">
        <v>163</v>
      </c>
      <c r="BJ267" s="6" t="s">
        <v>163</v>
      </c>
      <c r="BK267" s="6" t="s">
        <v>162</v>
      </c>
      <c r="BL267" s="6" t="s">
        <v>168</v>
      </c>
      <c r="BM267" s="6" t="s">
        <v>10208</v>
      </c>
      <c r="BO267" s="6" t="s">
        <v>162</v>
      </c>
      <c r="BP267" s="0" t="n">
        <v>0</v>
      </c>
      <c r="BS267" s="6" t="s">
        <v>10209</v>
      </c>
      <c r="BU267" s="6" t="s">
        <v>4605</v>
      </c>
      <c r="BV267" s="0" t="n">
        <v>106</v>
      </c>
      <c r="BW267" s="6" t="s">
        <v>10201</v>
      </c>
      <c r="BX267" s="6" t="s">
        <v>10210</v>
      </c>
      <c r="CF267" s="6" t="s">
        <v>158</v>
      </c>
      <c r="CK267" s="6" t="s">
        <v>158</v>
      </c>
      <c r="CL267" s="0" t="n">
        <v>41</v>
      </c>
      <c r="CM267" s="0" t="n">
        <v>0</v>
      </c>
      <c r="CN267" s="0" t="n">
        <v>13</v>
      </c>
      <c r="CO267" s="0" t="n">
        <v>15</v>
      </c>
      <c r="CP267" s="0" t="n">
        <v>5</v>
      </c>
      <c r="CQ267" s="0" t="n">
        <v>2</v>
      </c>
      <c r="CR267" s="0" t="n">
        <v>6</v>
      </c>
      <c r="CS267" s="6" t="n">
        <f aca="false">IF(R267="Y",10,0)</f>
        <v>0</v>
      </c>
      <c r="CT267" s="0" t="n">
        <v>0</v>
      </c>
      <c r="CV267" s="6" t="s">
        <v>4616</v>
      </c>
      <c r="CW267" s="6" t="s">
        <v>10211</v>
      </c>
      <c r="CX267" s="6" t="s">
        <v>10023</v>
      </c>
      <c r="DA267" s="6" t="s">
        <v>6236</v>
      </c>
      <c r="DY267" s="0" t="str">
        <f aca="false">IF(ISNUMBER(MATCH(U267,{"queued","contacted","replied","call_booked","call_done","yes_in_principle","materials_sent"},0)),"Y","N")</f>
        <v>N</v>
      </c>
      <c r="DZ267" s="0" t="str">
        <f aca="false">IF(COUNTIFS($AN$2:$AN$1000,AN267,$DY$2:$DY$1000,"Y")+COUNTIFS($AN$2:$AN$1000,AN267,$T$2:$T$1000,"Y")&gt;0,"Y","N")</f>
        <v>N</v>
      </c>
      <c r="EA267" s="0" t="str">
        <f aca="false">IF(AND(U267="new",T267="N",AR267="Y",AQ267="",DZ267="N"),"Y","N")</f>
        <v>N</v>
      </c>
      <c r="EB267" s="0" t="str">
        <f aca="false">IF(EA267&lt;&gt;"Y","N",IF(COUNTIFS($AN$2:$AN$1000,AN267,$EA$2:$EA$1000,"Y",$J$2:$J$1000,"&gt;"&amp;J267)+COUNTIFS($AN$2:$AN$1000,AN267,$EA$2:$EA$1000,"Y",$J$2:$J$1000,J267,$ED$2:$ED$1000,"&lt;"&amp;ED267)=0,"Y","N"))</f>
        <v>N</v>
      </c>
      <c r="EC267" s="0" t="str">
        <f aca="false">IF(Y267="","N",IF(Y267&lt;=10,"Y","N"))</f>
        <v>N</v>
      </c>
      <c r="ED267" s="6" t="n">
        <f aca="false">ROW()-1</f>
        <v>266</v>
      </c>
    </row>
    <row r="268" customFormat="false" ht="15" hidden="false" customHeight="false" outlineLevel="0" collapsed="false">
      <c r="A268" s="0" t="s">
        <v>10212</v>
      </c>
      <c r="B268" s="0" t="s">
        <v>10213</v>
      </c>
      <c r="C268" s="0" t="s">
        <v>10214</v>
      </c>
      <c r="D268" s="0" t="s">
        <v>10215</v>
      </c>
      <c r="E268" s="0" t="s">
        <v>4773</v>
      </c>
      <c r="H268" s="5" t="s">
        <v>158</v>
      </c>
      <c r="I268" s="5" t="s">
        <v>159</v>
      </c>
      <c r="J268" s="6" t="n">
        <f aca="false">IF(AU268="pass",CM268+CN268+CO268+CP268+CQ268+CR268+CS268+CT268,0)</f>
        <v>0</v>
      </c>
      <c r="K268" s="6" t="s">
        <v>10216</v>
      </c>
      <c r="M268" s="6" t="s">
        <v>5293</v>
      </c>
      <c r="N268" s="6" t="s">
        <v>598</v>
      </c>
      <c r="O268" s="6" t="s">
        <v>10217</v>
      </c>
      <c r="P268" s="6" t="s">
        <v>10218</v>
      </c>
      <c r="Q268" s="6" t="s">
        <v>6296</v>
      </c>
      <c r="R268" s="5" t="s">
        <v>162</v>
      </c>
      <c r="S268" s="6" t="s">
        <v>168</v>
      </c>
      <c r="T268" s="5" t="s">
        <v>162</v>
      </c>
      <c r="U268" s="5" t="s">
        <v>228</v>
      </c>
      <c r="V268" s="6" t="s">
        <v>10218</v>
      </c>
      <c r="W268" s="6" t="s">
        <v>166</v>
      </c>
      <c r="X268" s="6" t="s">
        <v>4586</v>
      </c>
      <c r="Y268" s="0" t="str">
        <f aca="false">IF(EB268&lt;&gt;"Y","",COUNTIFS($EB$2:$EB$1000,"Y",$J$2:$J$1000,"&gt;"&amp;J268)+COUNTIFS($EB$2:$EB$1000,"Y",$J$2:$J$1000,J268,$ED$2:$ED$1000,"&lt;"&amp;ED268)+1)</f>
        <v/>
      </c>
      <c r="AA268" s="6" t="s">
        <v>162</v>
      </c>
      <c r="AC268" s="6" t="s">
        <v>4588</v>
      </c>
      <c r="AD268" s="6" t="s">
        <v>171</v>
      </c>
      <c r="AE268" s="6" t="s">
        <v>1190</v>
      </c>
      <c r="AF268" s="6" t="s">
        <v>10218</v>
      </c>
      <c r="AG268" s="6" t="s">
        <v>166</v>
      </c>
      <c r="AH268" s="6" t="s">
        <v>10219</v>
      </c>
      <c r="AI268" s="6" t="s">
        <v>4977</v>
      </c>
      <c r="AJ268" s="6" t="s">
        <v>10220</v>
      </c>
      <c r="AL268" s="6" t="s">
        <v>162</v>
      </c>
      <c r="AN268" s="6" t="s">
        <v>10212</v>
      </c>
      <c r="AO268" s="5" t="s">
        <v>162</v>
      </c>
      <c r="AR268" s="0" t="str">
        <f aca="false">IF(AND(AU268="pass",AO268&lt;&gt;"Y",C268&lt;&gt;""),"Y","N")</f>
        <v>N</v>
      </c>
      <c r="AS268" s="0" t="str">
        <f aca="false">_xlfn.TEXTJOIN("; ",TRUE(),IF(AU268&lt;&gt;"pass","gated out",""),IF(AO268="Y","on hold: "&amp;AP268,""),IF(C268="","no contact named on an opened page",""))</f>
        <v>gated out</v>
      </c>
      <c r="AU268" s="6" t="s">
        <v>3704</v>
      </c>
      <c r="AV268" s="6" t="s">
        <v>10221</v>
      </c>
      <c r="AW268" s="6" t="s">
        <v>10222</v>
      </c>
      <c r="AY268" s="6" t="s">
        <v>10223</v>
      </c>
      <c r="AZ268" s="6" t="s">
        <v>4596</v>
      </c>
      <c r="BA268" s="6" t="s">
        <v>4953</v>
      </c>
      <c r="BB268" s="6" t="s">
        <v>163</v>
      </c>
      <c r="BD268" s="6" t="s">
        <v>162</v>
      </c>
      <c r="BE268" s="6" t="s">
        <v>10224</v>
      </c>
      <c r="BF268" s="6" t="s">
        <v>163</v>
      </c>
      <c r="BG268" s="6" t="s">
        <v>163</v>
      </c>
      <c r="BH268" s="6" t="s">
        <v>163</v>
      </c>
      <c r="BJ268" s="6" t="s">
        <v>163</v>
      </c>
      <c r="BK268" s="6" t="s">
        <v>168</v>
      </c>
      <c r="BL268" s="6" t="s">
        <v>168</v>
      </c>
      <c r="BM268" s="6" t="s">
        <v>10225</v>
      </c>
      <c r="BO268" s="6" t="s">
        <v>162</v>
      </c>
      <c r="BP268" s="0" t="n">
        <v>0</v>
      </c>
      <c r="BU268" s="6" t="s">
        <v>4605</v>
      </c>
      <c r="BV268" s="0" t="n">
        <v>122</v>
      </c>
      <c r="BW268" s="6" t="s">
        <v>10218</v>
      </c>
      <c r="BX268" s="6" t="s">
        <v>10226</v>
      </c>
      <c r="CF268" s="6" t="s">
        <v>158</v>
      </c>
      <c r="CK268" s="6" t="s">
        <v>158</v>
      </c>
      <c r="CL268" s="0" t="n">
        <v>41</v>
      </c>
      <c r="CM268" s="0" t="n">
        <v>0</v>
      </c>
      <c r="CN268" s="0" t="n">
        <v>13</v>
      </c>
      <c r="CO268" s="0" t="n">
        <v>15</v>
      </c>
      <c r="CP268" s="0" t="n">
        <v>5</v>
      </c>
      <c r="CQ268" s="0" t="n">
        <v>2</v>
      </c>
      <c r="CR268" s="0" t="n">
        <v>6</v>
      </c>
      <c r="CS268" s="6" t="n">
        <f aca="false">IF(R268="Y",10,0)</f>
        <v>0</v>
      </c>
      <c r="CT268" s="0" t="n">
        <v>0</v>
      </c>
      <c r="CV268" s="6" t="s">
        <v>4616</v>
      </c>
      <c r="CW268" s="6" t="s">
        <v>10227</v>
      </c>
      <c r="CX268" s="6" t="s">
        <v>10228</v>
      </c>
      <c r="DA268" s="6" t="s">
        <v>6236</v>
      </c>
      <c r="DY268" s="0" t="str">
        <f aca="false">IF(ISNUMBER(MATCH(U268,{"queued","contacted","replied","call_booked","call_done","yes_in_principle","materials_sent"},0)),"Y","N")</f>
        <v>N</v>
      </c>
      <c r="DZ268" s="0" t="str">
        <f aca="false">IF(COUNTIFS($AN$2:$AN$1000,AN268,$DY$2:$DY$1000,"Y")+COUNTIFS($AN$2:$AN$1000,AN268,$T$2:$T$1000,"Y")&gt;0,"Y","N")</f>
        <v>N</v>
      </c>
      <c r="EA268" s="0" t="str">
        <f aca="false">IF(AND(U268="new",T268="N",AR268="Y",AQ268="",DZ268="N"),"Y","N")</f>
        <v>N</v>
      </c>
      <c r="EB268" s="0" t="str">
        <f aca="false">IF(EA268&lt;&gt;"Y","N",IF(COUNTIFS($AN$2:$AN$1000,AN268,$EA$2:$EA$1000,"Y",$J$2:$J$1000,"&gt;"&amp;J268)+COUNTIFS($AN$2:$AN$1000,AN268,$EA$2:$EA$1000,"Y",$J$2:$J$1000,J268,$ED$2:$ED$1000,"&lt;"&amp;ED268)=0,"Y","N"))</f>
        <v>N</v>
      </c>
      <c r="EC268" s="0" t="str">
        <f aca="false">IF(Y268="","N",IF(Y268&lt;=10,"Y","N"))</f>
        <v>N</v>
      </c>
      <c r="ED268" s="6" t="n">
        <f aca="false">ROW()-1</f>
        <v>267</v>
      </c>
    </row>
    <row r="269" customFormat="false" ht="15" hidden="false" customHeight="false" outlineLevel="0" collapsed="false">
      <c r="A269" s="0" t="s">
        <v>10229</v>
      </c>
      <c r="B269" s="0" t="s">
        <v>10230</v>
      </c>
      <c r="C269" s="0" t="s">
        <v>10231</v>
      </c>
      <c r="D269" s="0" t="s">
        <v>163</v>
      </c>
      <c r="E269" s="0" t="s">
        <v>4626</v>
      </c>
      <c r="H269" s="5" t="s">
        <v>158</v>
      </c>
      <c r="I269" s="5" t="s">
        <v>159</v>
      </c>
      <c r="J269" s="6" t="n">
        <f aca="false">IF(AU269="pass",CM269+CN269+CO269+CP269+CQ269+CR269+CS269+CT269,0)</f>
        <v>0</v>
      </c>
      <c r="K269" s="6" t="s">
        <v>10232</v>
      </c>
      <c r="M269" s="6" t="s">
        <v>5293</v>
      </c>
      <c r="N269" s="6" t="s">
        <v>598</v>
      </c>
      <c r="O269" s="6" t="s">
        <v>10233</v>
      </c>
      <c r="P269" s="6" t="s">
        <v>5295</v>
      </c>
      <c r="Q269" s="6" t="s">
        <v>1776</v>
      </c>
      <c r="R269" s="5" t="s">
        <v>162</v>
      </c>
      <c r="S269" s="6" t="s">
        <v>168</v>
      </c>
      <c r="T269" s="5" t="s">
        <v>162</v>
      </c>
      <c r="U269" s="5" t="s">
        <v>228</v>
      </c>
      <c r="V269" s="6" t="s">
        <v>5295</v>
      </c>
      <c r="W269" s="6" t="s">
        <v>174</v>
      </c>
      <c r="X269" s="6" t="s">
        <v>4586</v>
      </c>
      <c r="Y269" s="0" t="str">
        <f aca="false">IF(EB269&lt;&gt;"Y","",COUNTIFS($EB$2:$EB$1000,"Y",$J$2:$J$1000,"&gt;"&amp;J269)+COUNTIFS($EB$2:$EB$1000,"Y",$J$2:$J$1000,J269,$ED$2:$ED$1000,"&lt;"&amp;ED269)+1)</f>
        <v/>
      </c>
      <c r="AA269" s="6" t="s">
        <v>162</v>
      </c>
      <c r="AC269" s="6" t="s">
        <v>4588</v>
      </c>
      <c r="AD269" s="6" t="s">
        <v>5010</v>
      </c>
      <c r="AE269" s="6" t="s">
        <v>172</v>
      </c>
      <c r="AF269" s="6" t="s">
        <v>10234</v>
      </c>
      <c r="AG269" s="6" t="s">
        <v>174</v>
      </c>
      <c r="AH269" s="6" t="s">
        <v>10235</v>
      </c>
      <c r="AI269" s="6" t="s">
        <v>4977</v>
      </c>
      <c r="AJ269" s="6" t="s">
        <v>5299</v>
      </c>
      <c r="AK269" s="6" t="s">
        <v>10234</v>
      </c>
      <c r="AL269" s="6" t="s">
        <v>162</v>
      </c>
      <c r="AN269" s="6" t="s">
        <v>10229</v>
      </c>
      <c r="AO269" s="5" t="s">
        <v>162</v>
      </c>
      <c r="AR269" s="0" t="str">
        <f aca="false">IF(AND(AU269="pass",AO269&lt;&gt;"Y",C269&lt;&gt;""),"Y","N")</f>
        <v>N</v>
      </c>
      <c r="AS269" s="0" t="str">
        <f aca="false">_xlfn.TEXTJOIN("; ",TRUE(),IF(AU269&lt;&gt;"pass","gated out",""),IF(AO269="Y","on hold: "&amp;AP269,""),IF(C269="","no contact named on an opened page",""))</f>
        <v>gated out</v>
      </c>
      <c r="AU269" s="6" t="s">
        <v>3704</v>
      </c>
      <c r="AV269" s="6" t="s">
        <v>9885</v>
      </c>
      <c r="AW269" s="6" t="s">
        <v>10236</v>
      </c>
      <c r="AY269" s="6" t="s">
        <v>10234</v>
      </c>
      <c r="AZ269" s="6" t="s">
        <v>4596</v>
      </c>
      <c r="BA269" s="6" t="s">
        <v>4597</v>
      </c>
      <c r="BB269" s="6" t="s">
        <v>163</v>
      </c>
      <c r="BD269" s="6" t="s">
        <v>162</v>
      </c>
      <c r="BE269" s="6" t="s">
        <v>10237</v>
      </c>
      <c r="BF269" s="6" t="s">
        <v>168</v>
      </c>
      <c r="BG269" s="6" t="s">
        <v>168</v>
      </c>
      <c r="BH269" s="6" t="s">
        <v>163</v>
      </c>
      <c r="BJ269" s="6" t="s">
        <v>5145</v>
      </c>
      <c r="BK269" s="6" t="s">
        <v>168</v>
      </c>
      <c r="BL269" s="6" t="s">
        <v>168</v>
      </c>
      <c r="BM269" s="6" t="s">
        <v>10238</v>
      </c>
      <c r="BO269" s="6" t="s">
        <v>162</v>
      </c>
      <c r="BP269" s="0" t="n">
        <v>0</v>
      </c>
      <c r="BS269" s="6" t="s">
        <v>163</v>
      </c>
      <c r="BU269" s="6" t="s">
        <v>4605</v>
      </c>
      <c r="BV269" s="0" t="n">
        <v>144</v>
      </c>
      <c r="BW269" s="6" t="s">
        <v>5136</v>
      </c>
      <c r="BX269" s="6" t="s">
        <v>10231</v>
      </c>
      <c r="BY269" s="6" t="s">
        <v>7145</v>
      </c>
      <c r="CA269" s="6" t="s">
        <v>10239</v>
      </c>
      <c r="CB269" s="6" t="s">
        <v>10239</v>
      </c>
      <c r="CC269" s="6" t="s">
        <v>163</v>
      </c>
      <c r="CD269" s="6" t="s">
        <v>4626</v>
      </c>
      <c r="CE269" s="6" t="s">
        <v>6725</v>
      </c>
      <c r="CF269" s="6" t="s">
        <v>5010</v>
      </c>
      <c r="CG269" s="6" t="s">
        <v>7145</v>
      </c>
      <c r="CK269" s="6" t="s">
        <v>158</v>
      </c>
      <c r="CL269" s="0" t="n">
        <v>55</v>
      </c>
      <c r="CM269" s="0" t="n">
        <v>6</v>
      </c>
      <c r="CN269" s="0" t="n">
        <v>20</v>
      </c>
      <c r="CO269" s="0" t="n">
        <v>15</v>
      </c>
      <c r="CP269" s="0" t="n">
        <v>5</v>
      </c>
      <c r="CQ269" s="0" t="n">
        <v>6</v>
      </c>
      <c r="CR269" s="0" t="n">
        <v>3</v>
      </c>
      <c r="CS269" s="6" t="n">
        <f aca="false">IF(R269="Y",10,0)</f>
        <v>0</v>
      </c>
      <c r="CT269" s="0" t="n">
        <v>0</v>
      </c>
      <c r="CU269" s="6" t="s">
        <v>10240</v>
      </c>
      <c r="CV269" s="6" t="s">
        <v>5152</v>
      </c>
      <c r="CW269" s="6" t="s">
        <v>10241</v>
      </c>
      <c r="CX269" s="6" t="s">
        <v>10242</v>
      </c>
      <c r="CZ269" s="6" t="s">
        <v>10234</v>
      </c>
      <c r="DA269" s="6" t="s">
        <v>6236</v>
      </c>
      <c r="DC269" s="6" t="s">
        <v>172</v>
      </c>
      <c r="DY269" s="0" t="str">
        <f aca="false">IF(ISNUMBER(MATCH(U269,{"queued","contacted","replied","call_booked","call_done","yes_in_principle","materials_sent"},0)),"Y","N")</f>
        <v>N</v>
      </c>
      <c r="DZ269" s="0" t="str">
        <f aca="false">IF(COUNTIFS($AN$2:$AN$1000,AN269,$DY$2:$DY$1000,"Y")+COUNTIFS($AN$2:$AN$1000,AN269,$T$2:$T$1000,"Y")&gt;0,"Y","N")</f>
        <v>N</v>
      </c>
      <c r="EA269" s="0" t="str">
        <f aca="false">IF(AND(U269="new",T269="N",AR269="Y",AQ269="",DZ269="N"),"Y","N")</f>
        <v>N</v>
      </c>
      <c r="EB269" s="0" t="str">
        <f aca="false">IF(EA269&lt;&gt;"Y","N",IF(COUNTIFS($AN$2:$AN$1000,AN269,$EA$2:$EA$1000,"Y",$J$2:$J$1000,"&gt;"&amp;J269)+COUNTIFS($AN$2:$AN$1000,AN269,$EA$2:$EA$1000,"Y",$J$2:$J$1000,J269,$ED$2:$ED$1000,"&lt;"&amp;ED269)=0,"Y","N"))</f>
        <v>N</v>
      </c>
      <c r="EC269" s="0" t="str">
        <f aca="false">IF(Y269="","N",IF(Y269&lt;=10,"Y","N"))</f>
        <v>N</v>
      </c>
      <c r="ED269" s="6" t="n">
        <f aca="false">ROW()-1</f>
        <v>268</v>
      </c>
    </row>
    <row r="270" customFormat="false" ht="15" hidden="false" customHeight="false" outlineLevel="0" collapsed="false">
      <c r="A270" s="0" t="s">
        <v>10243</v>
      </c>
      <c r="B270" s="0" t="s">
        <v>10244</v>
      </c>
      <c r="C270" s="0" t="s">
        <v>5746</v>
      </c>
      <c r="D270" s="0" t="s">
        <v>10245</v>
      </c>
      <c r="E270" s="0" t="s">
        <v>4626</v>
      </c>
      <c r="H270" s="5" t="s">
        <v>158</v>
      </c>
      <c r="I270" s="5" t="s">
        <v>159</v>
      </c>
      <c r="J270" s="6" t="n">
        <f aca="false">IF(AU270="pass",CM270+CN270+CO270+CP270+CQ270+CR270+CS270+CT270,0)</f>
        <v>0</v>
      </c>
      <c r="K270" s="6" t="s">
        <v>10246</v>
      </c>
      <c r="M270" s="6" t="s">
        <v>5293</v>
      </c>
      <c r="N270" s="6" t="s">
        <v>598</v>
      </c>
      <c r="O270" s="6" t="s">
        <v>10247</v>
      </c>
      <c r="P270" s="6" t="s">
        <v>10248</v>
      </c>
      <c r="Q270" s="6" t="s">
        <v>5542</v>
      </c>
      <c r="R270" s="5" t="s">
        <v>162</v>
      </c>
      <c r="S270" s="6" t="s">
        <v>168</v>
      </c>
      <c r="T270" s="5" t="s">
        <v>162</v>
      </c>
      <c r="U270" s="5" t="s">
        <v>228</v>
      </c>
      <c r="V270" s="6" t="s">
        <v>10248</v>
      </c>
      <c r="W270" s="6" t="s">
        <v>166</v>
      </c>
      <c r="X270" s="6" t="s">
        <v>4586</v>
      </c>
      <c r="Y270" s="0" t="str">
        <f aca="false">IF(EB270&lt;&gt;"Y","",COUNTIFS($EB$2:$EB$1000,"Y",$J$2:$J$1000,"&gt;"&amp;J270)+COUNTIFS($EB$2:$EB$1000,"Y",$J$2:$J$1000,J270,$ED$2:$ED$1000,"&lt;"&amp;ED270)+1)</f>
        <v/>
      </c>
      <c r="AA270" s="6" t="s">
        <v>162</v>
      </c>
      <c r="AC270" s="6" t="s">
        <v>4588</v>
      </c>
      <c r="AD270" s="6" t="s">
        <v>171</v>
      </c>
      <c r="AE270" s="6" t="s">
        <v>1190</v>
      </c>
      <c r="AF270" s="6" t="s">
        <v>10248</v>
      </c>
      <c r="AG270" s="6" t="s">
        <v>166</v>
      </c>
      <c r="AH270" s="6" t="s">
        <v>10249</v>
      </c>
      <c r="AI270" s="6" t="s">
        <v>5926</v>
      </c>
      <c r="AJ270" s="6" t="s">
        <v>10015</v>
      </c>
      <c r="AL270" s="6" t="s">
        <v>168</v>
      </c>
      <c r="AM270" s="6" t="s">
        <v>4691</v>
      </c>
      <c r="AN270" s="6" t="s">
        <v>10243</v>
      </c>
      <c r="AO270" s="5" t="s">
        <v>162</v>
      </c>
      <c r="AR270" s="0" t="str">
        <f aca="false">IF(AND(AU270="pass",AO270&lt;&gt;"Y",C270&lt;&gt;""),"Y","N")</f>
        <v>N</v>
      </c>
      <c r="AS270" s="0" t="str">
        <f aca="false">_xlfn.TEXTJOIN("; ",TRUE(),IF(AU270&lt;&gt;"pass","gated out",""),IF(AO270="Y","on hold: "&amp;AP270,""),IF(C270="","no contact named on an opened page",""))</f>
        <v>gated out</v>
      </c>
      <c r="AU270" s="6" t="s">
        <v>3704</v>
      </c>
      <c r="AV270" s="6" t="s">
        <v>10090</v>
      </c>
      <c r="AW270" s="6" t="s">
        <v>10250</v>
      </c>
      <c r="AY270" s="6" t="s">
        <v>10251</v>
      </c>
      <c r="AZ270" s="6" t="s">
        <v>4596</v>
      </c>
      <c r="BA270" s="6" t="s">
        <v>4597</v>
      </c>
      <c r="BB270" s="6" t="s">
        <v>163</v>
      </c>
      <c r="BD270" s="6" t="s">
        <v>163</v>
      </c>
      <c r="BF270" s="6" t="s">
        <v>163</v>
      </c>
      <c r="BG270" s="6" t="s">
        <v>163</v>
      </c>
      <c r="BH270" s="6" t="s">
        <v>163</v>
      </c>
      <c r="BJ270" s="6" t="s">
        <v>163</v>
      </c>
      <c r="BK270" s="6" t="s">
        <v>162</v>
      </c>
      <c r="BL270" s="6" t="s">
        <v>168</v>
      </c>
      <c r="BM270" s="6" t="s">
        <v>10252</v>
      </c>
      <c r="BO270" s="6" t="s">
        <v>162</v>
      </c>
      <c r="BP270" s="0" t="n">
        <v>0</v>
      </c>
      <c r="BU270" s="6" t="s">
        <v>4605</v>
      </c>
      <c r="BV270" s="0" t="n">
        <v>43</v>
      </c>
      <c r="BW270" s="6" t="s">
        <v>10248</v>
      </c>
      <c r="BX270" s="6" t="s">
        <v>10253</v>
      </c>
      <c r="CF270" s="6" t="s">
        <v>158</v>
      </c>
      <c r="CK270" s="6" t="s">
        <v>158</v>
      </c>
      <c r="CL270" s="0" t="n">
        <v>49</v>
      </c>
      <c r="CM270" s="0" t="n">
        <v>0</v>
      </c>
      <c r="CN270" s="0" t="n">
        <v>20</v>
      </c>
      <c r="CO270" s="0" t="n">
        <v>15</v>
      </c>
      <c r="CP270" s="0" t="n">
        <v>5</v>
      </c>
      <c r="CQ270" s="0" t="n">
        <v>3</v>
      </c>
      <c r="CR270" s="0" t="n">
        <v>6</v>
      </c>
      <c r="CS270" s="6" t="n">
        <f aca="false">IF(R270="Y",10,0)</f>
        <v>0</v>
      </c>
      <c r="CT270" s="0" t="n">
        <v>0</v>
      </c>
      <c r="CV270" s="6" t="s">
        <v>4616</v>
      </c>
      <c r="CW270" s="6" t="s">
        <v>10254</v>
      </c>
      <c r="CX270" s="6" t="s">
        <v>10023</v>
      </c>
      <c r="DA270" s="6" t="s">
        <v>6236</v>
      </c>
      <c r="DY270" s="0" t="str">
        <f aca="false">IF(ISNUMBER(MATCH(U270,{"queued","contacted","replied","call_booked","call_done","yes_in_principle","materials_sent"},0)),"Y","N")</f>
        <v>N</v>
      </c>
      <c r="DZ270" s="0" t="str">
        <f aca="false">IF(COUNTIFS($AN$2:$AN$1000,AN270,$DY$2:$DY$1000,"Y")+COUNTIFS($AN$2:$AN$1000,AN270,$T$2:$T$1000,"Y")&gt;0,"Y","N")</f>
        <v>N</v>
      </c>
      <c r="EA270" s="0" t="str">
        <f aca="false">IF(AND(U270="new",T270="N",AR270="Y",AQ270="",DZ270="N"),"Y","N")</f>
        <v>N</v>
      </c>
      <c r="EB270" s="0" t="str">
        <f aca="false">IF(EA270&lt;&gt;"Y","N",IF(COUNTIFS($AN$2:$AN$1000,AN270,$EA$2:$EA$1000,"Y",$J$2:$J$1000,"&gt;"&amp;J270)+COUNTIFS($AN$2:$AN$1000,AN270,$EA$2:$EA$1000,"Y",$J$2:$J$1000,J270,$ED$2:$ED$1000,"&lt;"&amp;ED270)=0,"Y","N"))</f>
        <v>N</v>
      </c>
      <c r="EC270" s="0" t="str">
        <f aca="false">IF(Y270="","N",IF(Y270&lt;=10,"Y","N"))</f>
        <v>N</v>
      </c>
      <c r="ED270" s="6" t="n">
        <f aca="false">ROW()-1</f>
        <v>269</v>
      </c>
    </row>
    <row r="271" customFormat="false" ht="15" hidden="false" customHeight="false" outlineLevel="0" collapsed="false">
      <c r="A271" s="0" t="s">
        <v>10255</v>
      </c>
      <c r="B271" s="0" t="s">
        <v>10256</v>
      </c>
      <c r="C271" s="0" t="s">
        <v>10257</v>
      </c>
      <c r="D271" s="0" t="s">
        <v>10258</v>
      </c>
      <c r="E271" s="0" t="s">
        <v>4626</v>
      </c>
      <c r="H271" s="5" t="s">
        <v>158</v>
      </c>
      <c r="I271" s="5" t="s">
        <v>159</v>
      </c>
      <c r="J271" s="6" t="n">
        <f aca="false">IF(AU271="pass",CM271+CN271+CO271+CP271+CQ271+CR271+CS271+CT271,0)</f>
        <v>0</v>
      </c>
      <c r="K271" s="6" t="s">
        <v>10259</v>
      </c>
      <c r="M271" s="6" t="s">
        <v>5293</v>
      </c>
      <c r="N271" s="6" t="s">
        <v>598</v>
      </c>
      <c r="O271" s="6" t="s">
        <v>10260</v>
      </c>
      <c r="P271" s="6" t="s">
        <v>10261</v>
      </c>
      <c r="Q271" s="6" t="s">
        <v>10262</v>
      </c>
      <c r="R271" s="5" t="s">
        <v>162</v>
      </c>
      <c r="S271" s="6" t="s">
        <v>168</v>
      </c>
      <c r="T271" s="5" t="s">
        <v>162</v>
      </c>
      <c r="U271" s="5" t="s">
        <v>228</v>
      </c>
      <c r="V271" s="6" t="s">
        <v>10261</v>
      </c>
      <c r="W271" s="6" t="s">
        <v>166</v>
      </c>
      <c r="X271" s="6" t="s">
        <v>4586</v>
      </c>
      <c r="Y271" s="0" t="str">
        <f aca="false">IF(EB271&lt;&gt;"Y","",COUNTIFS($EB$2:$EB$1000,"Y",$J$2:$J$1000,"&gt;"&amp;J271)+COUNTIFS($EB$2:$EB$1000,"Y",$J$2:$J$1000,J271,$ED$2:$ED$1000,"&lt;"&amp;ED271)+1)</f>
        <v/>
      </c>
      <c r="AA271" s="6" t="s">
        <v>162</v>
      </c>
      <c r="AC271" s="6" t="s">
        <v>4588</v>
      </c>
      <c r="AD271" s="6" t="s">
        <v>171</v>
      </c>
      <c r="AE271" s="6" t="s">
        <v>1190</v>
      </c>
      <c r="AF271" s="6" t="s">
        <v>10261</v>
      </c>
      <c r="AG271" s="6" t="s">
        <v>166</v>
      </c>
      <c r="AH271" s="6" t="s">
        <v>10263</v>
      </c>
      <c r="AI271" s="6" t="s">
        <v>4665</v>
      </c>
      <c r="AJ271" s="6" t="s">
        <v>10015</v>
      </c>
      <c r="AL271" s="6" t="s">
        <v>162</v>
      </c>
      <c r="AN271" s="6" t="s">
        <v>10255</v>
      </c>
      <c r="AO271" s="5" t="s">
        <v>162</v>
      </c>
      <c r="AR271" s="0" t="str">
        <f aca="false">IF(AND(AU271="pass",AO271&lt;&gt;"Y",C271&lt;&gt;""),"Y","N")</f>
        <v>N</v>
      </c>
      <c r="AS271" s="0" t="str">
        <f aca="false">_xlfn.TEXTJOIN("; ",TRUE(),IF(AU271&lt;&gt;"pass","gated out",""),IF(AO271="Y","on hold: "&amp;AP271,""),IF(C271="","no contact named on an opened page",""))</f>
        <v>gated out</v>
      </c>
      <c r="AU271" s="6" t="s">
        <v>3704</v>
      </c>
      <c r="AV271" s="6" t="s">
        <v>10204</v>
      </c>
      <c r="AW271" s="6" t="s">
        <v>10264</v>
      </c>
      <c r="AY271" s="6" t="s">
        <v>10265</v>
      </c>
      <c r="AZ271" s="6" t="s">
        <v>4596</v>
      </c>
      <c r="BA271" s="6" t="s">
        <v>4597</v>
      </c>
      <c r="BB271" s="6" t="s">
        <v>163</v>
      </c>
      <c r="BD271" s="6" t="s">
        <v>162</v>
      </c>
      <c r="BE271" s="6" t="s">
        <v>10266</v>
      </c>
      <c r="BF271" s="6" t="s">
        <v>163</v>
      </c>
      <c r="BG271" s="6" t="s">
        <v>163</v>
      </c>
      <c r="BH271" s="6" t="s">
        <v>163</v>
      </c>
      <c r="BJ271" s="6" t="s">
        <v>163</v>
      </c>
      <c r="BK271" s="6" t="s">
        <v>162</v>
      </c>
      <c r="BL271" s="6" t="s">
        <v>168</v>
      </c>
      <c r="BM271" s="6" t="s">
        <v>10267</v>
      </c>
      <c r="BO271" s="6" t="s">
        <v>162</v>
      </c>
      <c r="BP271" s="0" t="n">
        <v>0</v>
      </c>
      <c r="BS271" s="6" t="s">
        <v>10268</v>
      </c>
      <c r="BU271" s="6" t="s">
        <v>4605</v>
      </c>
      <c r="BV271" s="0" t="n">
        <v>236</v>
      </c>
      <c r="BW271" s="6" t="s">
        <v>10261</v>
      </c>
      <c r="BX271" s="6" t="s">
        <v>10269</v>
      </c>
      <c r="CF271" s="6" t="s">
        <v>158</v>
      </c>
      <c r="CK271" s="6" t="s">
        <v>158</v>
      </c>
      <c r="CL271" s="0" t="n">
        <v>41</v>
      </c>
      <c r="CM271" s="0" t="n">
        <v>0</v>
      </c>
      <c r="CN271" s="0" t="n">
        <v>20</v>
      </c>
      <c r="CO271" s="0" t="n">
        <v>8</v>
      </c>
      <c r="CP271" s="0" t="n">
        <v>5</v>
      </c>
      <c r="CQ271" s="0" t="n">
        <v>2</v>
      </c>
      <c r="CR271" s="0" t="n">
        <v>6</v>
      </c>
      <c r="CS271" s="6" t="n">
        <f aca="false">IF(R271="Y",10,0)</f>
        <v>0</v>
      </c>
      <c r="CT271" s="0" t="n">
        <v>0</v>
      </c>
      <c r="CV271" s="6" t="s">
        <v>4616</v>
      </c>
      <c r="CW271" s="6" t="s">
        <v>10270</v>
      </c>
      <c r="CX271" s="6" t="s">
        <v>10023</v>
      </c>
      <c r="DA271" s="6" t="s">
        <v>6236</v>
      </c>
      <c r="DY271" s="0" t="str">
        <f aca="false">IF(ISNUMBER(MATCH(U271,{"queued","contacted","replied","call_booked","call_done","yes_in_principle","materials_sent"},0)),"Y","N")</f>
        <v>N</v>
      </c>
      <c r="DZ271" s="0" t="str">
        <f aca="false">IF(COUNTIFS($AN$2:$AN$1000,AN271,$DY$2:$DY$1000,"Y")+COUNTIFS($AN$2:$AN$1000,AN271,$T$2:$T$1000,"Y")&gt;0,"Y","N")</f>
        <v>N</v>
      </c>
      <c r="EA271" s="0" t="str">
        <f aca="false">IF(AND(U271="new",T271="N",AR271="Y",AQ271="",DZ271="N"),"Y","N")</f>
        <v>N</v>
      </c>
      <c r="EB271" s="0" t="str">
        <f aca="false">IF(EA271&lt;&gt;"Y","N",IF(COUNTIFS($AN$2:$AN$1000,AN271,$EA$2:$EA$1000,"Y",$J$2:$J$1000,"&gt;"&amp;J271)+COUNTIFS($AN$2:$AN$1000,AN271,$EA$2:$EA$1000,"Y",$J$2:$J$1000,J271,$ED$2:$ED$1000,"&lt;"&amp;ED271)=0,"Y","N"))</f>
        <v>N</v>
      </c>
      <c r="EC271" s="0" t="str">
        <f aca="false">IF(Y271="","N",IF(Y271&lt;=10,"Y","N"))</f>
        <v>N</v>
      </c>
      <c r="ED271" s="6" t="n">
        <f aca="false">ROW()-1</f>
        <v>270</v>
      </c>
    </row>
    <row r="272" customFormat="false" ht="15" hidden="false" customHeight="false" outlineLevel="0" collapsed="false">
      <c r="A272" s="0" t="s">
        <v>10271</v>
      </c>
      <c r="B272" s="0" t="s">
        <v>10272</v>
      </c>
      <c r="C272" s="0" t="s">
        <v>10273</v>
      </c>
      <c r="D272" s="0" t="s">
        <v>10274</v>
      </c>
      <c r="E272" s="0" t="s">
        <v>4626</v>
      </c>
      <c r="H272" s="5" t="s">
        <v>158</v>
      </c>
      <c r="I272" s="5" t="s">
        <v>159</v>
      </c>
      <c r="J272" s="6" t="n">
        <f aca="false">IF(AU272="pass",CM272+CN272+CO272+CP272+CQ272+CR272+CS272+CT272,0)</f>
        <v>0</v>
      </c>
      <c r="K272" s="6" t="s">
        <v>10275</v>
      </c>
      <c r="M272" s="6" t="s">
        <v>5293</v>
      </c>
      <c r="N272" s="6" t="s">
        <v>598</v>
      </c>
      <c r="O272" s="6" t="s">
        <v>10276</v>
      </c>
      <c r="P272" s="6" t="s">
        <v>10277</v>
      </c>
      <c r="Q272" s="6" t="s">
        <v>10278</v>
      </c>
      <c r="R272" s="5" t="s">
        <v>162</v>
      </c>
      <c r="S272" s="6" t="s">
        <v>163</v>
      </c>
      <c r="T272" s="5" t="s">
        <v>162</v>
      </c>
      <c r="U272" s="5" t="s">
        <v>228</v>
      </c>
      <c r="V272" s="6" t="s">
        <v>10279</v>
      </c>
      <c r="W272" s="6" t="s">
        <v>166</v>
      </c>
      <c r="X272" s="6" t="s">
        <v>4586</v>
      </c>
      <c r="Y272" s="0" t="str">
        <f aca="false">IF(EB272&lt;&gt;"Y","",COUNTIFS($EB$2:$EB$1000,"Y",$J$2:$J$1000,"&gt;"&amp;J272)+COUNTIFS($EB$2:$EB$1000,"Y",$J$2:$J$1000,J272,$ED$2:$ED$1000,"&lt;"&amp;ED272)+1)</f>
        <v/>
      </c>
      <c r="AA272" s="6" t="s">
        <v>162</v>
      </c>
      <c r="AC272" s="6" t="s">
        <v>4588</v>
      </c>
      <c r="AD272" s="6" t="s">
        <v>171</v>
      </c>
      <c r="AE272" s="6" t="s">
        <v>172</v>
      </c>
      <c r="AF272" s="6" t="s">
        <v>10279</v>
      </c>
      <c r="AG272" s="6" t="s">
        <v>166</v>
      </c>
      <c r="AH272" s="6" t="s">
        <v>10280</v>
      </c>
      <c r="AI272" s="6" t="s">
        <v>5030</v>
      </c>
      <c r="AJ272" s="6" t="s">
        <v>10281</v>
      </c>
      <c r="AK272" s="6" t="s">
        <v>10282</v>
      </c>
      <c r="AL272" s="6" t="s">
        <v>168</v>
      </c>
      <c r="AM272" s="6" t="s">
        <v>10283</v>
      </c>
      <c r="AN272" s="6" t="s">
        <v>10271</v>
      </c>
      <c r="AO272" s="5" t="s">
        <v>162</v>
      </c>
      <c r="AR272" s="0" t="str">
        <f aca="false">IF(AND(AU272="pass",AO272&lt;&gt;"Y",C272&lt;&gt;""),"Y","N")</f>
        <v>N</v>
      </c>
      <c r="AS272" s="0" t="str">
        <f aca="false">_xlfn.TEXTJOIN("; ",TRUE(),IF(AU272&lt;&gt;"pass","gated out",""),IF(AO272="Y","on hold: "&amp;AP272,""),IF(C272="","no contact named on an opened page",""))</f>
        <v>gated out</v>
      </c>
      <c r="AU272" s="6" t="s">
        <v>3704</v>
      </c>
      <c r="AV272" s="6" t="s">
        <v>9764</v>
      </c>
      <c r="AW272" s="6" t="s">
        <v>10284</v>
      </c>
      <c r="AX272" s="6" t="s">
        <v>5223</v>
      </c>
      <c r="AY272" s="6" t="s">
        <v>10282</v>
      </c>
      <c r="AZ272" s="6" t="s">
        <v>4596</v>
      </c>
      <c r="BA272" s="6" t="s">
        <v>4597</v>
      </c>
      <c r="BB272" s="6" t="s">
        <v>163</v>
      </c>
      <c r="BD272" s="6" t="s">
        <v>168</v>
      </c>
      <c r="BE272" s="6" t="s">
        <v>10285</v>
      </c>
      <c r="BF272" s="6" t="s">
        <v>163</v>
      </c>
      <c r="BG272" s="6" t="s">
        <v>168</v>
      </c>
      <c r="BH272" s="6" t="s">
        <v>163</v>
      </c>
      <c r="BJ272" s="6" t="s">
        <v>163</v>
      </c>
      <c r="BK272" s="6" t="s">
        <v>168</v>
      </c>
      <c r="BL272" s="6" t="s">
        <v>168</v>
      </c>
      <c r="BM272" s="6" t="s">
        <v>10286</v>
      </c>
      <c r="BO272" s="6" t="s">
        <v>162</v>
      </c>
      <c r="BP272" s="0" t="n">
        <v>0</v>
      </c>
      <c r="BR272" s="6" t="s">
        <v>6764</v>
      </c>
      <c r="BS272" s="6" t="s">
        <v>6811</v>
      </c>
      <c r="BT272" s="6" t="s">
        <v>10287</v>
      </c>
      <c r="BU272" s="6" t="s">
        <v>4695</v>
      </c>
      <c r="BV272" s="0" t="n">
        <v>57</v>
      </c>
      <c r="BX272" s="6" t="s">
        <v>10288</v>
      </c>
      <c r="BY272" s="6" t="s">
        <v>7657</v>
      </c>
      <c r="CA272" s="6" t="s">
        <v>10289</v>
      </c>
      <c r="CB272" s="6" t="s">
        <v>10289</v>
      </c>
      <c r="CC272" s="6" t="s">
        <v>163</v>
      </c>
      <c r="CD272" s="6" t="s">
        <v>4626</v>
      </c>
      <c r="CE272" s="6" t="s">
        <v>6725</v>
      </c>
      <c r="CF272" s="6" t="s">
        <v>5010</v>
      </c>
      <c r="CG272" s="6" t="s">
        <v>7657</v>
      </c>
      <c r="CK272" s="6" t="s">
        <v>158</v>
      </c>
      <c r="CL272" s="0" t="n">
        <v>41</v>
      </c>
      <c r="CM272" s="0" t="n">
        <v>6</v>
      </c>
      <c r="CN272" s="0" t="n">
        <v>20</v>
      </c>
      <c r="CO272" s="0" t="n">
        <v>8</v>
      </c>
      <c r="CP272" s="0" t="n">
        <v>5</v>
      </c>
      <c r="CQ272" s="0" t="n">
        <v>8</v>
      </c>
      <c r="CR272" s="0" t="n">
        <v>6</v>
      </c>
      <c r="CS272" s="6" t="n">
        <f aca="false">IF(R272="Y",10,0)</f>
        <v>0</v>
      </c>
      <c r="CT272" s="0" t="n">
        <v>-12</v>
      </c>
      <c r="CU272" s="6" t="s">
        <v>10290</v>
      </c>
      <c r="CV272" s="6" t="s">
        <v>4843</v>
      </c>
      <c r="CW272" s="6" t="s">
        <v>10291</v>
      </c>
      <c r="CX272" s="6" t="s">
        <v>10292</v>
      </c>
      <c r="CZ272" s="6" t="s">
        <v>10279</v>
      </c>
      <c r="DA272" s="6" t="s">
        <v>6236</v>
      </c>
      <c r="DC272" s="6" t="s">
        <v>172</v>
      </c>
      <c r="DY272" s="0" t="str">
        <f aca="false">IF(ISNUMBER(MATCH(U272,{"queued","contacted","replied","call_booked","call_done","yes_in_principle","materials_sent"},0)),"Y","N")</f>
        <v>N</v>
      </c>
      <c r="DZ272" s="0" t="str">
        <f aca="false">IF(COUNTIFS($AN$2:$AN$1000,AN272,$DY$2:$DY$1000,"Y")+COUNTIFS($AN$2:$AN$1000,AN272,$T$2:$T$1000,"Y")&gt;0,"Y","N")</f>
        <v>N</v>
      </c>
      <c r="EA272" s="0" t="str">
        <f aca="false">IF(AND(U272="new",T272="N",AR272="Y",AQ272="",DZ272="N"),"Y","N")</f>
        <v>N</v>
      </c>
      <c r="EB272" s="0" t="str">
        <f aca="false">IF(EA272&lt;&gt;"Y","N",IF(COUNTIFS($AN$2:$AN$1000,AN272,$EA$2:$EA$1000,"Y",$J$2:$J$1000,"&gt;"&amp;J272)+COUNTIFS($AN$2:$AN$1000,AN272,$EA$2:$EA$1000,"Y",$J$2:$J$1000,J272,$ED$2:$ED$1000,"&lt;"&amp;ED272)=0,"Y","N"))</f>
        <v>N</v>
      </c>
      <c r="EC272" s="0" t="str">
        <f aca="false">IF(Y272="","N",IF(Y272&lt;=10,"Y","N"))</f>
        <v>N</v>
      </c>
      <c r="ED272" s="6" t="n">
        <f aca="false">ROW()-1</f>
        <v>271</v>
      </c>
    </row>
    <row r="273" customFormat="false" ht="15" hidden="false" customHeight="false" outlineLevel="0" collapsed="false">
      <c r="A273" s="0" t="s">
        <v>10293</v>
      </c>
      <c r="B273" s="0" t="s">
        <v>10294</v>
      </c>
      <c r="C273" s="0" t="s">
        <v>10295</v>
      </c>
      <c r="D273" s="0" t="s">
        <v>163</v>
      </c>
      <c r="E273" s="0" t="s">
        <v>4773</v>
      </c>
      <c r="H273" s="5" t="s">
        <v>158</v>
      </c>
      <c r="I273" s="5" t="s">
        <v>159</v>
      </c>
      <c r="J273" s="6" t="n">
        <f aca="false">IF(AU273="pass",CM273+CN273+CO273+CP273+CQ273+CR273+CS273+CT273,0)</f>
        <v>0</v>
      </c>
      <c r="K273" s="6" t="s">
        <v>10296</v>
      </c>
      <c r="M273" s="6" t="s">
        <v>5293</v>
      </c>
      <c r="N273" s="6" t="s">
        <v>598</v>
      </c>
      <c r="O273" s="6" t="s">
        <v>10297</v>
      </c>
      <c r="P273" s="6" t="s">
        <v>10298</v>
      </c>
      <c r="Q273" s="6" t="s">
        <v>5945</v>
      </c>
      <c r="R273" s="5" t="s">
        <v>162</v>
      </c>
      <c r="S273" s="6" t="s">
        <v>168</v>
      </c>
      <c r="T273" s="5" t="s">
        <v>162</v>
      </c>
      <c r="U273" s="5" t="s">
        <v>228</v>
      </c>
      <c r="V273" s="6" t="s">
        <v>6645</v>
      </c>
      <c r="W273" s="6" t="s">
        <v>174</v>
      </c>
      <c r="X273" s="6" t="s">
        <v>4586</v>
      </c>
      <c r="Y273" s="0" t="str">
        <f aca="false">IF(EB273&lt;&gt;"Y","",COUNTIFS($EB$2:$EB$1000,"Y",$J$2:$J$1000,"&gt;"&amp;J273)+COUNTIFS($EB$2:$EB$1000,"Y",$J$2:$J$1000,J273,$ED$2:$ED$1000,"&lt;"&amp;ED273)+1)</f>
        <v/>
      </c>
      <c r="AA273" s="6" t="s">
        <v>162</v>
      </c>
      <c r="AC273" s="6" t="s">
        <v>4588</v>
      </c>
      <c r="AD273" s="6" t="s">
        <v>5010</v>
      </c>
      <c r="AE273" s="6" t="s">
        <v>1190</v>
      </c>
      <c r="AF273" s="6" t="s">
        <v>6647</v>
      </c>
      <c r="AG273" s="6" t="s">
        <v>174</v>
      </c>
      <c r="AH273" s="6" t="s">
        <v>10299</v>
      </c>
      <c r="AI273" s="6" t="s">
        <v>5926</v>
      </c>
      <c r="AJ273" s="6" t="s">
        <v>10300</v>
      </c>
      <c r="AK273" s="6" t="s">
        <v>10301</v>
      </c>
      <c r="AL273" s="6" t="s">
        <v>168</v>
      </c>
      <c r="AM273" s="6" t="s">
        <v>4691</v>
      </c>
      <c r="AN273" s="6" t="s">
        <v>10293</v>
      </c>
      <c r="AO273" s="5" t="s">
        <v>162</v>
      </c>
      <c r="AR273" s="0" t="str">
        <f aca="false">IF(AND(AU273="pass",AO273&lt;&gt;"Y",C273&lt;&gt;""),"Y","N")</f>
        <v>N</v>
      </c>
      <c r="AS273" s="0" t="str">
        <f aca="false">_xlfn.TEXTJOIN("; ",TRUE(),IF(AU273&lt;&gt;"pass","gated out",""),IF(AO273="Y","on hold: "&amp;AP273,""),IF(C273="","no contact named on an opened page",""))</f>
        <v>gated out</v>
      </c>
      <c r="AU273" s="6" t="s">
        <v>3704</v>
      </c>
      <c r="AV273" s="6" t="s">
        <v>9764</v>
      </c>
      <c r="AW273" s="6" t="s">
        <v>10302</v>
      </c>
      <c r="AY273" s="6" t="s">
        <v>10301</v>
      </c>
      <c r="AZ273" s="6" t="s">
        <v>4596</v>
      </c>
      <c r="BA273" s="6" t="s">
        <v>4597</v>
      </c>
      <c r="BB273" s="6" t="s">
        <v>163</v>
      </c>
      <c r="BD273" s="6" t="s">
        <v>163</v>
      </c>
      <c r="BE273" s="6" t="s">
        <v>10303</v>
      </c>
      <c r="BF273" s="6" t="s">
        <v>168</v>
      </c>
      <c r="BG273" s="6" t="s">
        <v>168</v>
      </c>
      <c r="BH273" s="6" t="s">
        <v>163</v>
      </c>
      <c r="BJ273" s="6" t="s">
        <v>5145</v>
      </c>
      <c r="BK273" s="6" t="s">
        <v>168</v>
      </c>
      <c r="BL273" s="6" t="s">
        <v>168</v>
      </c>
      <c r="BM273" s="6" t="s">
        <v>10304</v>
      </c>
      <c r="BO273" s="6" t="s">
        <v>162</v>
      </c>
      <c r="BP273" s="0" t="n">
        <v>0</v>
      </c>
      <c r="BS273" s="6" t="s">
        <v>163</v>
      </c>
      <c r="BU273" s="6" t="s">
        <v>4695</v>
      </c>
      <c r="BV273" s="0" t="n">
        <v>65</v>
      </c>
      <c r="BW273" s="6" t="s">
        <v>10305</v>
      </c>
      <c r="BX273" s="6" t="s">
        <v>10295</v>
      </c>
      <c r="BY273" s="6" t="s">
        <v>6652</v>
      </c>
      <c r="CF273" s="6" t="s">
        <v>158</v>
      </c>
      <c r="CK273" s="6" t="s">
        <v>158</v>
      </c>
      <c r="CL273" s="0" t="n">
        <v>49</v>
      </c>
      <c r="CM273" s="0" t="n">
        <v>6</v>
      </c>
      <c r="CN273" s="0" t="n">
        <v>20</v>
      </c>
      <c r="CO273" s="0" t="n">
        <v>8</v>
      </c>
      <c r="CP273" s="0" t="n">
        <v>5</v>
      </c>
      <c r="CQ273" s="0" t="n">
        <v>7</v>
      </c>
      <c r="CR273" s="0" t="n">
        <v>3</v>
      </c>
      <c r="CS273" s="6" t="n">
        <f aca="false">IF(R273="Y",10,0)</f>
        <v>0</v>
      </c>
      <c r="CT273" s="0" t="n">
        <v>0</v>
      </c>
      <c r="CU273" s="6" t="s">
        <v>10306</v>
      </c>
      <c r="CV273" s="6" t="s">
        <v>5152</v>
      </c>
      <c r="CW273" s="6" t="s">
        <v>10307</v>
      </c>
      <c r="CX273" s="6" t="s">
        <v>10308</v>
      </c>
      <c r="DA273" s="6" t="s">
        <v>6236</v>
      </c>
      <c r="DY273" s="0" t="str">
        <f aca="false">IF(ISNUMBER(MATCH(U273,{"queued","contacted","replied","call_booked","call_done","yes_in_principle","materials_sent"},0)),"Y","N")</f>
        <v>N</v>
      </c>
      <c r="DZ273" s="0" t="str">
        <f aca="false">IF(COUNTIFS($AN$2:$AN$1000,AN273,$DY$2:$DY$1000,"Y")+COUNTIFS($AN$2:$AN$1000,AN273,$T$2:$T$1000,"Y")&gt;0,"Y","N")</f>
        <v>N</v>
      </c>
      <c r="EA273" s="0" t="str">
        <f aca="false">IF(AND(U273="new",T273="N",AR273="Y",AQ273="",DZ273="N"),"Y","N")</f>
        <v>N</v>
      </c>
      <c r="EB273" s="0" t="str">
        <f aca="false">IF(EA273&lt;&gt;"Y","N",IF(COUNTIFS($AN$2:$AN$1000,AN273,$EA$2:$EA$1000,"Y",$J$2:$J$1000,"&gt;"&amp;J273)+COUNTIFS($AN$2:$AN$1000,AN273,$EA$2:$EA$1000,"Y",$J$2:$J$1000,J273,$ED$2:$ED$1000,"&lt;"&amp;ED273)=0,"Y","N"))</f>
        <v>N</v>
      </c>
      <c r="EC273" s="0" t="str">
        <f aca="false">IF(Y273="","N",IF(Y273&lt;=10,"Y","N"))</f>
        <v>N</v>
      </c>
      <c r="ED273" s="6" t="n">
        <f aca="false">ROW()-1</f>
        <v>272</v>
      </c>
    </row>
    <row r="274" customFormat="false" ht="15" hidden="false" customHeight="false" outlineLevel="0" collapsed="false">
      <c r="A274" s="0" t="s">
        <v>10309</v>
      </c>
      <c r="B274" s="0" t="s">
        <v>10310</v>
      </c>
      <c r="C274" s="0" t="s">
        <v>10311</v>
      </c>
      <c r="D274" s="0" t="s">
        <v>163</v>
      </c>
      <c r="E274" s="0" t="s">
        <v>4657</v>
      </c>
      <c r="H274" s="5" t="s">
        <v>158</v>
      </c>
      <c r="I274" s="5" t="s">
        <v>159</v>
      </c>
      <c r="J274" s="6" t="n">
        <f aca="false">IF(AU274="pass",CM274+CN274+CO274+CP274+CQ274+CR274+CS274+CT274,0)</f>
        <v>0</v>
      </c>
      <c r="K274" s="6" t="s">
        <v>10312</v>
      </c>
      <c r="M274" s="6" t="s">
        <v>5293</v>
      </c>
      <c r="N274" s="6" t="s">
        <v>598</v>
      </c>
      <c r="O274" s="6" t="s">
        <v>10313</v>
      </c>
      <c r="P274" s="6" t="s">
        <v>10314</v>
      </c>
      <c r="Q274" s="6" t="s">
        <v>10315</v>
      </c>
      <c r="R274" s="5" t="s">
        <v>162</v>
      </c>
      <c r="S274" s="6" t="s">
        <v>163</v>
      </c>
      <c r="T274" s="5" t="s">
        <v>162</v>
      </c>
      <c r="U274" s="5" t="s">
        <v>228</v>
      </c>
      <c r="V274" s="6" t="s">
        <v>10316</v>
      </c>
      <c r="W274" s="6" t="s">
        <v>166</v>
      </c>
      <c r="X274" s="6" t="s">
        <v>4586</v>
      </c>
      <c r="Y274" s="0" t="str">
        <f aca="false">IF(EB274&lt;&gt;"Y","",COUNTIFS($EB$2:$EB$1000,"Y",$J$2:$J$1000,"&gt;"&amp;J274)+COUNTIFS($EB$2:$EB$1000,"Y",$J$2:$J$1000,J274,$ED$2:$ED$1000,"&lt;"&amp;ED274)+1)</f>
        <v/>
      </c>
      <c r="AA274" s="6" t="s">
        <v>162</v>
      </c>
      <c r="AC274" s="6" t="s">
        <v>4588</v>
      </c>
      <c r="AD274" s="6" t="s">
        <v>5010</v>
      </c>
      <c r="AE274" s="6" t="s">
        <v>172</v>
      </c>
      <c r="AF274" s="6" t="s">
        <v>10317</v>
      </c>
      <c r="AG274" s="6" t="s">
        <v>166</v>
      </c>
      <c r="AH274" s="6" t="s">
        <v>10318</v>
      </c>
      <c r="AI274" s="6" t="s">
        <v>5926</v>
      </c>
      <c r="AJ274" s="6" t="s">
        <v>163</v>
      </c>
      <c r="AK274" s="6" t="s">
        <v>10319</v>
      </c>
      <c r="AL274" s="6" t="s">
        <v>168</v>
      </c>
      <c r="AM274" s="6" t="s">
        <v>4691</v>
      </c>
      <c r="AN274" s="6" t="s">
        <v>10309</v>
      </c>
      <c r="AO274" s="5" t="s">
        <v>162</v>
      </c>
      <c r="AR274" s="0" t="str">
        <f aca="false">IF(AND(AU274="pass",AO274&lt;&gt;"Y",C274&lt;&gt;""),"Y","N")</f>
        <v>N</v>
      </c>
      <c r="AS274" s="0" t="str">
        <f aca="false">_xlfn.TEXTJOIN("; ",TRUE(),IF(AU274&lt;&gt;"pass","gated out",""),IF(AO274="Y","on hold: "&amp;AP274,""),IF(C274="","no contact named on an opened page",""))</f>
        <v>gated out</v>
      </c>
      <c r="AU274" s="6" t="s">
        <v>3704</v>
      </c>
      <c r="AV274" s="6" t="s">
        <v>9764</v>
      </c>
      <c r="AW274" s="6" t="s">
        <v>10320</v>
      </c>
      <c r="AY274" s="6" t="s">
        <v>10319</v>
      </c>
      <c r="AZ274" s="6" t="s">
        <v>163</v>
      </c>
      <c r="BA274" s="6" t="s">
        <v>163</v>
      </c>
      <c r="BB274" s="6" t="s">
        <v>163</v>
      </c>
      <c r="BD274" s="6" t="s">
        <v>163</v>
      </c>
      <c r="BE274" s="6" t="s">
        <v>10321</v>
      </c>
      <c r="BF274" s="6" t="s">
        <v>168</v>
      </c>
      <c r="BG274" s="6" t="s">
        <v>168</v>
      </c>
      <c r="BH274" s="6" t="s">
        <v>163</v>
      </c>
      <c r="BJ274" s="6" t="s">
        <v>5551</v>
      </c>
      <c r="BK274" s="6" t="s">
        <v>168</v>
      </c>
      <c r="BL274" s="6" t="s">
        <v>168</v>
      </c>
      <c r="BM274" s="6" t="s">
        <v>10322</v>
      </c>
      <c r="BO274" s="6" t="s">
        <v>162</v>
      </c>
      <c r="BP274" s="0" t="n">
        <v>0</v>
      </c>
      <c r="BS274" s="6" t="s">
        <v>163</v>
      </c>
      <c r="BU274" s="6" t="s">
        <v>4695</v>
      </c>
      <c r="BV274" s="0" t="n">
        <v>51</v>
      </c>
      <c r="BX274" s="6" t="s">
        <v>10311</v>
      </c>
      <c r="CF274" s="6" t="s">
        <v>158</v>
      </c>
      <c r="CK274" s="6" t="s">
        <v>158</v>
      </c>
      <c r="CL274" s="0" t="n">
        <v>33</v>
      </c>
      <c r="CM274" s="0" t="n">
        <v>6</v>
      </c>
      <c r="CN274" s="0" t="n">
        <v>4</v>
      </c>
      <c r="CO274" s="0" t="n">
        <v>8</v>
      </c>
      <c r="CP274" s="0" t="n">
        <v>5</v>
      </c>
      <c r="CQ274" s="0" t="n">
        <v>7</v>
      </c>
      <c r="CR274" s="0" t="n">
        <v>3</v>
      </c>
      <c r="CS274" s="6" t="n">
        <f aca="false">IF(R274="Y",10,0)</f>
        <v>0</v>
      </c>
      <c r="CT274" s="0" t="n">
        <v>0</v>
      </c>
      <c r="CU274" s="6" t="s">
        <v>10323</v>
      </c>
      <c r="CV274" s="6" t="s">
        <v>5564</v>
      </c>
      <c r="CW274" s="6" t="s">
        <v>10324</v>
      </c>
      <c r="CX274" s="6" t="s">
        <v>10325</v>
      </c>
      <c r="DA274" s="6" t="s">
        <v>6236</v>
      </c>
      <c r="DY274" s="0" t="str">
        <f aca="false">IF(ISNUMBER(MATCH(U274,{"queued","contacted","replied","call_booked","call_done","yes_in_principle","materials_sent"},0)),"Y","N")</f>
        <v>N</v>
      </c>
      <c r="DZ274" s="0" t="str">
        <f aca="false">IF(COUNTIFS($AN$2:$AN$1000,AN274,$DY$2:$DY$1000,"Y")+COUNTIFS($AN$2:$AN$1000,AN274,$T$2:$T$1000,"Y")&gt;0,"Y","N")</f>
        <v>N</v>
      </c>
      <c r="EA274" s="0" t="str">
        <f aca="false">IF(AND(U274="new",T274="N",AR274="Y",AQ274="",DZ274="N"),"Y","N")</f>
        <v>N</v>
      </c>
      <c r="EB274" s="0" t="str">
        <f aca="false">IF(EA274&lt;&gt;"Y","N",IF(COUNTIFS($AN$2:$AN$1000,AN274,$EA$2:$EA$1000,"Y",$J$2:$J$1000,"&gt;"&amp;J274)+COUNTIFS($AN$2:$AN$1000,AN274,$EA$2:$EA$1000,"Y",$J$2:$J$1000,J274,$ED$2:$ED$1000,"&lt;"&amp;ED274)=0,"Y","N"))</f>
        <v>N</v>
      </c>
      <c r="EC274" s="0" t="str">
        <f aca="false">IF(Y274="","N",IF(Y274&lt;=10,"Y","N"))</f>
        <v>N</v>
      </c>
      <c r="ED274" s="6" t="n">
        <f aca="false">ROW()-1</f>
        <v>273</v>
      </c>
    </row>
    <row r="275" customFormat="false" ht="15" hidden="false" customHeight="false" outlineLevel="0" collapsed="false">
      <c r="A275" s="0" t="s">
        <v>10326</v>
      </c>
      <c r="B275" s="0" t="s">
        <v>10327</v>
      </c>
      <c r="C275" s="0" t="s">
        <v>5103</v>
      </c>
      <c r="D275" s="0" t="s">
        <v>10328</v>
      </c>
      <c r="E275" s="0" t="s">
        <v>4773</v>
      </c>
      <c r="H275" s="5" t="s">
        <v>158</v>
      </c>
      <c r="I275" s="5" t="s">
        <v>159</v>
      </c>
      <c r="J275" s="6" t="n">
        <f aca="false">IF(AU275="pass",CM275+CN275+CO275+CP275+CQ275+CR275+CS275+CT275,0)</f>
        <v>0</v>
      </c>
      <c r="K275" s="6" t="s">
        <v>10329</v>
      </c>
      <c r="M275" s="6" t="s">
        <v>5293</v>
      </c>
      <c r="N275" s="6" t="s">
        <v>598</v>
      </c>
      <c r="O275" s="6" t="s">
        <v>10330</v>
      </c>
      <c r="P275" s="6" t="s">
        <v>10331</v>
      </c>
      <c r="Q275" s="6" t="s">
        <v>9032</v>
      </c>
      <c r="R275" s="5" t="s">
        <v>162</v>
      </c>
      <c r="S275" s="6" t="s">
        <v>163</v>
      </c>
      <c r="T275" s="5" t="s">
        <v>162</v>
      </c>
      <c r="U275" s="5" t="s">
        <v>228</v>
      </c>
      <c r="V275" s="6" t="s">
        <v>10332</v>
      </c>
      <c r="W275" s="6" t="s">
        <v>166</v>
      </c>
      <c r="X275" s="6" t="s">
        <v>4586</v>
      </c>
      <c r="Y275" s="0" t="str">
        <f aca="false">IF(EB275&lt;&gt;"Y","",COUNTIFS($EB$2:$EB$1000,"Y",$J$2:$J$1000,"&gt;"&amp;J275)+COUNTIFS($EB$2:$EB$1000,"Y",$J$2:$J$1000,J275,$ED$2:$ED$1000,"&lt;"&amp;ED275)+1)</f>
        <v/>
      </c>
      <c r="AA275" s="6" t="s">
        <v>162</v>
      </c>
      <c r="AC275" s="6" t="s">
        <v>4588</v>
      </c>
      <c r="AD275" s="6" t="s">
        <v>171</v>
      </c>
      <c r="AE275" s="6" t="s">
        <v>172</v>
      </c>
      <c r="AF275" s="6" t="s">
        <v>10332</v>
      </c>
      <c r="AG275" s="6" t="s">
        <v>166</v>
      </c>
      <c r="AH275" s="6" t="s">
        <v>10333</v>
      </c>
      <c r="AI275" s="6" t="s">
        <v>5765</v>
      </c>
      <c r="AJ275" s="6" t="s">
        <v>4635</v>
      </c>
      <c r="AK275" s="6" t="s">
        <v>10334</v>
      </c>
      <c r="AL275" s="6" t="s">
        <v>162</v>
      </c>
      <c r="AN275" s="6" t="s">
        <v>10326</v>
      </c>
      <c r="AO275" s="5" t="s">
        <v>162</v>
      </c>
      <c r="AR275" s="0" t="str">
        <f aca="false">IF(AND(AU275="pass",AO275&lt;&gt;"Y",C275&lt;&gt;""),"Y","N")</f>
        <v>N</v>
      </c>
      <c r="AS275" s="0" t="str">
        <f aca="false">_xlfn.TEXTJOIN("; ",TRUE(),IF(AU275&lt;&gt;"pass","gated out",""),IF(AO275="Y","on hold: "&amp;AP275,""),IF(C275="","no contact named on an opened page",""))</f>
        <v>gated out</v>
      </c>
      <c r="AU275" s="6" t="s">
        <v>3704</v>
      </c>
      <c r="AV275" s="6" t="s">
        <v>9885</v>
      </c>
      <c r="AW275" s="6" t="s">
        <v>10335</v>
      </c>
      <c r="AY275" s="6" t="s">
        <v>10334</v>
      </c>
      <c r="AZ275" s="6" t="s">
        <v>4596</v>
      </c>
      <c r="BA275" s="6" t="s">
        <v>4597</v>
      </c>
      <c r="BB275" s="6" t="s">
        <v>163</v>
      </c>
      <c r="BD275" s="6" t="s">
        <v>162</v>
      </c>
      <c r="BE275" s="6" t="s">
        <v>10336</v>
      </c>
      <c r="BF275" s="6" t="s">
        <v>168</v>
      </c>
      <c r="BG275" s="6" t="s">
        <v>168</v>
      </c>
      <c r="BH275" s="6" t="s">
        <v>163</v>
      </c>
      <c r="BJ275" s="6" t="s">
        <v>5551</v>
      </c>
      <c r="BK275" s="6" t="s">
        <v>162</v>
      </c>
      <c r="BL275" s="6" t="s">
        <v>168</v>
      </c>
      <c r="BM275" s="6" t="s">
        <v>10337</v>
      </c>
      <c r="BO275" s="6" t="s">
        <v>162</v>
      </c>
      <c r="BP275" s="0" t="n">
        <v>0</v>
      </c>
      <c r="BR275" s="6" t="s">
        <v>8091</v>
      </c>
      <c r="BS275" s="6" t="s">
        <v>10338</v>
      </c>
      <c r="BT275" s="6" t="s">
        <v>10331</v>
      </c>
      <c r="BU275" s="6" t="s">
        <v>4695</v>
      </c>
      <c r="BV275" s="0" t="n">
        <v>25</v>
      </c>
      <c r="BX275" s="6" t="s">
        <v>10339</v>
      </c>
      <c r="CF275" s="6" t="s">
        <v>158</v>
      </c>
      <c r="CK275" s="6" t="s">
        <v>158</v>
      </c>
      <c r="CL275" s="0" t="n">
        <v>51</v>
      </c>
      <c r="CM275" s="0" t="n">
        <v>6</v>
      </c>
      <c r="CN275" s="0" t="n">
        <v>20</v>
      </c>
      <c r="CO275" s="0" t="n">
        <v>8</v>
      </c>
      <c r="CP275" s="0" t="n">
        <v>5</v>
      </c>
      <c r="CQ275" s="0" t="n">
        <v>6</v>
      </c>
      <c r="CR275" s="0" t="n">
        <v>6</v>
      </c>
      <c r="CS275" s="6" t="n">
        <f aca="false">IF(R275="Y",10,0)</f>
        <v>0</v>
      </c>
      <c r="CT275" s="0" t="n">
        <v>0</v>
      </c>
      <c r="CU275" s="6" t="s">
        <v>163</v>
      </c>
      <c r="CV275" s="6" t="s">
        <v>5564</v>
      </c>
      <c r="CW275" s="6" t="s">
        <v>10340</v>
      </c>
      <c r="CX275" s="6" t="s">
        <v>10341</v>
      </c>
      <c r="DA275" s="6" t="s">
        <v>6236</v>
      </c>
      <c r="DY275" s="0" t="str">
        <f aca="false">IF(ISNUMBER(MATCH(U275,{"queued","contacted","replied","call_booked","call_done","yes_in_principle","materials_sent"},0)),"Y","N")</f>
        <v>N</v>
      </c>
      <c r="DZ275" s="0" t="str">
        <f aca="false">IF(COUNTIFS($AN$2:$AN$1000,AN275,$DY$2:$DY$1000,"Y")+COUNTIFS($AN$2:$AN$1000,AN275,$T$2:$T$1000,"Y")&gt;0,"Y","N")</f>
        <v>N</v>
      </c>
      <c r="EA275" s="0" t="str">
        <f aca="false">IF(AND(U275="new",T275="N",AR275="Y",AQ275="",DZ275="N"),"Y","N")</f>
        <v>N</v>
      </c>
      <c r="EB275" s="0" t="str">
        <f aca="false">IF(EA275&lt;&gt;"Y","N",IF(COUNTIFS($AN$2:$AN$1000,AN275,$EA$2:$EA$1000,"Y",$J$2:$J$1000,"&gt;"&amp;J275)+COUNTIFS($AN$2:$AN$1000,AN275,$EA$2:$EA$1000,"Y",$J$2:$J$1000,J275,$ED$2:$ED$1000,"&lt;"&amp;ED275)=0,"Y","N"))</f>
        <v>N</v>
      </c>
      <c r="EC275" s="0" t="str">
        <f aca="false">IF(Y275="","N",IF(Y275&lt;=10,"Y","N"))</f>
        <v>N</v>
      </c>
      <c r="ED275" s="6" t="n">
        <f aca="false">ROW()-1</f>
        <v>274</v>
      </c>
    </row>
    <row r="276" customFormat="false" ht="15" hidden="false" customHeight="false" outlineLevel="0" collapsed="false">
      <c r="A276" s="0" t="s">
        <v>10342</v>
      </c>
      <c r="B276" s="0" t="s">
        <v>10343</v>
      </c>
      <c r="C276" s="0" t="s">
        <v>10344</v>
      </c>
      <c r="D276" s="0" t="s">
        <v>163</v>
      </c>
      <c r="E276" s="0" t="s">
        <v>4773</v>
      </c>
      <c r="H276" s="5" t="s">
        <v>158</v>
      </c>
      <c r="I276" s="5" t="s">
        <v>159</v>
      </c>
      <c r="J276" s="6" t="n">
        <f aca="false">IF(AU276="pass",CM276+CN276+CO276+CP276+CQ276+CR276+CS276+CT276,0)</f>
        <v>0</v>
      </c>
      <c r="K276" s="6" t="s">
        <v>10345</v>
      </c>
      <c r="M276" s="6" t="s">
        <v>5293</v>
      </c>
      <c r="N276" s="6" t="s">
        <v>598</v>
      </c>
      <c r="O276" s="6" t="s">
        <v>10346</v>
      </c>
      <c r="P276" s="6" t="s">
        <v>10347</v>
      </c>
      <c r="Q276" s="6" t="s">
        <v>3759</v>
      </c>
      <c r="R276" s="5" t="s">
        <v>162</v>
      </c>
      <c r="S276" s="6" t="s">
        <v>163</v>
      </c>
      <c r="T276" s="5" t="s">
        <v>162</v>
      </c>
      <c r="U276" s="5" t="s">
        <v>228</v>
      </c>
      <c r="V276" s="6" t="s">
        <v>10348</v>
      </c>
      <c r="W276" s="6" t="s">
        <v>166</v>
      </c>
      <c r="X276" s="6" t="s">
        <v>4586</v>
      </c>
      <c r="Y276" s="0" t="str">
        <f aca="false">IF(EB276&lt;&gt;"Y","",COUNTIFS($EB$2:$EB$1000,"Y",$J$2:$J$1000,"&gt;"&amp;J276)+COUNTIFS($EB$2:$EB$1000,"Y",$J$2:$J$1000,J276,$ED$2:$ED$1000,"&lt;"&amp;ED276)+1)</f>
        <v/>
      </c>
      <c r="AA276" s="6" t="s">
        <v>162</v>
      </c>
      <c r="AC276" s="6" t="s">
        <v>4588</v>
      </c>
      <c r="AD276" s="6" t="s">
        <v>5010</v>
      </c>
      <c r="AE276" s="6" t="s">
        <v>172</v>
      </c>
      <c r="AF276" s="6" t="s">
        <v>10348</v>
      </c>
      <c r="AG276" s="6" t="s">
        <v>166</v>
      </c>
      <c r="AH276" s="6" t="s">
        <v>10349</v>
      </c>
      <c r="AI276" s="6" t="s">
        <v>5738</v>
      </c>
      <c r="AJ276" s="6" t="s">
        <v>4635</v>
      </c>
      <c r="AK276" s="6" t="s">
        <v>10350</v>
      </c>
      <c r="AL276" s="6" t="s">
        <v>162</v>
      </c>
      <c r="AN276" s="6" t="s">
        <v>10342</v>
      </c>
      <c r="AO276" s="5" t="s">
        <v>162</v>
      </c>
      <c r="AR276" s="0" t="str">
        <f aca="false">IF(AND(AU276="pass",AO276&lt;&gt;"Y",C276&lt;&gt;""),"Y","N")</f>
        <v>N</v>
      </c>
      <c r="AS276" s="0" t="str">
        <f aca="false">_xlfn.TEXTJOIN("; ",TRUE(),IF(AU276&lt;&gt;"pass","gated out",""),IF(AO276="Y","on hold: "&amp;AP276,""),IF(C276="","no contact named on an opened page",""))</f>
        <v>gated out</v>
      </c>
      <c r="AU276" s="6" t="s">
        <v>3704</v>
      </c>
      <c r="AV276" s="6" t="s">
        <v>10351</v>
      </c>
      <c r="AW276" s="6" t="s">
        <v>10352</v>
      </c>
      <c r="AY276" s="6" t="s">
        <v>10350</v>
      </c>
      <c r="AZ276" s="6" t="s">
        <v>4596</v>
      </c>
      <c r="BA276" s="6" t="s">
        <v>4597</v>
      </c>
      <c r="BB276" s="6" t="s">
        <v>163</v>
      </c>
      <c r="BD276" s="6" t="s">
        <v>162</v>
      </c>
      <c r="BE276" s="6" t="s">
        <v>10353</v>
      </c>
      <c r="BF276" s="6" t="s">
        <v>162</v>
      </c>
      <c r="BG276" s="6" t="s">
        <v>168</v>
      </c>
      <c r="BH276" s="6" t="s">
        <v>163</v>
      </c>
      <c r="BJ276" s="6" t="s">
        <v>5551</v>
      </c>
      <c r="BK276" s="6" t="s">
        <v>162</v>
      </c>
      <c r="BL276" s="6" t="s">
        <v>168</v>
      </c>
      <c r="BM276" s="6" t="s">
        <v>10354</v>
      </c>
      <c r="BO276" s="6" t="s">
        <v>162</v>
      </c>
      <c r="BP276" s="0" t="n">
        <v>0</v>
      </c>
      <c r="BS276" s="6" t="s">
        <v>10355</v>
      </c>
      <c r="BU276" s="6" t="s">
        <v>4695</v>
      </c>
      <c r="BV276" s="0" t="n">
        <v>135</v>
      </c>
      <c r="BX276" s="6" t="s">
        <v>10344</v>
      </c>
      <c r="CF276" s="6" t="s">
        <v>158</v>
      </c>
      <c r="CK276" s="6" t="s">
        <v>158</v>
      </c>
      <c r="CL276" s="0" t="n">
        <v>45</v>
      </c>
      <c r="CM276" s="0" t="n">
        <v>6</v>
      </c>
      <c r="CN276" s="0" t="n">
        <v>20</v>
      </c>
      <c r="CO276" s="0" t="n">
        <v>8</v>
      </c>
      <c r="CP276" s="0" t="n">
        <v>5</v>
      </c>
      <c r="CQ276" s="0" t="n">
        <v>3</v>
      </c>
      <c r="CR276" s="0" t="n">
        <v>3</v>
      </c>
      <c r="CS276" s="6" t="n">
        <f aca="false">IF(R276="Y",10,0)</f>
        <v>0</v>
      </c>
      <c r="CT276" s="0" t="n">
        <v>0</v>
      </c>
      <c r="CU276" s="6" t="s">
        <v>10356</v>
      </c>
      <c r="CV276" s="6" t="s">
        <v>5564</v>
      </c>
      <c r="CW276" s="6" t="s">
        <v>10357</v>
      </c>
      <c r="CX276" s="6" t="s">
        <v>10358</v>
      </c>
      <c r="DA276" s="6" t="s">
        <v>6236</v>
      </c>
      <c r="DY276" s="0" t="str">
        <f aca="false">IF(ISNUMBER(MATCH(U276,{"queued","contacted","replied","call_booked","call_done","yes_in_principle","materials_sent"},0)),"Y","N")</f>
        <v>N</v>
      </c>
      <c r="DZ276" s="0" t="str">
        <f aca="false">IF(COUNTIFS($AN$2:$AN$1000,AN276,$DY$2:$DY$1000,"Y")+COUNTIFS($AN$2:$AN$1000,AN276,$T$2:$T$1000,"Y")&gt;0,"Y","N")</f>
        <v>N</v>
      </c>
      <c r="EA276" s="0" t="str">
        <f aca="false">IF(AND(U276="new",T276="N",AR276="Y",AQ276="",DZ276="N"),"Y","N")</f>
        <v>N</v>
      </c>
      <c r="EB276" s="0" t="str">
        <f aca="false">IF(EA276&lt;&gt;"Y","N",IF(COUNTIFS($AN$2:$AN$1000,AN276,$EA$2:$EA$1000,"Y",$J$2:$J$1000,"&gt;"&amp;J276)+COUNTIFS($AN$2:$AN$1000,AN276,$EA$2:$EA$1000,"Y",$J$2:$J$1000,J276,$ED$2:$ED$1000,"&lt;"&amp;ED276)=0,"Y","N"))</f>
        <v>N</v>
      </c>
      <c r="EC276" s="0" t="str">
        <f aca="false">IF(Y276="","N",IF(Y276&lt;=10,"Y","N"))</f>
        <v>N</v>
      </c>
      <c r="ED276" s="6" t="n">
        <f aca="false">ROW()-1</f>
        <v>275</v>
      </c>
    </row>
    <row r="277" customFormat="false" ht="15" hidden="false" customHeight="false" outlineLevel="0" collapsed="false">
      <c r="A277" s="0" t="s">
        <v>10359</v>
      </c>
      <c r="B277" s="0" t="s">
        <v>10360</v>
      </c>
      <c r="C277" s="0" t="s">
        <v>8754</v>
      </c>
      <c r="D277" s="0" t="s">
        <v>10361</v>
      </c>
      <c r="E277" s="0" t="s">
        <v>4773</v>
      </c>
      <c r="H277" s="5" t="s">
        <v>158</v>
      </c>
      <c r="I277" s="5" t="s">
        <v>159</v>
      </c>
      <c r="J277" s="6" t="n">
        <f aca="false">IF(AU277="pass",CM277+CN277+CO277+CP277+CQ277+CR277+CS277+CT277,0)</f>
        <v>0</v>
      </c>
      <c r="K277" s="6" t="s">
        <v>10362</v>
      </c>
      <c r="M277" s="6" t="s">
        <v>5293</v>
      </c>
      <c r="N277" s="6" t="s">
        <v>598</v>
      </c>
      <c r="O277" s="6" t="s">
        <v>10363</v>
      </c>
      <c r="P277" s="6" t="s">
        <v>10364</v>
      </c>
      <c r="Q277" s="6" t="s">
        <v>10365</v>
      </c>
      <c r="R277" s="5" t="s">
        <v>162</v>
      </c>
      <c r="S277" s="6" t="s">
        <v>168</v>
      </c>
      <c r="T277" s="5" t="s">
        <v>162</v>
      </c>
      <c r="U277" s="5" t="s">
        <v>228</v>
      </c>
      <c r="V277" s="6" t="s">
        <v>10366</v>
      </c>
      <c r="W277" s="6" t="s">
        <v>166</v>
      </c>
      <c r="X277" s="6" t="s">
        <v>4586</v>
      </c>
      <c r="Y277" s="0" t="str">
        <f aca="false">IF(EB277&lt;&gt;"Y","",COUNTIFS($EB$2:$EB$1000,"Y",$J$2:$J$1000,"&gt;"&amp;J277)+COUNTIFS($EB$2:$EB$1000,"Y",$J$2:$J$1000,J277,$ED$2:$ED$1000,"&lt;"&amp;ED277)+1)</f>
        <v/>
      </c>
      <c r="AA277" s="6" t="s">
        <v>162</v>
      </c>
      <c r="AC277" s="6" t="s">
        <v>4588</v>
      </c>
      <c r="AD277" s="6" t="s">
        <v>171</v>
      </c>
      <c r="AE277" s="6" t="s">
        <v>1190</v>
      </c>
      <c r="AF277" s="6" t="s">
        <v>10364</v>
      </c>
      <c r="AG277" s="6" t="s">
        <v>166</v>
      </c>
      <c r="AH277" s="6" t="s">
        <v>10367</v>
      </c>
      <c r="AI277" s="6" t="s">
        <v>4665</v>
      </c>
      <c r="AJ277" s="6" t="s">
        <v>10368</v>
      </c>
      <c r="AK277" s="6" t="s">
        <v>10369</v>
      </c>
      <c r="AL277" s="6" t="s">
        <v>168</v>
      </c>
      <c r="AM277" s="6" t="s">
        <v>4691</v>
      </c>
      <c r="AN277" s="6" t="s">
        <v>10359</v>
      </c>
      <c r="AO277" s="5" t="s">
        <v>162</v>
      </c>
      <c r="AR277" s="0" t="str">
        <f aca="false">IF(AND(AU277="pass",AO277&lt;&gt;"Y",C277&lt;&gt;""),"Y","N")</f>
        <v>N</v>
      </c>
      <c r="AS277" s="0" t="str">
        <f aca="false">_xlfn.TEXTJOIN("; ",TRUE(),IF(AU277&lt;&gt;"pass","gated out",""),IF(AO277="Y","on hold: "&amp;AP277,""),IF(C277="","no contact named on an opened page",""))</f>
        <v>gated out</v>
      </c>
      <c r="AU277" s="6" t="s">
        <v>3704</v>
      </c>
      <c r="AV277" s="6" t="s">
        <v>9922</v>
      </c>
      <c r="AW277" s="6" t="s">
        <v>10370</v>
      </c>
      <c r="AY277" s="6" t="s">
        <v>10369</v>
      </c>
      <c r="AZ277" s="6" t="s">
        <v>4596</v>
      </c>
      <c r="BA277" s="6" t="s">
        <v>4953</v>
      </c>
      <c r="BB277" s="6" t="s">
        <v>10371</v>
      </c>
      <c r="BD277" s="6" t="s">
        <v>163</v>
      </c>
      <c r="BE277" s="6" t="s">
        <v>10372</v>
      </c>
      <c r="BF277" s="6" t="s">
        <v>163</v>
      </c>
      <c r="BG277" s="6" t="s">
        <v>168</v>
      </c>
      <c r="BH277" s="6" t="s">
        <v>163</v>
      </c>
      <c r="BJ277" s="6" t="s">
        <v>10373</v>
      </c>
      <c r="BK277" s="6" t="s">
        <v>162</v>
      </c>
      <c r="BL277" s="6" t="s">
        <v>168</v>
      </c>
      <c r="BM277" s="6" t="s">
        <v>10374</v>
      </c>
      <c r="BO277" s="6" t="s">
        <v>162</v>
      </c>
      <c r="BP277" s="0" t="n">
        <v>0</v>
      </c>
      <c r="BS277" s="6" t="s">
        <v>10375</v>
      </c>
      <c r="BU277" s="6" t="s">
        <v>4605</v>
      </c>
      <c r="BV277" s="0" t="n">
        <v>309</v>
      </c>
      <c r="BW277" s="6" t="s">
        <v>10364</v>
      </c>
      <c r="BX277" s="6" t="s">
        <v>10376</v>
      </c>
      <c r="CF277" s="6" t="s">
        <v>158</v>
      </c>
      <c r="CK277" s="6" t="s">
        <v>158</v>
      </c>
      <c r="CL277" s="0" t="n">
        <v>43</v>
      </c>
      <c r="CM277" s="0" t="n">
        <v>6</v>
      </c>
      <c r="CN277" s="0" t="n">
        <v>13</v>
      </c>
      <c r="CO277" s="0" t="n">
        <v>8</v>
      </c>
      <c r="CP277" s="0" t="n">
        <v>5</v>
      </c>
      <c r="CQ277" s="0" t="n">
        <v>5</v>
      </c>
      <c r="CR277" s="0" t="n">
        <v>6</v>
      </c>
      <c r="CS277" s="6" t="n">
        <f aca="false">IF(R277="Y",10,0)</f>
        <v>0</v>
      </c>
      <c r="CT277" s="0" t="n">
        <v>0</v>
      </c>
      <c r="CV277" s="6" t="s">
        <v>4616</v>
      </c>
      <c r="CW277" s="6" t="s">
        <v>10377</v>
      </c>
      <c r="CX277" s="6" t="s">
        <v>10378</v>
      </c>
      <c r="DA277" s="6" t="s">
        <v>6236</v>
      </c>
      <c r="DY277" s="0" t="str">
        <f aca="false">IF(ISNUMBER(MATCH(U277,{"queued","contacted","replied","call_booked","call_done","yes_in_principle","materials_sent"},0)),"Y","N")</f>
        <v>N</v>
      </c>
      <c r="DZ277" s="0" t="str">
        <f aca="false">IF(COUNTIFS($AN$2:$AN$1000,AN277,$DY$2:$DY$1000,"Y")+COUNTIFS($AN$2:$AN$1000,AN277,$T$2:$T$1000,"Y")&gt;0,"Y","N")</f>
        <v>N</v>
      </c>
      <c r="EA277" s="0" t="str">
        <f aca="false">IF(AND(U277="new",T277="N",AR277="Y",AQ277="",DZ277="N"),"Y","N")</f>
        <v>N</v>
      </c>
      <c r="EB277" s="0" t="str">
        <f aca="false">IF(EA277&lt;&gt;"Y","N",IF(COUNTIFS($AN$2:$AN$1000,AN277,$EA$2:$EA$1000,"Y",$J$2:$J$1000,"&gt;"&amp;J277)+COUNTIFS($AN$2:$AN$1000,AN277,$EA$2:$EA$1000,"Y",$J$2:$J$1000,J277,$ED$2:$ED$1000,"&lt;"&amp;ED277)=0,"Y","N"))</f>
        <v>N</v>
      </c>
      <c r="EC277" s="0" t="str">
        <f aca="false">IF(Y277="","N",IF(Y277&lt;=10,"Y","N"))</f>
        <v>N</v>
      </c>
      <c r="ED277" s="6" t="n">
        <f aca="false">ROW()-1</f>
        <v>276</v>
      </c>
    </row>
    <row r="278" customFormat="false" ht="15" hidden="false" customHeight="false" outlineLevel="0" collapsed="false">
      <c r="A278" s="0" t="s">
        <v>10379</v>
      </c>
      <c r="B278" s="0" t="s">
        <v>10380</v>
      </c>
      <c r="H278" s="5" t="s">
        <v>158</v>
      </c>
      <c r="I278" s="5"/>
      <c r="J278" s="6" t="n">
        <f aca="false">IF(AU278="pass",CM278+CN278+CO278+CP278+CQ278+CR278+CS278+CT278,0)</f>
        <v>0</v>
      </c>
      <c r="K278" s="6" t="s">
        <v>10381</v>
      </c>
      <c r="M278" s="6" t="s">
        <v>5293</v>
      </c>
      <c r="N278" s="6" t="s">
        <v>598</v>
      </c>
      <c r="O278" s="6" t="s">
        <v>10382</v>
      </c>
      <c r="P278" s="6" t="s">
        <v>10383</v>
      </c>
      <c r="Q278" s="6" t="s">
        <v>6099</v>
      </c>
      <c r="R278" s="5" t="s">
        <v>162</v>
      </c>
      <c r="S278" s="6" t="s">
        <v>163</v>
      </c>
      <c r="T278" s="5" t="s">
        <v>162</v>
      </c>
      <c r="U278" s="5" t="s">
        <v>228</v>
      </c>
      <c r="V278" s="6" t="s">
        <v>10384</v>
      </c>
      <c r="W278" s="6" t="s">
        <v>166</v>
      </c>
      <c r="X278" s="6" t="s">
        <v>4586</v>
      </c>
      <c r="Y278" s="0" t="str">
        <f aca="false">IF(EB278&lt;&gt;"Y","",COUNTIFS($EB$2:$EB$1000,"Y",$J$2:$J$1000,"&gt;"&amp;J278)+COUNTIFS($EB$2:$EB$1000,"Y",$J$2:$J$1000,J278,$ED$2:$ED$1000,"&lt;"&amp;ED278)+1)</f>
        <v/>
      </c>
      <c r="AA278" s="6" t="s">
        <v>162</v>
      </c>
      <c r="AD278" s="6" t="s">
        <v>158</v>
      </c>
      <c r="AH278" s="6" t="s">
        <v>10385</v>
      </c>
      <c r="AI278" s="6" t="s">
        <v>5081</v>
      </c>
      <c r="AJ278" s="6" t="s">
        <v>163</v>
      </c>
      <c r="AK278" s="6" t="s">
        <v>10386</v>
      </c>
      <c r="AL278" s="6" t="s">
        <v>168</v>
      </c>
      <c r="AM278" s="6" t="s">
        <v>10387</v>
      </c>
      <c r="AN278" s="6" t="s">
        <v>10379</v>
      </c>
      <c r="AO278" s="5" t="s">
        <v>162</v>
      </c>
      <c r="AR278" s="0" t="str">
        <f aca="false">IF(AND(AU278="pass",AO278&lt;&gt;"Y",C278&lt;&gt;""),"Y","N")</f>
        <v>N</v>
      </c>
      <c r="AS278" s="0" t="str">
        <f aca="false">_xlfn.TEXTJOIN("; ",TRUE(),IF(AU278&lt;&gt;"pass","gated out",""),IF(AO278="Y","on hold: "&amp;AP278,""),IF(C278="","no contact named on an opened page",""))</f>
        <v>gated out; no contact named on an opened page</v>
      </c>
      <c r="AU278" s="6" t="s">
        <v>3704</v>
      </c>
      <c r="AV278" s="6" t="s">
        <v>9764</v>
      </c>
      <c r="AW278" s="6" t="s">
        <v>10388</v>
      </c>
      <c r="AX278" s="6" t="s">
        <v>4595</v>
      </c>
      <c r="AY278" s="6" t="s">
        <v>10386</v>
      </c>
      <c r="AZ278" s="6" t="s">
        <v>163</v>
      </c>
      <c r="BA278" s="6" t="s">
        <v>163</v>
      </c>
      <c r="BB278" s="6" t="s">
        <v>163</v>
      </c>
      <c r="BD278" s="6" t="s">
        <v>264</v>
      </c>
      <c r="BE278" s="6" t="s">
        <v>10389</v>
      </c>
      <c r="BF278" s="6" t="s">
        <v>168</v>
      </c>
      <c r="BG278" s="6" t="s">
        <v>168</v>
      </c>
      <c r="BH278" s="6" t="s">
        <v>163</v>
      </c>
      <c r="BJ278" s="6" t="s">
        <v>163</v>
      </c>
      <c r="BK278" s="6" t="s">
        <v>168</v>
      </c>
      <c r="BL278" s="6" t="s">
        <v>168</v>
      </c>
      <c r="BM278" s="6" t="s">
        <v>10390</v>
      </c>
      <c r="BO278" s="6" t="s">
        <v>162</v>
      </c>
      <c r="BP278" s="0" t="n">
        <v>0</v>
      </c>
      <c r="BS278" s="6" t="s">
        <v>10391</v>
      </c>
      <c r="BT278" s="6" t="s">
        <v>10392</v>
      </c>
      <c r="BU278" s="6" t="s">
        <v>4695</v>
      </c>
      <c r="BV278" s="0" t="n">
        <v>11</v>
      </c>
      <c r="CF278" s="6" t="s">
        <v>158</v>
      </c>
      <c r="CK278" s="6" t="s">
        <v>158</v>
      </c>
      <c r="CL278" s="0" t="n">
        <v>27</v>
      </c>
      <c r="CM278" s="0" t="n">
        <v>6</v>
      </c>
      <c r="CN278" s="0" t="n">
        <v>4</v>
      </c>
      <c r="CO278" s="0" t="n">
        <v>8</v>
      </c>
      <c r="CP278" s="0" t="n">
        <v>5</v>
      </c>
      <c r="CQ278" s="0" t="n">
        <v>8</v>
      </c>
      <c r="CR278" s="0" t="n">
        <v>0</v>
      </c>
      <c r="CS278" s="6" t="n">
        <f aca="false">IF(R278="Y",10,0)</f>
        <v>0</v>
      </c>
      <c r="CT278" s="0" t="n">
        <v>-4</v>
      </c>
      <c r="CU278" s="6" t="s">
        <v>10393</v>
      </c>
      <c r="CV278" s="6" t="s">
        <v>4704</v>
      </c>
      <c r="CW278" s="6" t="s">
        <v>10394</v>
      </c>
      <c r="CX278" s="6" t="s">
        <v>10395</v>
      </c>
      <c r="DA278" s="6" t="s">
        <v>6236</v>
      </c>
      <c r="DY278" s="0" t="str">
        <f aca="false">IF(ISNUMBER(MATCH(U278,{"queued","contacted","replied","call_booked","call_done","yes_in_principle","materials_sent"},0)),"Y","N")</f>
        <v>N</v>
      </c>
      <c r="DZ278" s="0" t="str">
        <f aca="false">IF(COUNTIFS($AN$2:$AN$1000,AN278,$DY$2:$DY$1000,"Y")+COUNTIFS($AN$2:$AN$1000,AN278,$T$2:$T$1000,"Y")&gt;0,"Y","N")</f>
        <v>N</v>
      </c>
      <c r="EA278" s="0" t="str">
        <f aca="false">IF(AND(U278="new",T278="N",AR278="Y",AQ278="",DZ278="N"),"Y","N")</f>
        <v>N</v>
      </c>
      <c r="EB278" s="0" t="str">
        <f aca="false">IF(EA278&lt;&gt;"Y","N",IF(COUNTIFS($AN$2:$AN$1000,AN278,$EA$2:$EA$1000,"Y",$J$2:$J$1000,"&gt;"&amp;J278)+COUNTIFS($AN$2:$AN$1000,AN278,$EA$2:$EA$1000,"Y",$J$2:$J$1000,J278,$ED$2:$ED$1000,"&lt;"&amp;ED278)=0,"Y","N"))</f>
        <v>N</v>
      </c>
      <c r="EC278" s="0" t="str">
        <f aca="false">IF(Y278="","N",IF(Y278&lt;=10,"Y","N"))</f>
        <v>N</v>
      </c>
      <c r="ED278" s="6" t="n">
        <f aca="false">ROW()-1</f>
        <v>277</v>
      </c>
    </row>
    <row r="279" customFormat="false" ht="15" hidden="false" customHeight="false" outlineLevel="0" collapsed="false">
      <c r="A279" s="0" t="s">
        <v>10396</v>
      </c>
      <c r="B279" s="0" t="s">
        <v>10397</v>
      </c>
      <c r="C279" s="0" t="s">
        <v>5210</v>
      </c>
      <c r="D279" s="0" t="s">
        <v>5104</v>
      </c>
      <c r="E279" s="0" t="s">
        <v>10398</v>
      </c>
      <c r="H279" s="5" t="s">
        <v>158</v>
      </c>
      <c r="I279" s="5" t="s">
        <v>159</v>
      </c>
      <c r="J279" s="6" t="n">
        <f aca="false">IF(AU279="pass",CM279+CN279+CO279+CP279+CQ279+CR279+CS279+CT279,0)</f>
        <v>0</v>
      </c>
      <c r="K279" s="6" t="s">
        <v>10399</v>
      </c>
      <c r="M279" s="6" t="s">
        <v>5293</v>
      </c>
      <c r="N279" s="6" t="s">
        <v>598</v>
      </c>
      <c r="O279" s="6" t="s">
        <v>10400</v>
      </c>
      <c r="P279" s="6" t="s">
        <v>10401</v>
      </c>
      <c r="Q279" s="6" t="s">
        <v>8923</v>
      </c>
      <c r="R279" s="5" t="s">
        <v>162</v>
      </c>
      <c r="S279" s="6" t="s">
        <v>168</v>
      </c>
      <c r="T279" s="5" t="s">
        <v>162</v>
      </c>
      <c r="U279" s="5" t="s">
        <v>228</v>
      </c>
      <c r="V279" s="6" t="s">
        <v>10401</v>
      </c>
      <c r="W279" s="6" t="s">
        <v>166</v>
      </c>
      <c r="X279" s="6" t="s">
        <v>4586</v>
      </c>
      <c r="Y279" s="0" t="str">
        <f aca="false">IF(EB279&lt;&gt;"Y","",COUNTIFS($EB$2:$EB$1000,"Y",$J$2:$J$1000,"&gt;"&amp;J279)+COUNTIFS($EB$2:$EB$1000,"Y",$J$2:$J$1000,J279,$ED$2:$ED$1000,"&lt;"&amp;ED279)+1)</f>
        <v/>
      </c>
      <c r="AA279" s="6" t="s">
        <v>162</v>
      </c>
      <c r="AC279" s="6" t="s">
        <v>4588</v>
      </c>
      <c r="AD279" s="6" t="s">
        <v>171</v>
      </c>
      <c r="AE279" s="6" t="s">
        <v>1190</v>
      </c>
      <c r="AF279" s="6" t="s">
        <v>10401</v>
      </c>
      <c r="AG279" s="6" t="s">
        <v>166</v>
      </c>
      <c r="AH279" s="6" t="s">
        <v>10402</v>
      </c>
      <c r="AI279" s="6" t="s">
        <v>5926</v>
      </c>
      <c r="AJ279" s="6" t="s">
        <v>10015</v>
      </c>
      <c r="AK279" s="6" t="s">
        <v>10403</v>
      </c>
      <c r="AL279" s="6" t="s">
        <v>162</v>
      </c>
      <c r="AN279" s="6" t="s">
        <v>10396</v>
      </c>
      <c r="AO279" s="5" t="s">
        <v>162</v>
      </c>
      <c r="AR279" s="0" t="str">
        <f aca="false">IF(AND(AU279="pass",AO279&lt;&gt;"Y",C279&lt;&gt;""),"Y","N")</f>
        <v>N</v>
      </c>
      <c r="AS279" s="0" t="str">
        <f aca="false">_xlfn.TEXTJOIN("; ",TRUE(),IF(AU279&lt;&gt;"pass","gated out",""),IF(AO279="Y","on hold: "&amp;AP279,""),IF(C279="","no contact named on an opened page",""))</f>
        <v>gated out</v>
      </c>
      <c r="AU279" s="6" t="s">
        <v>3704</v>
      </c>
      <c r="AV279" s="6" t="s">
        <v>10404</v>
      </c>
      <c r="AW279" s="6" t="s">
        <v>10405</v>
      </c>
      <c r="AY279" s="6" t="s">
        <v>10403</v>
      </c>
      <c r="AZ279" s="6" t="s">
        <v>4596</v>
      </c>
      <c r="BA279" s="6" t="s">
        <v>4597</v>
      </c>
      <c r="BB279" s="6" t="s">
        <v>163</v>
      </c>
      <c r="BD279" s="6" t="s">
        <v>168</v>
      </c>
      <c r="BE279" s="6" t="s">
        <v>10406</v>
      </c>
      <c r="BF279" s="6" t="s">
        <v>168</v>
      </c>
      <c r="BG279" s="6" t="s">
        <v>168</v>
      </c>
      <c r="BH279" s="6" t="s">
        <v>10407</v>
      </c>
      <c r="BI279" s="6" t="s">
        <v>6459</v>
      </c>
      <c r="BJ279" s="6" t="s">
        <v>10408</v>
      </c>
      <c r="BK279" s="6" t="s">
        <v>162</v>
      </c>
      <c r="BL279" s="6" t="s">
        <v>168</v>
      </c>
      <c r="BM279" s="6" t="s">
        <v>10409</v>
      </c>
      <c r="BO279" s="6" t="s">
        <v>162</v>
      </c>
      <c r="BP279" s="0" t="n">
        <v>0</v>
      </c>
      <c r="BS279" s="6" t="s">
        <v>10410</v>
      </c>
      <c r="BU279" s="6" t="s">
        <v>4605</v>
      </c>
      <c r="BV279" s="0" t="n">
        <v>344</v>
      </c>
      <c r="BW279" s="6" t="s">
        <v>10401</v>
      </c>
      <c r="BX279" s="6" t="s">
        <v>10411</v>
      </c>
      <c r="CF279" s="6" t="s">
        <v>158</v>
      </c>
      <c r="CK279" s="6" t="s">
        <v>158</v>
      </c>
      <c r="CL279" s="0" t="n">
        <v>52</v>
      </c>
      <c r="CM279" s="0" t="n">
        <v>6</v>
      </c>
      <c r="CN279" s="0" t="n">
        <v>20</v>
      </c>
      <c r="CO279" s="0" t="n">
        <v>8</v>
      </c>
      <c r="CP279" s="0" t="n">
        <v>2</v>
      </c>
      <c r="CQ279" s="0" t="n">
        <v>10</v>
      </c>
      <c r="CR279" s="0" t="n">
        <v>6</v>
      </c>
      <c r="CS279" s="6" t="n">
        <f aca="false">IF(R279="Y",10,0)</f>
        <v>0</v>
      </c>
      <c r="CT279" s="0" t="n">
        <v>0</v>
      </c>
      <c r="CV279" s="6" t="s">
        <v>4616</v>
      </c>
      <c r="CW279" s="6" t="s">
        <v>10412</v>
      </c>
      <c r="CX279" s="6" t="s">
        <v>10023</v>
      </c>
      <c r="DA279" s="6" t="s">
        <v>6236</v>
      </c>
      <c r="DY279" s="0" t="str">
        <f aca="false">IF(ISNUMBER(MATCH(U279,{"queued","contacted","replied","call_booked","call_done","yes_in_principle","materials_sent"},0)),"Y","N")</f>
        <v>N</v>
      </c>
      <c r="DZ279" s="0" t="str">
        <f aca="false">IF(COUNTIFS($AN$2:$AN$1000,AN279,$DY$2:$DY$1000,"Y")+COUNTIFS($AN$2:$AN$1000,AN279,$T$2:$T$1000,"Y")&gt;0,"Y","N")</f>
        <v>N</v>
      </c>
      <c r="EA279" s="0" t="str">
        <f aca="false">IF(AND(U279="new",T279="N",AR279="Y",AQ279="",DZ279="N"),"Y","N")</f>
        <v>N</v>
      </c>
      <c r="EB279" s="0" t="str">
        <f aca="false">IF(EA279&lt;&gt;"Y","N",IF(COUNTIFS($AN$2:$AN$1000,AN279,$EA$2:$EA$1000,"Y",$J$2:$J$1000,"&gt;"&amp;J279)+COUNTIFS($AN$2:$AN$1000,AN279,$EA$2:$EA$1000,"Y",$J$2:$J$1000,J279,$ED$2:$ED$1000,"&lt;"&amp;ED279)=0,"Y","N"))</f>
        <v>N</v>
      </c>
      <c r="EC279" s="0" t="str">
        <f aca="false">IF(Y279="","N",IF(Y279&lt;=10,"Y","N"))</f>
        <v>N</v>
      </c>
      <c r="ED279" s="6" t="n">
        <f aca="false">ROW()-1</f>
        <v>278</v>
      </c>
    </row>
    <row r="280" customFormat="false" ht="15" hidden="false" customHeight="false" outlineLevel="0" collapsed="false">
      <c r="A280" s="0" t="s">
        <v>10413</v>
      </c>
      <c r="B280" s="0" t="s">
        <v>10414</v>
      </c>
      <c r="H280" s="5" t="s">
        <v>158</v>
      </c>
      <c r="I280" s="5"/>
      <c r="J280" s="6" t="n">
        <f aca="false">IF(AU280="pass",CM280+CN280+CO280+CP280+CQ280+CR280+CS280+CT280,0)</f>
        <v>0</v>
      </c>
      <c r="K280" s="6" t="s">
        <v>10054</v>
      </c>
      <c r="M280" s="6" t="s">
        <v>5293</v>
      </c>
      <c r="N280" s="6" t="s">
        <v>598</v>
      </c>
      <c r="O280" s="6" t="s">
        <v>9453</v>
      </c>
      <c r="P280" s="6" t="s">
        <v>10415</v>
      </c>
      <c r="Q280" s="6" t="s">
        <v>7155</v>
      </c>
      <c r="R280" s="5" t="s">
        <v>162</v>
      </c>
      <c r="S280" s="6" t="s">
        <v>163</v>
      </c>
      <c r="T280" s="5" t="s">
        <v>162</v>
      </c>
      <c r="U280" s="5" t="s">
        <v>228</v>
      </c>
      <c r="V280" s="6" t="s">
        <v>10415</v>
      </c>
      <c r="W280" s="6" t="s">
        <v>166</v>
      </c>
      <c r="X280" s="6" t="s">
        <v>4586</v>
      </c>
      <c r="Y280" s="0" t="str">
        <f aca="false">IF(EB280&lt;&gt;"Y","",COUNTIFS($EB$2:$EB$1000,"Y",$J$2:$J$1000,"&gt;"&amp;J280)+COUNTIFS($EB$2:$EB$1000,"Y",$J$2:$J$1000,J280,$ED$2:$ED$1000,"&lt;"&amp;ED280)+1)</f>
        <v/>
      </c>
      <c r="AA280" s="6" t="s">
        <v>162</v>
      </c>
      <c r="AD280" s="6" t="s">
        <v>158</v>
      </c>
      <c r="AH280" s="6" t="s">
        <v>10416</v>
      </c>
      <c r="AI280" s="6" t="s">
        <v>4591</v>
      </c>
      <c r="AJ280" s="6" t="s">
        <v>163</v>
      </c>
      <c r="AK280" s="6" t="s">
        <v>163</v>
      </c>
      <c r="AL280" s="6" t="s">
        <v>168</v>
      </c>
      <c r="AM280" s="6" t="s">
        <v>10417</v>
      </c>
      <c r="AN280" s="6" t="s">
        <v>10413</v>
      </c>
      <c r="AO280" s="5" t="s">
        <v>162</v>
      </c>
      <c r="AR280" s="0" t="str">
        <f aca="false">IF(AND(AU280="pass",AO280&lt;&gt;"Y",C280&lt;&gt;""),"Y","N")</f>
        <v>N</v>
      </c>
      <c r="AS280" s="0" t="str">
        <f aca="false">_xlfn.TEXTJOIN("; ",TRUE(),IF(AU280&lt;&gt;"pass","gated out",""),IF(AO280="Y","on hold: "&amp;AP280,""),IF(C280="","no contact named on an opened page",""))</f>
        <v>gated out; no contact named on an opened page</v>
      </c>
      <c r="AU280" s="6" t="s">
        <v>3704</v>
      </c>
      <c r="AV280" s="6" t="s">
        <v>10058</v>
      </c>
      <c r="AW280" s="6" t="s">
        <v>10059</v>
      </c>
      <c r="AX280" s="6" t="s">
        <v>4595</v>
      </c>
      <c r="AY280" s="6" t="s">
        <v>10418</v>
      </c>
      <c r="AZ280" s="6" t="s">
        <v>163</v>
      </c>
      <c r="BA280" s="6" t="s">
        <v>163</v>
      </c>
      <c r="BB280" s="6" t="s">
        <v>163</v>
      </c>
      <c r="BD280" s="6" t="s">
        <v>163</v>
      </c>
      <c r="BE280" s="6" t="s">
        <v>10419</v>
      </c>
      <c r="BF280" s="6" t="s">
        <v>163</v>
      </c>
      <c r="BG280" s="6" t="s">
        <v>163</v>
      </c>
      <c r="BH280" s="6" t="s">
        <v>163</v>
      </c>
      <c r="BJ280" s="6" t="s">
        <v>5551</v>
      </c>
      <c r="BK280" s="6" t="s">
        <v>162</v>
      </c>
      <c r="BL280" s="6" t="s">
        <v>162</v>
      </c>
      <c r="BO280" s="6" t="s">
        <v>162</v>
      </c>
      <c r="BP280" s="0" t="n">
        <v>0</v>
      </c>
      <c r="BR280" s="6" t="s">
        <v>8091</v>
      </c>
      <c r="BS280" s="6" t="s">
        <v>8351</v>
      </c>
      <c r="BT280" s="6" t="s">
        <v>10415</v>
      </c>
      <c r="BU280" s="6" t="s">
        <v>4695</v>
      </c>
      <c r="BV280" s="0" t="n">
        <v>115</v>
      </c>
      <c r="CF280" s="6" t="s">
        <v>158</v>
      </c>
      <c r="CK280" s="6" t="s">
        <v>158</v>
      </c>
      <c r="CL280" s="0" t="n">
        <v>16</v>
      </c>
      <c r="CM280" s="0" t="n">
        <v>0</v>
      </c>
      <c r="CN280" s="0" t="n">
        <v>4</v>
      </c>
      <c r="CO280" s="0" t="n">
        <v>8</v>
      </c>
      <c r="CP280" s="0" t="n">
        <v>5</v>
      </c>
      <c r="CQ280" s="0" t="n">
        <v>3</v>
      </c>
      <c r="CR280" s="0" t="n">
        <v>0</v>
      </c>
      <c r="CS280" s="6" t="n">
        <f aca="false">IF(R280="Y",10,0)</f>
        <v>0</v>
      </c>
      <c r="CT280" s="0" t="n">
        <v>-4</v>
      </c>
      <c r="CU280" s="6" t="s">
        <v>163</v>
      </c>
      <c r="CV280" s="6" t="s">
        <v>5564</v>
      </c>
      <c r="CW280" s="6" t="s">
        <v>10420</v>
      </c>
      <c r="CX280" s="6" t="s">
        <v>10421</v>
      </c>
      <c r="DA280" s="6" t="s">
        <v>6236</v>
      </c>
      <c r="DY280" s="0" t="str">
        <f aca="false">IF(ISNUMBER(MATCH(U280,{"queued","contacted","replied","call_booked","call_done","yes_in_principle","materials_sent"},0)),"Y","N")</f>
        <v>N</v>
      </c>
      <c r="DZ280" s="0" t="str">
        <f aca="false">IF(COUNTIFS($AN$2:$AN$1000,AN280,$DY$2:$DY$1000,"Y")+COUNTIFS($AN$2:$AN$1000,AN280,$T$2:$T$1000,"Y")&gt;0,"Y","N")</f>
        <v>N</v>
      </c>
      <c r="EA280" s="0" t="str">
        <f aca="false">IF(AND(U280="new",T280="N",AR280="Y",AQ280="",DZ280="N"),"Y","N")</f>
        <v>N</v>
      </c>
      <c r="EB280" s="0" t="str">
        <f aca="false">IF(EA280&lt;&gt;"Y","N",IF(COUNTIFS($AN$2:$AN$1000,AN280,$EA$2:$EA$1000,"Y",$J$2:$J$1000,"&gt;"&amp;J280)+COUNTIFS($AN$2:$AN$1000,AN280,$EA$2:$EA$1000,"Y",$J$2:$J$1000,J280,$ED$2:$ED$1000,"&lt;"&amp;ED280)=0,"Y","N"))</f>
        <v>N</v>
      </c>
      <c r="EC280" s="0" t="str">
        <f aca="false">IF(Y280="","N",IF(Y280&lt;=10,"Y","N"))</f>
        <v>N</v>
      </c>
      <c r="ED280" s="6" t="n">
        <f aca="false">ROW()-1</f>
        <v>279</v>
      </c>
    </row>
    <row r="281" customFormat="false" ht="15" hidden="false" customHeight="false" outlineLevel="0" collapsed="false">
      <c r="A281" s="0" t="s">
        <v>10422</v>
      </c>
      <c r="B281" s="0" t="s">
        <v>10423</v>
      </c>
      <c r="H281" s="5" t="s">
        <v>158</v>
      </c>
      <c r="I281" s="5"/>
      <c r="J281" s="6" t="n">
        <f aca="false">IF(AU281="pass",CM281+CN281+CO281+CP281+CQ281+CR281+CS281+CT281,0)</f>
        <v>0</v>
      </c>
      <c r="K281" s="6" t="s">
        <v>10424</v>
      </c>
      <c r="M281" s="6" t="s">
        <v>4581</v>
      </c>
      <c r="N281" s="6" t="s">
        <v>598</v>
      </c>
      <c r="O281" s="6" t="s">
        <v>10425</v>
      </c>
      <c r="P281" s="6" t="s">
        <v>10426</v>
      </c>
      <c r="Q281" s="6" t="s">
        <v>10427</v>
      </c>
      <c r="R281" s="5" t="s">
        <v>162</v>
      </c>
      <c r="S281" s="6" t="s">
        <v>163</v>
      </c>
      <c r="T281" s="5" t="s">
        <v>162</v>
      </c>
      <c r="U281" s="5" t="s">
        <v>228</v>
      </c>
      <c r="V281" s="6" t="s">
        <v>10428</v>
      </c>
      <c r="W281" s="6" t="s">
        <v>166</v>
      </c>
      <c r="X281" s="6" t="s">
        <v>4586</v>
      </c>
      <c r="Y281" s="0" t="str">
        <f aca="false">IF(EB281&lt;&gt;"Y","",COUNTIFS($EB$2:$EB$1000,"Y",$J$2:$J$1000,"&gt;"&amp;J281)+COUNTIFS($EB$2:$EB$1000,"Y",$J$2:$J$1000,J281,$ED$2:$ED$1000,"&lt;"&amp;ED281)+1)</f>
        <v/>
      </c>
      <c r="AA281" s="6" t="s">
        <v>162</v>
      </c>
      <c r="AD281" s="6" t="s">
        <v>158</v>
      </c>
      <c r="AH281" s="6" t="s">
        <v>10429</v>
      </c>
      <c r="AI281" s="6" t="s">
        <v>4828</v>
      </c>
      <c r="AJ281" s="6" t="s">
        <v>163</v>
      </c>
      <c r="AK281" s="6" t="s">
        <v>10430</v>
      </c>
      <c r="AL281" s="6" t="s">
        <v>168</v>
      </c>
      <c r="AM281" s="6" t="s">
        <v>10431</v>
      </c>
      <c r="AN281" s="6" t="s">
        <v>10422</v>
      </c>
      <c r="AO281" s="5" t="s">
        <v>162</v>
      </c>
      <c r="AR281" s="0" t="str">
        <f aca="false">IF(AND(AU281="pass",AO281&lt;&gt;"Y",C281&lt;&gt;""),"Y","N")</f>
        <v>N</v>
      </c>
      <c r="AS281" s="0" t="str">
        <f aca="false">_xlfn.TEXTJOIN("; ",TRUE(),IF(AU281&lt;&gt;"pass","gated out",""),IF(AO281="Y","on hold: "&amp;AP281,""),IF(C281="","no contact named on an opened page",""))</f>
        <v>gated out; no contact named on an opened page</v>
      </c>
      <c r="AU281" s="6" t="s">
        <v>3704</v>
      </c>
      <c r="AV281" s="6" t="s">
        <v>9764</v>
      </c>
      <c r="AW281" s="6" t="s">
        <v>10432</v>
      </c>
      <c r="AX281" s="6" t="s">
        <v>4595</v>
      </c>
      <c r="AY281" s="6" t="s">
        <v>10430</v>
      </c>
      <c r="AZ281" s="6" t="s">
        <v>163</v>
      </c>
      <c r="BA281" s="6" t="s">
        <v>163</v>
      </c>
      <c r="BB281" s="6" t="s">
        <v>163</v>
      </c>
      <c r="BD281" s="6" t="s">
        <v>168</v>
      </c>
      <c r="BE281" s="6" t="s">
        <v>10433</v>
      </c>
      <c r="BF281" s="6" t="s">
        <v>162</v>
      </c>
      <c r="BG281" s="6" t="s">
        <v>168</v>
      </c>
      <c r="BH281" s="6" t="s">
        <v>163</v>
      </c>
      <c r="BJ281" s="6" t="s">
        <v>163</v>
      </c>
      <c r="BK281" s="6" t="s">
        <v>168</v>
      </c>
      <c r="BL281" s="6" t="s">
        <v>168</v>
      </c>
      <c r="BM281" s="6" t="s">
        <v>10434</v>
      </c>
      <c r="BN281" s="0" t="n">
        <v>0</v>
      </c>
      <c r="BO281" s="6" t="s">
        <v>168</v>
      </c>
      <c r="BP281" s="0" t="n">
        <v>0</v>
      </c>
      <c r="BQ281" s="6" t="s">
        <v>9622</v>
      </c>
      <c r="BS281" s="6" t="s">
        <v>5062</v>
      </c>
      <c r="BT281" s="6" t="s">
        <v>10435</v>
      </c>
      <c r="BU281" s="6" t="s">
        <v>4695</v>
      </c>
      <c r="BV281" s="0" t="n">
        <v>85</v>
      </c>
      <c r="CF281" s="6" t="s">
        <v>158</v>
      </c>
      <c r="CK281" s="6" t="s">
        <v>158</v>
      </c>
      <c r="CL281" s="0" t="n">
        <v>26</v>
      </c>
      <c r="CM281" s="0" t="n">
        <v>6</v>
      </c>
      <c r="CN281" s="0" t="n">
        <v>4</v>
      </c>
      <c r="CO281" s="0" t="n">
        <v>8</v>
      </c>
      <c r="CP281" s="0" t="n">
        <v>5</v>
      </c>
      <c r="CQ281" s="0" t="n">
        <v>7</v>
      </c>
      <c r="CR281" s="0" t="n">
        <v>0</v>
      </c>
      <c r="CS281" s="6" t="n">
        <f aca="false">IF(R281="Y",10,0)</f>
        <v>0</v>
      </c>
      <c r="CT281" s="0" t="n">
        <v>-4</v>
      </c>
      <c r="CU281" s="6" t="s">
        <v>10436</v>
      </c>
      <c r="CV281" s="6" t="s">
        <v>4843</v>
      </c>
      <c r="CW281" s="6" t="s">
        <v>10437</v>
      </c>
      <c r="CX281" s="6" t="s">
        <v>10438</v>
      </c>
      <c r="DA281" s="6" t="s">
        <v>6236</v>
      </c>
      <c r="DY281" s="0" t="str">
        <f aca="false">IF(ISNUMBER(MATCH(U281,{"queued","contacted","replied","call_booked","call_done","yes_in_principle","materials_sent"},0)),"Y","N")</f>
        <v>N</v>
      </c>
      <c r="DZ281" s="0" t="str">
        <f aca="false">IF(COUNTIFS($AN$2:$AN$1000,AN281,$DY$2:$DY$1000,"Y")+COUNTIFS($AN$2:$AN$1000,AN281,$T$2:$T$1000,"Y")&gt;0,"Y","N")</f>
        <v>N</v>
      </c>
      <c r="EA281" s="0" t="str">
        <f aca="false">IF(AND(U281="new",T281="N",AR281="Y",AQ281="",DZ281="N"),"Y","N")</f>
        <v>N</v>
      </c>
      <c r="EB281" s="0" t="str">
        <f aca="false">IF(EA281&lt;&gt;"Y","N",IF(COUNTIFS($AN$2:$AN$1000,AN281,$EA$2:$EA$1000,"Y",$J$2:$J$1000,"&gt;"&amp;J281)+COUNTIFS($AN$2:$AN$1000,AN281,$EA$2:$EA$1000,"Y",$J$2:$J$1000,J281,$ED$2:$ED$1000,"&lt;"&amp;ED281)=0,"Y","N"))</f>
        <v>N</v>
      </c>
      <c r="EC281" s="0" t="str">
        <f aca="false">IF(Y281="","N",IF(Y281&lt;=10,"Y","N"))</f>
        <v>N</v>
      </c>
      <c r="ED281" s="6" t="n">
        <f aca="false">ROW()-1</f>
        <v>280</v>
      </c>
    </row>
    <row r="282" customFormat="false" ht="15" hidden="false" customHeight="false" outlineLevel="0" collapsed="false">
      <c r="A282" s="0" t="s">
        <v>10439</v>
      </c>
      <c r="B282" s="0" t="s">
        <v>10440</v>
      </c>
      <c r="C282" s="0" t="s">
        <v>10441</v>
      </c>
      <c r="D282" s="0" t="s">
        <v>10442</v>
      </c>
      <c r="E282" s="0" t="s">
        <v>4773</v>
      </c>
      <c r="H282" s="5" t="s">
        <v>158</v>
      </c>
      <c r="I282" s="5" t="s">
        <v>159</v>
      </c>
      <c r="J282" s="6" t="n">
        <f aca="false">IF(AU282="pass",CM282+CN282+CO282+CP282+CQ282+CR282+CS282+CT282,0)</f>
        <v>0</v>
      </c>
      <c r="K282" s="6" t="s">
        <v>10443</v>
      </c>
      <c r="M282" s="6" t="s">
        <v>5293</v>
      </c>
      <c r="N282" s="6" t="s">
        <v>598</v>
      </c>
      <c r="O282" s="6" t="s">
        <v>10444</v>
      </c>
      <c r="P282" s="6" t="s">
        <v>10445</v>
      </c>
      <c r="Q282" s="6" t="s">
        <v>10446</v>
      </c>
      <c r="R282" s="5" t="s">
        <v>162</v>
      </c>
      <c r="S282" s="6" t="s">
        <v>168</v>
      </c>
      <c r="T282" s="5" t="s">
        <v>162</v>
      </c>
      <c r="U282" s="5" t="s">
        <v>228</v>
      </c>
      <c r="V282" s="6" t="s">
        <v>10445</v>
      </c>
      <c r="W282" s="6" t="s">
        <v>166</v>
      </c>
      <c r="X282" s="6" t="s">
        <v>4586</v>
      </c>
      <c r="Y282" s="0" t="str">
        <f aca="false">IF(EB282&lt;&gt;"Y","",COUNTIFS($EB$2:$EB$1000,"Y",$J$2:$J$1000,"&gt;"&amp;J282)+COUNTIFS($EB$2:$EB$1000,"Y",$J$2:$J$1000,J282,$ED$2:$ED$1000,"&lt;"&amp;ED282)+1)</f>
        <v/>
      </c>
      <c r="AA282" s="6" t="s">
        <v>162</v>
      </c>
      <c r="AC282" s="6" t="s">
        <v>4588</v>
      </c>
      <c r="AD282" s="6" t="s">
        <v>171</v>
      </c>
      <c r="AE282" s="6" t="s">
        <v>1190</v>
      </c>
      <c r="AF282" s="6" t="s">
        <v>10445</v>
      </c>
      <c r="AG282" s="6" t="s">
        <v>166</v>
      </c>
      <c r="AH282" s="6" t="s">
        <v>10447</v>
      </c>
      <c r="AI282" s="6" t="s">
        <v>5926</v>
      </c>
      <c r="AJ282" s="6" t="s">
        <v>10015</v>
      </c>
      <c r="AK282" s="6" t="s">
        <v>10448</v>
      </c>
      <c r="AL282" s="6" t="s">
        <v>162</v>
      </c>
      <c r="AN282" s="6" t="s">
        <v>10439</v>
      </c>
      <c r="AO282" s="5" t="s">
        <v>162</v>
      </c>
      <c r="AR282" s="0" t="str">
        <f aca="false">IF(AND(AU282="pass",AO282&lt;&gt;"Y",C282&lt;&gt;""),"Y","N")</f>
        <v>N</v>
      </c>
      <c r="AS282" s="0" t="str">
        <f aca="false">_xlfn.TEXTJOIN("; ",TRUE(),IF(AU282&lt;&gt;"pass","gated out",""),IF(AO282="Y","on hold: "&amp;AP282,""),IF(C282="","no contact named on an opened page",""))</f>
        <v>gated out</v>
      </c>
      <c r="AU282" s="6" t="s">
        <v>3704</v>
      </c>
      <c r="AV282" s="6" t="s">
        <v>9922</v>
      </c>
      <c r="AW282" s="6" t="s">
        <v>10449</v>
      </c>
      <c r="AY282" s="6" t="s">
        <v>10448</v>
      </c>
      <c r="AZ282" s="6" t="s">
        <v>4596</v>
      </c>
      <c r="BA282" s="6" t="s">
        <v>4597</v>
      </c>
      <c r="BB282" s="6" t="s">
        <v>163</v>
      </c>
      <c r="BD282" s="6" t="s">
        <v>168</v>
      </c>
      <c r="BE282" s="6" t="s">
        <v>10450</v>
      </c>
      <c r="BF282" s="6" t="s">
        <v>162</v>
      </c>
      <c r="BG282" s="6" t="s">
        <v>168</v>
      </c>
      <c r="BH282" s="6" t="s">
        <v>163</v>
      </c>
      <c r="BJ282" s="6" t="s">
        <v>10451</v>
      </c>
      <c r="BK282" s="6" t="s">
        <v>162</v>
      </c>
      <c r="BL282" s="6" t="s">
        <v>168</v>
      </c>
      <c r="BM282" s="6" t="s">
        <v>10452</v>
      </c>
      <c r="BO282" s="6" t="s">
        <v>162</v>
      </c>
      <c r="BP282" s="0" t="n">
        <v>0</v>
      </c>
      <c r="BS282" s="6" t="s">
        <v>10453</v>
      </c>
      <c r="BU282" s="6" t="s">
        <v>4605</v>
      </c>
      <c r="BV282" s="0" t="n">
        <v>352</v>
      </c>
      <c r="BW282" s="6" t="s">
        <v>10445</v>
      </c>
      <c r="BX282" s="6" t="s">
        <v>10454</v>
      </c>
      <c r="CF282" s="6" t="s">
        <v>158</v>
      </c>
      <c r="CK282" s="6" t="s">
        <v>158</v>
      </c>
      <c r="CL282" s="0" t="n">
        <v>52</v>
      </c>
      <c r="CM282" s="0" t="n">
        <v>6</v>
      </c>
      <c r="CN282" s="0" t="n">
        <v>20</v>
      </c>
      <c r="CO282" s="0" t="n">
        <v>8</v>
      </c>
      <c r="CP282" s="0" t="n">
        <v>5</v>
      </c>
      <c r="CQ282" s="0" t="n">
        <v>7</v>
      </c>
      <c r="CR282" s="0" t="n">
        <v>6</v>
      </c>
      <c r="CS282" s="6" t="n">
        <f aca="false">IF(R282="Y",10,0)</f>
        <v>0</v>
      </c>
      <c r="CT282" s="0" t="n">
        <v>0</v>
      </c>
      <c r="CV282" s="6" t="s">
        <v>4616</v>
      </c>
      <c r="CW282" s="6" t="s">
        <v>10455</v>
      </c>
      <c r="CX282" s="6" t="s">
        <v>10456</v>
      </c>
      <c r="DA282" s="6" t="s">
        <v>6236</v>
      </c>
      <c r="DY282" s="0" t="str">
        <f aca="false">IF(ISNUMBER(MATCH(U282,{"queued","contacted","replied","call_booked","call_done","yes_in_principle","materials_sent"},0)),"Y","N")</f>
        <v>N</v>
      </c>
      <c r="DZ282" s="0" t="str">
        <f aca="false">IF(COUNTIFS($AN$2:$AN$1000,AN282,$DY$2:$DY$1000,"Y")+COUNTIFS($AN$2:$AN$1000,AN282,$T$2:$T$1000,"Y")&gt;0,"Y","N")</f>
        <v>N</v>
      </c>
      <c r="EA282" s="0" t="str">
        <f aca="false">IF(AND(U282="new",T282="N",AR282="Y",AQ282="",DZ282="N"),"Y","N")</f>
        <v>N</v>
      </c>
      <c r="EB282" s="0" t="str">
        <f aca="false">IF(EA282&lt;&gt;"Y","N",IF(COUNTIFS($AN$2:$AN$1000,AN282,$EA$2:$EA$1000,"Y",$J$2:$J$1000,"&gt;"&amp;J282)+COUNTIFS($AN$2:$AN$1000,AN282,$EA$2:$EA$1000,"Y",$J$2:$J$1000,J282,$ED$2:$ED$1000,"&lt;"&amp;ED282)=0,"Y","N"))</f>
        <v>N</v>
      </c>
      <c r="EC282" s="0" t="str">
        <f aca="false">IF(Y282="","N",IF(Y282&lt;=10,"Y","N"))</f>
        <v>N</v>
      </c>
      <c r="ED282" s="6" t="n">
        <f aca="false">ROW()-1</f>
        <v>281</v>
      </c>
    </row>
    <row r="283" customFormat="false" ht="15" hidden="false" customHeight="false" outlineLevel="0" collapsed="false">
      <c r="A283" s="0" t="s">
        <v>10457</v>
      </c>
      <c r="B283" s="0" t="s">
        <v>10458</v>
      </c>
      <c r="C283" s="0" t="s">
        <v>10459</v>
      </c>
      <c r="D283" s="0" t="s">
        <v>10460</v>
      </c>
      <c r="E283" s="0" t="s">
        <v>4626</v>
      </c>
      <c r="H283" s="5" t="s">
        <v>158</v>
      </c>
      <c r="I283" s="5" t="s">
        <v>159</v>
      </c>
      <c r="J283" s="6" t="n">
        <f aca="false">IF(AU283="pass",CM283+CN283+CO283+CP283+CQ283+CR283+CS283+CT283,0)</f>
        <v>0</v>
      </c>
      <c r="K283" s="6" t="s">
        <v>10461</v>
      </c>
      <c r="M283" s="6" t="s">
        <v>5293</v>
      </c>
      <c r="N283" s="6" t="s">
        <v>598</v>
      </c>
      <c r="O283" s="6" t="s">
        <v>10462</v>
      </c>
      <c r="P283" s="6" t="s">
        <v>10463</v>
      </c>
      <c r="Q283" s="6" t="s">
        <v>9168</v>
      </c>
      <c r="R283" s="5" t="s">
        <v>162</v>
      </c>
      <c r="S283" s="6" t="s">
        <v>168</v>
      </c>
      <c r="T283" s="5" t="s">
        <v>162</v>
      </c>
      <c r="U283" s="5" t="s">
        <v>228</v>
      </c>
      <c r="V283" s="6" t="s">
        <v>10463</v>
      </c>
      <c r="W283" s="6" t="s">
        <v>166</v>
      </c>
      <c r="X283" s="6" t="s">
        <v>4586</v>
      </c>
      <c r="Y283" s="0" t="str">
        <f aca="false">IF(EB283&lt;&gt;"Y","",COUNTIFS($EB$2:$EB$1000,"Y",$J$2:$J$1000,"&gt;"&amp;J283)+COUNTIFS($EB$2:$EB$1000,"Y",$J$2:$J$1000,J283,$ED$2:$ED$1000,"&lt;"&amp;ED283)+1)</f>
        <v/>
      </c>
      <c r="AA283" s="6" t="s">
        <v>162</v>
      </c>
      <c r="AC283" s="6" t="s">
        <v>4588</v>
      </c>
      <c r="AD283" s="6" t="s">
        <v>171</v>
      </c>
      <c r="AE283" s="6" t="s">
        <v>1190</v>
      </c>
      <c r="AF283" s="6" t="s">
        <v>10463</v>
      </c>
      <c r="AG283" s="6" t="s">
        <v>166</v>
      </c>
      <c r="AH283" s="6" t="s">
        <v>10464</v>
      </c>
      <c r="AI283" s="6" t="s">
        <v>5926</v>
      </c>
      <c r="AJ283" s="6" t="s">
        <v>10465</v>
      </c>
      <c r="AL283" s="6" t="s">
        <v>168</v>
      </c>
      <c r="AM283" s="6" t="s">
        <v>4691</v>
      </c>
      <c r="AN283" s="6" t="s">
        <v>10457</v>
      </c>
      <c r="AO283" s="5" t="s">
        <v>162</v>
      </c>
      <c r="AR283" s="0" t="str">
        <f aca="false">IF(AND(AU283="pass",AO283&lt;&gt;"Y",C283&lt;&gt;""),"Y","N")</f>
        <v>N</v>
      </c>
      <c r="AS283" s="0" t="str">
        <f aca="false">_xlfn.TEXTJOIN("; ",TRUE(),IF(AU283&lt;&gt;"pass","gated out",""),IF(AO283="Y","on hold: "&amp;AP283,""),IF(C283="","no contact named on an opened page",""))</f>
        <v>gated out</v>
      </c>
      <c r="AU283" s="6" t="s">
        <v>3704</v>
      </c>
      <c r="AV283" s="6" t="s">
        <v>10090</v>
      </c>
      <c r="AW283" s="6" t="s">
        <v>10466</v>
      </c>
      <c r="AY283" s="6" t="s">
        <v>10467</v>
      </c>
      <c r="AZ283" s="6" t="s">
        <v>4596</v>
      </c>
      <c r="BA283" s="6" t="s">
        <v>4597</v>
      </c>
      <c r="BB283" s="6" t="s">
        <v>163</v>
      </c>
      <c r="BD283" s="6" t="s">
        <v>163</v>
      </c>
      <c r="BF283" s="6" t="s">
        <v>163</v>
      </c>
      <c r="BG283" s="6" t="s">
        <v>163</v>
      </c>
      <c r="BH283" s="6" t="s">
        <v>163</v>
      </c>
      <c r="BJ283" s="6" t="s">
        <v>163</v>
      </c>
      <c r="BK283" s="6" t="s">
        <v>162</v>
      </c>
      <c r="BL283" s="6" t="s">
        <v>168</v>
      </c>
      <c r="BM283" s="6" t="s">
        <v>10468</v>
      </c>
      <c r="BO283" s="6" t="s">
        <v>162</v>
      </c>
      <c r="BP283" s="0" t="n">
        <v>0</v>
      </c>
      <c r="BU283" s="6" t="s">
        <v>4605</v>
      </c>
      <c r="BV283" s="0" t="n">
        <v>359</v>
      </c>
      <c r="BW283" s="6" t="s">
        <v>10463</v>
      </c>
      <c r="BX283" s="6" t="s">
        <v>10469</v>
      </c>
      <c r="CF283" s="6" t="s">
        <v>158</v>
      </c>
      <c r="CK283" s="6" t="s">
        <v>158</v>
      </c>
      <c r="CL283" s="0" t="n">
        <v>42</v>
      </c>
      <c r="CM283" s="0" t="n">
        <v>0</v>
      </c>
      <c r="CN283" s="0" t="n">
        <v>20</v>
      </c>
      <c r="CO283" s="0" t="n">
        <v>8</v>
      </c>
      <c r="CP283" s="0" t="n">
        <v>5</v>
      </c>
      <c r="CQ283" s="0" t="n">
        <v>3</v>
      </c>
      <c r="CR283" s="0" t="n">
        <v>6</v>
      </c>
      <c r="CS283" s="6" t="n">
        <f aca="false">IF(R283="Y",10,0)</f>
        <v>0</v>
      </c>
      <c r="CT283" s="0" t="n">
        <v>0</v>
      </c>
      <c r="CV283" s="6" t="s">
        <v>4616</v>
      </c>
      <c r="CW283" s="6" t="s">
        <v>10470</v>
      </c>
      <c r="CX283" s="6" t="s">
        <v>10023</v>
      </c>
      <c r="DA283" s="6" t="s">
        <v>6236</v>
      </c>
      <c r="DY283" s="0" t="str">
        <f aca="false">IF(ISNUMBER(MATCH(U283,{"queued","contacted","replied","call_booked","call_done","yes_in_principle","materials_sent"},0)),"Y","N")</f>
        <v>N</v>
      </c>
      <c r="DZ283" s="0" t="str">
        <f aca="false">IF(COUNTIFS($AN$2:$AN$1000,AN283,$DY$2:$DY$1000,"Y")+COUNTIFS($AN$2:$AN$1000,AN283,$T$2:$T$1000,"Y")&gt;0,"Y","N")</f>
        <v>N</v>
      </c>
      <c r="EA283" s="0" t="str">
        <f aca="false">IF(AND(U283="new",T283="N",AR283="Y",AQ283="",DZ283="N"),"Y","N")</f>
        <v>N</v>
      </c>
      <c r="EB283" s="0" t="str">
        <f aca="false">IF(EA283&lt;&gt;"Y","N",IF(COUNTIFS($AN$2:$AN$1000,AN283,$EA$2:$EA$1000,"Y",$J$2:$J$1000,"&gt;"&amp;J283)+COUNTIFS($AN$2:$AN$1000,AN283,$EA$2:$EA$1000,"Y",$J$2:$J$1000,J283,$ED$2:$ED$1000,"&lt;"&amp;ED283)=0,"Y","N"))</f>
        <v>N</v>
      </c>
      <c r="EC283" s="0" t="str">
        <f aca="false">IF(Y283="","N",IF(Y283&lt;=10,"Y","N"))</f>
        <v>N</v>
      </c>
      <c r="ED283" s="6" t="n">
        <f aca="false">ROW()-1</f>
        <v>282</v>
      </c>
    </row>
    <row r="284" customFormat="false" ht="15" hidden="false" customHeight="false" outlineLevel="0" collapsed="false">
      <c r="A284" s="0" t="s">
        <v>10471</v>
      </c>
      <c r="B284" s="0" t="s">
        <v>10472</v>
      </c>
      <c r="C284" s="0" t="s">
        <v>451</v>
      </c>
      <c r="D284" s="0" t="s">
        <v>10473</v>
      </c>
      <c r="E284" s="0" t="s">
        <v>4657</v>
      </c>
      <c r="H284" s="5" t="s">
        <v>158</v>
      </c>
      <c r="I284" s="5" t="s">
        <v>159</v>
      </c>
      <c r="J284" s="6" t="n">
        <f aca="false">IF(AU284="pass",CM284+CN284+CO284+CP284+CQ284+CR284+CS284+CT284,0)</f>
        <v>0</v>
      </c>
      <c r="K284" s="6" t="s">
        <v>10474</v>
      </c>
      <c r="M284" s="6" t="s">
        <v>5293</v>
      </c>
      <c r="N284" s="6" t="s">
        <v>598</v>
      </c>
      <c r="O284" s="6" t="s">
        <v>10475</v>
      </c>
      <c r="P284" s="6" t="s">
        <v>10476</v>
      </c>
      <c r="Q284" s="6" t="s">
        <v>8923</v>
      </c>
      <c r="R284" s="5" t="s">
        <v>162</v>
      </c>
      <c r="S284" s="6" t="s">
        <v>168</v>
      </c>
      <c r="T284" s="5" t="s">
        <v>162</v>
      </c>
      <c r="U284" s="5" t="s">
        <v>228</v>
      </c>
      <c r="V284" s="6" t="s">
        <v>10476</v>
      </c>
      <c r="W284" s="6" t="s">
        <v>166</v>
      </c>
      <c r="X284" s="6" t="s">
        <v>4586</v>
      </c>
      <c r="Y284" s="0" t="str">
        <f aca="false">IF(EB284&lt;&gt;"Y","",COUNTIFS($EB$2:$EB$1000,"Y",$J$2:$J$1000,"&gt;"&amp;J284)+COUNTIFS($EB$2:$EB$1000,"Y",$J$2:$J$1000,J284,$ED$2:$ED$1000,"&lt;"&amp;ED284)+1)</f>
        <v/>
      </c>
      <c r="AA284" s="6" t="s">
        <v>162</v>
      </c>
      <c r="AC284" s="6" t="s">
        <v>4588</v>
      </c>
      <c r="AD284" s="6" t="s">
        <v>171</v>
      </c>
      <c r="AE284" s="6" t="s">
        <v>1190</v>
      </c>
      <c r="AF284" s="6" t="s">
        <v>10476</v>
      </c>
      <c r="AG284" s="6" t="s">
        <v>166</v>
      </c>
      <c r="AH284" s="6" t="s">
        <v>10477</v>
      </c>
      <c r="AI284" s="6" t="s">
        <v>4724</v>
      </c>
      <c r="AJ284" s="6" t="s">
        <v>10478</v>
      </c>
      <c r="AL284" s="6" t="s">
        <v>162</v>
      </c>
      <c r="AN284" s="6" t="s">
        <v>10471</v>
      </c>
      <c r="AO284" s="5" t="s">
        <v>162</v>
      </c>
      <c r="AR284" s="0" t="str">
        <f aca="false">IF(AND(AU284="pass",AO284&lt;&gt;"Y",C284&lt;&gt;""),"Y","N")</f>
        <v>N</v>
      </c>
      <c r="AS284" s="0" t="str">
        <f aca="false">_xlfn.TEXTJOIN("; ",TRUE(),IF(AU284&lt;&gt;"pass","gated out",""),IF(AO284="Y","on hold: "&amp;AP284,""),IF(C284="","no contact named on an opened page",""))</f>
        <v>gated out</v>
      </c>
      <c r="AU284" s="6" t="s">
        <v>3704</v>
      </c>
      <c r="AV284" s="6" t="s">
        <v>10204</v>
      </c>
      <c r="AW284" s="6" t="s">
        <v>10479</v>
      </c>
      <c r="AY284" s="6" t="s">
        <v>10480</v>
      </c>
      <c r="AZ284" s="6" t="s">
        <v>5192</v>
      </c>
      <c r="BA284" s="6" t="s">
        <v>5193</v>
      </c>
      <c r="BB284" s="6" t="s">
        <v>163</v>
      </c>
      <c r="BD284" s="6" t="s">
        <v>162</v>
      </c>
      <c r="BE284" s="6" t="s">
        <v>10481</v>
      </c>
      <c r="BF284" s="6" t="s">
        <v>163</v>
      </c>
      <c r="BG284" s="6" t="s">
        <v>163</v>
      </c>
      <c r="BH284" s="6" t="s">
        <v>10407</v>
      </c>
      <c r="BI284" s="6" t="s">
        <v>6459</v>
      </c>
      <c r="BJ284" s="6" t="s">
        <v>10482</v>
      </c>
      <c r="BK284" s="6" t="s">
        <v>162</v>
      </c>
      <c r="BL284" s="6" t="s">
        <v>168</v>
      </c>
      <c r="BM284" s="6" t="s">
        <v>10483</v>
      </c>
      <c r="BO284" s="6" t="s">
        <v>162</v>
      </c>
      <c r="BP284" s="0" t="n">
        <v>0</v>
      </c>
      <c r="BU284" s="6" t="s">
        <v>4605</v>
      </c>
      <c r="BV284" s="0" t="n">
        <v>344</v>
      </c>
      <c r="BW284" s="6" t="s">
        <v>10476</v>
      </c>
      <c r="BX284" s="6" t="s">
        <v>10484</v>
      </c>
      <c r="CF284" s="6" t="s">
        <v>158</v>
      </c>
      <c r="CK284" s="6" t="s">
        <v>158</v>
      </c>
      <c r="CL284" s="0" t="n">
        <v>26</v>
      </c>
      <c r="CM284" s="0" t="n">
        <v>0</v>
      </c>
      <c r="CN284" s="0" t="n">
        <v>8</v>
      </c>
      <c r="CO284" s="0" t="n">
        <v>8</v>
      </c>
      <c r="CP284" s="0" t="n">
        <v>2</v>
      </c>
      <c r="CQ284" s="0" t="n">
        <v>2</v>
      </c>
      <c r="CR284" s="0" t="n">
        <v>6</v>
      </c>
      <c r="CS284" s="6" t="n">
        <f aca="false">IF(R284="Y",10,0)</f>
        <v>0</v>
      </c>
      <c r="CT284" s="0" t="n">
        <v>0</v>
      </c>
      <c r="CV284" s="6" t="s">
        <v>4616</v>
      </c>
      <c r="CW284" s="6" t="s">
        <v>10485</v>
      </c>
      <c r="CX284" s="6" t="s">
        <v>10023</v>
      </c>
      <c r="DA284" s="6" t="s">
        <v>6236</v>
      </c>
      <c r="DY284" s="0" t="str">
        <f aca="false">IF(ISNUMBER(MATCH(U284,{"queued","contacted","replied","call_booked","call_done","yes_in_principle","materials_sent"},0)),"Y","N")</f>
        <v>N</v>
      </c>
      <c r="DZ284" s="0" t="str">
        <f aca="false">IF(COUNTIFS($AN$2:$AN$1000,AN284,$DY$2:$DY$1000,"Y")+COUNTIFS($AN$2:$AN$1000,AN284,$T$2:$T$1000,"Y")&gt;0,"Y","N")</f>
        <v>N</v>
      </c>
      <c r="EA284" s="0" t="str">
        <f aca="false">IF(AND(U284="new",T284="N",AR284="Y",AQ284="",DZ284="N"),"Y","N")</f>
        <v>N</v>
      </c>
      <c r="EB284" s="0" t="str">
        <f aca="false">IF(EA284&lt;&gt;"Y","N",IF(COUNTIFS($AN$2:$AN$1000,AN284,$EA$2:$EA$1000,"Y",$J$2:$J$1000,"&gt;"&amp;J284)+COUNTIFS($AN$2:$AN$1000,AN284,$EA$2:$EA$1000,"Y",$J$2:$J$1000,J284,$ED$2:$ED$1000,"&lt;"&amp;ED284)=0,"Y","N"))</f>
        <v>N</v>
      </c>
      <c r="EC284" s="0" t="str">
        <f aca="false">IF(Y284="","N",IF(Y284&lt;=10,"Y","N"))</f>
        <v>N</v>
      </c>
      <c r="ED284" s="6" t="n">
        <f aca="false">ROW()-1</f>
        <v>283</v>
      </c>
    </row>
    <row r="285" customFormat="false" ht="15" hidden="false" customHeight="false" outlineLevel="0" collapsed="false">
      <c r="A285" s="0" t="s">
        <v>10486</v>
      </c>
      <c r="B285" s="0" t="s">
        <v>10487</v>
      </c>
      <c r="H285" s="5" t="s">
        <v>158</v>
      </c>
      <c r="I285" s="5"/>
      <c r="J285" s="6" t="n">
        <f aca="false">IF(AU285="pass",CM285+CN285+CO285+CP285+CQ285+CR285+CS285+CT285,0)</f>
        <v>0</v>
      </c>
      <c r="K285" s="6" t="s">
        <v>10488</v>
      </c>
      <c r="M285" s="6" t="s">
        <v>5293</v>
      </c>
      <c r="N285" s="6" t="s">
        <v>598</v>
      </c>
      <c r="O285" s="6" t="s">
        <v>10489</v>
      </c>
      <c r="P285" s="6" t="s">
        <v>10490</v>
      </c>
      <c r="Q285" s="6" t="s">
        <v>9243</v>
      </c>
      <c r="R285" s="5" t="s">
        <v>162</v>
      </c>
      <c r="S285" s="6" t="s">
        <v>163</v>
      </c>
      <c r="T285" s="5" t="s">
        <v>162</v>
      </c>
      <c r="U285" s="5" t="s">
        <v>228</v>
      </c>
      <c r="V285" s="6" t="s">
        <v>10491</v>
      </c>
      <c r="W285" s="6" t="s">
        <v>174</v>
      </c>
      <c r="X285" s="6" t="s">
        <v>4586</v>
      </c>
      <c r="Y285" s="0" t="str">
        <f aca="false">IF(EB285&lt;&gt;"Y","",COUNTIFS($EB$2:$EB$1000,"Y",$J$2:$J$1000,"&gt;"&amp;J285)+COUNTIFS($EB$2:$EB$1000,"Y",$J$2:$J$1000,J285,$ED$2:$ED$1000,"&lt;"&amp;ED285)+1)</f>
        <v/>
      </c>
      <c r="AA285" s="6" t="s">
        <v>162</v>
      </c>
      <c r="AD285" s="6" t="s">
        <v>158</v>
      </c>
      <c r="AH285" s="6" t="s">
        <v>10492</v>
      </c>
      <c r="AI285" s="6" t="s">
        <v>5030</v>
      </c>
      <c r="AJ285" s="6" t="s">
        <v>4635</v>
      </c>
      <c r="AK285" s="6" t="s">
        <v>10493</v>
      </c>
      <c r="AL285" s="6" t="s">
        <v>168</v>
      </c>
      <c r="AM285" s="6" t="s">
        <v>10494</v>
      </c>
      <c r="AN285" s="6" t="s">
        <v>10486</v>
      </c>
      <c r="AO285" s="5" t="s">
        <v>162</v>
      </c>
      <c r="AR285" s="0" t="str">
        <f aca="false">IF(AND(AU285="pass",AO285&lt;&gt;"Y",C285&lt;&gt;""),"Y","N")</f>
        <v>N</v>
      </c>
      <c r="AS285" s="0" t="str">
        <f aca="false">_xlfn.TEXTJOIN("; ",TRUE(),IF(AU285&lt;&gt;"pass","gated out",""),IF(AO285="Y","on hold: "&amp;AP285,""),IF(C285="","no contact named on an opened page",""))</f>
        <v>gated out; no contact named on an opened page</v>
      </c>
      <c r="AU285" s="6" t="s">
        <v>3704</v>
      </c>
      <c r="AV285" s="6" t="s">
        <v>9764</v>
      </c>
      <c r="AW285" s="6" t="s">
        <v>10495</v>
      </c>
      <c r="AX285" s="6" t="s">
        <v>4595</v>
      </c>
      <c r="AY285" s="6" t="s">
        <v>10496</v>
      </c>
      <c r="AZ285" s="6" t="s">
        <v>4596</v>
      </c>
      <c r="BA285" s="6" t="s">
        <v>4597</v>
      </c>
      <c r="BB285" s="6" t="s">
        <v>163</v>
      </c>
      <c r="BD285" s="6" t="s">
        <v>168</v>
      </c>
      <c r="BE285" s="6" t="s">
        <v>10497</v>
      </c>
      <c r="BF285" s="6" t="s">
        <v>168</v>
      </c>
      <c r="BG285" s="6" t="s">
        <v>168</v>
      </c>
      <c r="BH285" s="6" t="s">
        <v>163</v>
      </c>
      <c r="BJ285" s="6" t="s">
        <v>5145</v>
      </c>
      <c r="BK285" s="6" t="s">
        <v>168</v>
      </c>
      <c r="BL285" s="6" t="s">
        <v>168</v>
      </c>
      <c r="BM285" s="6" t="s">
        <v>10498</v>
      </c>
      <c r="BO285" s="6" t="s">
        <v>162</v>
      </c>
      <c r="BP285" s="0" t="n">
        <v>0</v>
      </c>
      <c r="BS285" s="6" t="s">
        <v>10499</v>
      </c>
      <c r="BU285" s="6" t="s">
        <v>4695</v>
      </c>
      <c r="BV285" s="0" t="n">
        <v>204</v>
      </c>
      <c r="CF285" s="6" t="s">
        <v>158</v>
      </c>
      <c r="CK285" s="6" t="s">
        <v>158</v>
      </c>
      <c r="CL285" s="0" t="n">
        <v>41</v>
      </c>
      <c r="CM285" s="0" t="n">
        <v>6</v>
      </c>
      <c r="CN285" s="0" t="n">
        <v>20</v>
      </c>
      <c r="CO285" s="0" t="n">
        <v>4</v>
      </c>
      <c r="CP285" s="0" t="n">
        <v>5</v>
      </c>
      <c r="CQ285" s="0" t="n">
        <v>10</v>
      </c>
      <c r="CR285" s="0" t="n">
        <v>0</v>
      </c>
      <c r="CS285" s="6" t="n">
        <f aca="false">IF(R285="Y",10,0)</f>
        <v>0</v>
      </c>
      <c r="CT285" s="0" t="n">
        <v>-4</v>
      </c>
      <c r="CU285" s="6" t="s">
        <v>10500</v>
      </c>
      <c r="CV285" s="6" t="s">
        <v>5152</v>
      </c>
      <c r="CW285" s="6" t="s">
        <v>10501</v>
      </c>
      <c r="CX285" s="6" t="s">
        <v>10502</v>
      </c>
      <c r="DA285" s="6" t="s">
        <v>6236</v>
      </c>
      <c r="DY285" s="0" t="str">
        <f aca="false">IF(ISNUMBER(MATCH(U285,{"queued","contacted","replied","call_booked","call_done","yes_in_principle","materials_sent"},0)),"Y","N")</f>
        <v>N</v>
      </c>
      <c r="DZ285" s="0" t="str">
        <f aca="false">IF(COUNTIFS($AN$2:$AN$1000,AN285,$DY$2:$DY$1000,"Y")+COUNTIFS($AN$2:$AN$1000,AN285,$T$2:$T$1000,"Y")&gt;0,"Y","N")</f>
        <v>N</v>
      </c>
      <c r="EA285" s="0" t="str">
        <f aca="false">IF(AND(U285="new",T285="N",AR285="Y",AQ285="",DZ285="N"),"Y","N")</f>
        <v>N</v>
      </c>
      <c r="EB285" s="0" t="str">
        <f aca="false">IF(EA285&lt;&gt;"Y","N",IF(COUNTIFS($AN$2:$AN$1000,AN285,$EA$2:$EA$1000,"Y",$J$2:$J$1000,"&gt;"&amp;J285)+COUNTIFS($AN$2:$AN$1000,AN285,$EA$2:$EA$1000,"Y",$J$2:$J$1000,J285,$ED$2:$ED$1000,"&lt;"&amp;ED285)=0,"Y","N"))</f>
        <v>N</v>
      </c>
      <c r="EC285" s="0" t="str">
        <f aca="false">IF(Y285="","N",IF(Y285&lt;=10,"Y","N"))</f>
        <v>N</v>
      </c>
      <c r="ED285" s="6" t="n">
        <f aca="false">ROW()-1</f>
        <v>284</v>
      </c>
    </row>
    <row r="286" customFormat="false" ht="15" hidden="false" customHeight="false" outlineLevel="0" collapsed="false">
      <c r="A286" s="0" t="s">
        <v>10503</v>
      </c>
      <c r="B286" s="0" t="s">
        <v>10504</v>
      </c>
      <c r="H286" s="5" t="s">
        <v>158</v>
      </c>
      <c r="I286" s="5"/>
      <c r="J286" s="6" t="n">
        <f aca="false">IF(AU286="pass",CM286+CN286+CO286+CP286+CQ286+CR286+CS286+CT286,0)</f>
        <v>0</v>
      </c>
      <c r="K286" s="6" t="s">
        <v>10505</v>
      </c>
      <c r="M286" s="6" t="s">
        <v>5293</v>
      </c>
      <c r="N286" s="6" t="s">
        <v>598</v>
      </c>
      <c r="R286" s="5" t="s">
        <v>162</v>
      </c>
      <c r="S286" s="6" t="s">
        <v>163</v>
      </c>
      <c r="T286" s="5" t="s">
        <v>162</v>
      </c>
      <c r="U286" s="5" t="s">
        <v>228</v>
      </c>
      <c r="V286" s="6" t="s">
        <v>10506</v>
      </c>
      <c r="W286" s="6" t="s">
        <v>166</v>
      </c>
      <c r="X286" s="6" t="s">
        <v>4586</v>
      </c>
      <c r="Y286" s="0" t="str">
        <f aca="false">IF(EB286&lt;&gt;"Y","",COUNTIFS($EB$2:$EB$1000,"Y",$J$2:$J$1000,"&gt;"&amp;J286)+COUNTIFS($EB$2:$EB$1000,"Y",$J$2:$J$1000,J286,$ED$2:$ED$1000,"&lt;"&amp;ED286)+1)</f>
        <v/>
      </c>
      <c r="AA286" s="6" t="s">
        <v>162</v>
      </c>
      <c r="AD286" s="6" t="s">
        <v>158</v>
      </c>
      <c r="AH286" s="6" t="s">
        <v>10507</v>
      </c>
      <c r="AI286" s="6" t="s">
        <v>4591</v>
      </c>
      <c r="AJ286" s="6" t="s">
        <v>163</v>
      </c>
      <c r="AK286" s="6" t="s">
        <v>10508</v>
      </c>
      <c r="AL286" s="6" t="s">
        <v>168</v>
      </c>
      <c r="AM286" s="6" t="s">
        <v>4691</v>
      </c>
      <c r="AN286" s="6" t="s">
        <v>10503</v>
      </c>
      <c r="AO286" s="5" t="s">
        <v>162</v>
      </c>
      <c r="AR286" s="0" t="str">
        <f aca="false">IF(AND(AU286="pass",AO286&lt;&gt;"Y",C286&lt;&gt;""),"Y","N")</f>
        <v>N</v>
      </c>
      <c r="AS286" s="0" t="str">
        <f aca="false">_xlfn.TEXTJOIN("; ",TRUE(),IF(AU286&lt;&gt;"pass","gated out",""),IF(AO286="Y","on hold: "&amp;AP286,""),IF(C286="","no contact named on an opened page",""))</f>
        <v>gated out; no contact named on an opened page</v>
      </c>
      <c r="AU286" s="6" t="s">
        <v>3704</v>
      </c>
      <c r="AV286" s="6" t="s">
        <v>9764</v>
      </c>
      <c r="AW286" s="6" t="s">
        <v>10509</v>
      </c>
      <c r="AY286" s="6" t="s">
        <v>10508</v>
      </c>
      <c r="AZ286" s="6" t="s">
        <v>4596</v>
      </c>
      <c r="BA286" s="6" t="s">
        <v>4953</v>
      </c>
      <c r="BB286" s="6" t="s">
        <v>163</v>
      </c>
      <c r="BD286" s="6" t="s">
        <v>163</v>
      </c>
      <c r="BE286" s="6" t="s">
        <v>10510</v>
      </c>
      <c r="BF286" s="6" t="s">
        <v>168</v>
      </c>
      <c r="BG286" s="6" t="s">
        <v>168</v>
      </c>
      <c r="BH286" s="6" t="s">
        <v>163</v>
      </c>
      <c r="BJ286" s="6" t="s">
        <v>5551</v>
      </c>
      <c r="BK286" s="6" t="s">
        <v>168</v>
      </c>
      <c r="BL286" s="6" t="s">
        <v>168</v>
      </c>
      <c r="BM286" s="6" t="s">
        <v>10511</v>
      </c>
      <c r="BO286" s="6" t="s">
        <v>162</v>
      </c>
      <c r="BP286" s="0" t="n">
        <v>0</v>
      </c>
      <c r="BS286" s="6" t="s">
        <v>163</v>
      </c>
      <c r="BU286" s="6" t="s">
        <v>158</v>
      </c>
      <c r="CF286" s="6" t="s">
        <v>158</v>
      </c>
      <c r="CK286" s="6" t="s">
        <v>158</v>
      </c>
      <c r="CL286" s="0" t="n">
        <v>31</v>
      </c>
      <c r="CM286" s="0" t="n">
        <v>6</v>
      </c>
      <c r="CN286" s="0" t="n">
        <v>13</v>
      </c>
      <c r="CO286" s="0" t="n">
        <v>0</v>
      </c>
      <c r="CP286" s="0" t="n">
        <v>5</v>
      </c>
      <c r="CQ286" s="0" t="n">
        <v>7</v>
      </c>
      <c r="CR286" s="0" t="n">
        <v>0</v>
      </c>
      <c r="CS286" s="6" t="n">
        <f aca="false">IF(R286="Y",10,0)</f>
        <v>0</v>
      </c>
      <c r="CT286" s="0" t="n">
        <v>0</v>
      </c>
      <c r="CU286" s="6" t="s">
        <v>10512</v>
      </c>
      <c r="CV286" s="6" t="s">
        <v>5564</v>
      </c>
      <c r="CW286" s="6" t="s">
        <v>10513</v>
      </c>
      <c r="CX286" s="6" t="s">
        <v>10514</v>
      </c>
      <c r="DA286" s="6" t="s">
        <v>6236</v>
      </c>
      <c r="DY286" s="0" t="str">
        <f aca="false">IF(ISNUMBER(MATCH(U286,{"queued","contacted","replied","call_booked","call_done","yes_in_principle","materials_sent"},0)),"Y","N")</f>
        <v>N</v>
      </c>
      <c r="DZ286" s="0" t="str">
        <f aca="false">IF(COUNTIFS($AN$2:$AN$1000,AN286,$DY$2:$DY$1000,"Y")+COUNTIFS($AN$2:$AN$1000,AN286,$T$2:$T$1000,"Y")&gt;0,"Y","N")</f>
        <v>N</v>
      </c>
      <c r="EA286" s="0" t="str">
        <f aca="false">IF(AND(U286="new",T286="N",AR286="Y",AQ286="",DZ286="N"),"Y","N")</f>
        <v>N</v>
      </c>
      <c r="EB286" s="0" t="str">
        <f aca="false">IF(EA286&lt;&gt;"Y","N",IF(COUNTIFS($AN$2:$AN$1000,AN286,$EA$2:$EA$1000,"Y",$J$2:$J$1000,"&gt;"&amp;J286)+COUNTIFS($AN$2:$AN$1000,AN286,$EA$2:$EA$1000,"Y",$J$2:$J$1000,J286,$ED$2:$ED$1000,"&lt;"&amp;ED286)=0,"Y","N"))</f>
        <v>N</v>
      </c>
      <c r="EC286" s="0" t="str">
        <f aca="false">IF(Y286="","N",IF(Y286&lt;=10,"Y","N"))</f>
        <v>N</v>
      </c>
      <c r="ED286" s="6" t="n">
        <f aca="false">ROW()-1</f>
        <v>285</v>
      </c>
    </row>
    <row r="287" customFormat="false" ht="15" hidden="false" customHeight="false" outlineLevel="0" collapsed="false">
      <c r="A287" s="0" t="s">
        <v>10515</v>
      </c>
      <c r="B287" s="0" t="s">
        <v>10516</v>
      </c>
      <c r="H287" s="5" t="s">
        <v>158</v>
      </c>
      <c r="I287" s="5"/>
      <c r="J287" s="6" t="n">
        <f aca="false">IF(AU287="pass",CM287+CN287+CO287+CP287+CQ287+CR287+CS287+CT287,0)</f>
        <v>0</v>
      </c>
      <c r="K287" s="6" t="s">
        <v>10517</v>
      </c>
      <c r="M287" s="6" t="s">
        <v>5293</v>
      </c>
      <c r="N287" s="6" t="s">
        <v>598</v>
      </c>
      <c r="O287" s="6" t="s">
        <v>10518</v>
      </c>
      <c r="P287" s="6" t="s">
        <v>10519</v>
      </c>
      <c r="Q287" s="6" t="s">
        <v>4856</v>
      </c>
      <c r="R287" s="5" t="s">
        <v>162</v>
      </c>
      <c r="S287" s="6" t="s">
        <v>163</v>
      </c>
      <c r="T287" s="5" t="s">
        <v>162</v>
      </c>
      <c r="U287" s="5" t="s">
        <v>228</v>
      </c>
      <c r="V287" s="6" t="s">
        <v>10520</v>
      </c>
      <c r="W287" s="6" t="s">
        <v>166</v>
      </c>
      <c r="X287" s="6" t="s">
        <v>4586</v>
      </c>
      <c r="Y287" s="0" t="str">
        <f aca="false">IF(EB287&lt;&gt;"Y","",COUNTIFS($EB$2:$EB$1000,"Y",$J$2:$J$1000,"&gt;"&amp;J287)+COUNTIFS($EB$2:$EB$1000,"Y",$J$2:$J$1000,J287,$ED$2:$ED$1000,"&lt;"&amp;ED287)+1)</f>
        <v/>
      </c>
      <c r="AA287" s="6" t="s">
        <v>162</v>
      </c>
      <c r="AC287" s="6" t="s">
        <v>4588</v>
      </c>
      <c r="AD287" s="6" t="s">
        <v>598</v>
      </c>
      <c r="AE287" s="6" t="s">
        <v>172</v>
      </c>
      <c r="AF287" s="6" t="s">
        <v>10521</v>
      </c>
      <c r="AG287" s="6" t="s">
        <v>166</v>
      </c>
      <c r="AH287" s="6" t="s">
        <v>10522</v>
      </c>
      <c r="AI287" s="6" t="s">
        <v>4977</v>
      </c>
      <c r="AJ287" s="6" t="s">
        <v>10523</v>
      </c>
      <c r="AK287" s="6" t="s">
        <v>10524</v>
      </c>
      <c r="AL287" s="6" t="s">
        <v>168</v>
      </c>
      <c r="AM287" s="6" t="s">
        <v>10525</v>
      </c>
      <c r="AN287" s="6" t="s">
        <v>10515</v>
      </c>
      <c r="AO287" s="5" t="s">
        <v>162</v>
      </c>
      <c r="AR287" s="0" t="str">
        <f aca="false">IF(AND(AU287="pass",AO287&lt;&gt;"Y",C287&lt;&gt;""),"Y","N")</f>
        <v>N</v>
      </c>
      <c r="AS287" s="0" t="str">
        <f aca="false">_xlfn.TEXTJOIN("; ",TRUE(),IF(AU287&lt;&gt;"pass","gated out",""),IF(AO287="Y","on hold: "&amp;AP287,""),IF(C287="","no contact named on an opened page",""))</f>
        <v>gated out; no contact named on an opened page</v>
      </c>
      <c r="AU287" s="6" t="s">
        <v>3704</v>
      </c>
      <c r="AV287" s="6" t="s">
        <v>9885</v>
      </c>
      <c r="AW287" s="6" t="s">
        <v>10526</v>
      </c>
      <c r="AX287" s="6" t="s">
        <v>5607</v>
      </c>
      <c r="AY287" s="6" t="s">
        <v>10524</v>
      </c>
      <c r="AZ287" s="6" t="s">
        <v>4596</v>
      </c>
      <c r="BA287" s="6" t="s">
        <v>4597</v>
      </c>
      <c r="BB287" s="6" t="s">
        <v>163</v>
      </c>
      <c r="BD287" s="6" t="s">
        <v>162</v>
      </c>
      <c r="BE287" s="6" t="s">
        <v>10527</v>
      </c>
      <c r="BF287" s="6" t="s">
        <v>163</v>
      </c>
      <c r="BG287" s="6" t="s">
        <v>168</v>
      </c>
      <c r="BH287" s="6" t="s">
        <v>163</v>
      </c>
      <c r="BJ287" s="6" t="s">
        <v>10528</v>
      </c>
      <c r="BK287" s="6" t="s">
        <v>162</v>
      </c>
      <c r="BL287" s="6" t="s">
        <v>168</v>
      </c>
      <c r="BM287" s="6" t="s">
        <v>10529</v>
      </c>
      <c r="BO287" s="6" t="s">
        <v>162</v>
      </c>
      <c r="BP287" s="0" t="n">
        <v>0</v>
      </c>
      <c r="BS287" s="6" t="s">
        <v>10530</v>
      </c>
      <c r="BT287" s="6" t="s">
        <v>10520</v>
      </c>
      <c r="BU287" s="6" t="s">
        <v>598</v>
      </c>
      <c r="BV287" s="0" t="n">
        <v>241</v>
      </c>
      <c r="BX287" s="6" t="s">
        <v>10531</v>
      </c>
      <c r="BY287" s="6" t="s">
        <v>10532</v>
      </c>
      <c r="CF287" s="6" t="s">
        <v>158</v>
      </c>
      <c r="CK287" s="6" t="s">
        <v>158</v>
      </c>
      <c r="CL287" s="0" t="n">
        <v>26</v>
      </c>
      <c r="CM287" s="0" t="n">
        <v>6</v>
      </c>
      <c r="CN287" s="0" t="n">
        <v>20</v>
      </c>
      <c r="CO287" s="0" t="n">
        <v>0</v>
      </c>
      <c r="CP287" s="0" t="n">
        <v>5</v>
      </c>
      <c r="CQ287" s="0" t="n">
        <v>4</v>
      </c>
      <c r="CR287" s="0" t="n">
        <v>3</v>
      </c>
      <c r="CS287" s="6" t="n">
        <f aca="false">IF(R287="Y",10,0)</f>
        <v>0</v>
      </c>
      <c r="CT287" s="0" t="n">
        <v>-12</v>
      </c>
      <c r="CU287" s="6" t="s">
        <v>10533</v>
      </c>
      <c r="CV287" s="6" t="s">
        <v>4704</v>
      </c>
      <c r="CW287" s="6" t="s">
        <v>10534</v>
      </c>
      <c r="CX287" s="6" t="s">
        <v>10535</v>
      </c>
      <c r="DA287" s="6" t="s">
        <v>6236</v>
      </c>
      <c r="DY287" s="0" t="str">
        <f aca="false">IF(ISNUMBER(MATCH(U287,{"queued","contacted","replied","call_booked","call_done","yes_in_principle","materials_sent"},0)),"Y","N")</f>
        <v>N</v>
      </c>
      <c r="DZ287" s="0" t="str">
        <f aca="false">IF(COUNTIFS($AN$2:$AN$1000,AN287,$DY$2:$DY$1000,"Y")+COUNTIFS($AN$2:$AN$1000,AN287,$T$2:$T$1000,"Y")&gt;0,"Y","N")</f>
        <v>N</v>
      </c>
      <c r="EA287" s="0" t="str">
        <f aca="false">IF(AND(U287="new",T287="N",AR287="Y",AQ287="",DZ287="N"),"Y","N")</f>
        <v>N</v>
      </c>
      <c r="EB287" s="0" t="str">
        <f aca="false">IF(EA287&lt;&gt;"Y","N",IF(COUNTIFS($AN$2:$AN$1000,AN287,$EA$2:$EA$1000,"Y",$J$2:$J$1000,"&gt;"&amp;J287)+COUNTIFS($AN$2:$AN$1000,AN287,$EA$2:$EA$1000,"Y",$J$2:$J$1000,J287,$ED$2:$ED$1000,"&lt;"&amp;ED287)=0,"Y","N"))</f>
        <v>N</v>
      </c>
      <c r="EC287" s="0" t="str">
        <f aca="false">IF(Y287="","N",IF(Y287&lt;=10,"Y","N"))</f>
        <v>N</v>
      </c>
      <c r="ED287" s="6" t="n">
        <f aca="false">ROW()-1</f>
        <v>286</v>
      </c>
    </row>
    <row r="288" customFormat="false" ht="15" hidden="false" customHeight="false" outlineLevel="0" collapsed="false">
      <c r="A288" s="0" t="s">
        <v>10536</v>
      </c>
      <c r="B288" s="0" t="s">
        <v>10537</v>
      </c>
      <c r="C288" s="0" t="s">
        <v>10538</v>
      </c>
      <c r="D288" s="0" t="s">
        <v>10539</v>
      </c>
      <c r="E288" s="0" t="s">
        <v>5704</v>
      </c>
      <c r="H288" s="5" t="s">
        <v>158</v>
      </c>
      <c r="I288" s="5" t="s">
        <v>159</v>
      </c>
      <c r="J288" s="6" t="n">
        <f aca="false">IF(AU288="pass",CM288+CN288+CO288+CP288+CQ288+CR288+CS288+CT288,0)</f>
        <v>0</v>
      </c>
      <c r="K288" s="6" t="s">
        <v>10098</v>
      </c>
      <c r="M288" s="6" t="s">
        <v>5293</v>
      </c>
      <c r="N288" s="6" t="s">
        <v>598</v>
      </c>
      <c r="R288" s="5" t="s">
        <v>162</v>
      </c>
      <c r="S288" s="6" t="s">
        <v>163</v>
      </c>
      <c r="T288" s="5" t="s">
        <v>162</v>
      </c>
      <c r="U288" s="5" t="s">
        <v>228</v>
      </c>
      <c r="V288" s="6" t="s">
        <v>10540</v>
      </c>
      <c r="W288" s="6" t="s">
        <v>166</v>
      </c>
      <c r="X288" s="6" t="s">
        <v>4586</v>
      </c>
      <c r="Y288" s="0" t="str">
        <f aca="false">IF(EB288&lt;&gt;"Y","",COUNTIFS($EB$2:$EB$1000,"Y",$J$2:$J$1000,"&gt;"&amp;J288)+COUNTIFS($EB$2:$EB$1000,"Y",$J$2:$J$1000,J288,$ED$2:$ED$1000,"&lt;"&amp;ED288)+1)</f>
        <v/>
      </c>
      <c r="AA288" s="6" t="s">
        <v>162</v>
      </c>
      <c r="AC288" s="6" t="s">
        <v>4588</v>
      </c>
      <c r="AD288" s="6" t="s">
        <v>171</v>
      </c>
      <c r="AE288" s="6" t="s">
        <v>1190</v>
      </c>
      <c r="AF288" s="6" t="s">
        <v>10541</v>
      </c>
      <c r="AG288" s="6" t="s">
        <v>166</v>
      </c>
      <c r="AH288" s="6" t="s">
        <v>10542</v>
      </c>
      <c r="AI288" s="6" t="s">
        <v>4591</v>
      </c>
      <c r="AJ288" s="6" t="s">
        <v>4635</v>
      </c>
      <c r="AK288" s="6" t="s">
        <v>163</v>
      </c>
      <c r="AL288" s="6" t="s">
        <v>168</v>
      </c>
      <c r="AM288" s="6" t="s">
        <v>10543</v>
      </c>
      <c r="AN288" s="6" t="s">
        <v>5549</v>
      </c>
      <c r="AO288" s="5" t="s">
        <v>162</v>
      </c>
      <c r="AR288" s="0" t="str">
        <f aca="false">IF(AND(AU288="pass",AO288&lt;&gt;"Y",C288&lt;&gt;""),"Y","N")</f>
        <v>N</v>
      </c>
      <c r="AS288" s="0" t="str">
        <f aca="false">_xlfn.TEXTJOIN("; ",TRUE(),IF(AU288&lt;&gt;"pass","gated out",""),IF(AO288="Y","on hold: "&amp;AP288,""),IF(C288="","no contact named on an opened page",""))</f>
        <v>gated out</v>
      </c>
      <c r="AU288" s="6" t="s">
        <v>3704</v>
      </c>
      <c r="AV288" s="6" t="s">
        <v>10058</v>
      </c>
      <c r="AW288" s="6" t="s">
        <v>10103</v>
      </c>
      <c r="AX288" s="6" t="s">
        <v>283</v>
      </c>
      <c r="AY288" s="6" t="s">
        <v>10540</v>
      </c>
      <c r="AZ288" s="6" t="s">
        <v>4596</v>
      </c>
      <c r="BA288" s="6" t="s">
        <v>4597</v>
      </c>
      <c r="BB288" s="6" t="s">
        <v>163</v>
      </c>
      <c r="BD288" s="6" t="s">
        <v>163</v>
      </c>
      <c r="BE288" s="6" t="s">
        <v>6321</v>
      </c>
      <c r="BF288" s="6" t="s">
        <v>168</v>
      </c>
      <c r="BG288" s="6" t="s">
        <v>162</v>
      </c>
      <c r="BH288" s="6" t="s">
        <v>163</v>
      </c>
      <c r="BJ288" s="6" t="s">
        <v>5551</v>
      </c>
      <c r="BK288" s="6" t="s">
        <v>162</v>
      </c>
      <c r="BL288" s="6" t="s">
        <v>162</v>
      </c>
      <c r="BO288" s="6" t="s">
        <v>162</v>
      </c>
      <c r="BP288" s="0" t="n">
        <v>0</v>
      </c>
      <c r="BS288" s="6" t="s">
        <v>10544</v>
      </c>
      <c r="BU288" s="6" t="s">
        <v>158</v>
      </c>
      <c r="BX288" s="6" t="s">
        <v>6324</v>
      </c>
      <c r="CA288" s="6" t="s">
        <v>5558</v>
      </c>
      <c r="CB288" s="6" t="s">
        <v>5559</v>
      </c>
      <c r="CC288" s="6" t="s">
        <v>5560</v>
      </c>
      <c r="CD288" s="6" t="s">
        <v>5561</v>
      </c>
      <c r="CE288" s="6" t="s">
        <v>6262</v>
      </c>
      <c r="CF288" s="6" t="s">
        <v>171</v>
      </c>
      <c r="CK288" s="6" t="s">
        <v>158</v>
      </c>
      <c r="CL288" s="0" t="n">
        <v>37</v>
      </c>
      <c r="CM288" s="0" t="n">
        <v>0</v>
      </c>
      <c r="CN288" s="0" t="n">
        <v>20</v>
      </c>
      <c r="CO288" s="0" t="n">
        <v>0</v>
      </c>
      <c r="CP288" s="0" t="n">
        <v>5</v>
      </c>
      <c r="CQ288" s="0" t="n">
        <v>4</v>
      </c>
      <c r="CR288" s="0" t="n">
        <v>10</v>
      </c>
      <c r="CS288" s="6" t="n">
        <f aca="false">IF(R288="Y",10,0)</f>
        <v>0</v>
      </c>
      <c r="CT288" s="0" t="n">
        <v>-2</v>
      </c>
      <c r="CU288" s="6" t="s">
        <v>10545</v>
      </c>
      <c r="CV288" s="6" t="s">
        <v>5564</v>
      </c>
      <c r="CW288" s="6" t="s">
        <v>10546</v>
      </c>
      <c r="CX288" s="6" t="s">
        <v>10547</v>
      </c>
      <c r="CY288" s="6" t="s">
        <v>5567</v>
      </c>
      <c r="CZ288" s="6" t="s">
        <v>5545</v>
      </c>
      <c r="DA288" s="6" t="s">
        <v>6236</v>
      </c>
      <c r="DC288" s="6" t="s">
        <v>1190</v>
      </c>
      <c r="DF288" s="6" t="s">
        <v>10548</v>
      </c>
      <c r="DY288" s="0" t="str">
        <f aca="false">IF(ISNUMBER(MATCH(U288,{"queued","contacted","replied","call_booked","call_done","yes_in_principle","materials_sent"},0)),"Y","N")</f>
        <v>N</v>
      </c>
      <c r="DZ288" s="0" t="str">
        <f aca="false">IF(COUNTIFS($AN$2:$AN$1000,AN288,$DY$2:$DY$1000,"Y")+COUNTIFS($AN$2:$AN$1000,AN288,$T$2:$T$1000,"Y")&gt;0,"Y","N")</f>
        <v>Y</v>
      </c>
      <c r="EA288" s="0" t="str">
        <f aca="false">IF(AND(U288="new",T288="N",AR288="Y",AQ288="",DZ288="N"),"Y","N")</f>
        <v>N</v>
      </c>
      <c r="EB288" s="0" t="str">
        <f aca="false">IF(EA288&lt;&gt;"Y","N",IF(COUNTIFS($AN$2:$AN$1000,AN288,$EA$2:$EA$1000,"Y",$J$2:$J$1000,"&gt;"&amp;J288)+COUNTIFS($AN$2:$AN$1000,AN288,$EA$2:$EA$1000,"Y",$J$2:$J$1000,J288,$ED$2:$ED$1000,"&lt;"&amp;ED288)=0,"Y","N"))</f>
        <v>N</v>
      </c>
      <c r="EC288" s="0" t="str">
        <f aca="false">IF(Y288="","N",IF(Y288&lt;=10,"Y","N"))</f>
        <v>N</v>
      </c>
      <c r="ED288" s="6" t="n">
        <f aca="false">ROW()-1</f>
        <v>287</v>
      </c>
    </row>
    <row r="289" customFormat="false" ht="15" hidden="false" customHeight="false" outlineLevel="0" collapsed="false">
      <c r="A289" s="0" t="s">
        <v>10549</v>
      </c>
      <c r="B289" s="0" t="s">
        <v>10550</v>
      </c>
      <c r="H289" s="5" t="s">
        <v>158</v>
      </c>
      <c r="I289" s="5"/>
      <c r="J289" s="6" t="n">
        <f aca="false">IF(AU289="pass",CM289+CN289+CO289+CP289+CQ289+CR289+CS289+CT289,0)</f>
        <v>0</v>
      </c>
      <c r="K289" s="6" t="s">
        <v>10551</v>
      </c>
      <c r="M289" s="6" t="s">
        <v>5293</v>
      </c>
      <c r="N289" s="6" t="s">
        <v>598</v>
      </c>
      <c r="R289" s="5" t="s">
        <v>162</v>
      </c>
      <c r="S289" s="6" t="s">
        <v>163</v>
      </c>
      <c r="T289" s="5" t="s">
        <v>162</v>
      </c>
      <c r="U289" s="5" t="s">
        <v>228</v>
      </c>
      <c r="V289" s="6" t="s">
        <v>10552</v>
      </c>
      <c r="W289" s="6" t="s">
        <v>166</v>
      </c>
      <c r="X289" s="6" t="s">
        <v>4586</v>
      </c>
      <c r="Y289" s="0" t="str">
        <f aca="false">IF(EB289&lt;&gt;"Y","",COUNTIFS($EB$2:$EB$1000,"Y",$J$2:$J$1000,"&gt;"&amp;J289)+COUNTIFS($EB$2:$EB$1000,"Y",$J$2:$J$1000,J289,$ED$2:$ED$1000,"&lt;"&amp;ED289)+1)</f>
        <v/>
      </c>
      <c r="AA289" s="6" t="s">
        <v>162</v>
      </c>
      <c r="AD289" s="6" t="s">
        <v>158</v>
      </c>
      <c r="AH289" s="6" t="s">
        <v>10553</v>
      </c>
      <c r="AI289" s="6" t="s">
        <v>5926</v>
      </c>
      <c r="AJ289" s="6" t="s">
        <v>163</v>
      </c>
      <c r="AK289" s="6" t="s">
        <v>10554</v>
      </c>
      <c r="AL289" s="6" t="s">
        <v>168</v>
      </c>
      <c r="AM289" s="6" t="s">
        <v>4691</v>
      </c>
      <c r="AN289" s="6" t="s">
        <v>10549</v>
      </c>
      <c r="AO289" s="5" t="s">
        <v>162</v>
      </c>
      <c r="AR289" s="0" t="str">
        <f aca="false">IF(AND(AU289="pass",AO289&lt;&gt;"Y",C289&lt;&gt;""),"Y","N")</f>
        <v>N</v>
      </c>
      <c r="AS289" s="0" t="str">
        <f aca="false">_xlfn.TEXTJOIN("; ",TRUE(),IF(AU289&lt;&gt;"pass","gated out",""),IF(AO289="Y","on hold: "&amp;AP289,""),IF(C289="","no contact named on an opened page",""))</f>
        <v>gated out; no contact named on an opened page</v>
      </c>
      <c r="AU289" s="6" t="s">
        <v>3704</v>
      </c>
      <c r="AV289" s="6" t="s">
        <v>9764</v>
      </c>
      <c r="AW289" s="6" t="s">
        <v>10555</v>
      </c>
      <c r="AY289" s="6" t="s">
        <v>10554</v>
      </c>
      <c r="AZ289" s="6" t="s">
        <v>163</v>
      </c>
      <c r="BA289" s="6" t="s">
        <v>163</v>
      </c>
      <c r="BB289" s="6" t="s">
        <v>163</v>
      </c>
      <c r="BD289" s="6" t="s">
        <v>163</v>
      </c>
      <c r="BE289" s="6" t="s">
        <v>10556</v>
      </c>
      <c r="BF289" s="6" t="s">
        <v>168</v>
      </c>
      <c r="BG289" s="6" t="s">
        <v>168</v>
      </c>
      <c r="BH289" s="6" t="s">
        <v>163</v>
      </c>
      <c r="BJ289" s="6" t="s">
        <v>5551</v>
      </c>
      <c r="BK289" s="6" t="s">
        <v>168</v>
      </c>
      <c r="BL289" s="6" t="s">
        <v>168</v>
      </c>
      <c r="BM289" s="6" t="s">
        <v>10557</v>
      </c>
      <c r="BO289" s="6" t="s">
        <v>162</v>
      </c>
      <c r="BP289" s="0" t="n">
        <v>0</v>
      </c>
      <c r="BS289" s="6" t="s">
        <v>163</v>
      </c>
      <c r="BU289" s="6" t="s">
        <v>158</v>
      </c>
      <c r="CF289" s="6" t="s">
        <v>158</v>
      </c>
      <c r="CK289" s="6" t="s">
        <v>158</v>
      </c>
      <c r="CL289" s="0" t="n">
        <v>22</v>
      </c>
      <c r="CM289" s="0" t="n">
        <v>6</v>
      </c>
      <c r="CN289" s="0" t="n">
        <v>4</v>
      </c>
      <c r="CO289" s="0" t="n">
        <v>0</v>
      </c>
      <c r="CP289" s="0" t="n">
        <v>5</v>
      </c>
      <c r="CQ289" s="0" t="n">
        <v>7</v>
      </c>
      <c r="CR289" s="0" t="n">
        <v>0</v>
      </c>
      <c r="CS289" s="6" t="n">
        <f aca="false">IF(R289="Y",10,0)</f>
        <v>0</v>
      </c>
      <c r="CT289" s="0" t="n">
        <v>0</v>
      </c>
      <c r="CU289" s="6" t="s">
        <v>10558</v>
      </c>
      <c r="CV289" s="6" t="s">
        <v>5564</v>
      </c>
      <c r="CW289" s="6" t="s">
        <v>10559</v>
      </c>
      <c r="CX289" s="6" t="s">
        <v>10560</v>
      </c>
      <c r="DA289" s="6" t="s">
        <v>6236</v>
      </c>
      <c r="DY289" s="0" t="str">
        <f aca="false">IF(ISNUMBER(MATCH(U289,{"queued","contacted","replied","call_booked","call_done","yes_in_principle","materials_sent"},0)),"Y","N")</f>
        <v>N</v>
      </c>
      <c r="DZ289" s="0" t="str">
        <f aca="false">IF(COUNTIFS($AN$2:$AN$1000,AN289,$DY$2:$DY$1000,"Y")+COUNTIFS($AN$2:$AN$1000,AN289,$T$2:$T$1000,"Y")&gt;0,"Y","N")</f>
        <v>N</v>
      </c>
      <c r="EA289" s="0" t="str">
        <f aca="false">IF(AND(U289="new",T289="N",AR289="Y",AQ289="",DZ289="N"),"Y","N")</f>
        <v>N</v>
      </c>
      <c r="EB289" s="0" t="str">
        <f aca="false">IF(EA289&lt;&gt;"Y","N",IF(COUNTIFS($AN$2:$AN$1000,AN289,$EA$2:$EA$1000,"Y",$J$2:$J$1000,"&gt;"&amp;J289)+COUNTIFS($AN$2:$AN$1000,AN289,$EA$2:$EA$1000,"Y",$J$2:$J$1000,J289,$ED$2:$ED$1000,"&lt;"&amp;ED289)=0,"Y","N"))</f>
        <v>N</v>
      </c>
      <c r="EC289" s="0" t="str">
        <f aca="false">IF(Y289="","N",IF(Y289&lt;=10,"Y","N"))</f>
        <v>N</v>
      </c>
      <c r="ED289" s="6" t="n">
        <f aca="false">ROW()-1</f>
        <v>288</v>
      </c>
    </row>
    <row r="290" customFormat="false" ht="15" hidden="false" customHeight="false" outlineLevel="0" collapsed="false">
      <c r="A290" s="0" t="s">
        <v>10561</v>
      </c>
      <c r="B290" s="0" t="s">
        <v>10562</v>
      </c>
      <c r="H290" s="5" t="s">
        <v>158</v>
      </c>
      <c r="I290" s="5"/>
      <c r="J290" s="6" t="n">
        <f aca="false">IF(AU290="pass",CM290+CN290+CO290+CP290+CQ290+CR290+CS290+CT290,0)</f>
        <v>0</v>
      </c>
      <c r="K290" s="6" t="s">
        <v>10563</v>
      </c>
      <c r="M290" s="6" t="s">
        <v>5293</v>
      </c>
      <c r="N290" s="6" t="s">
        <v>598</v>
      </c>
      <c r="R290" s="5" t="s">
        <v>162</v>
      </c>
      <c r="S290" s="6" t="s">
        <v>163</v>
      </c>
      <c r="T290" s="5" t="s">
        <v>162</v>
      </c>
      <c r="U290" s="5" t="s">
        <v>228</v>
      </c>
      <c r="V290" s="6" t="s">
        <v>10564</v>
      </c>
      <c r="W290" s="6" t="s">
        <v>166</v>
      </c>
      <c r="X290" s="6" t="s">
        <v>4586</v>
      </c>
      <c r="Y290" s="0" t="str">
        <f aca="false">IF(EB290&lt;&gt;"Y","",COUNTIFS($EB$2:$EB$1000,"Y",$J$2:$J$1000,"&gt;"&amp;J290)+COUNTIFS($EB$2:$EB$1000,"Y",$J$2:$J$1000,J290,$ED$2:$ED$1000,"&lt;"&amp;ED290)+1)</f>
        <v/>
      </c>
      <c r="AA290" s="6" t="s">
        <v>162</v>
      </c>
      <c r="AD290" s="6" t="s">
        <v>158</v>
      </c>
      <c r="AH290" s="6" t="s">
        <v>10565</v>
      </c>
      <c r="AI290" s="6" t="s">
        <v>5765</v>
      </c>
      <c r="AJ290" s="6" t="s">
        <v>10566</v>
      </c>
      <c r="AK290" s="6" t="s">
        <v>10567</v>
      </c>
      <c r="AL290" s="6" t="s">
        <v>162</v>
      </c>
      <c r="AN290" s="6" t="s">
        <v>10561</v>
      </c>
      <c r="AO290" s="5" t="s">
        <v>162</v>
      </c>
      <c r="AR290" s="0" t="str">
        <f aca="false">IF(AND(AU290="pass",AO290&lt;&gt;"Y",C290&lt;&gt;""),"Y","N")</f>
        <v>N</v>
      </c>
      <c r="AS290" s="0" t="str">
        <f aca="false">_xlfn.TEXTJOIN("; ",TRUE(),IF(AU290&lt;&gt;"pass","gated out",""),IF(AO290="Y","on hold: "&amp;AP290,""),IF(C290="","no contact named on an opened page",""))</f>
        <v>gated out; no contact named on an opened page</v>
      </c>
      <c r="AU290" s="6" t="s">
        <v>3704</v>
      </c>
      <c r="AV290" s="6" t="s">
        <v>9885</v>
      </c>
      <c r="AW290" s="6" t="s">
        <v>10568</v>
      </c>
      <c r="AY290" s="6" t="s">
        <v>10567</v>
      </c>
      <c r="AZ290" s="6" t="s">
        <v>4596</v>
      </c>
      <c r="BA290" s="6" t="s">
        <v>4597</v>
      </c>
      <c r="BB290" s="6" t="s">
        <v>163</v>
      </c>
      <c r="BD290" s="6" t="s">
        <v>162</v>
      </c>
      <c r="BE290" s="6" t="s">
        <v>10569</v>
      </c>
      <c r="BF290" s="6" t="s">
        <v>168</v>
      </c>
      <c r="BG290" s="6" t="s">
        <v>168</v>
      </c>
      <c r="BH290" s="6" t="s">
        <v>163</v>
      </c>
      <c r="BJ290" s="6" t="s">
        <v>163</v>
      </c>
      <c r="BK290" s="6" t="s">
        <v>162</v>
      </c>
      <c r="BL290" s="6" t="s">
        <v>168</v>
      </c>
      <c r="BM290" s="6" t="s">
        <v>10570</v>
      </c>
      <c r="BO290" s="6" t="s">
        <v>162</v>
      </c>
      <c r="BP290" s="0" t="n">
        <v>0</v>
      </c>
      <c r="BS290" s="6" t="s">
        <v>10571</v>
      </c>
      <c r="BU290" s="6" t="s">
        <v>158</v>
      </c>
      <c r="CF290" s="6" t="s">
        <v>158</v>
      </c>
      <c r="CK290" s="6" t="s">
        <v>158</v>
      </c>
      <c r="CL290" s="0" t="n">
        <v>37</v>
      </c>
      <c r="CM290" s="0" t="n">
        <v>6</v>
      </c>
      <c r="CN290" s="0" t="n">
        <v>20</v>
      </c>
      <c r="CO290" s="0" t="n">
        <v>0</v>
      </c>
      <c r="CP290" s="0" t="n">
        <v>5</v>
      </c>
      <c r="CQ290" s="0" t="n">
        <v>6</v>
      </c>
      <c r="CR290" s="0" t="n">
        <v>0</v>
      </c>
      <c r="CS290" s="6" t="n">
        <f aca="false">IF(R290="Y",10,0)</f>
        <v>0</v>
      </c>
      <c r="CT290" s="0" t="n">
        <v>0</v>
      </c>
      <c r="CV290" s="6" t="s">
        <v>4616</v>
      </c>
      <c r="CW290" s="6" t="s">
        <v>10572</v>
      </c>
      <c r="CX290" s="6" t="s">
        <v>10573</v>
      </c>
      <c r="DA290" s="6" t="s">
        <v>6236</v>
      </c>
      <c r="DY290" s="0" t="str">
        <f aca="false">IF(ISNUMBER(MATCH(U290,{"queued","contacted","replied","call_booked","call_done","yes_in_principle","materials_sent"},0)),"Y","N")</f>
        <v>N</v>
      </c>
      <c r="DZ290" s="0" t="str">
        <f aca="false">IF(COUNTIFS($AN$2:$AN$1000,AN290,$DY$2:$DY$1000,"Y")+COUNTIFS($AN$2:$AN$1000,AN290,$T$2:$T$1000,"Y")&gt;0,"Y","N")</f>
        <v>N</v>
      </c>
      <c r="EA290" s="0" t="str">
        <f aca="false">IF(AND(U290="new",T290="N",AR290="Y",AQ290="",DZ290="N"),"Y","N")</f>
        <v>N</v>
      </c>
      <c r="EB290" s="0" t="str">
        <f aca="false">IF(EA290&lt;&gt;"Y","N",IF(COUNTIFS($AN$2:$AN$1000,AN290,$EA$2:$EA$1000,"Y",$J$2:$J$1000,"&gt;"&amp;J290)+COUNTIFS($AN$2:$AN$1000,AN290,$EA$2:$EA$1000,"Y",$J$2:$J$1000,J290,$ED$2:$ED$1000,"&lt;"&amp;ED290)=0,"Y","N"))</f>
        <v>N</v>
      </c>
      <c r="EC290" s="0" t="str">
        <f aca="false">IF(Y290="","N",IF(Y290&lt;=10,"Y","N"))</f>
        <v>N</v>
      </c>
      <c r="ED290" s="6" t="n">
        <f aca="false">ROW()-1</f>
        <v>289</v>
      </c>
    </row>
    <row r="291" customFormat="false" ht="15" hidden="false" customHeight="false" outlineLevel="0" collapsed="false">
      <c r="A291" s="0" t="s">
        <v>10574</v>
      </c>
      <c r="B291" s="0" t="s">
        <v>10575</v>
      </c>
      <c r="C291" s="0" t="s">
        <v>10576</v>
      </c>
      <c r="D291" s="0" t="s">
        <v>10577</v>
      </c>
      <c r="E291" s="0" t="s">
        <v>4773</v>
      </c>
      <c r="H291" s="5" t="s">
        <v>158</v>
      </c>
      <c r="I291" s="5" t="s">
        <v>159</v>
      </c>
      <c r="J291" s="6" t="n">
        <f aca="false">IF(AU291="pass",CM291+CN291+CO291+CP291+CQ291+CR291+CS291+CT291,0)</f>
        <v>0</v>
      </c>
      <c r="K291" s="6" t="s">
        <v>10578</v>
      </c>
      <c r="M291" s="6" t="s">
        <v>5293</v>
      </c>
      <c r="N291" s="6" t="s">
        <v>598</v>
      </c>
      <c r="R291" s="5" t="s">
        <v>162</v>
      </c>
      <c r="S291" s="6" t="s">
        <v>163</v>
      </c>
      <c r="T291" s="5" t="s">
        <v>162</v>
      </c>
      <c r="U291" s="5" t="s">
        <v>228</v>
      </c>
      <c r="V291" s="6" t="s">
        <v>10579</v>
      </c>
      <c r="W291" s="6" t="s">
        <v>166</v>
      </c>
      <c r="X291" s="6" t="s">
        <v>4586</v>
      </c>
      <c r="Y291" s="0" t="str">
        <f aca="false">IF(EB291&lt;&gt;"Y","",COUNTIFS($EB$2:$EB$1000,"Y",$J$2:$J$1000,"&gt;"&amp;J291)+COUNTIFS($EB$2:$EB$1000,"Y",$J$2:$J$1000,J291,$ED$2:$ED$1000,"&lt;"&amp;ED291)+1)</f>
        <v/>
      </c>
      <c r="AA291" s="6" t="s">
        <v>162</v>
      </c>
      <c r="AC291" s="6" t="s">
        <v>4588</v>
      </c>
      <c r="AD291" s="6" t="s">
        <v>171</v>
      </c>
      <c r="AE291" s="6" t="s">
        <v>172</v>
      </c>
      <c r="AF291" s="6" t="s">
        <v>10580</v>
      </c>
      <c r="AG291" s="6" t="s">
        <v>166</v>
      </c>
      <c r="AH291" s="6" t="s">
        <v>10581</v>
      </c>
      <c r="AI291" s="6" t="s">
        <v>4665</v>
      </c>
      <c r="AJ291" s="6" t="s">
        <v>163</v>
      </c>
      <c r="AK291" s="6" t="s">
        <v>10582</v>
      </c>
      <c r="AL291" s="6" t="s">
        <v>162</v>
      </c>
      <c r="AN291" s="6" t="s">
        <v>10574</v>
      </c>
      <c r="AO291" s="5" t="s">
        <v>162</v>
      </c>
      <c r="AR291" s="0" t="str">
        <f aca="false">IF(AND(AU291="pass",AO291&lt;&gt;"Y",C291&lt;&gt;""),"Y","N")</f>
        <v>N</v>
      </c>
      <c r="AS291" s="0" t="str">
        <f aca="false">_xlfn.TEXTJOIN("; ",TRUE(),IF(AU291&lt;&gt;"pass","gated out",""),IF(AO291="Y","on hold: "&amp;AP291,""),IF(C291="","no contact named on an opened page",""))</f>
        <v>gated out</v>
      </c>
      <c r="AU291" s="6" t="s">
        <v>3704</v>
      </c>
      <c r="AV291" s="6" t="s">
        <v>9885</v>
      </c>
      <c r="AW291" s="6" t="s">
        <v>10583</v>
      </c>
      <c r="AY291" s="6" t="s">
        <v>10582</v>
      </c>
      <c r="AZ291" s="6" t="s">
        <v>163</v>
      </c>
      <c r="BA291" s="6" t="s">
        <v>163</v>
      </c>
      <c r="BB291" s="6" t="s">
        <v>163</v>
      </c>
      <c r="BD291" s="6" t="s">
        <v>162</v>
      </c>
      <c r="BE291" s="6" t="s">
        <v>10584</v>
      </c>
      <c r="BF291" s="6" t="s">
        <v>168</v>
      </c>
      <c r="BG291" s="6" t="s">
        <v>168</v>
      </c>
      <c r="BH291" s="6" t="s">
        <v>163</v>
      </c>
      <c r="BJ291" s="6" t="s">
        <v>163</v>
      </c>
      <c r="BK291" s="6" t="s">
        <v>162</v>
      </c>
      <c r="BL291" s="6" t="s">
        <v>168</v>
      </c>
      <c r="BM291" s="6" t="s">
        <v>10585</v>
      </c>
      <c r="BO291" s="6" t="s">
        <v>162</v>
      </c>
      <c r="BP291" s="0" t="n">
        <v>0</v>
      </c>
      <c r="BS291" s="6" t="s">
        <v>10586</v>
      </c>
      <c r="BT291" s="6" t="s">
        <v>10587</v>
      </c>
      <c r="BU291" s="6" t="s">
        <v>158</v>
      </c>
      <c r="BX291" s="6" t="s">
        <v>10588</v>
      </c>
      <c r="CF291" s="6" t="s">
        <v>158</v>
      </c>
      <c r="CK291" s="6" t="s">
        <v>158</v>
      </c>
      <c r="CL291" s="0" t="n">
        <v>27</v>
      </c>
      <c r="CM291" s="0" t="n">
        <v>6</v>
      </c>
      <c r="CN291" s="0" t="n">
        <v>4</v>
      </c>
      <c r="CO291" s="0" t="n">
        <v>0</v>
      </c>
      <c r="CP291" s="0" t="n">
        <v>5</v>
      </c>
      <c r="CQ291" s="0" t="n">
        <v>6</v>
      </c>
      <c r="CR291" s="0" t="n">
        <v>6</v>
      </c>
      <c r="CS291" s="6" t="n">
        <f aca="false">IF(R291="Y",10,0)</f>
        <v>0</v>
      </c>
      <c r="CT291" s="0" t="n">
        <v>0</v>
      </c>
      <c r="CU291" s="6" t="s">
        <v>10589</v>
      </c>
      <c r="CV291" s="6" t="s">
        <v>4704</v>
      </c>
      <c r="CW291" s="6" t="s">
        <v>10590</v>
      </c>
      <c r="CX291" s="6" t="s">
        <v>10591</v>
      </c>
      <c r="DA291" s="6" t="s">
        <v>6236</v>
      </c>
      <c r="DY291" s="0" t="str">
        <f aca="false">IF(ISNUMBER(MATCH(U291,{"queued","contacted","replied","call_booked","call_done","yes_in_principle","materials_sent"},0)),"Y","N")</f>
        <v>N</v>
      </c>
      <c r="DZ291" s="0" t="str">
        <f aca="false">IF(COUNTIFS($AN$2:$AN$1000,AN291,$DY$2:$DY$1000,"Y")+COUNTIFS($AN$2:$AN$1000,AN291,$T$2:$T$1000,"Y")&gt;0,"Y","N")</f>
        <v>N</v>
      </c>
      <c r="EA291" s="0" t="str">
        <f aca="false">IF(AND(U291="new",T291="N",AR291="Y",AQ291="",DZ291="N"),"Y","N")</f>
        <v>N</v>
      </c>
      <c r="EB291" s="0" t="str">
        <f aca="false">IF(EA291&lt;&gt;"Y","N",IF(COUNTIFS($AN$2:$AN$1000,AN291,$EA$2:$EA$1000,"Y",$J$2:$J$1000,"&gt;"&amp;J291)+COUNTIFS($AN$2:$AN$1000,AN291,$EA$2:$EA$1000,"Y",$J$2:$J$1000,J291,$ED$2:$ED$1000,"&lt;"&amp;ED291)=0,"Y","N"))</f>
        <v>N</v>
      </c>
      <c r="EC291" s="0" t="str">
        <f aca="false">IF(Y291="","N",IF(Y291&lt;=10,"Y","N"))</f>
        <v>N</v>
      </c>
      <c r="ED291" s="6" t="n">
        <f aca="false">ROW()-1</f>
        <v>290</v>
      </c>
    </row>
    <row r="292" customFormat="false" ht="15" hidden="false" customHeight="false" outlineLevel="0" collapsed="false">
      <c r="A292" s="0" t="s">
        <v>10592</v>
      </c>
      <c r="B292" s="0" t="s">
        <v>10593</v>
      </c>
      <c r="C292" s="0" t="s">
        <v>10594</v>
      </c>
      <c r="D292" s="0" t="s">
        <v>10595</v>
      </c>
      <c r="E292" s="0" t="s">
        <v>4773</v>
      </c>
      <c r="H292" s="5" t="s">
        <v>158</v>
      </c>
      <c r="I292" s="5" t="s">
        <v>159</v>
      </c>
      <c r="J292" s="6" t="n">
        <f aca="false">IF(AU292="pass",CM292+CN292+CO292+CP292+CQ292+CR292+CS292+CT292,0)</f>
        <v>0</v>
      </c>
      <c r="K292" s="6" t="s">
        <v>10578</v>
      </c>
      <c r="M292" s="6" t="s">
        <v>5293</v>
      </c>
      <c r="N292" s="6" t="s">
        <v>598</v>
      </c>
      <c r="R292" s="5" t="s">
        <v>162</v>
      </c>
      <c r="S292" s="6" t="s">
        <v>163</v>
      </c>
      <c r="T292" s="5" t="s">
        <v>162</v>
      </c>
      <c r="U292" s="5" t="s">
        <v>228</v>
      </c>
      <c r="V292" s="6" t="s">
        <v>10596</v>
      </c>
      <c r="W292" s="6" t="s">
        <v>166</v>
      </c>
      <c r="X292" s="6" t="s">
        <v>4586</v>
      </c>
      <c r="Y292" s="0" t="str">
        <f aca="false">IF(EB292&lt;&gt;"Y","",COUNTIFS($EB$2:$EB$1000,"Y",$J$2:$J$1000,"&gt;"&amp;J292)+COUNTIFS($EB$2:$EB$1000,"Y",$J$2:$J$1000,J292,$ED$2:$ED$1000,"&lt;"&amp;ED292)+1)</f>
        <v/>
      </c>
      <c r="AA292" s="6" t="s">
        <v>162</v>
      </c>
      <c r="AC292" s="6" t="s">
        <v>4588</v>
      </c>
      <c r="AD292" s="6" t="s">
        <v>171</v>
      </c>
      <c r="AE292" s="6" t="s">
        <v>172</v>
      </c>
      <c r="AF292" s="6" t="s">
        <v>10597</v>
      </c>
      <c r="AG292" s="6" t="s">
        <v>166</v>
      </c>
      <c r="AH292" s="6" t="s">
        <v>10598</v>
      </c>
      <c r="AI292" s="6" t="s">
        <v>4665</v>
      </c>
      <c r="AJ292" s="6" t="s">
        <v>10599</v>
      </c>
      <c r="AK292" s="6" t="s">
        <v>10600</v>
      </c>
      <c r="AL292" s="6" t="s">
        <v>162</v>
      </c>
      <c r="AN292" s="6" t="s">
        <v>10592</v>
      </c>
      <c r="AO292" s="5" t="s">
        <v>162</v>
      </c>
      <c r="AR292" s="0" t="str">
        <f aca="false">IF(AND(AU292="pass",AO292&lt;&gt;"Y",C292&lt;&gt;""),"Y","N")</f>
        <v>N</v>
      </c>
      <c r="AS292" s="0" t="str">
        <f aca="false">_xlfn.TEXTJOIN("; ",TRUE(),IF(AU292&lt;&gt;"pass","gated out",""),IF(AO292="Y","on hold: "&amp;AP292,""),IF(C292="","no contact named on an opened page",""))</f>
        <v>gated out</v>
      </c>
      <c r="AU292" s="6" t="s">
        <v>3704</v>
      </c>
      <c r="AV292" s="6" t="s">
        <v>9885</v>
      </c>
      <c r="AW292" s="6" t="s">
        <v>10583</v>
      </c>
      <c r="AY292" s="6" t="s">
        <v>10600</v>
      </c>
      <c r="AZ292" s="6" t="s">
        <v>10601</v>
      </c>
      <c r="BA292" s="6" t="s">
        <v>5331</v>
      </c>
      <c r="BB292" s="6" t="s">
        <v>163</v>
      </c>
      <c r="BD292" s="6" t="s">
        <v>162</v>
      </c>
      <c r="BE292" s="6" t="s">
        <v>10602</v>
      </c>
      <c r="BF292" s="6" t="s">
        <v>168</v>
      </c>
      <c r="BG292" s="6" t="s">
        <v>168</v>
      </c>
      <c r="BH292" s="6" t="s">
        <v>163</v>
      </c>
      <c r="BJ292" s="6" t="s">
        <v>163</v>
      </c>
      <c r="BK292" s="6" t="s">
        <v>162</v>
      </c>
      <c r="BL292" s="6" t="s">
        <v>168</v>
      </c>
      <c r="BM292" s="6" t="s">
        <v>10585</v>
      </c>
      <c r="BO292" s="6" t="s">
        <v>162</v>
      </c>
      <c r="BP292" s="0" t="n">
        <v>0</v>
      </c>
      <c r="BS292" s="6" t="s">
        <v>10603</v>
      </c>
      <c r="BT292" s="6" t="s">
        <v>10604</v>
      </c>
      <c r="BU292" s="6" t="s">
        <v>158</v>
      </c>
      <c r="BX292" s="6" t="s">
        <v>10605</v>
      </c>
      <c r="CF292" s="6" t="s">
        <v>158</v>
      </c>
      <c r="CK292" s="6" t="s">
        <v>158</v>
      </c>
      <c r="CL292" s="0" t="n">
        <v>26</v>
      </c>
      <c r="CM292" s="0" t="n">
        <v>6</v>
      </c>
      <c r="CN292" s="0" t="n">
        <v>3</v>
      </c>
      <c r="CO292" s="0" t="n">
        <v>0</v>
      </c>
      <c r="CP292" s="0" t="n">
        <v>5</v>
      </c>
      <c r="CQ292" s="0" t="n">
        <v>6</v>
      </c>
      <c r="CR292" s="0" t="n">
        <v>6</v>
      </c>
      <c r="CS292" s="6" t="n">
        <f aca="false">IF(R292="Y",10,0)</f>
        <v>0</v>
      </c>
      <c r="CT292" s="0" t="n">
        <v>0</v>
      </c>
      <c r="CU292" s="6" t="s">
        <v>10606</v>
      </c>
      <c r="CV292" s="6" t="s">
        <v>4704</v>
      </c>
      <c r="CW292" s="6" t="s">
        <v>10607</v>
      </c>
      <c r="CX292" s="6" t="s">
        <v>10608</v>
      </c>
      <c r="DA292" s="6" t="s">
        <v>6236</v>
      </c>
      <c r="DY292" s="0" t="str">
        <f aca="false">IF(ISNUMBER(MATCH(U292,{"queued","contacted","replied","call_booked","call_done","yes_in_principle","materials_sent"},0)),"Y","N")</f>
        <v>N</v>
      </c>
      <c r="DZ292" s="0" t="str">
        <f aca="false">IF(COUNTIFS($AN$2:$AN$1000,AN292,$DY$2:$DY$1000,"Y")+COUNTIFS($AN$2:$AN$1000,AN292,$T$2:$T$1000,"Y")&gt;0,"Y","N")</f>
        <v>N</v>
      </c>
      <c r="EA292" s="0" t="str">
        <f aca="false">IF(AND(U292="new",T292="N",AR292="Y",AQ292="",DZ292="N"),"Y","N")</f>
        <v>N</v>
      </c>
      <c r="EB292" s="0" t="str">
        <f aca="false">IF(EA292&lt;&gt;"Y","N",IF(COUNTIFS($AN$2:$AN$1000,AN292,$EA$2:$EA$1000,"Y",$J$2:$J$1000,"&gt;"&amp;J292)+COUNTIFS($AN$2:$AN$1000,AN292,$EA$2:$EA$1000,"Y",$J$2:$J$1000,J292,$ED$2:$ED$1000,"&lt;"&amp;ED292)=0,"Y","N"))</f>
        <v>N</v>
      </c>
      <c r="EC292" s="0" t="str">
        <f aca="false">IF(Y292="","N",IF(Y292&lt;=10,"Y","N"))</f>
        <v>N</v>
      </c>
      <c r="ED292" s="6" t="n">
        <f aca="false">ROW()-1</f>
        <v>291</v>
      </c>
    </row>
    <row r="293" customFormat="false" ht="15" hidden="false" customHeight="false" outlineLevel="0" collapsed="false">
      <c r="A293" s="0" t="s">
        <v>10609</v>
      </c>
      <c r="B293" s="0" t="s">
        <v>10610</v>
      </c>
      <c r="H293" s="5" t="s">
        <v>158</v>
      </c>
      <c r="I293" s="5"/>
      <c r="J293" s="6" t="n">
        <f aca="false">IF(AU293="pass",CM293+CN293+CO293+CP293+CQ293+CR293+CS293+CT293,0)</f>
        <v>0</v>
      </c>
      <c r="K293" s="6" t="s">
        <v>10611</v>
      </c>
      <c r="M293" s="6" t="s">
        <v>5293</v>
      </c>
      <c r="N293" s="6" t="s">
        <v>598</v>
      </c>
      <c r="R293" s="5" t="s">
        <v>162</v>
      </c>
      <c r="S293" s="6" t="s">
        <v>163</v>
      </c>
      <c r="T293" s="5" t="s">
        <v>162</v>
      </c>
      <c r="U293" s="5" t="s">
        <v>228</v>
      </c>
      <c r="V293" s="6" t="s">
        <v>10612</v>
      </c>
      <c r="W293" s="6" t="s">
        <v>166</v>
      </c>
      <c r="X293" s="6" t="s">
        <v>4586</v>
      </c>
      <c r="Y293" s="0" t="str">
        <f aca="false">IF(EB293&lt;&gt;"Y","",COUNTIFS($EB$2:$EB$1000,"Y",$J$2:$J$1000,"&gt;"&amp;J293)+COUNTIFS($EB$2:$EB$1000,"Y",$J$2:$J$1000,J293,$ED$2:$ED$1000,"&lt;"&amp;ED293)+1)</f>
        <v/>
      </c>
      <c r="AA293" s="6" t="s">
        <v>162</v>
      </c>
      <c r="AD293" s="6" t="s">
        <v>158</v>
      </c>
      <c r="AH293" s="6" t="s">
        <v>10613</v>
      </c>
      <c r="AI293" s="6" t="s">
        <v>5926</v>
      </c>
      <c r="AJ293" s="6" t="s">
        <v>163</v>
      </c>
      <c r="AK293" s="6" t="s">
        <v>10614</v>
      </c>
      <c r="AL293" s="6" t="s">
        <v>168</v>
      </c>
      <c r="AM293" s="6" t="s">
        <v>10615</v>
      </c>
      <c r="AN293" s="6" t="s">
        <v>10609</v>
      </c>
      <c r="AO293" s="5" t="s">
        <v>162</v>
      </c>
      <c r="AR293" s="0" t="str">
        <f aca="false">IF(AND(AU293="pass",AO293&lt;&gt;"Y",C293&lt;&gt;""),"Y","N")</f>
        <v>N</v>
      </c>
      <c r="AS293" s="0" t="str">
        <f aca="false">_xlfn.TEXTJOIN("; ",TRUE(),IF(AU293&lt;&gt;"pass","gated out",""),IF(AO293="Y","on hold: "&amp;AP293,""),IF(C293="","no contact named on an opened page",""))</f>
        <v>gated out; no contact named on an opened page</v>
      </c>
      <c r="AU293" s="6" t="s">
        <v>3704</v>
      </c>
      <c r="AV293" s="6" t="s">
        <v>10404</v>
      </c>
      <c r="AW293" s="6" t="s">
        <v>10616</v>
      </c>
      <c r="AX293" s="6" t="s">
        <v>4595</v>
      </c>
      <c r="AY293" s="6" t="s">
        <v>10614</v>
      </c>
      <c r="AZ293" s="6" t="s">
        <v>5358</v>
      </c>
      <c r="BA293" s="6" t="s">
        <v>5331</v>
      </c>
      <c r="BB293" s="6" t="s">
        <v>163</v>
      </c>
      <c r="BD293" s="6" t="s">
        <v>168</v>
      </c>
      <c r="BE293" s="6" t="s">
        <v>10617</v>
      </c>
      <c r="BF293" s="6" t="s">
        <v>168</v>
      </c>
      <c r="BG293" s="6" t="s">
        <v>168</v>
      </c>
      <c r="BH293" s="6" t="s">
        <v>163</v>
      </c>
      <c r="BJ293" s="6" t="s">
        <v>5551</v>
      </c>
      <c r="BK293" s="6" t="s">
        <v>168</v>
      </c>
      <c r="BL293" s="6" t="s">
        <v>168</v>
      </c>
      <c r="BM293" s="6" t="s">
        <v>10618</v>
      </c>
      <c r="BO293" s="6" t="s">
        <v>162</v>
      </c>
      <c r="BP293" s="0" t="n">
        <v>0</v>
      </c>
      <c r="BS293" s="6" t="s">
        <v>7162</v>
      </c>
      <c r="BU293" s="6" t="s">
        <v>158</v>
      </c>
      <c r="CF293" s="6" t="s">
        <v>158</v>
      </c>
      <c r="CK293" s="6" t="s">
        <v>158</v>
      </c>
      <c r="CL293" s="0" t="n">
        <v>20</v>
      </c>
      <c r="CM293" s="0" t="n">
        <v>6</v>
      </c>
      <c r="CN293" s="0" t="n">
        <v>3</v>
      </c>
      <c r="CO293" s="0" t="n">
        <v>0</v>
      </c>
      <c r="CP293" s="0" t="n">
        <v>5</v>
      </c>
      <c r="CQ293" s="0" t="n">
        <v>10</v>
      </c>
      <c r="CR293" s="0" t="n">
        <v>0</v>
      </c>
      <c r="CS293" s="6" t="n">
        <f aca="false">IF(R293="Y",10,0)</f>
        <v>0</v>
      </c>
      <c r="CT293" s="0" t="n">
        <v>-4</v>
      </c>
      <c r="CU293" s="6" t="s">
        <v>10619</v>
      </c>
      <c r="CV293" s="6" t="s">
        <v>5564</v>
      </c>
      <c r="CW293" s="6" t="s">
        <v>10620</v>
      </c>
      <c r="CX293" s="6" t="s">
        <v>10621</v>
      </c>
      <c r="DA293" s="6" t="s">
        <v>6236</v>
      </c>
      <c r="DY293" s="0" t="str">
        <f aca="false">IF(ISNUMBER(MATCH(U293,{"queued","contacted","replied","call_booked","call_done","yes_in_principle","materials_sent"},0)),"Y","N")</f>
        <v>N</v>
      </c>
      <c r="DZ293" s="0" t="str">
        <f aca="false">IF(COUNTIFS($AN$2:$AN$1000,AN293,$DY$2:$DY$1000,"Y")+COUNTIFS($AN$2:$AN$1000,AN293,$T$2:$T$1000,"Y")&gt;0,"Y","N")</f>
        <v>N</v>
      </c>
      <c r="EA293" s="0" t="str">
        <f aca="false">IF(AND(U293="new",T293="N",AR293="Y",AQ293="",DZ293="N"),"Y","N")</f>
        <v>N</v>
      </c>
      <c r="EB293" s="0" t="str">
        <f aca="false">IF(EA293&lt;&gt;"Y","N",IF(COUNTIFS($AN$2:$AN$1000,AN293,$EA$2:$EA$1000,"Y",$J$2:$J$1000,"&gt;"&amp;J293)+COUNTIFS($AN$2:$AN$1000,AN293,$EA$2:$EA$1000,"Y",$J$2:$J$1000,J293,$ED$2:$ED$1000,"&lt;"&amp;ED293)=0,"Y","N"))</f>
        <v>N</v>
      </c>
      <c r="EC293" s="0" t="str">
        <f aca="false">IF(Y293="","N",IF(Y293&lt;=10,"Y","N"))</f>
        <v>N</v>
      </c>
      <c r="ED293" s="6" t="n">
        <f aca="false">ROW()-1</f>
        <v>292</v>
      </c>
    </row>
    <row r="294" customFormat="false" ht="15" hidden="false" customHeight="false" outlineLevel="0" collapsed="false">
      <c r="A294" s="0" t="s">
        <v>10622</v>
      </c>
      <c r="B294" s="0" t="s">
        <v>10623</v>
      </c>
      <c r="C294" s="0" t="s">
        <v>5890</v>
      </c>
      <c r="D294" s="0" t="s">
        <v>10624</v>
      </c>
      <c r="E294" s="0" t="s">
        <v>4626</v>
      </c>
      <c r="H294" s="5" t="s">
        <v>158</v>
      </c>
      <c r="I294" s="5" t="s">
        <v>159</v>
      </c>
      <c r="J294" s="6" t="n">
        <f aca="false">IF(AU294="pass",CM294+CN294+CO294+CP294+CQ294+CR294+CS294+CT294,0)</f>
        <v>0</v>
      </c>
      <c r="K294" s="6" t="s">
        <v>10625</v>
      </c>
      <c r="M294" s="6" t="s">
        <v>5293</v>
      </c>
      <c r="N294" s="6" t="s">
        <v>598</v>
      </c>
      <c r="R294" s="5" t="s">
        <v>162</v>
      </c>
      <c r="S294" s="6" t="s">
        <v>168</v>
      </c>
      <c r="T294" s="5" t="s">
        <v>162</v>
      </c>
      <c r="U294" s="5" t="s">
        <v>228</v>
      </c>
      <c r="V294" s="6" t="s">
        <v>10626</v>
      </c>
      <c r="W294" s="6" t="s">
        <v>166</v>
      </c>
      <c r="X294" s="6" t="s">
        <v>4586</v>
      </c>
      <c r="Y294" s="0" t="str">
        <f aca="false">IF(EB294&lt;&gt;"Y","",COUNTIFS($EB$2:$EB$1000,"Y",$J$2:$J$1000,"&gt;"&amp;J294)+COUNTIFS($EB$2:$EB$1000,"Y",$J$2:$J$1000,J294,$ED$2:$ED$1000,"&lt;"&amp;ED294)+1)</f>
        <v/>
      </c>
      <c r="AA294" s="6" t="s">
        <v>162</v>
      </c>
      <c r="AC294" s="6" t="s">
        <v>4588</v>
      </c>
      <c r="AD294" s="6" t="s">
        <v>171</v>
      </c>
      <c r="AE294" s="6" t="s">
        <v>1190</v>
      </c>
      <c r="AF294" s="6" t="s">
        <v>10626</v>
      </c>
      <c r="AG294" s="6" t="s">
        <v>166</v>
      </c>
      <c r="AH294" s="6" t="s">
        <v>10627</v>
      </c>
      <c r="AI294" s="6" t="s">
        <v>5926</v>
      </c>
      <c r="AJ294" s="6" t="s">
        <v>10465</v>
      </c>
      <c r="AK294" s="6" t="s">
        <v>10628</v>
      </c>
      <c r="AL294" s="6" t="s">
        <v>168</v>
      </c>
      <c r="AM294" s="6" t="s">
        <v>4691</v>
      </c>
      <c r="AN294" s="6" t="s">
        <v>10622</v>
      </c>
      <c r="AO294" s="5" t="s">
        <v>162</v>
      </c>
      <c r="AR294" s="0" t="str">
        <f aca="false">IF(AND(AU294="pass",AO294&lt;&gt;"Y",C294&lt;&gt;""),"Y","N")</f>
        <v>N</v>
      </c>
      <c r="AS294" s="0" t="str">
        <f aca="false">_xlfn.TEXTJOIN("; ",TRUE(),IF(AU294&lt;&gt;"pass","gated out",""),IF(AO294="Y","on hold: "&amp;AP294,""),IF(C294="","no contact named on an opened page",""))</f>
        <v>gated out</v>
      </c>
      <c r="AU294" s="6" t="s">
        <v>3704</v>
      </c>
      <c r="AV294" s="6" t="s">
        <v>9764</v>
      </c>
      <c r="AW294" s="6" t="s">
        <v>10629</v>
      </c>
      <c r="AY294" s="6" t="s">
        <v>10628</v>
      </c>
      <c r="AZ294" s="6" t="s">
        <v>4596</v>
      </c>
      <c r="BA294" s="6" t="s">
        <v>4597</v>
      </c>
      <c r="BB294" s="6" t="s">
        <v>163</v>
      </c>
      <c r="BD294" s="6" t="s">
        <v>163</v>
      </c>
      <c r="BE294" s="6" t="s">
        <v>10630</v>
      </c>
      <c r="BF294" s="6" t="s">
        <v>168</v>
      </c>
      <c r="BG294" s="6" t="s">
        <v>168</v>
      </c>
      <c r="BH294" s="6" t="s">
        <v>163</v>
      </c>
      <c r="BJ294" s="6" t="s">
        <v>10631</v>
      </c>
      <c r="BK294" s="6" t="s">
        <v>168</v>
      </c>
      <c r="BL294" s="6" t="s">
        <v>168</v>
      </c>
      <c r="BM294" s="6" t="s">
        <v>10632</v>
      </c>
      <c r="BO294" s="6" t="s">
        <v>162</v>
      </c>
      <c r="BP294" s="0" t="n">
        <v>0</v>
      </c>
      <c r="BS294" s="6" t="s">
        <v>10633</v>
      </c>
      <c r="BU294" s="6" t="s">
        <v>158</v>
      </c>
      <c r="BW294" s="6" t="s">
        <v>10626</v>
      </c>
      <c r="BX294" s="6" t="s">
        <v>10634</v>
      </c>
      <c r="CF294" s="6" t="s">
        <v>158</v>
      </c>
      <c r="CK294" s="6" t="s">
        <v>158</v>
      </c>
      <c r="CL294" s="0" t="n">
        <v>44</v>
      </c>
      <c r="CM294" s="0" t="n">
        <v>6</v>
      </c>
      <c r="CN294" s="0" t="n">
        <v>20</v>
      </c>
      <c r="CO294" s="0" t="n">
        <v>0</v>
      </c>
      <c r="CP294" s="0" t="n">
        <v>5</v>
      </c>
      <c r="CQ294" s="0" t="n">
        <v>7</v>
      </c>
      <c r="CR294" s="0" t="n">
        <v>6</v>
      </c>
      <c r="CS294" s="6" t="n">
        <f aca="false">IF(R294="Y",10,0)</f>
        <v>0</v>
      </c>
      <c r="CT294" s="0" t="n">
        <v>0</v>
      </c>
      <c r="CV294" s="6" t="s">
        <v>4616</v>
      </c>
      <c r="CW294" s="6" t="s">
        <v>10635</v>
      </c>
      <c r="CX294" s="6" t="s">
        <v>10636</v>
      </c>
      <c r="DA294" s="6" t="s">
        <v>6236</v>
      </c>
      <c r="DY294" s="0" t="str">
        <f aca="false">IF(ISNUMBER(MATCH(U294,{"queued","contacted","replied","call_booked","call_done","yes_in_principle","materials_sent"},0)),"Y","N")</f>
        <v>N</v>
      </c>
      <c r="DZ294" s="0" t="str">
        <f aca="false">IF(COUNTIFS($AN$2:$AN$1000,AN294,$DY$2:$DY$1000,"Y")+COUNTIFS($AN$2:$AN$1000,AN294,$T$2:$T$1000,"Y")&gt;0,"Y","N")</f>
        <v>N</v>
      </c>
      <c r="EA294" s="0" t="str">
        <f aca="false">IF(AND(U294="new",T294="N",AR294="Y",AQ294="",DZ294="N"),"Y","N")</f>
        <v>N</v>
      </c>
      <c r="EB294" s="0" t="str">
        <f aca="false">IF(EA294&lt;&gt;"Y","N",IF(COUNTIFS($AN$2:$AN$1000,AN294,$EA$2:$EA$1000,"Y",$J$2:$J$1000,"&gt;"&amp;J294)+COUNTIFS($AN$2:$AN$1000,AN294,$EA$2:$EA$1000,"Y",$J$2:$J$1000,J294,$ED$2:$ED$1000,"&lt;"&amp;ED294)=0,"Y","N"))</f>
        <v>N</v>
      </c>
      <c r="EC294" s="0" t="str">
        <f aca="false">IF(Y294="","N",IF(Y294&lt;=10,"Y","N"))</f>
        <v>N</v>
      </c>
      <c r="ED294" s="6" t="n">
        <f aca="false">ROW()-1</f>
        <v>293</v>
      </c>
    </row>
    <row r="295" customFormat="false" ht="15" hidden="false" customHeight="false" outlineLevel="0" collapsed="false">
      <c r="A295" s="0" t="s">
        <v>10637</v>
      </c>
      <c r="B295" s="0" t="s">
        <v>10638</v>
      </c>
      <c r="C295" s="0" t="s">
        <v>5103</v>
      </c>
      <c r="D295" s="0" t="s">
        <v>10639</v>
      </c>
      <c r="E295" s="0" t="s">
        <v>4626</v>
      </c>
      <c r="H295" s="5" t="s">
        <v>158</v>
      </c>
      <c r="I295" s="5" t="s">
        <v>159</v>
      </c>
      <c r="J295" s="6" t="n">
        <f aca="false">IF(AU295="pass",CM295+CN295+CO295+CP295+CQ295+CR295+CS295+CT295,0)</f>
        <v>0</v>
      </c>
      <c r="K295" s="6" t="s">
        <v>10640</v>
      </c>
      <c r="M295" s="6" t="s">
        <v>5293</v>
      </c>
      <c r="N295" s="6" t="s">
        <v>598</v>
      </c>
      <c r="R295" s="5" t="s">
        <v>162</v>
      </c>
      <c r="S295" s="6" t="s">
        <v>163</v>
      </c>
      <c r="T295" s="5" t="s">
        <v>162</v>
      </c>
      <c r="U295" s="5" t="s">
        <v>228</v>
      </c>
      <c r="V295" s="6" t="s">
        <v>10641</v>
      </c>
      <c r="W295" s="6" t="s">
        <v>166</v>
      </c>
      <c r="X295" s="6" t="s">
        <v>4586</v>
      </c>
      <c r="Y295" s="0" t="str">
        <f aca="false">IF(EB295&lt;&gt;"Y","",COUNTIFS($EB$2:$EB$1000,"Y",$J$2:$J$1000,"&gt;"&amp;J295)+COUNTIFS($EB$2:$EB$1000,"Y",$J$2:$J$1000,J295,$ED$2:$ED$1000,"&lt;"&amp;ED295)+1)</f>
        <v/>
      </c>
      <c r="AA295" s="6" t="s">
        <v>162</v>
      </c>
      <c r="AC295" s="6" t="s">
        <v>4588</v>
      </c>
      <c r="AD295" s="6" t="s">
        <v>171</v>
      </c>
      <c r="AE295" s="6" t="s">
        <v>163</v>
      </c>
      <c r="AG295" s="6" t="s">
        <v>166</v>
      </c>
      <c r="AH295" s="6" t="s">
        <v>10642</v>
      </c>
      <c r="AI295" s="6" t="s">
        <v>5463</v>
      </c>
      <c r="AJ295" s="6" t="s">
        <v>4635</v>
      </c>
      <c r="AL295" s="6" t="s">
        <v>168</v>
      </c>
      <c r="AM295" s="6" t="s">
        <v>4691</v>
      </c>
      <c r="AN295" s="6" t="s">
        <v>10637</v>
      </c>
      <c r="AO295" s="5" t="s">
        <v>162</v>
      </c>
      <c r="AR295" s="0" t="str">
        <f aca="false">IF(AND(AU295="pass",AO295&lt;&gt;"Y",C295&lt;&gt;""),"Y","N")</f>
        <v>N</v>
      </c>
      <c r="AS295" s="0" t="str">
        <f aca="false">_xlfn.TEXTJOIN("; ",TRUE(),IF(AU295&lt;&gt;"pass","gated out",""),IF(AO295="Y","on hold: "&amp;AP295,""),IF(C295="","no contact named on an opened page",""))</f>
        <v>gated out</v>
      </c>
      <c r="AU295" s="6" t="s">
        <v>3704</v>
      </c>
      <c r="AV295" s="6" t="s">
        <v>10058</v>
      </c>
      <c r="AW295" s="6" t="s">
        <v>10643</v>
      </c>
      <c r="AY295" s="6" t="s">
        <v>10641</v>
      </c>
      <c r="AZ295" s="6" t="s">
        <v>4596</v>
      </c>
      <c r="BA295" s="6" t="s">
        <v>4597</v>
      </c>
      <c r="BB295" s="6" t="s">
        <v>163</v>
      </c>
      <c r="BD295" s="6" t="s">
        <v>163</v>
      </c>
      <c r="BF295" s="6" t="s">
        <v>163</v>
      </c>
      <c r="BG295" s="6" t="s">
        <v>162</v>
      </c>
      <c r="BH295" s="6" t="s">
        <v>163</v>
      </c>
      <c r="BJ295" s="6" t="s">
        <v>163</v>
      </c>
      <c r="BK295" s="6" t="s">
        <v>162</v>
      </c>
      <c r="BL295" s="6" t="s">
        <v>168</v>
      </c>
      <c r="BM295" s="6" t="s">
        <v>10644</v>
      </c>
      <c r="BO295" s="6" t="s">
        <v>162</v>
      </c>
      <c r="BP295" s="0" t="n">
        <v>0</v>
      </c>
      <c r="BT295" s="6" t="s">
        <v>10645</v>
      </c>
      <c r="BU295" s="6" t="s">
        <v>158</v>
      </c>
      <c r="BX295" s="6" t="s">
        <v>10646</v>
      </c>
      <c r="CA295" s="6" t="s">
        <v>10647</v>
      </c>
      <c r="CB295" s="6" t="s">
        <v>5476</v>
      </c>
      <c r="CC295" s="6" t="s">
        <v>10648</v>
      </c>
      <c r="CD295" s="6" t="s">
        <v>4626</v>
      </c>
      <c r="CE295" s="6" t="s">
        <v>6725</v>
      </c>
      <c r="CF295" s="6" t="s">
        <v>171</v>
      </c>
      <c r="CK295" s="6" t="s">
        <v>158</v>
      </c>
      <c r="CL295" s="0" t="n">
        <v>33</v>
      </c>
      <c r="CM295" s="0" t="n">
        <v>0</v>
      </c>
      <c r="CN295" s="0" t="n">
        <v>20</v>
      </c>
      <c r="CO295" s="0" t="n">
        <v>0</v>
      </c>
      <c r="CP295" s="0" t="n">
        <v>5</v>
      </c>
      <c r="CQ295" s="0" t="n">
        <v>2</v>
      </c>
      <c r="CR295" s="0" t="n">
        <v>6</v>
      </c>
      <c r="CS295" s="6" t="n">
        <f aca="false">IF(R295="Y",10,0)</f>
        <v>0</v>
      </c>
      <c r="CT295" s="0" t="n">
        <v>0</v>
      </c>
      <c r="CU295" s="6" t="s">
        <v>163</v>
      </c>
      <c r="CV295" s="6" t="s">
        <v>4843</v>
      </c>
      <c r="CW295" s="6" t="s">
        <v>10649</v>
      </c>
      <c r="CX295" s="6" t="s">
        <v>10650</v>
      </c>
      <c r="DA295" s="6" t="s">
        <v>6236</v>
      </c>
      <c r="DC295" s="6" t="s">
        <v>163</v>
      </c>
      <c r="DY295" s="0" t="str">
        <f aca="false">IF(ISNUMBER(MATCH(U295,{"queued","contacted","replied","call_booked","call_done","yes_in_principle","materials_sent"},0)),"Y","N")</f>
        <v>N</v>
      </c>
      <c r="DZ295" s="0" t="str">
        <f aca="false">IF(COUNTIFS($AN$2:$AN$1000,AN295,$DY$2:$DY$1000,"Y")+COUNTIFS($AN$2:$AN$1000,AN295,$T$2:$T$1000,"Y")&gt;0,"Y","N")</f>
        <v>N</v>
      </c>
      <c r="EA295" s="0" t="str">
        <f aca="false">IF(AND(U295="new",T295="N",AR295="Y",AQ295="",DZ295="N"),"Y","N")</f>
        <v>N</v>
      </c>
      <c r="EB295" s="0" t="str">
        <f aca="false">IF(EA295&lt;&gt;"Y","N",IF(COUNTIFS($AN$2:$AN$1000,AN295,$EA$2:$EA$1000,"Y",$J$2:$J$1000,"&gt;"&amp;J295)+COUNTIFS($AN$2:$AN$1000,AN295,$EA$2:$EA$1000,"Y",$J$2:$J$1000,J295,$ED$2:$ED$1000,"&lt;"&amp;ED295)=0,"Y","N"))</f>
        <v>N</v>
      </c>
      <c r="EC295" s="0" t="str">
        <f aca="false">IF(Y295="","N",IF(Y295&lt;=10,"Y","N"))</f>
        <v>N</v>
      </c>
      <c r="ED295" s="6" t="n">
        <f aca="false">ROW()-1</f>
        <v>294</v>
      </c>
    </row>
    <row r="296" customFormat="false" ht="15" hidden="false" customHeight="false" outlineLevel="0" collapsed="false">
      <c r="A296" s="0" t="s">
        <v>10651</v>
      </c>
      <c r="B296" s="0" t="s">
        <v>10652</v>
      </c>
      <c r="H296" s="5" t="s">
        <v>158</v>
      </c>
      <c r="I296" s="5"/>
      <c r="J296" s="6" t="n">
        <f aca="false">IF(AU296="pass",CM296+CN296+CO296+CP296+CQ296+CR296+CS296+CT296,0)</f>
        <v>0</v>
      </c>
      <c r="K296" s="6" t="s">
        <v>10653</v>
      </c>
      <c r="M296" s="6" t="s">
        <v>5293</v>
      </c>
      <c r="N296" s="6" t="s">
        <v>598</v>
      </c>
      <c r="R296" s="5" t="s">
        <v>162</v>
      </c>
      <c r="S296" s="6" t="s">
        <v>163</v>
      </c>
      <c r="T296" s="5" t="s">
        <v>162</v>
      </c>
      <c r="U296" s="5" t="s">
        <v>228</v>
      </c>
      <c r="V296" s="6" t="s">
        <v>10654</v>
      </c>
      <c r="W296" s="6" t="s">
        <v>166</v>
      </c>
      <c r="X296" s="6" t="s">
        <v>4586</v>
      </c>
      <c r="Y296" s="0" t="str">
        <f aca="false">IF(EB296&lt;&gt;"Y","",COUNTIFS($EB$2:$EB$1000,"Y",$J$2:$J$1000,"&gt;"&amp;J296)+COUNTIFS($EB$2:$EB$1000,"Y",$J$2:$J$1000,J296,$ED$2:$ED$1000,"&lt;"&amp;ED296)+1)</f>
        <v/>
      </c>
      <c r="AA296" s="6" t="s">
        <v>162</v>
      </c>
      <c r="AD296" s="6" t="s">
        <v>158</v>
      </c>
      <c r="AH296" s="6" t="s">
        <v>10655</v>
      </c>
      <c r="AI296" s="6" t="s">
        <v>5926</v>
      </c>
      <c r="AJ296" s="6" t="s">
        <v>163</v>
      </c>
      <c r="AK296" s="6" t="s">
        <v>10656</v>
      </c>
      <c r="AL296" s="6" t="s">
        <v>168</v>
      </c>
      <c r="AM296" s="6" t="s">
        <v>4691</v>
      </c>
      <c r="AN296" s="6" t="s">
        <v>10651</v>
      </c>
      <c r="AO296" s="5" t="s">
        <v>162</v>
      </c>
      <c r="AR296" s="0" t="str">
        <f aca="false">IF(AND(AU296="pass",AO296&lt;&gt;"Y",C296&lt;&gt;""),"Y","N")</f>
        <v>N</v>
      </c>
      <c r="AS296" s="0" t="str">
        <f aca="false">_xlfn.TEXTJOIN("; ",TRUE(),IF(AU296&lt;&gt;"pass","gated out",""),IF(AO296="Y","on hold: "&amp;AP296,""),IF(C296="","no contact named on an opened page",""))</f>
        <v>gated out; no contact named on an opened page</v>
      </c>
      <c r="AU296" s="6" t="s">
        <v>3704</v>
      </c>
      <c r="AV296" s="6" t="s">
        <v>9764</v>
      </c>
      <c r="AW296" s="6" t="s">
        <v>10657</v>
      </c>
      <c r="AY296" s="6" t="s">
        <v>10656</v>
      </c>
      <c r="AZ296" s="6" t="s">
        <v>163</v>
      </c>
      <c r="BA296" s="6" t="s">
        <v>163</v>
      </c>
      <c r="BB296" s="6" t="s">
        <v>163</v>
      </c>
      <c r="BD296" s="6" t="s">
        <v>163</v>
      </c>
      <c r="BE296" s="6" t="s">
        <v>8634</v>
      </c>
      <c r="BF296" s="6" t="s">
        <v>168</v>
      </c>
      <c r="BG296" s="6" t="s">
        <v>168</v>
      </c>
      <c r="BH296" s="6" t="s">
        <v>163</v>
      </c>
      <c r="BJ296" s="6" t="s">
        <v>10658</v>
      </c>
      <c r="BK296" s="6" t="s">
        <v>168</v>
      </c>
      <c r="BL296" s="6" t="s">
        <v>168</v>
      </c>
      <c r="BM296" s="6" t="s">
        <v>10659</v>
      </c>
      <c r="BO296" s="6" t="s">
        <v>162</v>
      </c>
      <c r="BP296" s="0" t="n">
        <v>0</v>
      </c>
      <c r="BS296" s="6" t="s">
        <v>163</v>
      </c>
      <c r="BU296" s="6" t="s">
        <v>158</v>
      </c>
      <c r="CF296" s="6" t="s">
        <v>158</v>
      </c>
      <c r="CK296" s="6" t="s">
        <v>158</v>
      </c>
      <c r="CL296" s="0" t="n">
        <v>22</v>
      </c>
      <c r="CM296" s="0" t="n">
        <v>6</v>
      </c>
      <c r="CN296" s="0" t="n">
        <v>4</v>
      </c>
      <c r="CO296" s="0" t="n">
        <v>0</v>
      </c>
      <c r="CP296" s="0" t="n">
        <v>5</v>
      </c>
      <c r="CQ296" s="0" t="n">
        <v>7</v>
      </c>
      <c r="CR296" s="0" t="n">
        <v>0</v>
      </c>
      <c r="CS296" s="6" t="n">
        <f aca="false">IF(R296="Y",10,0)</f>
        <v>0</v>
      </c>
      <c r="CT296" s="0" t="n">
        <v>0</v>
      </c>
      <c r="CU296" s="6" t="s">
        <v>10660</v>
      </c>
      <c r="CV296" s="6" t="s">
        <v>5564</v>
      </c>
      <c r="CW296" s="6" t="s">
        <v>10661</v>
      </c>
      <c r="CX296" s="6" t="s">
        <v>10662</v>
      </c>
      <c r="DA296" s="6" t="s">
        <v>6236</v>
      </c>
      <c r="DY296" s="0" t="str">
        <f aca="false">IF(ISNUMBER(MATCH(U296,{"queued","contacted","replied","call_booked","call_done","yes_in_principle","materials_sent"},0)),"Y","N")</f>
        <v>N</v>
      </c>
      <c r="DZ296" s="0" t="str">
        <f aca="false">IF(COUNTIFS($AN$2:$AN$1000,AN296,$DY$2:$DY$1000,"Y")+COUNTIFS($AN$2:$AN$1000,AN296,$T$2:$T$1000,"Y")&gt;0,"Y","N")</f>
        <v>N</v>
      </c>
      <c r="EA296" s="0" t="str">
        <f aca="false">IF(AND(U296="new",T296="N",AR296="Y",AQ296="",DZ296="N"),"Y","N")</f>
        <v>N</v>
      </c>
      <c r="EB296" s="0" t="str">
        <f aca="false">IF(EA296&lt;&gt;"Y","N",IF(COUNTIFS($AN$2:$AN$1000,AN296,$EA$2:$EA$1000,"Y",$J$2:$J$1000,"&gt;"&amp;J296)+COUNTIFS($AN$2:$AN$1000,AN296,$EA$2:$EA$1000,"Y",$J$2:$J$1000,J296,$ED$2:$ED$1000,"&lt;"&amp;ED296)=0,"Y","N"))</f>
        <v>N</v>
      </c>
      <c r="EC296" s="0" t="str">
        <f aca="false">IF(Y296="","N",IF(Y296&lt;=10,"Y","N"))</f>
        <v>N</v>
      </c>
      <c r="ED296" s="6" t="n">
        <f aca="false">ROW()-1</f>
        <v>295</v>
      </c>
    </row>
    <row r="297" customFormat="false" ht="15" hidden="false" customHeight="false" outlineLevel="0" collapsed="false">
      <c r="A297" s="0" t="s">
        <v>10663</v>
      </c>
      <c r="B297" s="0" t="s">
        <v>10664</v>
      </c>
      <c r="C297" s="0" t="s">
        <v>1088</v>
      </c>
      <c r="D297" s="0" t="s">
        <v>10665</v>
      </c>
      <c r="E297" s="0" t="s">
        <v>4773</v>
      </c>
      <c r="H297" s="5" t="s">
        <v>158</v>
      </c>
      <c r="I297" s="5" t="s">
        <v>159</v>
      </c>
      <c r="J297" s="6" t="n">
        <f aca="false">IF(AU297="pass",CM297+CN297+CO297+CP297+CQ297+CR297+CS297+CT297,0)</f>
        <v>0</v>
      </c>
      <c r="K297" s="6" t="s">
        <v>10666</v>
      </c>
      <c r="M297" s="6" t="s">
        <v>4628</v>
      </c>
      <c r="N297" s="6" t="s">
        <v>598</v>
      </c>
      <c r="R297" s="5" t="s">
        <v>162</v>
      </c>
      <c r="S297" s="6" t="s">
        <v>163</v>
      </c>
      <c r="T297" s="5" t="s">
        <v>162</v>
      </c>
      <c r="U297" s="5" t="s">
        <v>228</v>
      </c>
      <c r="V297" s="6" t="s">
        <v>10667</v>
      </c>
      <c r="W297" s="6" t="s">
        <v>166</v>
      </c>
      <c r="X297" s="6" t="s">
        <v>4586</v>
      </c>
      <c r="Y297" s="0" t="str">
        <f aca="false">IF(EB297&lt;&gt;"Y","",COUNTIFS($EB$2:$EB$1000,"Y",$J$2:$J$1000,"&gt;"&amp;J297)+COUNTIFS($EB$2:$EB$1000,"Y",$J$2:$J$1000,J297,$ED$2:$ED$1000,"&lt;"&amp;ED297)+1)</f>
        <v/>
      </c>
      <c r="AA297" s="6" t="s">
        <v>162</v>
      </c>
      <c r="AC297" s="6" t="s">
        <v>4588</v>
      </c>
      <c r="AD297" s="6" t="s">
        <v>171</v>
      </c>
      <c r="AE297" s="6" t="s">
        <v>172</v>
      </c>
      <c r="AF297" s="6" t="s">
        <v>10668</v>
      </c>
      <c r="AG297" s="6" t="s">
        <v>166</v>
      </c>
      <c r="AH297" s="6" t="s">
        <v>10669</v>
      </c>
      <c r="AI297" s="6" t="s">
        <v>4634</v>
      </c>
      <c r="AJ297" s="6" t="s">
        <v>10670</v>
      </c>
      <c r="AK297" s="6" t="s">
        <v>10671</v>
      </c>
      <c r="AL297" s="6" t="s">
        <v>162</v>
      </c>
      <c r="AN297" s="6" t="s">
        <v>10663</v>
      </c>
      <c r="AO297" s="5" t="s">
        <v>162</v>
      </c>
      <c r="AR297" s="0" t="str">
        <f aca="false">IF(AND(AU297="pass",AO297&lt;&gt;"Y",C297&lt;&gt;""),"Y","N")</f>
        <v>N</v>
      </c>
      <c r="AS297" s="0" t="str">
        <f aca="false">_xlfn.TEXTJOIN("; ",TRUE(),IF(AU297&lt;&gt;"pass","gated out",""),IF(AO297="Y","on hold: "&amp;AP297,""),IF(C297="","no contact named on an opened page",""))</f>
        <v>gated out</v>
      </c>
      <c r="AU297" s="6" t="s">
        <v>3704</v>
      </c>
      <c r="AV297" s="6" t="s">
        <v>9764</v>
      </c>
      <c r="AW297" s="6" t="s">
        <v>10672</v>
      </c>
      <c r="AY297" s="6" t="s">
        <v>10671</v>
      </c>
      <c r="AZ297" s="6" t="s">
        <v>7694</v>
      </c>
      <c r="BA297" s="6" t="s">
        <v>5193</v>
      </c>
      <c r="BB297" s="6" t="s">
        <v>163</v>
      </c>
      <c r="BD297" s="6" t="s">
        <v>168</v>
      </c>
      <c r="BE297" s="6" t="s">
        <v>10673</v>
      </c>
      <c r="BF297" s="6" t="s">
        <v>162</v>
      </c>
      <c r="BG297" s="6" t="s">
        <v>168</v>
      </c>
      <c r="BH297" s="6" t="s">
        <v>163</v>
      </c>
      <c r="BJ297" s="6" t="s">
        <v>163</v>
      </c>
      <c r="BK297" s="6" t="s">
        <v>162</v>
      </c>
      <c r="BL297" s="6" t="s">
        <v>168</v>
      </c>
      <c r="BM297" s="6" t="s">
        <v>10674</v>
      </c>
      <c r="BN297" s="0" t="n">
        <v>0</v>
      </c>
      <c r="BO297" s="6" t="s">
        <v>168</v>
      </c>
      <c r="BP297" s="0" t="n">
        <v>0</v>
      </c>
      <c r="BQ297" s="6" t="s">
        <v>10675</v>
      </c>
      <c r="BS297" s="6" t="s">
        <v>4983</v>
      </c>
      <c r="BT297" s="6" t="s">
        <v>10676</v>
      </c>
      <c r="BU297" s="6" t="s">
        <v>158</v>
      </c>
      <c r="BX297" s="6" t="s">
        <v>10677</v>
      </c>
      <c r="CF297" s="6" t="s">
        <v>158</v>
      </c>
      <c r="CK297" s="6" t="s">
        <v>158</v>
      </c>
      <c r="CL297" s="0" t="n">
        <v>32</v>
      </c>
      <c r="CM297" s="0" t="n">
        <v>6</v>
      </c>
      <c r="CN297" s="0" t="n">
        <v>8</v>
      </c>
      <c r="CO297" s="0" t="n">
        <v>0</v>
      </c>
      <c r="CP297" s="0" t="n">
        <v>5</v>
      </c>
      <c r="CQ297" s="0" t="n">
        <v>7</v>
      </c>
      <c r="CR297" s="0" t="n">
        <v>6</v>
      </c>
      <c r="CS297" s="6" t="n">
        <f aca="false">IF(R297="Y",10,0)</f>
        <v>0</v>
      </c>
      <c r="CT297" s="0" t="n">
        <v>0</v>
      </c>
      <c r="CU297" s="6" t="s">
        <v>163</v>
      </c>
      <c r="CV297" s="6" t="s">
        <v>4843</v>
      </c>
      <c r="CW297" s="6" t="s">
        <v>10678</v>
      </c>
      <c r="CX297" s="6" t="s">
        <v>10679</v>
      </c>
      <c r="CY297" s="6" t="s">
        <v>10680</v>
      </c>
      <c r="DA297" s="6" t="s">
        <v>6236</v>
      </c>
      <c r="DY297" s="0" t="str">
        <f aca="false">IF(ISNUMBER(MATCH(U297,{"queued","contacted","replied","call_booked","call_done","yes_in_principle","materials_sent"},0)),"Y","N")</f>
        <v>N</v>
      </c>
      <c r="DZ297" s="0" t="str">
        <f aca="false">IF(COUNTIFS($AN$2:$AN$1000,AN297,$DY$2:$DY$1000,"Y")+COUNTIFS($AN$2:$AN$1000,AN297,$T$2:$T$1000,"Y")&gt;0,"Y","N")</f>
        <v>N</v>
      </c>
      <c r="EA297" s="0" t="str">
        <f aca="false">IF(AND(U297="new",T297="N",AR297="Y",AQ297="",DZ297="N"),"Y","N")</f>
        <v>N</v>
      </c>
      <c r="EB297" s="0" t="str">
        <f aca="false">IF(EA297&lt;&gt;"Y","N",IF(COUNTIFS($AN$2:$AN$1000,AN297,$EA$2:$EA$1000,"Y",$J$2:$J$1000,"&gt;"&amp;J297)+COUNTIFS($AN$2:$AN$1000,AN297,$EA$2:$EA$1000,"Y",$J$2:$J$1000,J297,$ED$2:$ED$1000,"&lt;"&amp;ED297)=0,"Y","N"))</f>
        <v>N</v>
      </c>
      <c r="EC297" s="0" t="str">
        <f aca="false">IF(Y297="","N",IF(Y297&lt;=10,"Y","N"))</f>
        <v>N</v>
      </c>
      <c r="ED297" s="6" t="n">
        <f aca="false">ROW()-1</f>
        <v>296</v>
      </c>
    </row>
    <row r="298" customFormat="false" ht="15" hidden="false" customHeight="false" outlineLevel="0" collapsed="false">
      <c r="A298" s="0" t="s">
        <v>10681</v>
      </c>
      <c r="B298" s="0" t="s">
        <v>10682</v>
      </c>
      <c r="H298" s="5" t="s">
        <v>158</v>
      </c>
      <c r="I298" s="5"/>
      <c r="J298" s="6" t="n">
        <f aca="false">IF(AU298="pass",CM298+CN298+CO298+CP298+CQ298+CR298+CS298+CT298,0)</f>
        <v>0</v>
      </c>
      <c r="K298" s="6" t="s">
        <v>10054</v>
      </c>
      <c r="M298" s="6" t="s">
        <v>5293</v>
      </c>
      <c r="N298" s="6" t="s">
        <v>598</v>
      </c>
      <c r="R298" s="5" t="s">
        <v>162</v>
      </c>
      <c r="S298" s="6" t="s">
        <v>163</v>
      </c>
      <c r="T298" s="5" t="s">
        <v>162</v>
      </c>
      <c r="U298" s="5" t="s">
        <v>228</v>
      </c>
      <c r="V298" s="6" t="s">
        <v>10683</v>
      </c>
      <c r="W298" s="6" t="s">
        <v>166</v>
      </c>
      <c r="X298" s="6" t="s">
        <v>4586</v>
      </c>
      <c r="Y298" s="0" t="str">
        <f aca="false">IF(EB298&lt;&gt;"Y","",COUNTIFS($EB$2:$EB$1000,"Y",$J$2:$J$1000,"&gt;"&amp;J298)+COUNTIFS($EB$2:$EB$1000,"Y",$J$2:$J$1000,J298,$ED$2:$ED$1000,"&lt;"&amp;ED298)+1)</f>
        <v/>
      </c>
      <c r="AA298" s="6" t="s">
        <v>162</v>
      </c>
      <c r="AD298" s="6" t="s">
        <v>158</v>
      </c>
      <c r="AH298" s="6" t="s">
        <v>10684</v>
      </c>
      <c r="AI298" s="6" t="s">
        <v>4591</v>
      </c>
      <c r="AJ298" s="6" t="s">
        <v>163</v>
      </c>
      <c r="AK298" s="6" t="s">
        <v>163</v>
      </c>
      <c r="AL298" s="6" t="s">
        <v>168</v>
      </c>
      <c r="AM298" s="6" t="s">
        <v>10685</v>
      </c>
      <c r="AN298" s="6" t="s">
        <v>10681</v>
      </c>
      <c r="AO298" s="5" t="s">
        <v>162</v>
      </c>
      <c r="AR298" s="0" t="str">
        <f aca="false">IF(AND(AU298="pass",AO298&lt;&gt;"Y",C298&lt;&gt;""),"Y","N")</f>
        <v>N</v>
      </c>
      <c r="AS298" s="0" t="str">
        <f aca="false">_xlfn.TEXTJOIN("; ",TRUE(),IF(AU298&lt;&gt;"pass","gated out",""),IF(AO298="Y","on hold: "&amp;AP298,""),IF(C298="","no contact named on an opened page",""))</f>
        <v>gated out; no contact named on an opened page</v>
      </c>
      <c r="AU298" s="6" t="s">
        <v>3704</v>
      </c>
      <c r="AV298" s="6" t="s">
        <v>10058</v>
      </c>
      <c r="AW298" s="6" t="s">
        <v>10059</v>
      </c>
      <c r="AX298" s="6" t="s">
        <v>283</v>
      </c>
      <c r="AY298" s="6" t="s">
        <v>10686</v>
      </c>
      <c r="AZ298" s="6" t="s">
        <v>163</v>
      </c>
      <c r="BA298" s="6" t="s">
        <v>163</v>
      </c>
      <c r="BB298" s="6" t="s">
        <v>163</v>
      </c>
      <c r="BD298" s="6" t="s">
        <v>163</v>
      </c>
      <c r="BE298" s="6" t="s">
        <v>5929</v>
      </c>
      <c r="BF298" s="6" t="s">
        <v>168</v>
      </c>
      <c r="BG298" s="6" t="s">
        <v>163</v>
      </c>
      <c r="BH298" s="6" t="s">
        <v>163</v>
      </c>
      <c r="BJ298" s="6" t="s">
        <v>5551</v>
      </c>
      <c r="BK298" s="6" t="s">
        <v>162</v>
      </c>
      <c r="BL298" s="6" t="s">
        <v>162</v>
      </c>
      <c r="BO298" s="6" t="s">
        <v>162</v>
      </c>
      <c r="BP298" s="0" t="n">
        <v>0</v>
      </c>
      <c r="BS298" s="6" t="s">
        <v>10687</v>
      </c>
      <c r="BU298" s="6" t="s">
        <v>158</v>
      </c>
      <c r="CF298" s="6" t="s">
        <v>158</v>
      </c>
      <c r="CK298" s="6" t="s">
        <v>158</v>
      </c>
      <c r="CL298" s="0" t="n">
        <v>12</v>
      </c>
      <c r="CM298" s="0" t="n">
        <v>0</v>
      </c>
      <c r="CN298" s="0" t="n">
        <v>4</v>
      </c>
      <c r="CO298" s="0" t="n">
        <v>0</v>
      </c>
      <c r="CP298" s="0" t="n">
        <v>5</v>
      </c>
      <c r="CQ298" s="0" t="n">
        <v>5</v>
      </c>
      <c r="CR298" s="0" t="n">
        <v>0</v>
      </c>
      <c r="CS298" s="6" t="n">
        <f aca="false">IF(R298="Y",10,0)</f>
        <v>0</v>
      </c>
      <c r="CT298" s="0" t="n">
        <v>-2</v>
      </c>
      <c r="CU298" s="6" t="s">
        <v>10688</v>
      </c>
      <c r="CV298" s="6" t="s">
        <v>5564</v>
      </c>
      <c r="CW298" s="6" t="s">
        <v>10689</v>
      </c>
      <c r="CX298" s="6" t="s">
        <v>10690</v>
      </c>
      <c r="CY298" s="6" t="s">
        <v>10691</v>
      </c>
      <c r="DA298" s="6" t="s">
        <v>6236</v>
      </c>
      <c r="DY298" s="0" t="str">
        <f aca="false">IF(ISNUMBER(MATCH(U298,{"queued","contacted","replied","call_booked","call_done","yes_in_principle","materials_sent"},0)),"Y","N")</f>
        <v>N</v>
      </c>
      <c r="DZ298" s="0" t="str">
        <f aca="false">IF(COUNTIFS($AN$2:$AN$1000,AN298,$DY$2:$DY$1000,"Y")+COUNTIFS($AN$2:$AN$1000,AN298,$T$2:$T$1000,"Y")&gt;0,"Y","N")</f>
        <v>N</v>
      </c>
      <c r="EA298" s="0" t="str">
        <f aca="false">IF(AND(U298="new",T298="N",AR298="Y",AQ298="",DZ298="N"),"Y","N")</f>
        <v>N</v>
      </c>
      <c r="EB298" s="0" t="str">
        <f aca="false">IF(EA298&lt;&gt;"Y","N",IF(COUNTIFS($AN$2:$AN$1000,AN298,$EA$2:$EA$1000,"Y",$J$2:$J$1000,"&gt;"&amp;J298)+COUNTIFS($AN$2:$AN$1000,AN298,$EA$2:$EA$1000,"Y",$J$2:$J$1000,J298,$ED$2:$ED$1000,"&lt;"&amp;ED298)=0,"Y","N"))</f>
        <v>N</v>
      </c>
      <c r="EC298" s="0" t="str">
        <f aca="false">IF(Y298="","N",IF(Y298&lt;=10,"Y","N"))</f>
        <v>N</v>
      </c>
      <c r="ED298" s="6" t="n">
        <f aca="false">ROW()-1</f>
        <v>297</v>
      </c>
    </row>
    <row r="299" customFormat="false" ht="15" hidden="false" customHeight="false" outlineLevel="0" collapsed="false">
      <c r="A299" s="0" t="s">
        <v>10692</v>
      </c>
      <c r="B299" s="0" t="s">
        <v>10693</v>
      </c>
      <c r="C299" s="0" t="s">
        <v>10694</v>
      </c>
      <c r="D299" s="0" t="s">
        <v>163</v>
      </c>
      <c r="E299" s="0" t="s">
        <v>4773</v>
      </c>
      <c r="H299" s="5" t="s">
        <v>158</v>
      </c>
      <c r="I299" s="5" t="s">
        <v>159</v>
      </c>
      <c r="J299" s="6" t="n">
        <f aca="false">IF(AU299="pass",CM299+CN299+CO299+CP299+CQ299+CR299+CS299+CT299,0)</f>
        <v>0</v>
      </c>
      <c r="K299" s="6" t="s">
        <v>10695</v>
      </c>
      <c r="M299" s="6" t="s">
        <v>5293</v>
      </c>
      <c r="N299" s="6" t="s">
        <v>598</v>
      </c>
      <c r="R299" s="5" t="s">
        <v>162</v>
      </c>
      <c r="S299" s="6" t="s">
        <v>163</v>
      </c>
      <c r="T299" s="5" t="s">
        <v>162</v>
      </c>
      <c r="U299" s="5" t="s">
        <v>228</v>
      </c>
      <c r="V299" s="6" t="s">
        <v>10696</v>
      </c>
      <c r="W299" s="6" t="s">
        <v>166</v>
      </c>
      <c r="X299" s="6" t="s">
        <v>4586</v>
      </c>
      <c r="Y299" s="0" t="str">
        <f aca="false">IF(EB299&lt;&gt;"Y","",COUNTIFS($EB$2:$EB$1000,"Y",$J$2:$J$1000,"&gt;"&amp;J299)+COUNTIFS($EB$2:$EB$1000,"Y",$J$2:$J$1000,J299,$ED$2:$ED$1000,"&lt;"&amp;ED299)+1)</f>
        <v/>
      </c>
      <c r="AA299" s="6" t="s">
        <v>162</v>
      </c>
      <c r="AC299" s="6" t="s">
        <v>4588</v>
      </c>
      <c r="AD299" s="6" t="s">
        <v>5010</v>
      </c>
      <c r="AE299" s="6" t="s">
        <v>172</v>
      </c>
      <c r="AF299" s="6" t="s">
        <v>10697</v>
      </c>
      <c r="AG299" s="6" t="s">
        <v>166</v>
      </c>
      <c r="AH299" s="6" t="s">
        <v>10698</v>
      </c>
      <c r="AI299" s="6" t="s">
        <v>4591</v>
      </c>
      <c r="AJ299" s="6" t="s">
        <v>163</v>
      </c>
      <c r="AK299" s="6" t="s">
        <v>10699</v>
      </c>
      <c r="AL299" s="6" t="s">
        <v>168</v>
      </c>
      <c r="AM299" s="6" t="s">
        <v>4691</v>
      </c>
      <c r="AN299" s="6" t="s">
        <v>10692</v>
      </c>
      <c r="AO299" s="5" t="s">
        <v>162</v>
      </c>
      <c r="AR299" s="0" t="str">
        <f aca="false">IF(AND(AU299="pass",AO299&lt;&gt;"Y",C299&lt;&gt;""),"Y","N")</f>
        <v>N</v>
      </c>
      <c r="AS299" s="0" t="str">
        <f aca="false">_xlfn.TEXTJOIN("; ",TRUE(),IF(AU299&lt;&gt;"pass","gated out",""),IF(AO299="Y","on hold: "&amp;AP299,""),IF(C299="","no contact named on an opened page",""))</f>
        <v>gated out</v>
      </c>
      <c r="AU299" s="6" t="s">
        <v>3704</v>
      </c>
      <c r="AV299" s="6" t="s">
        <v>9764</v>
      </c>
      <c r="AW299" s="6" t="s">
        <v>10700</v>
      </c>
      <c r="AY299" s="6" t="s">
        <v>10699</v>
      </c>
      <c r="AZ299" s="6" t="s">
        <v>163</v>
      </c>
      <c r="BA299" s="6" t="s">
        <v>163</v>
      </c>
      <c r="BB299" s="6" t="s">
        <v>163</v>
      </c>
      <c r="BD299" s="6" t="s">
        <v>163</v>
      </c>
      <c r="BE299" s="6" t="s">
        <v>10556</v>
      </c>
      <c r="BF299" s="6" t="s">
        <v>168</v>
      </c>
      <c r="BG299" s="6" t="s">
        <v>168</v>
      </c>
      <c r="BH299" s="6" t="s">
        <v>163</v>
      </c>
      <c r="BJ299" s="6" t="s">
        <v>5551</v>
      </c>
      <c r="BK299" s="6" t="s">
        <v>168</v>
      </c>
      <c r="BL299" s="6" t="s">
        <v>168</v>
      </c>
      <c r="BM299" s="6" t="s">
        <v>10701</v>
      </c>
      <c r="BO299" s="6" t="s">
        <v>162</v>
      </c>
      <c r="BP299" s="0" t="n">
        <v>0</v>
      </c>
      <c r="BS299" s="6" t="s">
        <v>163</v>
      </c>
      <c r="BU299" s="6" t="s">
        <v>158</v>
      </c>
      <c r="BX299" s="6" t="s">
        <v>10694</v>
      </c>
      <c r="CF299" s="6" t="s">
        <v>158</v>
      </c>
      <c r="CK299" s="6" t="s">
        <v>158</v>
      </c>
      <c r="CL299" s="0" t="n">
        <v>25</v>
      </c>
      <c r="CM299" s="0" t="n">
        <v>6</v>
      </c>
      <c r="CN299" s="0" t="n">
        <v>4</v>
      </c>
      <c r="CO299" s="0" t="n">
        <v>0</v>
      </c>
      <c r="CP299" s="0" t="n">
        <v>5</v>
      </c>
      <c r="CQ299" s="0" t="n">
        <v>7</v>
      </c>
      <c r="CR299" s="0" t="n">
        <v>3</v>
      </c>
      <c r="CS299" s="6" t="n">
        <f aca="false">IF(R299="Y",10,0)</f>
        <v>0</v>
      </c>
      <c r="CT299" s="0" t="n">
        <v>0</v>
      </c>
      <c r="CU299" s="6" t="s">
        <v>10702</v>
      </c>
      <c r="CV299" s="6" t="s">
        <v>5564</v>
      </c>
      <c r="CW299" s="6" t="s">
        <v>10703</v>
      </c>
      <c r="CX299" s="6" t="s">
        <v>10704</v>
      </c>
      <c r="DA299" s="6" t="s">
        <v>6236</v>
      </c>
      <c r="DY299" s="0" t="str">
        <f aca="false">IF(ISNUMBER(MATCH(U299,{"queued","contacted","replied","call_booked","call_done","yes_in_principle","materials_sent"},0)),"Y","N")</f>
        <v>N</v>
      </c>
      <c r="DZ299" s="0" t="str">
        <f aca="false">IF(COUNTIFS($AN$2:$AN$1000,AN299,$DY$2:$DY$1000,"Y")+COUNTIFS($AN$2:$AN$1000,AN299,$T$2:$T$1000,"Y")&gt;0,"Y","N")</f>
        <v>N</v>
      </c>
      <c r="EA299" s="0" t="str">
        <f aca="false">IF(AND(U299="new",T299="N",AR299="Y",AQ299="",DZ299="N"),"Y","N")</f>
        <v>N</v>
      </c>
      <c r="EB299" s="0" t="str">
        <f aca="false">IF(EA299&lt;&gt;"Y","N",IF(COUNTIFS($AN$2:$AN$1000,AN299,$EA$2:$EA$1000,"Y",$J$2:$J$1000,"&gt;"&amp;J299)+COUNTIFS($AN$2:$AN$1000,AN299,$EA$2:$EA$1000,"Y",$J$2:$J$1000,J299,$ED$2:$ED$1000,"&lt;"&amp;ED299)=0,"Y","N"))</f>
        <v>N</v>
      </c>
      <c r="EC299" s="0" t="str">
        <f aca="false">IF(Y299="","N",IF(Y299&lt;=10,"Y","N"))</f>
        <v>N</v>
      </c>
      <c r="ED299" s="6" t="n">
        <f aca="false">ROW()-1</f>
        <v>298</v>
      </c>
    </row>
    <row r="300" customFormat="false" ht="15" hidden="false" customHeight="false" outlineLevel="0" collapsed="false">
      <c r="A300" s="0" t="s">
        <v>10705</v>
      </c>
      <c r="B300" s="0" t="s">
        <v>10706</v>
      </c>
      <c r="C300" s="0" t="s">
        <v>5091</v>
      </c>
      <c r="D300" s="0" t="s">
        <v>163</v>
      </c>
      <c r="E300" s="0" t="s">
        <v>4626</v>
      </c>
      <c r="H300" s="5" t="s">
        <v>158</v>
      </c>
      <c r="I300" s="5" t="s">
        <v>159</v>
      </c>
      <c r="J300" s="6" t="n">
        <f aca="false">IF(AU300="pass",CM300+CN300+CO300+CP300+CQ300+CR300+CS300+CT300,0)</f>
        <v>0</v>
      </c>
      <c r="K300" s="6" t="s">
        <v>10707</v>
      </c>
      <c r="M300" s="6" t="s">
        <v>5293</v>
      </c>
      <c r="N300" s="6" t="s">
        <v>598</v>
      </c>
      <c r="R300" s="5" t="s">
        <v>162</v>
      </c>
      <c r="S300" s="6" t="s">
        <v>163</v>
      </c>
      <c r="T300" s="5" t="s">
        <v>162</v>
      </c>
      <c r="U300" s="5" t="s">
        <v>228</v>
      </c>
      <c r="V300" s="6" t="s">
        <v>10708</v>
      </c>
      <c r="W300" s="6" t="s">
        <v>166</v>
      </c>
      <c r="X300" s="6" t="s">
        <v>4586</v>
      </c>
      <c r="Y300" s="0" t="str">
        <f aca="false">IF(EB300&lt;&gt;"Y","",COUNTIFS($EB$2:$EB$1000,"Y",$J$2:$J$1000,"&gt;"&amp;J300)+COUNTIFS($EB$2:$EB$1000,"Y",$J$2:$J$1000,J300,$ED$2:$ED$1000,"&lt;"&amp;ED300)+1)</f>
        <v/>
      </c>
      <c r="AA300" s="6" t="s">
        <v>162</v>
      </c>
      <c r="AC300" s="6" t="s">
        <v>4588</v>
      </c>
      <c r="AD300" s="6" t="s">
        <v>5010</v>
      </c>
      <c r="AE300" s="6" t="s">
        <v>172</v>
      </c>
      <c r="AF300" s="6" t="s">
        <v>10709</v>
      </c>
      <c r="AG300" s="6" t="s">
        <v>166</v>
      </c>
      <c r="AH300" s="6" t="s">
        <v>10710</v>
      </c>
      <c r="AI300" s="6" t="s">
        <v>5081</v>
      </c>
      <c r="AJ300" s="6" t="s">
        <v>163</v>
      </c>
      <c r="AK300" s="6" t="s">
        <v>10711</v>
      </c>
      <c r="AL300" s="6" t="s">
        <v>168</v>
      </c>
      <c r="AM300" s="6" t="s">
        <v>4691</v>
      </c>
      <c r="AN300" s="6" t="s">
        <v>10705</v>
      </c>
      <c r="AO300" s="5" t="s">
        <v>162</v>
      </c>
      <c r="AR300" s="0" t="str">
        <f aca="false">IF(AND(AU300="pass",AO300&lt;&gt;"Y",C300&lt;&gt;""),"Y","N")</f>
        <v>N</v>
      </c>
      <c r="AS300" s="0" t="str">
        <f aca="false">_xlfn.TEXTJOIN("; ",TRUE(),IF(AU300&lt;&gt;"pass","gated out",""),IF(AO300="Y","on hold: "&amp;AP300,""),IF(C300="","no contact named on an opened page",""))</f>
        <v>gated out</v>
      </c>
      <c r="AU300" s="6" t="s">
        <v>3704</v>
      </c>
      <c r="AV300" s="6" t="s">
        <v>9764</v>
      </c>
      <c r="AW300" s="6" t="s">
        <v>10712</v>
      </c>
      <c r="AY300" s="6" t="s">
        <v>10711</v>
      </c>
      <c r="AZ300" s="6" t="s">
        <v>163</v>
      </c>
      <c r="BA300" s="6" t="s">
        <v>163</v>
      </c>
      <c r="BB300" s="6" t="s">
        <v>163</v>
      </c>
      <c r="BD300" s="6" t="s">
        <v>264</v>
      </c>
      <c r="BE300" s="6" t="s">
        <v>10389</v>
      </c>
      <c r="BF300" s="6" t="s">
        <v>168</v>
      </c>
      <c r="BG300" s="6" t="s">
        <v>168</v>
      </c>
      <c r="BH300" s="6" t="s">
        <v>163</v>
      </c>
      <c r="BJ300" s="6" t="s">
        <v>163</v>
      </c>
      <c r="BK300" s="6" t="s">
        <v>168</v>
      </c>
      <c r="BL300" s="6" t="s">
        <v>168</v>
      </c>
      <c r="BM300" s="6" t="s">
        <v>10713</v>
      </c>
      <c r="BO300" s="6" t="s">
        <v>162</v>
      </c>
      <c r="BP300" s="0" t="n">
        <v>0</v>
      </c>
      <c r="BS300" s="6" t="s">
        <v>10714</v>
      </c>
      <c r="BT300" s="6" t="s">
        <v>10715</v>
      </c>
      <c r="BU300" s="6" t="s">
        <v>158</v>
      </c>
      <c r="BX300" s="6" t="s">
        <v>5091</v>
      </c>
      <c r="BY300" s="6" t="s">
        <v>10716</v>
      </c>
      <c r="CA300" s="6" t="s">
        <v>10717</v>
      </c>
      <c r="CB300" s="6" t="s">
        <v>10717</v>
      </c>
      <c r="CC300" s="6" t="s">
        <v>163</v>
      </c>
      <c r="CD300" s="6" t="s">
        <v>4626</v>
      </c>
      <c r="CE300" s="6" t="s">
        <v>6725</v>
      </c>
      <c r="CF300" s="6" t="s">
        <v>5010</v>
      </c>
      <c r="CG300" s="6" t="s">
        <v>10716</v>
      </c>
      <c r="CK300" s="6" t="s">
        <v>158</v>
      </c>
      <c r="CL300" s="0" t="n">
        <v>26</v>
      </c>
      <c r="CM300" s="0" t="n">
        <v>6</v>
      </c>
      <c r="CN300" s="0" t="n">
        <v>4</v>
      </c>
      <c r="CO300" s="0" t="n">
        <v>0</v>
      </c>
      <c r="CP300" s="0" t="n">
        <v>5</v>
      </c>
      <c r="CQ300" s="0" t="n">
        <v>8</v>
      </c>
      <c r="CR300" s="0" t="n">
        <v>3</v>
      </c>
      <c r="CS300" s="6" t="n">
        <f aca="false">IF(R300="Y",10,0)</f>
        <v>0</v>
      </c>
      <c r="CT300" s="0" t="n">
        <v>0</v>
      </c>
      <c r="CU300" s="6" t="s">
        <v>10718</v>
      </c>
      <c r="CV300" s="6" t="s">
        <v>4704</v>
      </c>
      <c r="CW300" s="6" t="s">
        <v>10719</v>
      </c>
      <c r="CX300" s="6" t="s">
        <v>10720</v>
      </c>
      <c r="CZ300" s="6" t="s">
        <v>10709</v>
      </c>
      <c r="DA300" s="6" t="s">
        <v>6236</v>
      </c>
      <c r="DC300" s="6" t="s">
        <v>172</v>
      </c>
      <c r="DY300" s="0" t="str">
        <f aca="false">IF(ISNUMBER(MATCH(U300,{"queued","contacted","replied","call_booked","call_done","yes_in_principle","materials_sent"},0)),"Y","N")</f>
        <v>N</v>
      </c>
      <c r="DZ300" s="0" t="str">
        <f aca="false">IF(COUNTIFS($AN$2:$AN$1000,AN300,$DY$2:$DY$1000,"Y")+COUNTIFS($AN$2:$AN$1000,AN300,$T$2:$T$1000,"Y")&gt;0,"Y","N")</f>
        <v>N</v>
      </c>
      <c r="EA300" s="0" t="str">
        <f aca="false">IF(AND(U300="new",T300="N",AR300="Y",AQ300="",DZ300="N"),"Y","N")</f>
        <v>N</v>
      </c>
      <c r="EB300" s="0" t="str">
        <f aca="false">IF(EA300&lt;&gt;"Y","N",IF(COUNTIFS($AN$2:$AN$1000,AN300,$EA$2:$EA$1000,"Y",$J$2:$J$1000,"&gt;"&amp;J300)+COUNTIFS($AN$2:$AN$1000,AN300,$EA$2:$EA$1000,"Y",$J$2:$J$1000,J300,$ED$2:$ED$1000,"&lt;"&amp;ED300)=0,"Y","N"))</f>
        <v>N</v>
      </c>
      <c r="EC300" s="0" t="str">
        <f aca="false">IF(Y300="","N",IF(Y300&lt;=10,"Y","N"))</f>
        <v>N</v>
      </c>
      <c r="ED300" s="6" t="n">
        <f aca="false">ROW()-1</f>
        <v>299</v>
      </c>
    </row>
    <row r="301" customFormat="false" ht="15" hidden="false" customHeight="false" outlineLevel="0" collapsed="false">
      <c r="A301" s="0" t="s">
        <v>10721</v>
      </c>
      <c r="B301" s="0" t="s">
        <v>10722</v>
      </c>
      <c r="H301" s="5" t="s">
        <v>158</v>
      </c>
      <c r="I301" s="5"/>
      <c r="J301" s="6" t="n">
        <f aca="false">IF(AU301="pass",CM301+CN301+CO301+CP301+CQ301+CR301+CS301+CT301,0)</f>
        <v>0</v>
      </c>
      <c r="K301" s="6" t="s">
        <v>10723</v>
      </c>
      <c r="M301" s="6" t="s">
        <v>5293</v>
      </c>
      <c r="N301" s="6" t="s">
        <v>598</v>
      </c>
      <c r="R301" s="5" t="s">
        <v>162</v>
      </c>
      <c r="S301" s="6" t="s">
        <v>163</v>
      </c>
      <c r="T301" s="5" t="s">
        <v>162</v>
      </c>
      <c r="U301" s="5" t="s">
        <v>228</v>
      </c>
      <c r="V301" s="6" t="s">
        <v>10724</v>
      </c>
      <c r="W301" s="6" t="s">
        <v>166</v>
      </c>
      <c r="X301" s="6" t="s">
        <v>4586</v>
      </c>
      <c r="Y301" s="0" t="str">
        <f aca="false">IF(EB301&lt;&gt;"Y","",COUNTIFS($EB$2:$EB$1000,"Y",$J$2:$J$1000,"&gt;"&amp;J301)+COUNTIFS($EB$2:$EB$1000,"Y",$J$2:$J$1000,J301,$ED$2:$ED$1000,"&lt;"&amp;ED301)+1)</f>
        <v/>
      </c>
      <c r="AA301" s="6" t="s">
        <v>162</v>
      </c>
      <c r="AD301" s="6" t="s">
        <v>158</v>
      </c>
      <c r="AH301" s="6" t="s">
        <v>10725</v>
      </c>
      <c r="AI301" s="6" t="s">
        <v>5765</v>
      </c>
      <c r="AJ301" s="6" t="s">
        <v>163</v>
      </c>
      <c r="AK301" s="6" t="s">
        <v>163</v>
      </c>
      <c r="AL301" s="6" t="s">
        <v>162</v>
      </c>
      <c r="AN301" s="6" t="s">
        <v>10721</v>
      </c>
      <c r="AO301" s="5" t="s">
        <v>162</v>
      </c>
      <c r="AR301" s="0" t="str">
        <f aca="false">IF(AND(AU301="pass",AO301&lt;&gt;"Y",C301&lt;&gt;""),"Y","N")</f>
        <v>N</v>
      </c>
      <c r="AS301" s="0" t="str">
        <f aca="false">_xlfn.TEXTJOIN("; ",TRUE(),IF(AU301&lt;&gt;"pass","gated out",""),IF(AO301="Y","on hold: "&amp;AP301,""),IF(C301="","no contact named on an opened page",""))</f>
        <v>gated out; no contact named on an opened page</v>
      </c>
      <c r="AU301" s="6" t="s">
        <v>3704</v>
      </c>
      <c r="AV301" s="6" t="s">
        <v>10204</v>
      </c>
      <c r="AW301" s="6" t="s">
        <v>10726</v>
      </c>
      <c r="AY301" s="6" t="s">
        <v>10724</v>
      </c>
      <c r="AZ301" s="6" t="s">
        <v>163</v>
      </c>
      <c r="BA301" s="6" t="s">
        <v>163</v>
      </c>
      <c r="BB301" s="6" t="s">
        <v>163</v>
      </c>
      <c r="BD301" s="6" t="s">
        <v>162</v>
      </c>
      <c r="BE301" s="6" t="s">
        <v>10727</v>
      </c>
      <c r="BF301" s="6" t="s">
        <v>168</v>
      </c>
      <c r="BG301" s="6" t="s">
        <v>162</v>
      </c>
      <c r="BH301" s="6" t="s">
        <v>163</v>
      </c>
      <c r="BJ301" s="6" t="s">
        <v>5551</v>
      </c>
      <c r="BK301" s="6" t="s">
        <v>162</v>
      </c>
      <c r="BL301" s="6" t="s">
        <v>168</v>
      </c>
      <c r="BM301" s="6" t="s">
        <v>10728</v>
      </c>
      <c r="BO301" s="6" t="s">
        <v>162</v>
      </c>
      <c r="BP301" s="0" t="n">
        <v>0</v>
      </c>
      <c r="BR301" s="6" t="s">
        <v>8091</v>
      </c>
      <c r="BS301" s="6" t="s">
        <v>10729</v>
      </c>
      <c r="BT301" s="6" t="s">
        <v>10730</v>
      </c>
      <c r="BU301" s="6" t="s">
        <v>158</v>
      </c>
      <c r="CF301" s="6" t="s">
        <v>158</v>
      </c>
      <c r="CK301" s="6" t="s">
        <v>158</v>
      </c>
      <c r="CL301" s="0" t="n">
        <v>12</v>
      </c>
      <c r="CM301" s="0" t="n">
        <v>0</v>
      </c>
      <c r="CN301" s="0" t="n">
        <v>4</v>
      </c>
      <c r="CO301" s="0" t="n">
        <v>0</v>
      </c>
      <c r="CP301" s="0" t="n">
        <v>5</v>
      </c>
      <c r="CQ301" s="0" t="n">
        <v>3</v>
      </c>
      <c r="CR301" s="0" t="n">
        <v>0</v>
      </c>
      <c r="CS301" s="6" t="n">
        <f aca="false">IF(R301="Y",10,0)</f>
        <v>0</v>
      </c>
      <c r="CT301" s="0" t="n">
        <v>0</v>
      </c>
      <c r="CU301" s="6" t="s">
        <v>163</v>
      </c>
      <c r="CV301" s="6" t="s">
        <v>5564</v>
      </c>
      <c r="CW301" s="6" t="s">
        <v>10731</v>
      </c>
      <c r="CX301" s="6" t="s">
        <v>10732</v>
      </c>
      <c r="DA301" s="6" t="s">
        <v>6236</v>
      </c>
      <c r="DY301" s="0" t="str">
        <f aca="false">IF(ISNUMBER(MATCH(U301,{"queued","contacted","replied","call_booked","call_done","yes_in_principle","materials_sent"},0)),"Y","N")</f>
        <v>N</v>
      </c>
      <c r="DZ301" s="0" t="str">
        <f aca="false">IF(COUNTIFS($AN$2:$AN$1000,AN301,$DY$2:$DY$1000,"Y")+COUNTIFS($AN$2:$AN$1000,AN301,$T$2:$T$1000,"Y")&gt;0,"Y","N")</f>
        <v>N</v>
      </c>
      <c r="EA301" s="0" t="str">
        <f aca="false">IF(AND(U301="new",T301="N",AR301="Y",AQ301="",DZ301="N"),"Y","N")</f>
        <v>N</v>
      </c>
      <c r="EB301" s="0" t="str">
        <f aca="false">IF(EA301&lt;&gt;"Y","N",IF(COUNTIFS($AN$2:$AN$1000,AN301,$EA$2:$EA$1000,"Y",$J$2:$J$1000,"&gt;"&amp;J301)+COUNTIFS($AN$2:$AN$1000,AN301,$EA$2:$EA$1000,"Y",$J$2:$J$1000,J301,$ED$2:$ED$1000,"&lt;"&amp;ED301)=0,"Y","N"))</f>
        <v>N</v>
      </c>
      <c r="EC301" s="0" t="str">
        <f aca="false">IF(Y301="","N",IF(Y301&lt;=10,"Y","N"))</f>
        <v>N</v>
      </c>
      <c r="ED301" s="6" t="n">
        <f aca="false">ROW()-1</f>
        <v>300</v>
      </c>
    </row>
    <row r="302" customFormat="false" ht="15" hidden="false" customHeight="false" outlineLevel="0" collapsed="false">
      <c r="A302" s="0" t="s">
        <v>10733</v>
      </c>
      <c r="B302" s="0" t="s">
        <v>10734</v>
      </c>
      <c r="H302" s="5" t="s">
        <v>158</v>
      </c>
      <c r="I302" s="5"/>
      <c r="J302" s="6" t="n">
        <f aca="false">IF(AU302="pass",CM302+CN302+CO302+CP302+CQ302+CR302+CS302+CT302,0)</f>
        <v>0</v>
      </c>
      <c r="K302" s="6" t="s">
        <v>10578</v>
      </c>
      <c r="M302" s="6" t="s">
        <v>5293</v>
      </c>
      <c r="N302" s="6" t="s">
        <v>598</v>
      </c>
      <c r="R302" s="5" t="s">
        <v>162</v>
      </c>
      <c r="S302" s="6" t="s">
        <v>163</v>
      </c>
      <c r="T302" s="5" t="s">
        <v>162</v>
      </c>
      <c r="U302" s="5" t="s">
        <v>228</v>
      </c>
      <c r="V302" s="6" t="s">
        <v>10735</v>
      </c>
      <c r="W302" s="6" t="s">
        <v>166</v>
      </c>
      <c r="X302" s="6" t="s">
        <v>4586</v>
      </c>
      <c r="Y302" s="0" t="str">
        <f aca="false">IF(EB302&lt;&gt;"Y","",COUNTIFS($EB$2:$EB$1000,"Y",$J$2:$J$1000,"&gt;"&amp;J302)+COUNTIFS($EB$2:$EB$1000,"Y",$J$2:$J$1000,J302,$ED$2:$ED$1000,"&lt;"&amp;ED302)+1)</f>
        <v/>
      </c>
      <c r="AA302" s="6" t="s">
        <v>162</v>
      </c>
      <c r="AD302" s="6" t="s">
        <v>158</v>
      </c>
      <c r="AH302" s="6" t="s">
        <v>10736</v>
      </c>
      <c r="AI302" s="6" t="s">
        <v>4665</v>
      </c>
      <c r="AJ302" s="6" t="s">
        <v>163</v>
      </c>
      <c r="AK302" s="6" t="s">
        <v>10737</v>
      </c>
      <c r="AL302" s="6" t="s">
        <v>162</v>
      </c>
      <c r="AN302" s="6" t="s">
        <v>10733</v>
      </c>
      <c r="AO302" s="5" t="s">
        <v>162</v>
      </c>
      <c r="AR302" s="0" t="str">
        <f aca="false">IF(AND(AU302="pass",AO302&lt;&gt;"Y",C302&lt;&gt;""),"Y","N")</f>
        <v>N</v>
      </c>
      <c r="AS302" s="0" t="str">
        <f aca="false">_xlfn.TEXTJOIN("; ",TRUE(),IF(AU302&lt;&gt;"pass","gated out",""),IF(AO302="Y","on hold: "&amp;AP302,""),IF(C302="","no contact named on an opened page",""))</f>
        <v>gated out; no contact named on an opened page</v>
      </c>
      <c r="AU302" s="6" t="s">
        <v>3704</v>
      </c>
      <c r="AV302" s="6" t="s">
        <v>9885</v>
      </c>
      <c r="AW302" s="6" t="s">
        <v>10583</v>
      </c>
      <c r="AY302" s="6" t="s">
        <v>10737</v>
      </c>
      <c r="AZ302" s="6" t="s">
        <v>163</v>
      </c>
      <c r="BA302" s="6" t="s">
        <v>163</v>
      </c>
      <c r="BB302" s="6" t="s">
        <v>163</v>
      </c>
      <c r="BD302" s="6" t="s">
        <v>162</v>
      </c>
      <c r="BE302" s="6" t="s">
        <v>10738</v>
      </c>
      <c r="BF302" s="6" t="s">
        <v>168</v>
      </c>
      <c r="BG302" s="6" t="s">
        <v>168</v>
      </c>
      <c r="BH302" s="6" t="s">
        <v>163</v>
      </c>
      <c r="BJ302" s="6" t="s">
        <v>163</v>
      </c>
      <c r="BK302" s="6" t="s">
        <v>162</v>
      </c>
      <c r="BL302" s="6" t="s">
        <v>168</v>
      </c>
      <c r="BM302" s="6" t="s">
        <v>10585</v>
      </c>
      <c r="BO302" s="6" t="s">
        <v>162</v>
      </c>
      <c r="BP302" s="0" t="n">
        <v>0</v>
      </c>
      <c r="BS302" s="6" t="s">
        <v>10739</v>
      </c>
      <c r="BU302" s="6" t="s">
        <v>158</v>
      </c>
      <c r="CF302" s="6" t="s">
        <v>158</v>
      </c>
      <c r="CK302" s="6" t="s">
        <v>158</v>
      </c>
      <c r="CL302" s="0" t="n">
        <v>21</v>
      </c>
      <c r="CM302" s="0" t="n">
        <v>6</v>
      </c>
      <c r="CN302" s="0" t="n">
        <v>4</v>
      </c>
      <c r="CO302" s="0" t="n">
        <v>0</v>
      </c>
      <c r="CP302" s="0" t="n">
        <v>5</v>
      </c>
      <c r="CQ302" s="0" t="n">
        <v>6</v>
      </c>
      <c r="CR302" s="0" t="n">
        <v>0</v>
      </c>
      <c r="CS302" s="6" t="n">
        <f aca="false">IF(R302="Y",10,0)</f>
        <v>0</v>
      </c>
      <c r="CT302" s="0" t="n">
        <v>0</v>
      </c>
      <c r="CU302" s="6" t="s">
        <v>10740</v>
      </c>
      <c r="CV302" s="6" t="s">
        <v>4704</v>
      </c>
      <c r="CW302" s="6" t="s">
        <v>10741</v>
      </c>
      <c r="CX302" s="6" t="s">
        <v>10742</v>
      </c>
      <c r="DA302" s="6" t="s">
        <v>6236</v>
      </c>
      <c r="DY302" s="0" t="str">
        <f aca="false">IF(ISNUMBER(MATCH(U302,{"queued","contacted","replied","call_booked","call_done","yes_in_principle","materials_sent"},0)),"Y","N")</f>
        <v>N</v>
      </c>
      <c r="DZ302" s="0" t="str">
        <f aca="false">IF(COUNTIFS($AN$2:$AN$1000,AN302,$DY$2:$DY$1000,"Y")+COUNTIFS($AN$2:$AN$1000,AN302,$T$2:$T$1000,"Y")&gt;0,"Y","N")</f>
        <v>N</v>
      </c>
      <c r="EA302" s="0" t="str">
        <f aca="false">IF(AND(U302="new",T302="N",AR302="Y",AQ302="",DZ302="N"),"Y","N")</f>
        <v>N</v>
      </c>
      <c r="EB302" s="0" t="str">
        <f aca="false">IF(EA302&lt;&gt;"Y","N",IF(COUNTIFS($AN$2:$AN$1000,AN302,$EA$2:$EA$1000,"Y",$J$2:$J$1000,"&gt;"&amp;J302)+COUNTIFS($AN$2:$AN$1000,AN302,$EA$2:$EA$1000,"Y",$J$2:$J$1000,J302,$ED$2:$ED$1000,"&lt;"&amp;ED302)=0,"Y","N"))</f>
        <v>N</v>
      </c>
      <c r="EC302" s="0" t="str">
        <f aca="false">IF(Y302="","N",IF(Y302&lt;=10,"Y","N"))</f>
        <v>N</v>
      </c>
      <c r="ED302" s="6" t="n">
        <f aca="false">ROW()-1</f>
        <v>301</v>
      </c>
    </row>
    <row r="303" customFormat="false" ht="15" hidden="false" customHeight="false" outlineLevel="0" collapsed="false">
      <c r="A303" s="0" t="s">
        <v>10743</v>
      </c>
      <c r="B303" s="0" t="s">
        <v>10744</v>
      </c>
      <c r="H303" s="5" t="s">
        <v>158</v>
      </c>
      <c r="I303" s="5"/>
      <c r="J303" s="6" t="n">
        <f aca="false">IF(AU303="pass",CM303+CN303+CO303+CP303+CQ303+CR303+CS303+CT303,0)</f>
        <v>0</v>
      </c>
      <c r="K303" s="6" t="s">
        <v>10745</v>
      </c>
      <c r="M303" s="6" t="s">
        <v>5293</v>
      </c>
      <c r="N303" s="6" t="s">
        <v>598</v>
      </c>
      <c r="R303" s="5" t="s">
        <v>162</v>
      </c>
      <c r="S303" s="6" t="s">
        <v>163</v>
      </c>
      <c r="T303" s="5" t="s">
        <v>162</v>
      </c>
      <c r="U303" s="5" t="s">
        <v>228</v>
      </c>
      <c r="V303" s="6" t="s">
        <v>10746</v>
      </c>
      <c r="W303" s="6" t="s">
        <v>166</v>
      </c>
      <c r="X303" s="6" t="s">
        <v>4586</v>
      </c>
      <c r="Y303" s="0" t="str">
        <f aca="false">IF(EB303&lt;&gt;"Y","",COUNTIFS($EB$2:$EB$1000,"Y",$J$2:$J$1000,"&gt;"&amp;J303)+COUNTIFS($EB$2:$EB$1000,"Y",$J$2:$J$1000,J303,$ED$2:$ED$1000,"&lt;"&amp;ED303)+1)</f>
        <v/>
      </c>
      <c r="AA303" s="6" t="s">
        <v>162</v>
      </c>
      <c r="AD303" s="6" t="s">
        <v>158</v>
      </c>
      <c r="AH303" s="6" t="s">
        <v>10747</v>
      </c>
      <c r="AI303" s="6" t="s">
        <v>4591</v>
      </c>
      <c r="AJ303" s="6" t="s">
        <v>163</v>
      </c>
      <c r="AK303" s="6" t="s">
        <v>10748</v>
      </c>
      <c r="AL303" s="6" t="s">
        <v>168</v>
      </c>
      <c r="AM303" s="6" t="s">
        <v>4691</v>
      </c>
      <c r="AN303" s="6" t="s">
        <v>10743</v>
      </c>
      <c r="AO303" s="5" t="s">
        <v>162</v>
      </c>
      <c r="AR303" s="0" t="str">
        <f aca="false">IF(AND(AU303="pass",AO303&lt;&gt;"Y",C303&lt;&gt;""),"Y","N")</f>
        <v>N</v>
      </c>
      <c r="AS303" s="0" t="str">
        <f aca="false">_xlfn.TEXTJOIN("; ",TRUE(),IF(AU303&lt;&gt;"pass","gated out",""),IF(AO303="Y","on hold: "&amp;AP303,""),IF(C303="","no contact named on an opened page",""))</f>
        <v>gated out; no contact named on an opened page</v>
      </c>
      <c r="AU303" s="6" t="s">
        <v>3704</v>
      </c>
      <c r="AV303" s="6" t="s">
        <v>9764</v>
      </c>
      <c r="AW303" s="6" t="s">
        <v>10749</v>
      </c>
      <c r="AY303" s="6" t="s">
        <v>10748</v>
      </c>
      <c r="AZ303" s="6" t="s">
        <v>163</v>
      </c>
      <c r="BA303" s="6" t="s">
        <v>163</v>
      </c>
      <c r="BB303" s="6" t="s">
        <v>163</v>
      </c>
      <c r="BD303" s="6" t="s">
        <v>163</v>
      </c>
      <c r="BE303" s="6" t="s">
        <v>8634</v>
      </c>
      <c r="BF303" s="6" t="s">
        <v>168</v>
      </c>
      <c r="BG303" s="6" t="s">
        <v>168</v>
      </c>
      <c r="BH303" s="6" t="s">
        <v>163</v>
      </c>
      <c r="BJ303" s="6" t="s">
        <v>5551</v>
      </c>
      <c r="BK303" s="6" t="s">
        <v>168</v>
      </c>
      <c r="BL303" s="6" t="s">
        <v>168</v>
      </c>
      <c r="BM303" s="6" t="s">
        <v>10750</v>
      </c>
      <c r="BO303" s="6" t="s">
        <v>162</v>
      </c>
      <c r="BP303" s="0" t="n">
        <v>0</v>
      </c>
      <c r="BS303" s="6" t="s">
        <v>163</v>
      </c>
      <c r="BU303" s="6" t="s">
        <v>158</v>
      </c>
      <c r="CF303" s="6" t="s">
        <v>158</v>
      </c>
      <c r="CK303" s="6" t="s">
        <v>158</v>
      </c>
      <c r="CL303" s="0" t="n">
        <v>22</v>
      </c>
      <c r="CM303" s="0" t="n">
        <v>6</v>
      </c>
      <c r="CN303" s="0" t="n">
        <v>4</v>
      </c>
      <c r="CO303" s="0" t="n">
        <v>0</v>
      </c>
      <c r="CP303" s="0" t="n">
        <v>5</v>
      </c>
      <c r="CQ303" s="0" t="n">
        <v>7</v>
      </c>
      <c r="CR303" s="0" t="n">
        <v>0</v>
      </c>
      <c r="CS303" s="6" t="n">
        <f aca="false">IF(R303="Y",10,0)</f>
        <v>0</v>
      </c>
      <c r="CT303" s="0" t="n">
        <v>0</v>
      </c>
      <c r="CU303" s="6" t="s">
        <v>10751</v>
      </c>
      <c r="CV303" s="6" t="s">
        <v>5564</v>
      </c>
      <c r="CW303" s="6" t="s">
        <v>10752</v>
      </c>
      <c r="CX303" s="6" t="s">
        <v>10753</v>
      </c>
      <c r="DA303" s="6" t="s">
        <v>6236</v>
      </c>
      <c r="DY303" s="0" t="str">
        <f aca="false">IF(ISNUMBER(MATCH(U303,{"queued","contacted","replied","call_booked","call_done","yes_in_principle","materials_sent"},0)),"Y","N")</f>
        <v>N</v>
      </c>
      <c r="DZ303" s="0" t="str">
        <f aca="false">IF(COUNTIFS($AN$2:$AN$1000,AN303,$DY$2:$DY$1000,"Y")+COUNTIFS($AN$2:$AN$1000,AN303,$T$2:$T$1000,"Y")&gt;0,"Y","N")</f>
        <v>N</v>
      </c>
      <c r="EA303" s="0" t="str">
        <f aca="false">IF(AND(U303="new",T303="N",AR303="Y",AQ303="",DZ303="N"),"Y","N")</f>
        <v>N</v>
      </c>
      <c r="EB303" s="0" t="str">
        <f aca="false">IF(EA303&lt;&gt;"Y","N",IF(COUNTIFS($AN$2:$AN$1000,AN303,$EA$2:$EA$1000,"Y",$J$2:$J$1000,"&gt;"&amp;J303)+COUNTIFS($AN$2:$AN$1000,AN303,$EA$2:$EA$1000,"Y",$J$2:$J$1000,J303,$ED$2:$ED$1000,"&lt;"&amp;ED303)=0,"Y","N"))</f>
        <v>N</v>
      </c>
      <c r="EC303" s="0" t="str">
        <f aca="false">IF(Y303="","N",IF(Y303&lt;=10,"Y","N"))</f>
        <v>N</v>
      </c>
      <c r="ED303" s="6" t="n">
        <f aca="false">ROW()-1</f>
        <v>302</v>
      </c>
    </row>
    <row r="304" customFormat="false" ht="15" hidden="false" customHeight="false" outlineLevel="0" collapsed="false">
      <c r="A304" s="0" t="s">
        <v>10754</v>
      </c>
      <c r="B304" s="0" t="s">
        <v>10755</v>
      </c>
      <c r="H304" s="5" t="s">
        <v>158</v>
      </c>
      <c r="I304" s="5"/>
      <c r="J304" s="6" t="n">
        <f aca="false">IF(AU304="pass",CM304+CN304+CO304+CP304+CQ304+CR304+CS304+CT304,0)</f>
        <v>0</v>
      </c>
      <c r="K304" s="6" t="s">
        <v>10756</v>
      </c>
      <c r="M304" s="6" t="s">
        <v>5293</v>
      </c>
      <c r="N304" s="6" t="s">
        <v>598</v>
      </c>
      <c r="R304" s="5" t="s">
        <v>162</v>
      </c>
      <c r="S304" s="6" t="s">
        <v>163</v>
      </c>
      <c r="T304" s="5" t="s">
        <v>162</v>
      </c>
      <c r="U304" s="5" t="s">
        <v>228</v>
      </c>
      <c r="V304" s="6" t="s">
        <v>10757</v>
      </c>
      <c r="W304" s="6" t="s">
        <v>166</v>
      </c>
      <c r="X304" s="6" t="s">
        <v>4586</v>
      </c>
      <c r="Y304" s="0" t="str">
        <f aca="false">IF(EB304&lt;&gt;"Y","",COUNTIFS($EB$2:$EB$1000,"Y",$J$2:$J$1000,"&gt;"&amp;J304)+COUNTIFS($EB$2:$EB$1000,"Y",$J$2:$J$1000,J304,$ED$2:$ED$1000,"&lt;"&amp;ED304)+1)</f>
        <v/>
      </c>
      <c r="AA304" s="6" t="s">
        <v>162</v>
      </c>
      <c r="AD304" s="6" t="s">
        <v>158</v>
      </c>
      <c r="AH304" s="6" t="s">
        <v>10758</v>
      </c>
      <c r="AI304" s="6" t="s">
        <v>5926</v>
      </c>
      <c r="AJ304" s="6" t="s">
        <v>192</v>
      </c>
      <c r="AK304" s="6" t="s">
        <v>10759</v>
      </c>
      <c r="AL304" s="6" t="s">
        <v>162</v>
      </c>
      <c r="AN304" s="6" t="s">
        <v>10754</v>
      </c>
      <c r="AO304" s="5" t="s">
        <v>162</v>
      </c>
      <c r="AR304" s="0" t="str">
        <f aca="false">IF(AND(AU304="pass",AO304&lt;&gt;"Y",C304&lt;&gt;""),"Y","N")</f>
        <v>N</v>
      </c>
      <c r="AS304" s="0" t="str">
        <f aca="false">_xlfn.TEXTJOIN("; ",TRUE(),IF(AU304&lt;&gt;"pass","gated out",""),IF(AO304="Y","on hold: "&amp;AP304,""),IF(C304="","no contact named on an opened page",""))</f>
        <v>gated out; no contact named on an opened page</v>
      </c>
      <c r="AU304" s="6" t="s">
        <v>3704</v>
      </c>
      <c r="AV304" s="6" t="s">
        <v>10404</v>
      </c>
      <c r="AW304" s="6" t="s">
        <v>10760</v>
      </c>
      <c r="AY304" s="6" t="s">
        <v>10759</v>
      </c>
      <c r="AZ304" s="6" t="s">
        <v>4596</v>
      </c>
      <c r="BA304" s="6" t="s">
        <v>4597</v>
      </c>
      <c r="BB304" s="6" t="s">
        <v>163</v>
      </c>
      <c r="BD304" s="6" t="s">
        <v>168</v>
      </c>
      <c r="BE304" s="6" t="s">
        <v>10761</v>
      </c>
      <c r="BF304" s="6" t="s">
        <v>168</v>
      </c>
      <c r="BG304" s="6" t="s">
        <v>168</v>
      </c>
      <c r="BH304" s="6" t="s">
        <v>163</v>
      </c>
      <c r="BJ304" s="6" t="s">
        <v>5551</v>
      </c>
      <c r="BK304" s="6" t="s">
        <v>168</v>
      </c>
      <c r="BL304" s="6" t="s">
        <v>168</v>
      </c>
      <c r="BM304" s="6" t="s">
        <v>10762</v>
      </c>
      <c r="BO304" s="6" t="s">
        <v>162</v>
      </c>
      <c r="BP304" s="0" t="n">
        <v>0</v>
      </c>
      <c r="BS304" s="6" t="s">
        <v>10763</v>
      </c>
      <c r="BU304" s="6" t="s">
        <v>158</v>
      </c>
      <c r="CF304" s="6" t="s">
        <v>158</v>
      </c>
      <c r="CK304" s="6" t="s">
        <v>158</v>
      </c>
      <c r="CL304" s="0" t="n">
        <v>41</v>
      </c>
      <c r="CM304" s="0" t="n">
        <v>6</v>
      </c>
      <c r="CN304" s="0" t="n">
        <v>20</v>
      </c>
      <c r="CO304" s="0" t="n">
        <v>0</v>
      </c>
      <c r="CP304" s="0" t="n">
        <v>5</v>
      </c>
      <c r="CQ304" s="0" t="n">
        <v>10</v>
      </c>
      <c r="CR304" s="0" t="n">
        <v>0</v>
      </c>
      <c r="CS304" s="6" t="n">
        <f aca="false">IF(R304="Y",10,0)</f>
        <v>0</v>
      </c>
      <c r="CT304" s="0" t="n">
        <v>0</v>
      </c>
      <c r="CU304" s="6" t="s">
        <v>10764</v>
      </c>
      <c r="CV304" s="6" t="s">
        <v>5564</v>
      </c>
      <c r="CW304" s="6" t="s">
        <v>10765</v>
      </c>
      <c r="CX304" s="6" t="s">
        <v>10766</v>
      </c>
      <c r="DA304" s="6" t="s">
        <v>6236</v>
      </c>
      <c r="DY304" s="0" t="str">
        <f aca="false">IF(ISNUMBER(MATCH(U304,{"queued","contacted","replied","call_booked","call_done","yes_in_principle","materials_sent"},0)),"Y","N")</f>
        <v>N</v>
      </c>
      <c r="DZ304" s="0" t="str">
        <f aca="false">IF(COUNTIFS($AN$2:$AN$1000,AN304,$DY$2:$DY$1000,"Y")+COUNTIFS($AN$2:$AN$1000,AN304,$T$2:$T$1000,"Y")&gt;0,"Y","N")</f>
        <v>N</v>
      </c>
      <c r="EA304" s="0" t="str">
        <f aca="false">IF(AND(U304="new",T304="N",AR304="Y",AQ304="",DZ304="N"),"Y","N")</f>
        <v>N</v>
      </c>
      <c r="EB304" s="0" t="str">
        <f aca="false">IF(EA304&lt;&gt;"Y","N",IF(COUNTIFS($AN$2:$AN$1000,AN304,$EA$2:$EA$1000,"Y",$J$2:$J$1000,"&gt;"&amp;J304)+COUNTIFS($AN$2:$AN$1000,AN304,$EA$2:$EA$1000,"Y",$J$2:$J$1000,J304,$ED$2:$ED$1000,"&lt;"&amp;ED304)=0,"Y","N"))</f>
        <v>N</v>
      </c>
      <c r="EC304" s="0" t="str">
        <f aca="false">IF(Y304="","N",IF(Y304&lt;=10,"Y","N"))</f>
        <v>N</v>
      </c>
      <c r="ED304" s="6" t="n">
        <f aca="false">ROW()-1</f>
        <v>303</v>
      </c>
    </row>
    <row r="305" customFormat="false" ht="15" hidden="false" customHeight="false" outlineLevel="0" collapsed="false">
      <c r="A305" s="0" t="s">
        <v>10767</v>
      </c>
      <c r="B305" s="0" t="s">
        <v>10768</v>
      </c>
      <c r="H305" s="5" t="s">
        <v>158</v>
      </c>
      <c r="I305" s="5"/>
      <c r="J305" s="6" t="n">
        <f aca="false">IF(AU305="pass",CM305+CN305+CO305+CP305+CQ305+CR305+CS305+CT305,0)</f>
        <v>0</v>
      </c>
      <c r="K305" s="6" t="s">
        <v>10769</v>
      </c>
      <c r="M305" s="6" t="s">
        <v>5293</v>
      </c>
      <c r="N305" s="6" t="s">
        <v>598</v>
      </c>
      <c r="R305" s="5" t="s">
        <v>162</v>
      </c>
      <c r="S305" s="6" t="s">
        <v>163</v>
      </c>
      <c r="T305" s="5" t="s">
        <v>162</v>
      </c>
      <c r="U305" s="5" t="s">
        <v>228</v>
      </c>
      <c r="V305" s="6" t="s">
        <v>10770</v>
      </c>
      <c r="W305" s="6" t="s">
        <v>166</v>
      </c>
      <c r="X305" s="6" t="s">
        <v>4586</v>
      </c>
      <c r="Y305" s="0" t="str">
        <f aca="false">IF(EB305&lt;&gt;"Y","",COUNTIFS($EB$2:$EB$1000,"Y",$J$2:$J$1000,"&gt;"&amp;J305)+COUNTIFS($EB$2:$EB$1000,"Y",$J$2:$J$1000,J305,$ED$2:$ED$1000,"&lt;"&amp;ED305)+1)</f>
        <v/>
      </c>
      <c r="AA305" s="6" t="s">
        <v>162</v>
      </c>
      <c r="AD305" s="6" t="s">
        <v>158</v>
      </c>
      <c r="AH305" s="6" t="s">
        <v>10771</v>
      </c>
      <c r="AI305" s="6" t="s">
        <v>4591</v>
      </c>
      <c r="AJ305" s="6" t="s">
        <v>192</v>
      </c>
      <c r="AK305" s="6" t="s">
        <v>10772</v>
      </c>
      <c r="AL305" s="6" t="s">
        <v>162</v>
      </c>
      <c r="AN305" s="6" t="s">
        <v>10767</v>
      </c>
      <c r="AO305" s="5" t="s">
        <v>162</v>
      </c>
      <c r="AR305" s="0" t="str">
        <f aca="false">IF(AND(AU305="pass",AO305&lt;&gt;"Y",C305&lt;&gt;""),"Y","N")</f>
        <v>N</v>
      </c>
      <c r="AS305" s="0" t="str">
        <f aca="false">_xlfn.TEXTJOIN("; ",TRUE(),IF(AU305&lt;&gt;"pass","gated out",""),IF(AO305="Y","on hold: "&amp;AP305,""),IF(C305="","no contact named on an opened page",""))</f>
        <v>gated out; no contact named on an opened page</v>
      </c>
      <c r="AU305" s="6" t="s">
        <v>3704</v>
      </c>
      <c r="AV305" s="6" t="s">
        <v>10404</v>
      </c>
      <c r="AW305" s="6" t="s">
        <v>10773</v>
      </c>
      <c r="AY305" s="6" t="s">
        <v>10772</v>
      </c>
      <c r="AZ305" s="6" t="s">
        <v>4596</v>
      </c>
      <c r="BA305" s="6" t="s">
        <v>4597</v>
      </c>
      <c r="BB305" s="6" t="s">
        <v>163</v>
      </c>
      <c r="BD305" s="6" t="s">
        <v>168</v>
      </c>
      <c r="BE305" s="6" t="s">
        <v>10774</v>
      </c>
      <c r="BF305" s="6" t="s">
        <v>168</v>
      </c>
      <c r="BG305" s="6" t="s">
        <v>168</v>
      </c>
      <c r="BH305" s="6" t="s">
        <v>163</v>
      </c>
      <c r="BJ305" s="6" t="s">
        <v>5551</v>
      </c>
      <c r="BK305" s="6" t="s">
        <v>168</v>
      </c>
      <c r="BL305" s="6" t="s">
        <v>168</v>
      </c>
      <c r="BM305" s="6" t="s">
        <v>10775</v>
      </c>
      <c r="BO305" s="6" t="s">
        <v>162</v>
      </c>
      <c r="BP305" s="0" t="n">
        <v>0</v>
      </c>
      <c r="BS305" s="6" t="s">
        <v>163</v>
      </c>
      <c r="BU305" s="6" t="s">
        <v>158</v>
      </c>
      <c r="CF305" s="6" t="s">
        <v>158</v>
      </c>
      <c r="CK305" s="6" t="s">
        <v>158</v>
      </c>
      <c r="CL305" s="0" t="n">
        <v>41</v>
      </c>
      <c r="CM305" s="0" t="n">
        <v>6</v>
      </c>
      <c r="CN305" s="0" t="n">
        <v>20</v>
      </c>
      <c r="CO305" s="0" t="n">
        <v>0</v>
      </c>
      <c r="CP305" s="0" t="n">
        <v>5</v>
      </c>
      <c r="CQ305" s="0" t="n">
        <v>10</v>
      </c>
      <c r="CR305" s="0" t="n">
        <v>0</v>
      </c>
      <c r="CS305" s="6" t="n">
        <f aca="false">IF(R305="Y",10,0)</f>
        <v>0</v>
      </c>
      <c r="CT305" s="0" t="n">
        <v>0</v>
      </c>
      <c r="CU305" s="6" t="s">
        <v>10776</v>
      </c>
      <c r="CV305" s="6" t="s">
        <v>5564</v>
      </c>
      <c r="CW305" s="6" t="s">
        <v>10777</v>
      </c>
      <c r="CX305" s="6" t="s">
        <v>10778</v>
      </c>
      <c r="DA305" s="6" t="s">
        <v>6236</v>
      </c>
      <c r="DY305" s="0" t="str">
        <f aca="false">IF(ISNUMBER(MATCH(U305,{"queued","contacted","replied","call_booked","call_done","yes_in_principle","materials_sent"},0)),"Y","N")</f>
        <v>N</v>
      </c>
      <c r="DZ305" s="0" t="str">
        <f aca="false">IF(COUNTIFS($AN$2:$AN$1000,AN305,$DY$2:$DY$1000,"Y")+COUNTIFS($AN$2:$AN$1000,AN305,$T$2:$T$1000,"Y")&gt;0,"Y","N")</f>
        <v>N</v>
      </c>
      <c r="EA305" s="0" t="str">
        <f aca="false">IF(AND(U305="new",T305="N",AR305="Y",AQ305="",DZ305="N"),"Y","N")</f>
        <v>N</v>
      </c>
      <c r="EB305" s="0" t="str">
        <f aca="false">IF(EA305&lt;&gt;"Y","N",IF(COUNTIFS($AN$2:$AN$1000,AN305,$EA$2:$EA$1000,"Y",$J$2:$J$1000,"&gt;"&amp;J305)+COUNTIFS($AN$2:$AN$1000,AN305,$EA$2:$EA$1000,"Y",$J$2:$J$1000,J305,$ED$2:$ED$1000,"&lt;"&amp;ED305)=0,"Y","N"))</f>
        <v>N</v>
      </c>
      <c r="EC305" s="0" t="str">
        <f aca="false">IF(Y305="","N",IF(Y305&lt;=10,"Y","N"))</f>
        <v>N</v>
      </c>
      <c r="ED305" s="6" t="n">
        <f aca="false">ROW()-1</f>
        <v>304</v>
      </c>
    </row>
    <row r="306" customFormat="false" ht="15" hidden="false" customHeight="false" outlineLevel="0" collapsed="false">
      <c r="A306" s="0" t="s">
        <v>10779</v>
      </c>
      <c r="B306" s="0" t="s">
        <v>10780</v>
      </c>
      <c r="H306" s="5" t="s">
        <v>158</v>
      </c>
      <c r="I306" s="5"/>
      <c r="J306" s="6" t="n">
        <f aca="false">IF(AU306="pass",CM306+CN306+CO306+CP306+CQ306+CR306+CS306+CT306,0)</f>
        <v>0</v>
      </c>
      <c r="K306" s="6" t="s">
        <v>10781</v>
      </c>
      <c r="M306" s="6" t="s">
        <v>5293</v>
      </c>
      <c r="N306" s="6" t="s">
        <v>598</v>
      </c>
      <c r="O306" s="6" t="s">
        <v>10782</v>
      </c>
      <c r="P306" s="6" t="s">
        <v>10783</v>
      </c>
      <c r="Q306" s="6" t="s">
        <v>10784</v>
      </c>
      <c r="R306" s="5" t="s">
        <v>162</v>
      </c>
      <c r="S306" s="6" t="s">
        <v>163</v>
      </c>
      <c r="T306" s="5" t="s">
        <v>162</v>
      </c>
      <c r="U306" s="5" t="s">
        <v>228</v>
      </c>
      <c r="V306" s="6" t="s">
        <v>10785</v>
      </c>
      <c r="W306" s="6" t="s">
        <v>166</v>
      </c>
      <c r="X306" s="6" t="s">
        <v>4586</v>
      </c>
      <c r="Y306" s="0" t="str">
        <f aca="false">IF(EB306&lt;&gt;"Y","",COUNTIFS($EB$2:$EB$1000,"Y",$J$2:$J$1000,"&gt;"&amp;J306)+COUNTIFS($EB$2:$EB$1000,"Y",$J$2:$J$1000,J306,$ED$2:$ED$1000,"&lt;"&amp;ED306)+1)</f>
        <v/>
      </c>
      <c r="AA306" s="6" t="s">
        <v>162</v>
      </c>
      <c r="AD306" s="6" t="s">
        <v>158</v>
      </c>
      <c r="AH306" s="6" t="s">
        <v>10786</v>
      </c>
      <c r="AI306" s="6" t="s">
        <v>5765</v>
      </c>
      <c r="AJ306" s="6" t="s">
        <v>163</v>
      </c>
      <c r="AK306" s="6" t="s">
        <v>10787</v>
      </c>
      <c r="AL306" s="6" t="s">
        <v>168</v>
      </c>
      <c r="AM306" s="6" t="s">
        <v>10788</v>
      </c>
      <c r="AN306" s="6" t="s">
        <v>10779</v>
      </c>
      <c r="AO306" s="5" t="s">
        <v>162</v>
      </c>
      <c r="AR306" s="0" t="str">
        <f aca="false">IF(AND(AU306="pass",AO306&lt;&gt;"Y",C306&lt;&gt;""),"Y","N")</f>
        <v>N</v>
      </c>
      <c r="AS306" s="0" t="str">
        <f aca="false">_xlfn.TEXTJOIN("; ",TRUE(),IF(AU306&lt;&gt;"pass","gated out",""),IF(AO306="Y","on hold: "&amp;AP306,""),IF(C306="","no contact named on an opened page",""))</f>
        <v>gated out; no contact named on an opened page</v>
      </c>
      <c r="AU306" s="6" t="s">
        <v>3704</v>
      </c>
      <c r="AV306" s="6" t="s">
        <v>9885</v>
      </c>
      <c r="AW306" s="6" t="s">
        <v>10789</v>
      </c>
      <c r="AX306" s="6" t="s">
        <v>4595</v>
      </c>
      <c r="AY306" s="6" t="s">
        <v>10787</v>
      </c>
      <c r="AZ306" s="6" t="s">
        <v>4596</v>
      </c>
      <c r="BA306" s="6" t="s">
        <v>4953</v>
      </c>
      <c r="BB306" s="6" t="s">
        <v>8884</v>
      </c>
      <c r="BD306" s="6" t="s">
        <v>162</v>
      </c>
      <c r="BE306" s="6" t="s">
        <v>10790</v>
      </c>
      <c r="BF306" s="6" t="s">
        <v>168</v>
      </c>
      <c r="BG306" s="6" t="s">
        <v>168</v>
      </c>
      <c r="BH306" s="6" t="s">
        <v>163</v>
      </c>
      <c r="BJ306" s="6" t="s">
        <v>5551</v>
      </c>
      <c r="BK306" s="6" t="s">
        <v>162</v>
      </c>
      <c r="BL306" s="6" t="s">
        <v>168</v>
      </c>
      <c r="BM306" s="6" t="s">
        <v>10791</v>
      </c>
      <c r="BO306" s="6" t="s">
        <v>162</v>
      </c>
      <c r="BP306" s="0" t="n">
        <v>0</v>
      </c>
      <c r="BS306" s="6" t="s">
        <v>163</v>
      </c>
      <c r="BU306" s="6" t="s">
        <v>10792</v>
      </c>
      <c r="BV306" s="0" t="n">
        <v>388</v>
      </c>
      <c r="CF306" s="6" t="s">
        <v>158</v>
      </c>
      <c r="CK306" s="6" t="s">
        <v>158</v>
      </c>
      <c r="CL306" s="0" t="n">
        <v>26</v>
      </c>
      <c r="CM306" s="0" t="n">
        <v>6</v>
      </c>
      <c r="CN306" s="0" t="n">
        <v>13</v>
      </c>
      <c r="CO306" s="0" t="n">
        <v>0</v>
      </c>
      <c r="CP306" s="0" t="n">
        <v>5</v>
      </c>
      <c r="CQ306" s="0" t="n">
        <v>6</v>
      </c>
      <c r="CR306" s="0" t="n">
        <v>0</v>
      </c>
      <c r="CS306" s="6" t="n">
        <f aca="false">IF(R306="Y",10,0)</f>
        <v>0</v>
      </c>
      <c r="CT306" s="0" t="n">
        <v>-4</v>
      </c>
      <c r="CU306" s="6" t="s">
        <v>10793</v>
      </c>
      <c r="CV306" s="6" t="s">
        <v>5564</v>
      </c>
      <c r="CW306" s="6" t="s">
        <v>10794</v>
      </c>
      <c r="CX306" s="6" t="s">
        <v>10795</v>
      </c>
      <c r="CY306" s="6" t="s">
        <v>10796</v>
      </c>
      <c r="DA306" s="6" t="s">
        <v>6236</v>
      </c>
      <c r="DY306" s="0" t="str">
        <f aca="false">IF(ISNUMBER(MATCH(U306,{"queued","contacted","replied","call_booked","call_done","yes_in_principle","materials_sent"},0)),"Y","N")</f>
        <v>N</v>
      </c>
      <c r="DZ306" s="0" t="str">
        <f aca="false">IF(COUNTIFS($AN$2:$AN$1000,AN306,$DY$2:$DY$1000,"Y")+COUNTIFS($AN$2:$AN$1000,AN306,$T$2:$T$1000,"Y")&gt;0,"Y","N")</f>
        <v>N</v>
      </c>
      <c r="EA306" s="0" t="str">
        <f aca="false">IF(AND(U306="new",T306="N",AR306="Y",AQ306="",DZ306="N"),"Y","N")</f>
        <v>N</v>
      </c>
      <c r="EB306" s="0" t="str">
        <f aca="false">IF(EA306&lt;&gt;"Y","N",IF(COUNTIFS($AN$2:$AN$1000,AN306,$EA$2:$EA$1000,"Y",$J$2:$J$1000,"&gt;"&amp;J306)+COUNTIFS($AN$2:$AN$1000,AN306,$EA$2:$EA$1000,"Y",$J$2:$J$1000,J306,$ED$2:$ED$1000,"&lt;"&amp;ED306)=0,"Y","N"))</f>
        <v>N</v>
      </c>
      <c r="EC306" s="0" t="str">
        <f aca="false">IF(Y306="","N",IF(Y306&lt;=10,"Y","N"))</f>
        <v>N</v>
      </c>
      <c r="ED306" s="6" t="n">
        <f aca="false">ROW()-1</f>
        <v>305</v>
      </c>
    </row>
    <row r="307" customFormat="false" ht="15" hidden="false" customHeight="false" outlineLevel="0" collapsed="false">
      <c r="A307" s="0" t="s">
        <v>10797</v>
      </c>
      <c r="B307" s="0" t="s">
        <v>10798</v>
      </c>
      <c r="C307" s="0" t="s">
        <v>10799</v>
      </c>
      <c r="D307" s="0" t="s">
        <v>163</v>
      </c>
      <c r="E307" s="0" t="s">
        <v>4626</v>
      </c>
      <c r="H307" s="5" t="s">
        <v>158</v>
      </c>
      <c r="I307" s="5" t="s">
        <v>159</v>
      </c>
      <c r="J307" s="6" t="n">
        <f aca="false">IF(AU307="pass",CM307+CN307+CO307+CP307+CQ307+CR307+CS307+CT307,0)</f>
        <v>0</v>
      </c>
      <c r="K307" s="6" t="s">
        <v>10800</v>
      </c>
      <c r="M307" s="6" t="s">
        <v>5293</v>
      </c>
      <c r="N307" s="6" t="s">
        <v>598</v>
      </c>
      <c r="R307" s="5" t="s">
        <v>162</v>
      </c>
      <c r="S307" s="6" t="s">
        <v>163</v>
      </c>
      <c r="T307" s="5" t="s">
        <v>162</v>
      </c>
      <c r="U307" s="5" t="s">
        <v>228</v>
      </c>
      <c r="V307" s="6" t="s">
        <v>10801</v>
      </c>
      <c r="W307" s="6" t="s">
        <v>166</v>
      </c>
      <c r="X307" s="6" t="s">
        <v>4586</v>
      </c>
      <c r="Y307" s="0" t="str">
        <f aca="false">IF(EB307&lt;&gt;"Y","",COUNTIFS($EB$2:$EB$1000,"Y",$J$2:$J$1000,"&gt;"&amp;J307)+COUNTIFS($EB$2:$EB$1000,"Y",$J$2:$J$1000,J307,$ED$2:$ED$1000,"&lt;"&amp;ED307)+1)</f>
        <v/>
      </c>
      <c r="AA307" s="6" t="s">
        <v>162</v>
      </c>
      <c r="AC307" s="6" t="s">
        <v>4588</v>
      </c>
      <c r="AD307" s="6" t="s">
        <v>5010</v>
      </c>
      <c r="AE307" s="6" t="s">
        <v>172</v>
      </c>
      <c r="AF307" s="6" t="s">
        <v>10802</v>
      </c>
      <c r="AG307" s="6" t="s">
        <v>166</v>
      </c>
      <c r="AH307" s="6" t="s">
        <v>10803</v>
      </c>
      <c r="AI307" s="6" t="s">
        <v>4591</v>
      </c>
      <c r="AJ307" s="6" t="s">
        <v>163</v>
      </c>
      <c r="AK307" s="6" t="s">
        <v>10804</v>
      </c>
      <c r="AL307" s="6" t="s">
        <v>162</v>
      </c>
      <c r="AN307" s="6" t="s">
        <v>10797</v>
      </c>
      <c r="AO307" s="5" t="s">
        <v>162</v>
      </c>
      <c r="AR307" s="0" t="str">
        <f aca="false">IF(AND(AU307="pass",AO307&lt;&gt;"Y",C307&lt;&gt;""),"Y","N")</f>
        <v>N</v>
      </c>
      <c r="AS307" s="0" t="str">
        <f aca="false">_xlfn.TEXTJOIN("; ",TRUE(),IF(AU307&lt;&gt;"pass","gated out",""),IF(AO307="Y","on hold: "&amp;AP307,""),IF(C307="","no contact named on an opened page",""))</f>
        <v>gated out</v>
      </c>
      <c r="AU307" s="6" t="s">
        <v>3704</v>
      </c>
      <c r="AV307" s="6" t="s">
        <v>9764</v>
      </c>
      <c r="AW307" s="6" t="s">
        <v>10805</v>
      </c>
      <c r="AY307" s="6" t="s">
        <v>10804</v>
      </c>
      <c r="AZ307" s="6" t="s">
        <v>6034</v>
      </c>
      <c r="BA307" s="6" t="s">
        <v>5193</v>
      </c>
      <c r="BB307" s="6" t="s">
        <v>163</v>
      </c>
      <c r="BD307" s="6" t="s">
        <v>168</v>
      </c>
      <c r="BE307" s="6" t="s">
        <v>10806</v>
      </c>
      <c r="BF307" s="6" t="s">
        <v>168</v>
      </c>
      <c r="BG307" s="6" t="s">
        <v>168</v>
      </c>
      <c r="BH307" s="6" t="s">
        <v>163</v>
      </c>
      <c r="BJ307" s="6" t="s">
        <v>5551</v>
      </c>
      <c r="BK307" s="6" t="s">
        <v>168</v>
      </c>
      <c r="BL307" s="6" t="s">
        <v>168</v>
      </c>
      <c r="BM307" s="6" t="s">
        <v>10807</v>
      </c>
      <c r="BO307" s="6" t="s">
        <v>162</v>
      </c>
      <c r="BP307" s="0" t="n">
        <v>0</v>
      </c>
      <c r="BS307" s="6" t="s">
        <v>163</v>
      </c>
      <c r="BU307" s="6" t="s">
        <v>158</v>
      </c>
      <c r="BX307" s="6" t="s">
        <v>10799</v>
      </c>
      <c r="BY307" s="6" t="s">
        <v>10808</v>
      </c>
      <c r="CA307" s="6" t="s">
        <v>10809</v>
      </c>
      <c r="CB307" s="6" t="s">
        <v>10809</v>
      </c>
      <c r="CC307" s="6" t="s">
        <v>163</v>
      </c>
      <c r="CD307" s="6" t="s">
        <v>4626</v>
      </c>
      <c r="CE307" s="6" t="s">
        <v>6725</v>
      </c>
      <c r="CF307" s="6" t="s">
        <v>5010</v>
      </c>
      <c r="CG307" s="6" t="s">
        <v>10808</v>
      </c>
      <c r="CK307" s="6" t="s">
        <v>158</v>
      </c>
      <c r="CL307" s="0" t="n">
        <v>32</v>
      </c>
      <c r="CM307" s="0" t="n">
        <v>6</v>
      </c>
      <c r="CN307" s="0" t="n">
        <v>8</v>
      </c>
      <c r="CO307" s="0" t="n">
        <v>0</v>
      </c>
      <c r="CP307" s="0" t="n">
        <v>5</v>
      </c>
      <c r="CQ307" s="0" t="n">
        <v>10</v>
      </c>
      <c r="CR307" s="0" t="n">
        <v>3</v>
      </c>
      <c r="CS307" s="6" t="n">
        <f aca="false">IF(R307="Y",10,0)</f>
        <v>0</v>
      </c>
      <c r="CT307" s="0" t="n">
        <v>0</v>
      </c>
      <c r="CU307" s="6" t="s">
        <v>10810</v>
      </c>
      <c r="CV307" s="6" t="s">
        <v>5564</v>
      </c>
      <c r="CW307" s="6" t="s">
        <v>10811</v>
      </c>
      <c r="CX307" s="6" t="s">
        <v>10812</v>
      </c>
      <c r="CZ307" s="6" t="s">
        <v>10802</v>
      </c>
      <c r="DA307" s="6" t="s">
        <v>6236</v>
      </c>
      <c r="DC307" s="6" t="s">
        <v>172</v>
      </c>
      <c r="DY307" s="0" t="str">
        <f aca="false">IF(ISNUMBER(MATCH(U307,{"queued","contacted","replied","call_booked","call_done","yes_in_principle","materials_sent"},0)),"Y","N")</f>
        <v>N</v>
      </c>
      <c r="DZ307" s="0" t="str">
        <f aca="false">IF(COUNTIFS($AN$2:$AN$1000,AN307,$DY$2:$DY$1000,"Y")+COUNTIFS($AN$2:$AN$1000,AN307,$T$2:$T$1000,"Y")&gt;0,"Y","N")</f>
        <v>N</v>
      </c>
      <c r="EA307" s="0" t="str">
        <f aca="false">IF(AND(U307="new",T307="N",AR307="Y",AQ307="",DZ307="N"),"Y","N")</f>
        <v>N</v>
      </c>
      <c r="EB307" s="0" t="str">
        <f aca="false">IF(EA307&lt;&gt;"Y","N",IF(COUNTIFS($AN$2:$AN$1000,AN307,$EA$2:$EA$1000,"Y",$J$2:$J$1000,"&gt;"&amp;J307)+COUNTIFS($AN$2:$AN$1000,AN307,$EA$2:$EA$1000,"Y",$J$2:$J$1000,J307,$ED$2:$ED$1000,"&lt;"&amp;ED307)=0,"Y","N"))</f>
        <v>N</v>
      </c>
      <c r="EC307" s="0" t="str">
        <f aca="false">IF(Y307="","N",IF(Y307&lt;=10,"Y","N"))</f>
        <v>N</v>
      </c>
      <c r="ED307" s="6" t="n">
        <f aca="false">ROW()-1</f>
        <v>306</v>
      </c>
    </row>
    <row r="308" customFormat="false" ht="15" hidden="false" customHeight="false" outlineLevel="0" collapsed="false">
      <c r="A308" s="0" t="s">
        <v>10813</v>
      </c>
      <c r="B308" s="0" t="s">
        <v>10814</v>
      </c>
      <c r="H308" s="5" t="s">
        <v>158</v>
      </c>
      <c r="I308" s="5"/>
      <c r="J308" s="6" t="n">
        <f aca="false">IF(AU308="pass",CM308+CN308+CO308+CP308+CQ308+CR308+CS308+CT308,0)</f>
        <v>0</v>
      </c>
      <c r="K308" s="6" t="s">
        <v>10054</v>
      </c>
      <c r="M308" s="6" t="s">
        <v>5293</v>
      </c>
      <c r="N308" s="6" t="s">
        <v>598</v>
      </c>
      <c r="R308" s="5" t="s">
        <v>162</v>
      </c>
      <c r="S308" s="6" t="s">
        <v>163</v>
      </c>
      <c r="T308" s="5" t="s">
        <v>162</v>
      </c>
      <c r="U308" s="5" t="s">
        <v>228</v>
      </c>
      <c r="V308" s="6" t="s">
        <v>10815</v>
      </c>
      <c r="W308" s="6" t="s">
        <v>166</v>
      </c>
      <c r="X308" s="6" t="s">
        <v>4586</v>
      </c>
      <c r="Y308" s="0" t="str">
        <f aca="false">IF(EB308&lt;&gt;"Y","",COUNTIFS($EB$2:$EB$1000,"Y",$J$2:$J$1000,"&gt;"&amp;J308)+COUNTIFS($EB$2:$EB$1000,"Y",$J$2:$J$1000,J308,$ED$2:$ED$1000,"&lt;"&amp;ED308)+1)</f>
        <v/>
      </c>
      <c r="AA308" s="6" t="s">
        <v>162</v>
      </c>
      <c r="AD308" s="6" t="s">
        <v>158</v>
      </c>
      <c r="AH308" s="6" t="s">
        <v>10816</v>
      </c>
      <c r="AI308" s="6" t="s">
        <v>4665</v>
      </c>
      <c r="AJ308" s="6" t="s">
        <v>163</v>
      </c>
      <c r="AL308" s="6" t="s">
        <v>168</v>
      </c>
      <c r="AM308" s="6" t="s">
        <v>10817</v>
      </c>
      <c r="AN308" s="6" t="s">
        <v>10813</v>
      </c>
      <c r="AO308" s="5" t="s">
        <v>162</v>
      </c>
      <c r="AR308" s="0" t="str">
        <f aca="false">IF(AND(AU308="pass",AO308&lt;&gt;"Y",C308&lt;&gt;""),"Y","N")</f>
        <v>N</v>
      </c>
      <c r="AS308" s="0" t="str">
        <f aca="false">_xlfn.TEXTJOIN("; ",TRUE(),IF(AU308&lt;&gt;"pass","gated out",""),IF(AO308="Y","on hold: "&amp;AP308,""),IF(C308="","no contact named on an opened page",""))</f>
        <v>gated out; no contact named on an opened page</v>
      </c>
      <c r="AU308" s="6" t="s">
        <v>3704</v>
      </c>
      <c r="AV308" s="6" t="s">
        <v>10058</v>
      </c>
      <c r="AW308" s="6" t="s">
        <v>10059</v>
      </c>
      <c r="AX308" s="6" t="s">
        <v>8543</v>
      </c>
      <c r="AY308" s="6" t="s">
        <v>10818</v>
      </c>
      <c r="AZ308" s="6" t="s">
        <v>163</v>
      </c>
      <c r="BA308" s="6" t="s">
        <v>163</v>
      </c>
      <c r="BB308" s="6" t="s">
        <v>10819</v>
      </c>
      <c r="BC308" s="6" t="s">
        <v>10815</v>
      </c>
      <c r="BD308" s="6" t="s">
        <v>264</v>
      </c>
      <c r="BE308" s="6" t="s">
        <v>10820</v>
      </c>
      <c r="BF308" s="6" t="s">
        <v>163</v>
      </c>
      <c r="BG308" s="6" t="s">
        <v>163</v>
      </c>
      <c r="BH308" s="6" t="s">
        <v>163</v>
      </c>
      <c r="BJ308" s="6" t="s">
        <v>163</v>
      </c>
      <c r="BK308" s="6" t="s">
        <v>162</v>
      </c>
      <c r="BL308" s="6" t="s">
        <v>162</v>
      </c>
      <c r="BO308" s="6" t="s">
        <v>162</v>
      </c>
      <c r="BP308" s="0" t="n">
        <v>0</v>
      </c>
      <c r="BS308" s="6" t="s">
        <v>10821</v>
      </c>
      <c r="BU308" s="6" t="s">
        <v>158</v>
      </c>
      <c r="CF308" s="6" t="s">
        <v>158</v>
      </c>
      <c r="CK308" s="6" t="s">
        <v>158</v>
      </c>
      <c r="CL308" s="0" t="n">
        <v>-12</v>
      </c>
      <c r="CM308" s="0" t="n">
        <v>0</v>
      </c>
      <c r="CN308" s="0" t="n">
        <v>4</v>
      </c>
      <c r="CO308" s="0" t="n">
        <v>0</v>
      </c>
      <c r="CP308" s="0" t="n">
        <v>5</v>
      </c>
      <c r="CQ308" s="0" t="n">
        <v>4</v>
      </c>
      <c r="CR308" s="0" t="n">
        <v>0</v>
      </c>
      <c r="CS308" s="6" t="n">
        <f aca="false">IF(R308="Y",10,0)</f>
        <v>0</v>
      </c>
      <c r="CT308" s="0" t="n">
        <v>-25</v>
      </c>
      <c r="CV308" s="6" t="s">
        <v>4704</v>
      </c>
      <c r="CW308" s="6" t="s">
        <v>10822</v>
      </c>
      <c r="CX308" s="6" t="s">
        <v>10823</v>
      </c>
      <c r="DA308" s="6" t="s">
        <v>6236</v>
      </c>
      <c r="DY308" s="0" t="str">
        <f aca="false">IF(ISNUMBER(MATCH(U308,{"queued","contacted","replied","call_booked","call_done","yes_in_principle","materials_sent"},0)),"Y","N")</f>
        <v>N</v>
      </c>
      <c r="DZ308" s="0" t="str">
        <f aca="false">IF(COUNTIFS($AN$2:$AN$1000,AN308,$DY$2:$DY$1000,"Y")+COUNTIFS($AN$2:$AN$1000,AN308,$T$2:$T$1000,"Y")&gt;0,"Y","N")</f>
        <v>N</v>
      </c>
      <c r="EA308" s="0" t="str">
        <f aca="false">IF(AND(U308="new",T308="N",AR308="Y",AQ308="",DZ308="N"),"Y","N")</f>
        <v>N</v>
      </c>
      <c r="EB308" s="0" t="str">
        <f aca="false">IF(EA308&lt;&gt;"Y","N",IF(COUNTIFS($AN$2:$AN$1000,AN308,$EA$2:$EA$1000,"Y",$J$2:$J$1000,"&gt;"&amp;J308)+COUNTIFS($AN$2:$AN$1000,AN308,$EA$2:$EA$1000,"Y",$J$2:$J$1000,J308,$ED$2:$ED$1000,"&lt;"&amp;ED308)=0,"Y","N"))</f>
        <v>N</v>
      </c>
      <c r="EC308" s="0" t="str">
        <f aca="false">IF(Y308="","N",IF(Y308&lt;=10,"Y","N"))</f>
        <v>N</v>
      </c>
      <c r="ED308" s="6" t="n">
        <f aca="false">ROW()-1</f>
        <v>307</v>
      </c>
    </row>
    <row r="309" customFormat="false" ht="15" hidden="false" customHeight="false" outlineLevel="0" collapsed="false">
      <c r="A309" s="0" t="s">
        <v>10824</v>
      </c>
      <c r="B309" s="0" t="s">
        <v>10825</v>
      </c>
      <c r="H309" s="5" t="s">
        <v>158</v>
      </c>
      <c r="I309" s="5"/>
      <c r="J309" s="6" t="n">
        <f aca="false">IF(AU309="pass",CM309+CN309+CO309+CP309+CQ309+CR309+CS309+CT309,0)</f>
        <v>0</v>
      </c>
      <c r="K309" s="6" t="s">
        <v>10826</v>
      </c>
      <c r="M309" s="6" t="s">
        <v>5293</v>
      </c>
      <c r="N309" s="6" t="s">
        <v>598</v>
      </c>
      <c r="R309" s="5" t="s">
        <v>162</v>
      </c>
      <c r="S309" s="6" t="s">
        <v>163</v>
      </c>
      <c r="T309" s="5" t="s">
        <v>162</v>
      </c>
      <c r="U309" s="5" t="s">
        <v>228</v>
      </c>
      <c r="V309" s="6" t="s">
        <v>10827</v>
      </c>
      <c r="W309" s="6" t="s">
        <v>166</v>
      </c>
      <c r="X309" s="6" t="s">
        <v>4586</v>
      </c>
      <c r="Y309" s="0" t="str">
        <f aca="false">IF(EB309&lt;&gt;"Y","",COUNTIFS($EB$2:$EB$1000,"Y",$J$2:$J$1000,"&gt;"&amp;J309)+COUNTIFS($EB$2:$EB$1000,"Y",$J$2:$J$1000,J309,$ED$2:$ED$1000,"&lt;"&amp;ED309)+1)</f>
        <v/>
      </c>
      <c r="AA309" s="6" t="s">
        <v>162</v>
      </c>
      <c r="AD309" s="6" t="s">
        <v>158</v>
      </c>
      <c r="AH309" s="6" t="s">
        <v>10828</v>
      </c>
      <c r="AI309" s="6" t="s">
        <v>4591</v>
      </c>
      <c r="AJ309" s="6" t="s">
        <v>163</v>
      </c>
      <c r="AK309" s="6" t="s">
        <v>10829</v>
      </c>
      <c r="AL309" s="6" t="s">
        <v>162</v>
      </c>
      <c r="AN309" s="6" t="s">
        <v>10824</v>
      </c>
      <c r="AO309" s="5" t="s">
        <v>162</v>
      </c>
      <c r="AR309" s="0" t="str">
        <f aca="false">IF(AND(AU309="pass",AO309&lt;&gt;"Y",C309&lt;&gt;""),"Y","N")</f>
        <v>N</v>
      </c>
      <c r="AS309" s="0" t="str">
        <f aca="false">_xlfn.TEXTJOIN("; ",TRUE(),IF(AU309&lt;&gt;"pass","gated out",""),IF(AO309="Y","on hold: "&amp;AP309,""),IF(C309="","no contact named on an opened page",""))</f>
        <v>gated out; no contact named on an opened page</v>
      </c>
      <c r="AU309" s="6" t="s">
        <v>3704</v>
      </c>
      <c r="AV309" s="6" t="s">
        <v>9764</v>
      </c>
      <c r="AW309" s="6" t="s">
        <v>10830</v>
      </c>
      <c r="AY309" s="6" t="s">
        <v>10829</v>
      </c>
      <c r="AZ309" s="6" t="s">
        <v>163</v>
      </c>
      <c r="BA309" s="6" t="s">
        <v>163</v>
      </c>
      <c r="BB309" s="6" t="s">
        <v>163</v>
      </c>
      <c r="BD309" s="6" t="s">
        <v>168</v>
      </c>
      <c r="BE309" s="6" t="s">
        <v>10831</v>
      </c>
      <c r="BF309" s="6" t="s">
        <v>168</v>
      </c>
      <c r="BG309" s="6" t="s">
        <v>168</v>
      </c>
      <c r="BH309" s="6" t="s">
        <v>163</v>
      </c>
      <c r="BJ309" s="6" t="s">
        <v>5551</v>
      </c>
      <c r="BK309" s="6" t="s">
        <v>168</v>
      </c>
      <c r="BL309" s="6" t="s">
        <v>168</v>
      </c>
      <c r="BM309" s="6" t="s">
        <v>10832</v>
      </c>
      <c r="BO309" s="6" t="s">
        <v>162</v>
      </c>
      <c r="BP309" s="0" t="n">
        <v>0</v>
      </c>
      <c r="BS309" s="6" t="s">
        <v>10833</v>
      </c>
      <c r="BU309" s="6" t="s">
        <v>158</v>
      </c>
      <c r="CF309" s="6" t="s">
        <v>158</v>
      </c>
      <c r="CK309" s="6" t="s">
        <v>158</v>
      </c>
      <c r="CL309" s="0" t="n">
        <v>25</v>
      </c>
      <c r="CM309" s="0" t="n">
        <v>6</v>
      </c>
      <c r="CN309" s="0" t="n">
        <v>4</v>
      </c>
      <c r="CO309" s="0" t="n">
        <v>0</v>
      </c>
      <c r="CP309" s="0" t="n">
        <v>5</v>
      </c>
      <c r="CQ309" s="0" t="n">
        <v>10</v>
      </c>
      <c r="CR309" s="0" t="n">
        <v>0</v>
      </c>
      <c r="CS309" s="6" t="n">
        <f aca="false">IF(R309="Y",10,0)</f>
        <v>0</v>
      </c>
      <c r="CT309" s="0" t="n">
        <v>0</v>
      </c>
      <c r="CU309" s="6" t="s">
        <v>10834</v>
      </c>
      <c r="CV309" s="6" t="s">
        <v>5564</v>
      </c>
      <c r="CW309" s="6" t="s">
        <v>10835</v>
      </c>
      <c r="CX309" s="6" t="s">
        <v>10836</v>
      </c>
      <c r="DA309" s="6" t="s">
        <v>6236</v>
      </c>
      <c r="DY309" s="0" t="str">
        <f aca="false">IF(ISNUMBER(MATCH(U309,{"queued","contacted","replied","call_booked","call_done","yes_in_principle","materials_sent"},0)),"Y","N")</f>
        <v>N</v>
      </c>
      <c r="DZ309" s="0" t="str">
        <f aca="false">IF(COUNTIFS($AN$2:$AN$1000,AN309,$DY$2:$DY$1000,"Y")+COUNTIFS($AN$2:$AN$1000,AN309,$T$2:$T$1000,"Y")&gt;0,"Y","N")</f>
        <v>N</v>
      </c>
      <c r="EA309" s="0" t="str">
        <f aca="false">IF(AND(U309="new",T309="N",AR309="Y",AQ309="",DZ309="N"),"Y","N")</f>
        <v>N</v>
      </c>
      <c r="EB309" s="0" t="str">
        <f aca="false">IF(EA309&lt;&gt;"Y","N",IF(COUNTIFS($AN$2:$AN$1000,AN309,$EA$2:$EA$1000,"Y",$J$2:$J$1000,"&gt;"&amp;J309)+COUNTIFS($AN$2:$AN$1000,AN309,$EA$2:$EA$1000,"Y",$J$2:$J$1000,J309,$ED$2:$ED$1000,"&lt;"&amp;ED309)=0,"Y","N"))</f>
        <v>N</v>
      </c>
      <c r="EC309" s="0" t="str">
        <f aca="false">IF(Y309="","N",IF(Y309&lt;=10,"Y","N"))</f>
        <v>N</v>
      </c>
      <c r="ED309" s="6" t="n">
        <f aca="false">ROW()-1</f>
        <v>308</v>
      </c>
    </row>
    <row r="310" customFormat="false" ht="15" hidden="false" customHeight="false" outlineLevel="0" collapsed="false">
      <c r="A310" s="0" t="s">
        <v>10837</v>
      </c>
      <c r="B310" s="0" t="s">
        <v>10838</v>
      </c>
      <c r="C310" s="0" t="s">
        <v>10839</v>
      </c>
      <c r="D310" s="0" t="s">
        <v>163</v>
      </c>
      <c r="E310" s="0" t="s">
        <v>4773</v>
      </c>
      <c r="H310" s="5" t="s">
        <v>158</v>
      </c>
      <c r="I310" s="5" t="s">
        <v>159</v>
      </c>
      <c r="J310" s="6" t="n">
        <f aca="false">IF(AU310="pass",CM310+CN310+CO310+CP310+CQ310+CR310+CS310+CT310,0)</f>
        <v>0</v>
      </c>
      <c r="K310" s="6" t="s">
        <v>10840</v>
      </c>
      <c r="M310" s="6" t="s">
        <v>5293</v>
      </c>
      <c r="N310" s="6" t="s">
        <v>598</v>
      </c>
      <c r="R310" s="5" t="s">
        <v>162</v>
      </c>
      <c r="S310" s="6" t="s">
        <v>163</v>
      </c>
      <c r="T310" s="5" t="s">
        <v>162</v>
      </c>
      <c r="U310" s="5" t="s">
        <v>228</v>
      </c>
      <c r="V310" s="6" t="s">
        <v>10841</v>
      </c>
      <c r="W310" s="6" t="s">
        <v>166</v>
      </c>
      <c r="X310" s="6" t="s">
        <v>4586</v>
      </c>
      <c r="Y310" s="0" t="str">
        <f aca="false">IF(EB310&lt;&gt;"Y","",COUNTIFS($EB$2:$EB$1000,"Y",$J$2:$J$1000,"&gt;"&amp;J310)+COUNTIFS($EB$2:$EB$1000,"Y",$J$2:$J$1000,J310,$ED$2:$ED$1000,"&lt;"&amp;ED310)+1)</f>
        <v/>
      </c>
      <c r="AA310" s="6" t="s">
        <v>162</v>
      </c>
      <c r="AC310" s="6" t="s">
        <v>4588</v>
      </c>
      <c r="AD310" s="6" t="s">
        <v>5010</v>
      </c>
      <c r="AE310" s="6" t="s">
        <v>172</v>
      </c>
      <c r="AF310" s="6" t="s">
        <v>10842</v>
      </c>
      <c r="AG310" s="6" t="s">
        <v>166</v>
      </c>
      <c r="AH310" s="6" t="s">
        <v>10843</v>
      </c>
      <c r="AI310" s="6" t="s">
        <v>5765</v>
      </c>
      <c r="AJ310" s="6" t="s">
        <v>163</v>
      </c>
      <c r="AK310" s="6" t="s">
        <v>10844</v>
      </c>
      <c r="AL310" s="6" t="s">
        <v>168</v>
      </c>
      <c r="AM310" s="6" t="s">
        <v>4691</v>
      </c>
      <c r="AN310" s="6" t="s">
        <v>10837</v>
      </c>
      <c r="AO310" s="5" t="s">
        <v>162</v>
      </c>
      <c r="AR310" s="0" t="str">
        <f aca="false">IF(AND(AU310="pass",AO310&lt;&gt;"Y",C310&lt;&gt;""),"Y","N")</f>
        <v>N</v>
      </c>
      <c r="AS310" s="0" t="str">
        <f aca="false">_xlfn.TEXTJOIN("; ",TRUE(),IF(AU310&lt;&gt;"pass","gated out",""),IF(AO310="Y","on hold: "&amp;AP310,""),IF(C310="","no contact named on an opened page",""))</f>
        <v>gated out</v>
      </c>
      <c r="AU310" s="6" t="s">
        <v>3704</v>
      </c>
      <c r="AV310" s="6" t="s">
        <v>9764</v>
      </c>
      <c r="AW310" s="6" t="s">
        <v>10845</v>
      </c>
      <c r="AY310" s="6" t="s">
        <v>10844</v>
      </c>
      <c r="AZ310" s="6" t="s">
        <v>163</v>
      </c>
      <c r="BA310" s="6" t="s">
        <v>163</v>
      </c>
      <c r="BB310" s="6" t="s">
        <v>163</v>
      </c>
      <c r="BD310" s="6" t="s">
        <v>163</v>
      </c>
      <c r="BE310" s="6" t="s">
        <v>8634</v>
      </c>
      <c r="BF310" s="6" t="s">
        <v>168</v>
      </c>
      <c r="BG310" s="6" t="s">
        <v>168</v>
      </c>
      <c r="BH310" s="6" t="s">
        <v>163</v>
      </c>
      <c r="BJ310" s="6" t="s">
        <v>5551</v>
      </c>
      <c r="BK310" s="6" t="s">
        <v>168</v>
      </c>
      <c r="BL310" s="6" t="s">
        <v>168</v>
      </c>
      <c r="BM310" s="6" t="s">
        <v>10846</v>
      </c>
      <c r="BO310" s="6" t="s">
        <v>162</v>
      </c>
      <c r="BP310" s="0" t="n">
        <v>0</v>
      </c>
      <c r="BS310" s="6" t="s">
        <v>7162</v>
      </c>
      <c r="BT310" s="6" t="s">
        <v>10847</v>
      </c>
      <c r="BU310" s="6" t="s">
        <v>158</v>
      </c>
      <c r="BX310" s="6" t="s">
        <v>10839</v>
      </c>
      <c r="CF310" s="6" t="s">
        <v>158</v>
      </c>
      <c r="CK310" s="6" t="s">
        <v>158</v>
      </c>
      <c r="CL310" s="0" t="n">
        <v>25</v>
      </c>
      <c r="CM310" s="0" t="n">
        <v>6</v>
      </c>
      <c r="CN310" s="0" t="n">
        <v>4</v>
      </c>
      <c r="CO310" s="0" t="n">
        <v>0</v>
      </c>
      <c r="CP310" s="0" t="n">
        <v>5</v>
      </c>
      <c r="CQ310" s="0" t="n">
        <v>7</v>
      </c>
      <c r="CR310" s="0" t="n">
        <v>3</v>
      </c>
      <c r="CS310" s="6" t="n">
        <f aca="false">IF(R310="Y",10,0)</f>
        <v>0</v>
      </c>
      <c r="CT310" s="0" t="n">
        <v>0</v>
      </c>
      <c r="CU310" s="6" t="s">
        <v>10848</v>
      </c>
      <c r="CV310" s="6" t="s">
        <v>5564</v>
      </c>
      <c r="CW310" s="6" t="s">
        <v>10849</v>
      </c>
      <c r="CX310" s="6" t="s">
        <v>10850</v>
      </c>
      <c r="DA310" s="6" t="s">
        <v>6236</v>
      </c>
      <c r="DY310" s="0" t="str">
        <f aca="false">IF(ISNUMBER(MATCH(U310,{"queued","contacted","replied","call_booked","call_done","yes_in_principle","materials_sent"},0)),"Y","N")</f>
        <v>N</v>
      </c>
      <c r="DZ310" s="0" t="str">
        <f aca="false">IF(COUNTIFS($AN$2:$AN$1000,AN310,$DY$2:$DY$1000,"Y")+COUNTIFS($AN$2:$AN$1000,AN310,$T$2:$T$1000,"Y")&gt;0,"Y","N")</f>
        <v>N</v>
      </c>
      <c r="EA310" s="0" t="str">
        <f aca="false">IF(AND(U310="new",T310="N",AR310="Y",AQ310="",DZ310="N"),"Y","N")</f>
        <v>N</v>
      </c>
      <c r="EB310" s="0" t="str">
        <f aca="false">IF(EA310&lt;&gt;"Y","N",IF(COUNTIFS($AN$2:$AN$1000,AN310,$EA$2:$EA$1000,"Y",$J$2:$J$1000,"&gt;"&amp;J310)+COUNTIFS($AN$2:$AN$1000,AN310,$EA$2:$EA$1000,"Y",$J$2:$J$1000,J310,$ED$2:$ED$1000,"&lt;"&amp;ED310)=0,"Y","N"))</f>
        <v>N</v>
      </c>
      <c r="EC310" s="0" t="str">
        <f aca="false">IF(Y310="","N",IF(Y310&lt;=10,"Y","N"))</f>
        <v>N</v>
      </c>
      <c r="ED310" s="6" t="n">
        <f aca="false">ROW()-1</f>
        <v>309</v>
      </c>
    </row>
    <row r="311" customFormat="false" ht="15" hidden="false" customHeight="false" outlineLevel="0" collapsed="false">
      <c r="A311" s="0" t="s">
        <v>10851</v>
      </c>
      <c r="B311" s="0" t="s">
        <v>10852</v>
      </c>
      <c r="C311" s="0" t="s">
        <v>10853</v>
      </c>
      <c r="D311" s="0" t="s">
        <v>10854</v>
      </c>
      <c r="E311" s="0" t="s">
        <v>10855</v>
      </c>
      <c r="H311" s="5" t="s">
        <v>158</v>
      </c>
      <c r="I311" s="5" t="s">
        <v>159</v>
      </c>
      <c r="J311" s="6" t="n">
        <f aca="false">IF(AU311="pass",CM311+CN311+CO311+CP311+CQ311+CR311+CS311+CT311,0)</f>
        <v>0</v>
      </c>
      <c r="K311" s="6" t="s">
        <v>10856</v>
      </c>
      <c r="M311" s="6" t="s">
        <v>5293</v>
      </c>
      <c r="N311" s="6" t="s">
        <v>598</v>
      </c>
      <c r="R311" s="5" t="s">
        <v>162</v>
      </c>
      <c r="S311" s="6" t="s">
        <v>163</v>
      </c>
      <c r="T311" s="5" t="s">
        <v>162</v>
      </c>
      <c r="U311" s="5" t="s">
        <v>228</v>
      </c>
      <c r="V311" s="6" t="s">
        <v>10857</v>
      </c>
      <c r="W311" s="6" t="s">
        <v>166</v>
      </c>
      <c r="X311" s="6" t="s">
        <v>4586</v>
      </c>
      <c r="Y311" s="0" t="str">
        <f aca="false">IF(EB311&lt;&gt;"Y","",COUNTIFS($EB$2:$EB$1000,"Y",$J$2:$J$1000,"&gt;"&amp;J311)+COUNTIFS($EB$2:$EB$1000,"Y",$J$2:$J$1000,J311,$ED$2:$ED$1000,"&lt;"&amp;ED311)+1)</f>
        <v/>
      </c>
      <c r="AA311" s="6" t="s">
        <v>162</v>
      </c>
      <c r="AC311" s="6" t="s">
        <v>4588</v>
      </c>
      <c r="AD311" s="6" t="s">
        <v>171</v>
      </c>
      <c r="AE311" s="6" t="s">
        <v>172</v>
      </c>
      <c r="AF311" s="6" t="s">
        <v>10857</v>
      </c>
      <c r="AG311" s="6" t="s">
        <v>166</v>
      </c>
      <c r="AH311" s="6" t="s">
        <v>10858</v>
      </c>
      <c r="AI311" s="6" t="s">
        <v>4634</v>
      </c>
      <c r="AJ311" s="6" t="s">
        <v>163</v>
      </c>
      <c r="AK311" s="6" t="s">
        <v>10859</v>
      </c>
      <c r="AL311" s="6" t="s">
        <v>162</v>
      </c>
      <c r="AN311" s="6" t="s">
        <v>10851</v>
      </c>
      <c r="AO311" s="5" t="s">
        <v>162</v>
      </c>
      <c r="AR311" s="0" t="str">
        <f aca="false">IF(AND(AU311="pass",AO311&lt;&gt;"Y",C311&lt;&gt;""),"Y","N")</f>
        <v>N</v>
      </c>
      <c r="AS311" s="0" t="str">
        <f aca="false">_xlfn.TEXTJOIN("; ",TRUE(),IF(AU311&lt;&gt;"pass","gated out",""),IF(AO311="Y","on hold: "&amp;AP311,""),IF(C311="","no contact named on an opened page",""))</f>
        <v>gated out</v>
      </c>
      <c r="AU311" s="6" t="s">
        <v>3704</v>
      </c>
      <c r="AV311" s="6" t="s">
        <v>9764</v>
      </c>
      <c r="AW311" s="6" t="s">
        <v>10860</v>
      </c>
      <c r="AY311" s="6" t="s">
        <v>10859</v>
      </c>
      <c r="AZ311" s="6" t="s">
        <v>163</v>
      </c>
      <c r="BA311" s="6" t="s">
        <v>163</v>
      </c>
      <c r="BB311" s="6" t="s">
        <v>163</v>
      </c>
      <c r="BD311" s="6" t="s">
        <v>168</v>
      </c>
      <c r="BE311" s="6" t="s">
        <v>10861</v>
      </c>
      <c r="BF311" s="6" t="s">
        <v>163</v>
      </c>
      <c r="BG311" s="6" t="s">
        <v>168</v>
      </c>
      <c r="BH311" s="6" t="s">
        <v>163</v>
      </c>
      <c r="BJ311" s="6" t="s">
        <v>163</v>
      </c>
      <c r="BK311" s="6" t="s">
        <v>168</v>
      </c>
      <c r="BL311" s="6" t="s">
        <v>168</v>
      </c>
      <c r="BM311" s="6" t="s">
        <v>10862</v>
      </c>
      <c r="BO311" s="6" t="s">
        <v>162</v>
      </c>
      <c r="BP311" s="0" t="n">
        <v>0</v>
      </c>
      <c r="BR311" s="6" t="s">
        <v>6764</v>
      </c>
      <c r="BS311" s="6" t="s">
        <v>6811</v>
      </c>
      <c r="BT311" s="6" t="s">
        <v>10863</v>
      </c>
      <c r="BU311" s="6" t="s">
        <v>158</v>
      </c>
      <c r="BX311" s="6" t="s">
        <v>10864</v>
      </c>
      <c r="CF311" s="6" t="s">
        <v>158</v>
      </c>
      <c r="CK311" s="6" t="s">
        <v>158</v>
      </c>
      <c r="CL311" s="0" t="n">
        <v>29</v>
      </c>
      <c r="CM311" s="0" t="n">
        <v>6</v>
      </c>
      <c r="CN311" s="0" t="n">
        <v>4</v>
      </c>
      <c r="CO311" s="0" t="n">
        <v>0</v>
      </c>
      <c r="CP311" s="0" t="n">
        <v>5</v>
      </c>
      <c r="CQ311" s="0" t="n">
        <v>8</v>
      </c>
      <c r="CR311" s="0" t="n">
        <v>6</v>
      </c>
      <c r="CS311" s="6" t="n">
        <f aca="false">IF(R311="Y",10,0)</f>
        <v>0</v>
      </c>
      <c r="CT311" s="0" t="n">
        <v>0</v>
      </c>
      <c r="CU311" s="6" t="s">
        <v>10865</v>
      </c>
      <c r="CV311" s="6" t="s">
        <v>4843</v>
      </c>
      <c r="CW311" s="6" t="s">
        <v>10866</v>
      </c>
      <c r="CX311" s="6" t="s">
        <v>10867</v>
      </c>
      <c r="DA311" s="6" t="s">
        <v>6236</v>
      </c>
      <c r="DY311" s="0" t="str">
        <f aca="false">IF(ISNUMBER(MATCH(U311,{"queued","contacted","replied","call_booked","call_done","yes_in_principle","materials_sent"},0)),"Y","N")</f>
        <v>N</v>
      </c>
      <c r="DZ311" s="0" t="str">
        <f aca="false">IF(COUNTIFS($AN$2:$AN$1000,AN311,$DY$2:$DY$1000,"Y")+COUNTIFS($AN$2:$AN$1000,AN311,$T$2:$T$1000,"Y")&gt;0,"Y","N")</f>
        <v>N</v>
      </c>
      <c r="EA311" s="0" t="str">
        <f aca="false">IF(AND(U311="new",T311="N",AR311="Y",AQ311="",DZ311="N"),"Y","N")</f>
        <v>N</v>
      </c>
      <c r="EB311" s="0" t="str">
        <f aca="false">IF(EA311&lt;&gt;"Y","N",IF(COUNTIFS($AN$2:$AN$1000,AN311,$EA$2:$EA$1000,"Y",$J$2:$J$1000,"&gt;"&amp;J311)+COUNTIFS($AN$2:$AN$1000,AN311,$EA$2:$EA$1000,"Y",$J$2:$J$1000,J311,$ED$2:$ED$1000,"&lt;"&amp;ED311)=0,"Y","N"))</f>
        <v>N</v>
      </c>
      <c r="EC311" s="0" t="str">
        <f aca="false">IF(Y311="","N",IF(Y311&lt;=10,"Y","N"))</f>
        <v>N</v>
      </c>
      <c r="ED311" s="6" t="n">
        <f aca="false">ROW()-1</f>
        <v>310</v>
      </c>
    </row>
    <row r="312" customFormat="false" ht="15" hidden="false" customHeight="false" outlineLevel="0" collapsed="false">
      <c r="A312" s="0" t="s">
        <v>10868</v>
      </c>
      <c r="B312" s="0" t="s">
        <v>10869</v>
      </c>
      <c r="C312" s="0" t="s">
        <v>1048</v>
      </c>
      <c r="D312" s="0" t="s">
        <v>10870</v>
      </c>
      <c r="E312" s="0" t="s">
        <v>4773</v>
      </c>
      <c r="H312" s="5" t="s">
        <v>158</v>
      </c>
      <c r="I312" s="5" t="s">
        <v>159</v>
      </c>
      <c r="J312" s="6" t="n">
        <f aca="false">IF(AU312="pass",CM312+CN312+CO312+CP312+CQ312+CR312+CS312+CT312,0)</f>
        <v>0</v>
      </c>
      <c r="K312" s="6" t="s">
        <v>10871</v>
      </c>
      <c r="M312" s="6" t="s">
        <v>5293</v>
      </c>
      <c r="N312" s="6" t="s">
        <v>598</v>
      </c>
      <c r="R312" s="5" t="s">
        <v>162</v>
      </c>
      <c r="S312" s="6" t="s">
        <v>163</v>
      </c>
      <c r="T312" s="5" t="s">
        <v>162</v>
      </c>
      <c r="U312" s="5" t="s">
        <v>228</v>
      </c>
      <c r="V312" s="6" t="s">
        <v>10872</v>
      </c>
      <c r="W312" s="6" t="s">
        <v>166</v>
      </c>
      <c r="X312" s="6" t="s">
        <v>4586</v>
      </c>
      <c r="Y312" s="0" t="str">
        <f aca="false">IF(EB312&lt;&gt;"Y","",COUNTIFS($EB$2:$EB$1000,"Y",$J$2:$J$1000,"&gt;"&amp;J312)+COUNTIFS($EB$2:$EB$1000,"Y",$J$2:$J$1000,J312,$ED$2:$ED$1000,"&lt;"&amp;ED312)+1)</f>
        <v/>
      </c>
      <c r="AA312" s="6" t="s">
        <v>162</v>
      </c>
      <c r="AC312" s="6" t="s">
        <v>4588</v>
      </c>
      <c r="AD312" s="6" t="s">
        <v>171</v>
      </c>
      <c r="AE312" s="6" t="s">
        <v>172</v>
      </c>
      <c r="AF312" s="6" t="s">
        <v>10872</v>
      </c>
      <c r="AG312" s="6" t="s">
        <v>166</v>
      </c>
      <c r="AH312" s="6" t="s">
        <v>10873</v>
      </c>
      <c r="AI312" s="6" t="s">
        <v>5765</v>
      </c>
      <c r="AJ312" s="6" t="s">
        <v>163</v>
      </c>
      <c r="AK312" s="6" t="s">
        <v>10874</v>
      </c>
      <c r="AL312" s="6" t="s">
        <v>168</v>
      </c>
      <c r="AM312" s="6" t="s">
        <v>4691</v>
      </c>
      <c r="AN312" s="6" t="s">
        <v>10868</v>
      </c>
      <c r="AO312" s="5" t="s">
        <v>162</v>
      </c>
      <c r="AR312" s="0" t="str">
        <f aca="false">IF(AND(AU312="pass",AO312&lt;&gt;"Y",C312&lt;&gt;""),"Y","N")</f>
        <v>N</v>
      </c>
      <c r="AS312" s="0" t="str">
        <f aca="false">_xlfn.TEXTJOIN("; ",TRUE(),IF(AU312&lt;&gt;"pass","gated out",""),IF(AO312="Y","on hold: "&amp;AP312,""),IF(C312="","no contact named on an opened page",""))</f>
        <v>gated out</v>
      </c>
      <c r="AU312" s="6" t="s">
        <v>3704</v>
      </c>
      <c r="AV312" s="6" t="s">
        <v>10404</v>
      </c>
      <c r="AW312" s="6" t="s">
        <v>10875</v>
      </c>
      <c r="AY312" s="6" t="s">
        <v>10874</v>
      </c>
      <c r="AZ312" s="6" t="s">
        <v>163</v>
      </c>
      <c r="BA312" s="6" t="s">
        <v>163</v>
      </c>
      <c r="BB312" s="6" t="s">
        <v>163</v>
      </c>
      <c r="BD312" s="6" t="s">
        <v>163</v>
      </c>
      <c r="BE312" s="6" t="s">
        <v>10556</v>
      </c>
      <c r="BF312" s="6" t="s">
        <v>168</v>
      </c>
      <c r="BG312" s="6" t="s">
        <v>168</v>
      </c>
      <c r="BH312" s="6" t="s">
        <v>163</v>
      </c>
      <c r="BJ312" s="6" t="s">
        <v>5551</v>
      </c>
      <c r="BK312" s="6" t="s">
        <v>168</v>
      </c>
      <c r="BL312" s="6" t="s">
        <v>168</v>
      </c>
      <c r="BM312" s="6" t="s">
        <v>10876</v>
      </c>
      <c r="BO312" s="6" t="s">
        <v>162</v>
      </c>
      <c r="BP312" s="0" t="n">
        <v>0</v>
      </c>
      <c r="BS312" s="6" t="s">
        <v>163</v>
      </c>
      <c r="BU312" s="6" t="s">
        <v>158</v>
      </c>
      <c r="BX312" s="6" t="s">
        <v>10877</v>
      </c>
      <c r="CF312" s="6" t="s">
        <v>158</v>
      </c>
      <c r="CK312" s="6" t="s">
        <v>158</v>
      </c>
      <c r="CL312" s="0" t="n">
        <v>28</v>
      </c>
      <c r="CM312" s="0" t="n">
        <v>6</v>
      </c>
      <c r="CN312" s="0" t="n">
        <v>4</v>
      </c>
      <c r="CO312" s="0" t="n">
        <v>0</v>
      </c>
      <c r="CP312" s="0" t="n">
        <v>5</v>
      </c>
      <c r="CQ312" s="0" t="n">
        <v>7</v>
      </c>
      <c r="CR312" s="0" t="n">
        <v>6</v>
      </c>
      <c r="CS312" s="6" t="n">
        <f aca="false">IF(R312="Y",10,0)</f>
        <v>0</v>
      </c>
      <c r="CT312" s="0" t="n">
        <v>0</v>
      </c>
      <c r="CU312" s="6" t="s">
        <v>10878</v>
      </c>
      <c r="CV312" s="6" t="s">
        <v>5564</v>
      </c>
      <c r="CW312" s="6" t="s">
        <v>10879</v>
      </c>
      <c r="CX312" s="6" t="s">
        <v>10880</v>
      </c>
      <c r="DA312" s="6" t="s">
        <v>6236</v>
      </c>
      <c r="DY312" s="0" t="str">
        <f aca="false">IF(ISNUMBER(MATCH(U312,{"queued","contacted","replied","call_booked","call_done","yes_in_principle","materials_sent"},0)),"Y","N")</f>
        <v>N</v>
      </c>
      <c r="DZ312" s="0" t="str">
        <f aca="false">IF(COUNTIFS($AN$2:$AN$1000,AN312,$DY$2:$DY$1000,"Y")+COUNTIFS($AN$2:$AN$1000,AN312,$T$2:$T$1000,"Y")&gt;0,"Y","N")</f>
        <v>N</v>
      </c>
      <c r="EA312" s="0" t="str">
        <f aca="false">IF(AND(U312="new",T312="N",AR312="Y",AQ312="",DZ312="N"),"Y","N")</f>
        <v>N</v>
      </c>
      <c r="EB312" s="0" t="str">
        <f aca="false">IF(EA312&lt;&gt;"Y","N",IF(COUNTIFS($AN$2:$AN$1000,AN312,$EA$2:$EA$1000,"Y",$J$2:$J$1000,"&gt;"&amp;J312)+COUNTIFS($AN$2:$AN$1000,AN312,$EA$2:$EA$1000,"Y",$J$2:$J$1000,J312,$ED$2:$ED$1000,"&lt;"&amp;ED312)=0,"Y","N"))</f>
        <v>N</v>
      </c>
      <c r="EC312" s="0" t="str">
        <f aca="false">IF(Y312="","N",IF(Y312&lt;=10,"Y","N"))</f>
        <v>N</v>
      </c>
      <c r="ED312" s="6" t="n">
        <f aca="false">ROW()-1</f>
        <v>311</v>
      </c>
    </row>
  </sheetData>
  <autoFilter ref="A1:ED312"/>
  <dataValidations count="7">
    <dataValidation allowBlank="true" errorStyle="stop" operator="between" showDropDown="false" showErrorMessage="false" showInputMessage="false" sqref="U2:U312" type="list">
      <formula1>"new,queued,contacted,replied,call_booked,call_done,yes_in_principle,materials_sent,paid,not_now,no,wrong_person,do_not_contact"</formula1>
      <formula2>0</formula2>
    </dataValidation>
    <dataValidation allowBlank="true" errorStyle="stop" operator="between" showDropDown="false" showErrorMessage="false" showInputMessage="false" sqref="T2:T312" type="list">
      <formula1>"Y,N"</formula1>
      <formula2>0</formula2>
    </dataValidation>
    <dataValidation allowBlank="true" errorStyle="stop" operator="between" showDropDown="false" showErrorMessage="false" showInputMessage="false" sqref="R2:R312" type="list">
      <formula1>"Y,N"</formula1>
      <formula2>0</formula2>
    </dataValidation>
    <dataValidation allowBlank="true" errorStyle="stop" operator="between" showDropDown="false" showErrorMessage="false" showInputMessage="false" sqref="AO2:AO312" type="list">
      <formula1>"Y,N"</formula1>
      <formula2>0</formula2>
    </dataValidation>
    <dataValidation allowBlank="true" errorStyle="stop" operator="between" showDropDown="false" showErrorMessage="false" showInputMessage="false" sqref="AT2:AT312" type="list">
      <formula1>"Y"</formula1>
      <formula2>0</formula2>
    </dataValidation>
    <dataValidation allowBlank="true" errorStyle="stop" operator="between" showDropDown="false" showErrorMessage="false" showInputMessage="false" sqref="H2:H312" type="list">
      <formula1>"verified,unverified,none"</formula1>
      <formula2>0</formula2>
    </dataValidation>
    <dataValidation allowBlank="true" errorStyle="stop" operator="between" showDropDown="false" showErrorMessage="false" showInputMessage="false" sqref="I2:I312" type="list">
      <formula1>"email,linkedin,warm-intro,walk-in"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10" min="3" style="0" width="16"/>
    <col collapsed="false" customWidth="true" hidden="false" outlineLevel="0" max="11" min="11" style="0" width="50"/>
    <col collapsed="false" customWidth="true" hidden="false" outlineLevel="0" max="27" min="12" style="0" width="16"/>
    <col collapsed="false" customWidth="true" hidden="false" outlineLevel="0" max="28" min="28" style="0" width="60"/>
    <col collapsed="false" customWidth="true" hidden="false" outlineLevel="0" max="45" min="29" style="0" width="16"/>
  </cols>
  <sheetData>
    <row r="1" customFormat="false" ht="15" hidden="false" customHeight="false" outlineLevel="0" collapsed="false">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7" t="s">
        <v>27</v>
      </c>
      <c r="AC1" s="7" t="s">
        <v>28</v>
      </c>
      <c r="AD1" s="7" t="s">
        <v>29</v>
      </c>
      <c r="AE1" s="7" t="s">
        <v>30</v>
      </c>
      <c r="AF1" s="7" t="s">
        <v>31</v>
      </c>
      <c r="AG1" s="7" t="s">
        <v>32</v>
      </c>
      <c r="AH1" s="7" t="s">
        <v>33</v>
      </c>
      <c r="AI1" s="7" t="s">
        <v>34</v>
      </c>
      <c r="AJ1" s="7" t="s">
        <v>35</v>
      </c>
      <c r="AK1" s="7" t="s">
        <v>36</v>
      </c>
      <c r="AL1" s="7" t="s">
        <v>37</v>
      </c>
      <c r="AM1" s="7" t="s">
        <v>38</v>
      </c>
      <c r="AN1" s="7" t="s">
        <v>39</v>
      </c>
      <c r="AO1" s="7" t="s">
        <v>40</v>
      </c>
      <c r="AP1" s="7" t="s">
        <v>41</v>
      </c>
      <c r="AQ1" s="7" t="s">
        <v>42</v>
      </c>
      <c r="AR1" s="7" t="s">
        <v>43</v>
      </c>
      <c r="AS1" s="7" t="s">
        <v>44</v>
      </c>
    </row>
    <row r="2" customFormat="false" ht="15" hidden="false" customHeight="false" outlineLevel="0" collapsed="false">
      <c r="A2" s="0" t="str">
        <f aca="false" t="array" ref="A2:AS11">IFERROR(_xlfn._xlws.sort(_xlfn._xlws.filter(Offices!$A$2:$AS$1000,Offices!$EV$2:$EV$1000="Y"),25,TRUE()),"No row is ready today: see the Routine tab")</f>
        <v>No row is ready today: see the Routine tab</v>
      </c>
      <c r="B2" s="0" t="str">
        <v>No row is ready today: see the Routine tab</v>
      </c>
      <c r="C2" s="0" t="str">
        <v>No row is ready today: see the Routine tab</v>
      </c>
      <c r="D2" s="0" t="str">
        <v>No row is ready today: see the Routine tab</v>
      </c>
      <c r="E2" s="0" t="str">
        <v>No row is ready today: see the Routine tab</v>
      </c>
      <c r="F2" s="0" t="str">
        <v>No row is ready today: see the Routine tab</v>
      </c>
      <c r="G2" s="0" t="str">
        <v>No row is ready today: see the Routine tab</v>
      </c>
      <c r="H2" s="0" t="str">
        <v>No row is ready today: see the Routine tab</v>
      </c>
      <c r="I2" s="0" t="str">
        <v>No row is ready today: see the Routine tab</v>
      </c>
      <c r="J2" s="0" t="str">
        <v>No row is ready today: see the Routine tab</v>
      </c>
      <c r="K2" s="0" t="str">
        <v>No row is ready today: see the Routine tab</v>
      </c>
      <c r="L2" s="0" t="str">
        <v>No row is ready today: see the Routine tab</v>
      </c>
      <c r="M2" s="0" t="str">
        <v>No row is ready today: see the Routine tab</v>
      </c>
      <c r="N2" s="0" t="str">
        <v>No row is ready today: see the Routine tab</v>
      </c>
      <c r="O2" s="0" t="str">
        <v>No row is ready today: see the Routine tab</v>
      </c>
      <c r="P2" s="0" t="str">
        <v>No row is ready today: see the Routine tab</v>
      </c>
      <c r="Q2" s="0" t="str">
        <v>No row is ready today: see the Routine tab</v>
      </c>
      <c r="R2" s="0" t="str">
        <v>No row is ready today: see the Routine tab</v>
      </c>
      <c r="S2" s="0" t="str">
        <v>No row is ready today: see the Routine tab</v>
      </c>
      <c r="T2" s="0" t="str">
        <v>No row is ready today: see the Routine tab</v>
      </c>
      <c r="U2" s="0" t="str">
        <v>No row is ready today: see the Routine tab</v>
      </c>
      <c r="V2" s="0" t="str">
        <v>No row is ready today: see the Routine tab</v>
      </c>
      <c r="W2" s="0" t="str">
        <v>No row is ready today: see the Routine tab</v>
      </c>
      <c r="X2" s="0" t="str">
        <v>No row is ready today: see the Routine tab</v>
      </c>
      <c r="Y2" s="0" t="str">
        <v>No row is ready today: see the Routine tab</v>
      </c>
      <c r="Z2" s="0" t="str">
        <v>No row is ready today: see the Routine tab</v>
      </c>
      <c r="AA2" s="0" t="str">
        <v>No row is ready today: see the Routine tab</v>
      </c>
      <c r="AB2" s="0" t="str">
        <v>No row is ready today: see the Routine tab</v>
      </c>
      <c r="AC2" s="0" t="str">
        <v>No row is ready today: see the Routine tab</v>
      </c>
      <c r="AD2" s="0" t="str">
        <v>No row is ready today: see the Routine tab</v>
      </c>
      <c r="AE2" s="0" t="str">
        <v>No row is ready today: see the Routine tab</v>
      </c>
      <c r="AF2" s="0" t="str">
        <v>No row is ready today: see the Routine tab</v>
      </c>
      <c r="AG2" s="0" t="str">
        <v>No row is ready today: see the Routine tab</v>
      </c>
      <c r="AH2" s="0" t="str">
        <v>No row is ready today: see the Routine tab</v>
      </c>
      <c r="AI2" s="0" t="str">
        <v>No row is ready today: see the Routine tab</v>
      </c>
      <c r="AJ2" s="0" t="str">
        <v>No row is ready today: see the Routine tab</v>
      </c>
      <c r="AK2" s="0" t="str">
        <v>No row is ready today: see the Routine tab</v>
      </c>
      <c r="AL2" s="0" t="str">
        <v>No row is ready today: see the Routine tab</v>
      </c>
      <c r="AM2" s="0" t="str">
        <v>No row is ready today: see the Routine tab</v>
      </c>
      <c r="AN2" s="0" t="str">
        <v>No row is ready today: see the Routine tab</v>
      </c>
      <c r="AO2" s="0" t="str">
        <v>No row is ready today: see the Routine tab</v>
      </c>
      <c r="AP2" s="0" t="str">
        <v>No row is ready today: see the Routine tab</v>
      </c>
      <c r="AQ2" s="0" t="str">
        <v>No row is ready today: see the Routine tab</v>
      </c>
      <c r="AR2" s="0" t="str">
        <v>No row is ready today: see the Routine tab</v>
      </c>
      <c r="AS2" s="0" t="str">
        <v>No row is ready today: see the Routine tab</v>
      </c>
    </row>
    <row r="3" customFormat="false" ht="15" hidden="false" customHeight="false" outlineLevel="0" collapsed="false">
      <c r="A3" s="0" t="str">
        <v>No row is ready today: see the Routine tab</v>
      </c>
      <c r="B3" s="0" t="str">
        <v>No row is ready today: see the Routine tab</v>
      </c>
      <c r="C3" s="0" t="str">
        <v>No row is ready today: see the Routine tab</v>
      </c>
      <c r="D3" s="0" t="str">
        <v>No row is ready today: see the Routine tab</v>
      </c>
      <c r="E3" s="0" t="str">
        <v>No row is ready today: see the Routine tab</v>
      </c>
      <c r="F3" s="0" t="str">
        <v>No row is ready today: see the Routine tab</v>
      </c>
      <c r="G3" s="0" t="str">
        <v>No row is ready today: see the Routine tab</v>
      </c>
      <c r="H3" s="0" t="str">
        <v>No row is ready today: see the Routine tab</v>
      </c>
      <c r="I3" s="0" t="str">
        <v>No row is ready today: see the Routine tab</v>
      </c>
      <c r="J3" s="0" t="str">
        <v>No row is ready today: see the Routine tab</v>
      </c>
      <c r="K3" s="0" t="str">
        <v>No row is ready today: see the Routine tab</v>
      </c>
      <c r="L3" s="0" t="str">
        <v>No row is ready today: see the Routine tab</v>
      </c>
      <c r="M3" s="0" t="str">
        <v>No row is ready today: see the Routine tab</v>
      </c>
      <c r="N3" s="0" t="str">
        <v>No row is ready today: see the Routine tab</v>
      </c>
      <c r="O3" s="0" t="str">
        <v>No row is ready today: see the Routine tab</v>
      </c>
      <c r="P3" s="0" t="str">
        <v>No row is ready today: see the Routine tab</v>
      </c>
      <c r="Q3" s="0" t="str">
        <v>No row is ready today: see the Routine tab</v>
      </c>
      <c r="R3" s="0" t="str">
        <v>No row is ready today: see the Routine tab</v>
      </c>
      <c r="S3" s="0" t="str">
        <v>No row is ready today: see the Routine tab</v>
      </c>
      <c r="T3" s="0" t="str">
        <v>No row is ready today: see the Routine tab</v>
      </c>
      <c r="U3" s="0" t="str">
        <v>No row is ready today: see the Routine tab</v>
      </c>
      <c r="V3" s="0" t="str">
        <v>No row is ready today: see the Routine tab</v>
      </c>
      <c r="W3" s="0" t="str">
        <v>No row is ready today: see the Routine tab</v>
      </c>
      <c r="X3" s="0" t="str">
        <v>No row is ready today: see the Routine tab</v>
      </c>
      <c r="Y3" s="0" t="str">
        <v>No row is ready today: see the Routine tab</v>
      </c>
      <c r="Z3" s="0" t="str">
        <v>No row is ready today: see the Routine tab</v>
      </c>
      <c r="AA3" s="0" t="str">
        <v>No row is ready today: see the Routine tab</v>
      </c>
      <c r="AB3" s="0" t="str">
        <v>No row is ready today: see the Routine tab</v>
      </c>
      <c r="AC3" s="0" t="str">
        <v>No row is ready today: see the Routine tab</v>
      </c>
      <c r="AD3" s="0" t="str">
        <v>No row is ready today: see the Routine tab</v>
      </c>
      <c r="AE3" s="0" t="str">
        <v>No row is ready today: see the Routine tab</v>
      </c>
      <c r="AF3" s="0" t="str">
        <v>No row is ready today: see the Routine tab</v>
      </c>
      <c r="AG3" s="0" t="str">
        <v>No row is ready today: see the Routine tab</v>
      </c>
      <c r="AH3" s="0" t="str">
        <v>No row is ready today: see the Routine tab</v>
      </c>
      <c r="AI3" s="0" t="str">
        <v>No row is ready today: see the Routine tab</v>
      </c>
      <c r="AJ3" s="0" t="str">
        <v>No row is ready today: see the Routine tab</v>
      </c>
      <c r="AK3" s="0" t="str">
        <v>No row is ready today: see the Routine tab</v>
      </c>
      <c r="AL3" s="0" t="str">
        <v>No row is ready today: see the Routine tab</v>
      </c>
      <c r="AM3" s="0" t="str">
        <v>No row is ready today: see the Routine tab</v>
      </c>
      <c r="AN3" s="0" t="str">
        <v>No row is ready today: see the Routine tab</v>
      </c>
      <c r="AO3" s="0" t="str">
        <v>No row is ready today: see the Routine tab</v>
      </c>
      <c r="AP3" s="0" t="str">
        <v>No row is ready today: see the Routine tab</v>
      </c>
      <c r="AQ3" s="0" t="str">
        <v>No row is ready today: see the Routine tab</v>
      </c>
      <c r="AR3" s="0" t="str">
        <v>No row is ready today: see the Routine tab</v>
      </c>
      <c r="AS3" s="0" t="str">
        <v>No row is ready today: see the Routine tab</v>
      </c>
    </row>
    <row r="4" customFormat="false" ht="15" hidden="false" customHeight="false" outlineLevel="0" collapsed="false">
      <c r="A4" s="0" t="str">
        <v>No row is ready today: see the Routine tab</v>
      </c>
      <c r="B4" s="0" t="str">
        <v>No row is ready today: see the Routine tab</v>
      </c>
      <c r="C4" s="0" t="str">
        <v>No row is ready today: see the Routine tab</v>
      </c>
      <c r="D4" s="0" t="str">
        <v>No row is ready today: see the Routine tab</v>
      </c>
      <c r="E4" s="0" t="str">
        <v>No row is ready today: see the Routine tab</v>
      </c>
      <c r="F4" s="0" t="str">
        <v>No row is ready today: see the Routine tab</v>
      </c>
      <c r="G4" s="0" t="str">
        <v>No row is ready today: see the Routine tab</v>
      </c>
      <c r="H4" s="0" t="str">
        <v>No row is ready today: see the Routine tab</v>
      </c>
      <c r="I4" s="0" t="str">
        <v>No row is ready today: see the Routine tab</v>
      </c>
      <c r="J4" s="0" t="str">
        <v>No row is ready today: see the Routine tab</v>
      </c>
      <c r="K4" s="0" t="str">
        <v>No row is ready today: see the Routine tab</v>
      </c>
      <c r="L4" s="0" t="str">
        <v>No row is ready today: see the Routine tab</v>
      </c>
      <c r="M4" s="0" t="str">
        <v>No row is ready today: see the Routine tab</v>
      </c>
      <c r="N4" s="0" t="str">
        <v>No row is ready today: see the Routine tab</v>
      </c>
      <c r="O4" s="0" t="str">
        <v>No row is ready today: see the Routine tab</v>
      </c>
      <c r="P4" s="0" t="str">
        <v>No row is ready today: see the Routine tab</v>
      </c>
      <c r="Q4" s="0" t="str">
        <v>No row is ready today: see the Routine tab</v>
      </c>
      <c r="R4" s="0" t="str">
        <v>No row is ready today: see the Routine tab</v>
      </c>
      <c r="S4" s="0" t="str">
        <v>No row is ready today: see the Routine tab</v>
      </c>
      <c r="T4" s="0" t="str">
        <v>No row is ready today: see the Routine tab</v>
      </c>
      <c r="U4" s="0" t="str">
        <v>No row is ready today: see the Routine tab</v>
      </c>
      <c r="V4" s="0" t="str">
        <v>No row is ready today: see the Routine tab</v>
      </c>
      <c r="W4" s="0" t="str">
        <v>No row is ready today: see the Routine tab</v>
      </c>
      <c r="X4" s="0" t="str">
        <v>No row is ready today: see the Routine tab</v>
      </c>
      <c r="Y4" s="0" t="str">
        <v>No row is ready today: see the Routine tab</v>
      </c>
      <c r="Z4" s="0" t="str">
        <v>No row is ready today: see the Routine tab</v>
      </c>
      <c r="AA4" s="0" t="str">
        <v>No row is ready today: see the Routine tab</v>
      </c>
      <c r="AB4" s="0" t="str">
        <v>No row is ready today: see the Routine tab</v>
      </c>
      <c r="AC4" s="0" t="str">
        <v>No row is ready today: see the Routine tab</v>
      </c>
      <c r="AD4" s="0" t="str">
        <v>No row is ready today: see the Routine tab</v>
      </c>
      <c r="AE4" s="0" t="str">
        <v>No row is ready today: see the Routine tab</v>
      </c>
      <c r="AF4" s="0" t="str">
        <v>No row is ready today: see the Routine tab</v>
      </c>
      <c r="AG4" s="0" t="str">
        <v>No row is ready today: see the Routine tab</v>
      </c>
      <c r="AH4" s="0" t="str">
        <v>No row is ready today: see the Routine tab</v>
      </c>
      <c r="AI4" s="0" t="str">
        <v>No row is ready today: see the Routine tab</v>
      </c>
      <c r="AJ4" s="0" t="str">
        <v>No row is ready today: see the Routine tab</v>
      </c>
      <c r="AK4" s="0" t="str">
        <v>No row is ready today: see the Routine tab</v>
      </c>
      <c r="AL4" s="0" t="str">
        <v>No row is ready today: see the Routine tab</v>
      </c>
      <c r="AM4" s="0" t="str">
        <v>No row is ready today: see the Routine tab</v>
      </c>
      <c r="AN4" s="0" t="str">
        <v>No row is ready today: see the Routine tab</v>
      </c>
      <c r="AO4" s="0" t="str">
        <v>No row is ready today: see the Routine tab</v>
      </c>
      <c r="AP4" s="0" t="str">
        <v>No row is ready today: see the Routine tab</v>
      </c>
      <c r="AQ4" s="0" t="str">
        <v>No row is ready today: see the Routine tab</v>
      </c>
      <c r="AR4" s="0" t="str">
        <v>No row is ready today: see the Routine tab</v>
      </c>
      <c r="AS4" s="0" t="str">
        <v>No row is ready today: see the Routine tab</v>
      </c>
    </row>
    <row r="5" customFormat="false" ht="15" hidden="false" customHeight="false" outlineLevel="0" collapsed="false">
      <c r="A5" s="0" t="str">
        <v>No row is ready today: see the Routine tab</v>
      </c>
      <c r="B5" s="0" t="str">
        <v>No row is ready today: see the Routine tab</v>
      </c>
      <c r="C5" s="0" t="str">
        <v>No row is ready today: see the Routine tab</v>
      </c>
      <c r="D5" s="0" t="str">
        <v>No row is ready today: see the Routine tab</v>
      </c>
      <c r="E5" s="0" t="str">
        <v>No row is ready today: see the Routine tab</v>
      </c>
      <c r="F5" s="0" t="str">
        <v>No row is ready today: see the Routine tab</v>
      </c>
      <c r="G5" s="0" t="str">
        <v>No row is ready today: see the Routine tab</v>
      </c>
      <c r="H5" s="0" t="str">
        <v>No row is ready today: see the Routine tab</v>
      </c>
      <c r="I5" s="0" t="str">
        <v>No row is ready today: see the Routine tab</v>
      </c>
      <c r="J5" s="0" t="str">
        <v>No row is ready today: see the Routine tab</v>
      </c>
      <c r="K5" s="0" t="str">
        <v>No row is ready today: see the Routine tab</v>
      </c>
      <c r="L5" s="0" t="str">
        <v>No row is ready today: see the Routine tab</v>
      </c>
      <c r="M5" s="0" t="str">
        <v>No row is ready today: see the Routine tab</v>
      </c>
      <c r="N5" s="0" t="str">
        <v>No row is ready today: see the Routine tab</v>
      </c>
      <c r="O5" s="0" t="str">
        <v>No row is ready today: see the Routine tab</v>
      </c>
      <c r="P5" s="0" t="str">
        <v>No row is ready today: see the Routine tab</v>
      </c>
      <c r="Q5" s="0" t="str">
        <v>No row is ready today: see the Routine tab</v>
      </c>
      <c r="R5" s="0" t="str">
        <v>No row is ready today: see the Routine tab</v>
      </c>
      <c r="S5" s="0" t="str">
        <v>No row is ready today: see the Routine tab</v>
      </c>
      <c r="T5" s="0" t="str">
        <v>No row is ready today: see the Routine tab</v>
      </c>
      <c r="U5" s="0" t="str">
        <v>No row is ready today: see the Routine tab</v>
      </c>
      <c r="V5" s="0" t="str">
        <v>No row is ready today: see the Routine tab</v>
      </c>
      <c r="W5" s="0" t="str">
        <v>No row is ready today: see the Routine tab</v>
      </c>
      <c r="X5" s="0" t="str">
        <v>No row is ready today: see the Routine tab</v>
      </c>
      <c r="Y5" s="0" t="str">
        <v>No row is ready today: see the Routine tab</v>
      </c>
      <c r="Z5" s="0" t="str">
        <v>No row is ready today: see the Routine tab</v>
      </c>
      <c r="AA5" s="0" t="str">
        <v>No row is ready today: see the Routine tab</v>
      </c>
      <c r="AB5" s="0" t="str">
        <v>No row is ready today: see the Routine tab</v>
      </c>
      <c r="AC5" s="0" t="str">
        <v>No row is ready today: see the Routine tab</v>
      </c>
      <c r="AD5" s="0" t="str">
        <v>No row is ready today: see the Routine tab</v>
      </c>
      <c r="AE5" s="0" t="str">
        <v>No row is ready today: see the Routine tab</v>
      </c>
      <c r="AF5" s="0" t="str">
        <v>No row is ready today: see the Routine tab</v>
      </c>
      <c r="AG5" s="0" t="str">
        <v>No row is ready today: see the Routine tab</v>
      </c>
      <c r="AH5" s="0" t="str">
        <v>No row is ready today: see the Routine tab</v>
      </c>
      <c r="AI5" s="0" t="str">
        <v>No row is ready today: see the Routine tab</v>
      </c>
      <c r="AJ5" s="0" t="str">
        <v>No row is ready today: see the Routine tab</v>
      </c>
      <c r="AK5" s="0" t="str">
        <v>No row is ready today: see the Routine tab</v>
      </c>
      <c r="AL5" s="0" t="str">
        <v>No row is ready today: see the Routine tab</v>
      </c>
      <c r="AM5" s="0" t="str">
        <v>No row is ready today: see the Routine tab</v>
      </c>
      <c r="AN5" s="0" t="str">
        <v>No row is ready today: see the Routine tab</v>
      </c>
      <c r="AO5" s="0" t="str">
        <v>No row is ready today: see the Routine tab</v>
      </c>
      <c r="AP5" s="0" t="str">
        <v>No row is ready today: see the Routine tab</v>
      </c>
      <c r="AQ5" s="0" t="str">
        <v>No row is ready today: see the Routine tab</v>
      </c>
      <c r="AR5" s="0" t="str">
        <v>No row is ready today: see the Routine tab</v>
      </c>
      <c r="AS5" s="0" t="str">
        <v>No row is ready today: see the Routine tab</v>
      </c>
    </row>
    <row r="6" customFormat="false" ht="15" hidden="false" customHeight="false" outlineLevel="0" collapsed="false">
      <c r="A6" s="0" t="str">
        <v>No row is ready today: see the Routine tab</v>
      </c>
      <c r="B6" s="0" t="str">
        <v>No row is ready today: see the Routine tab</v>
      </c>
      <c r="C6" s="0" t="str">
        <v>No row is ready today: see the Routine tab</v>
      </c>
      <c r="D6" s="0" t="str">
        <v>No row is ready today: see the Routine tab</v>
      </c>
      <c r="E6" s="0" t="str">
        <v>No row is ready today: see the Routine tab</v>
      </c>
      <c r="F6" s="0" t="str">
        <v>No row is ready today: see the Routine tab</v>
      </c>
      <c r="G6" s="0" t="str">
        <v>No row is ready today: see the Routine tab</v>
      </c>
      <c r="H6" s="0" t="str">
        <v>No row is ready today: see the Routine tab</v>
      </c>
      <c r="I6" s="0" t="str">
        <v>No row is ready today: see the Routine tab</v>
      </c>
      <c r="J6" s="0" t="str">
        <v>No row is ready today: see the Routine tab</v>
      </c>
      <c r="K6" s="0" t="str">
        <v>No row is ready today: see the Routine tab</v>
      </c>
      <c r="L6" s="0" t="str">
        <v>No row is ready today: see the Routine tab</v>
      </c>
      <c r="M6" s="0" t="str">
        <v>No row is ready today: see the Routine tab</v>
      </c>
      <c r="N6" s="0" t="str">
        <v>No row is ready today: see the Routine tab</v>
      </c>
      <c r="O6" s="0" t="str">
        <v>No row is ready today: see the Routine tab</v>
      </c>
      <c r="P6" s="0" t="str">
        <v>No row is ready today: see the Routine tab</v>
      </c>
      <c r="Q6" s="0" t="str">
        <v>No row is ready today: see the Routine tab</v>
      </c>
      <c r="R6" s="0" t="str">
        <v>No row is ready today: see the Routine tab</v>
      </c>
      <c r="S6" s="0" t="str">
        <v>No row is ready today: see the Routine tab</v>
      </c>
      <c r="T6" s="0" t="str">
        <v>No row is ready today: see the Routine tab</v>
      </c>
      <c r="U6" s="0" t="str">
        <v>No row is ready today: see the Routine tab</v>
      </c>
      <c r="V6" s="0" t="str">
        <v>No row is ready today: see the Routine tab</v>
      </c>
      <c r="W6" s="0" t="str">
        <v>No row is ready today: see the Routine tab</v>
      </c>
      <c r="X6" s="0" t="str">
        <v>No row is ready today: see the Routine tab</v>
      </c>
      <c r="Y6" s="0" t="str">
        <v>No row is ready today: see the Routine tab</v>
      </c>
      <c r="Z6" s="0" t="str">
        <v>No row is ready today: see the Routine tab</v>
      </c>
      <c r="AA6" s="0" t="str">
        <v>No row is ready today: see the Routine tab</v>
      </c>
      <c r="AB6" s="0" t="str">
        <v>No row is ready today: see the Routine tab</v>
      </c>
      <c r="AC6" s="0" t="str">
        <v>No row is ready today: see the Routine tab</v>
      </c>
      <c r="AD6" s="0" t="str">
        <v>No row is ready today: see the Routine tab</v>
      </c>
      <c r="AE6" s="0" t="str">
        <v>No row is ready today: see the Routine tab</v>
      </c>
      <c r="AF6" s="0" t="str">
        <v>No row is ready today: see the Routine tab</v>
      </c>
      <c r="AG6" s="0" t="str">
        <v>No row is ready today: see the Routine tab</v>
      </c>
      <c r="AH6" s="0" t="str">
        <v>No row is ready today: see the Routine tab</v>
      </c>
      <c r="AI6" s="0" t="str">
        <v>No row is ready today: see the Routine tab</v>
      </c>
      <c r="AJ6" s="0" t="str">
        <v>No row is ready today: see the Routine tab</v>
      </c>
      <c r="AK6" s="0" t="str">
        <v>No row is ready today: see the Routine tab</v>
      </c>
      <c r="AL6" s="0" t="str">
        <v>No row is ready today: see the Routine tab</v>
      </c>
      <c r="AM6" s="0" t="str">
        <v>No row is ready today: see the Routine tab</v>
      </c>
      <c r="AN6" s="0" t="str">
        <v>No row is ready today: see the Routine tab</v>
      </c>
      <c r="AO6" s="0" t="str">
        <v>No row is ready today: see the Routine tab</v>
      </c>
      <c r="AP6" s="0" t="str">
        <v>No row is ready today: see the Routine tab</v>
      </c>
      <c r="AQ6" s="0" t="str">
        <v>No row is ready today: see the Routine tab</v>
      </c>
      <c r="AR6" s="0" t="str">
        <v>No row is ready today: see the Routine tab</v>
      </c>
      <c r="AS6" s="0" t="str">
        <v>No row is ready today: see the Routine tab</v>
      </c>
    </row>
    <row r="7" customFormat="false" ht="15" hidden="false" customHeight="false" outlineLevel="0" collapsed="false">
      <c r="A7" s="0" t="str">
        <v>No row is ready today: see the Routine tab</v>
      </c>
      <c r="B7" s="0" t="str">
        <v>No row is ready today: see the Routine tab</v>
      </c>
      <c r="C7" s="0" t="str">
        <v>No row is ready today: see the Routine tab</v>
      </c>
      <c r="D7" s="0" t="str">
        <v>No row is ready today: see the Routine tab</v>
      </c>
      <c r="E7" s="0" t="str">
        <v>No row is ready today: see the Routine tab</v>
      </c>
      <c r="F7" s="0" t="str">
        <v>No row is ready today: see the Routine tab</v>
      </c>
      <c r="G7" s="0" t="str">
        <v>No row is ready today: see the Routine tab</v>
      </c>
      <c r="H7" s="0" t="str">
        <v>No row is ready today: see the Routine tab</v>
      </c>
      <c r="I7" s="0" t="str">
        <v>No row is ready today: see the Routine tab</v>
      </c>
      <c r="J7" s="0" t="str">
        <v>No row is ready today: see the Routine tab</v>
      </c>
      <c r="K7" s="0" t="str">
        <v>No row is ready today: see the Routine tab</v>
      </c>
      <c r="L7" s="0" t="str">
        <v>No row is ready today: see the Routine tab</v>
      </c>
      <c r="M7" s="0" t="str">
        <v>No row is ready today: see the Routine tab</v>
      </c>
      <c r="N7" s="0" t="str">
        <v>No row is ready today: see the Routine tab</v>
      </c>
      <c r="O7" s="0" t="str">
        <v>No row is ready today: see the Routine tab</v>
      </c>
      <c r="P7" s="0" t="str">
        <v>No row is ready today: see the Routine tab</v>
      </c>
      <c r="Q7" s="0" t="str">
        <v>No row is ready today: see the Routine tab</v>
      </c>
      <c r="R7" s="0" t="str">
        <v>No row is ready today: see the Routine tab</v>
      </c>
      <c r="S7" s="0" t="str">
        <v>No row is ready today: see the Routine tab</v>
      </c>
      <c r="T7" s="0" t="str">
        <v>No row is ready today: see the Routine tab</v>
      </c>
      <c r="U7" s="0" t="str">
        <v>No row is ready today: see the Routine tab</v>
      </c>
      <c r="V7" s="0" t="str">
        <v>No row is ready today: see the Routine tab</v>
      </c>
      <c r="W7" s="0" t="str">
        <v>No row is ready today: see the Routine tab</v>
      </c>
      <c r="X7" s="0" t="str">
        <v>No row is ready today: see the Routine tab</v>
      </c>
      <c r="Y7" s="0" t="str">
        <v>No row is ready today: see the Routine tab</v>
      </c>
      <c r="Z7" s="0" t="str">
        <v>No row is ready today: see the Routine tab</v>
      </c>
      <c r="AA7" s="0" t="str">
        <v>No row is ready today: see the Routine tab</v>
      </c>
      <c r="AB7" s="0" t="str">
        <v>No row is ready today: see the Routine tab</v>
      </c>
      <c r="AC7" s="0" t="str">
        <v>No row is ready today: see the Routine tab</v>
      </c>
      <c r="AD7" s="0" t="str">
        <v>No row is ready today: see the Routine tab</v>
      </c>
      <c r="AE7" s="0" t="str">
        <v>No row is ready today: see the Routine tab</v>
      </c>
      <c r="AF7" s="0" t="str">
        <v>No row is ready today: see the Routine tab</v>
      </c>
      <c r="AG7" s="0" t="str">
        <v>No row is ready today: see the Routine tab</v>
      </c>
      <c r="AH7" s="0" t="str">
        <v>No row is ready today: see the Routine tab</v>
      </c>
      <c r="AI7" s="0" t="str">
        <v>No row is ready today: see the Routine tab</v>
      </c>
      <c r="AJ7" s="0" t="str">
        <v>No row is ready today: see the Routine tab</v>
      </c>
      <c r="AK7" s="0" t="str">
        <v>No row is ready today: see the Routine tab</v>
      </c>
      <c r="AL7" s="0" t="str">
        <v>No row is ready today: see the Routine tab</v>
      </c>
      <c r="AM7" s="0" t="str">
        <v>No row is ready today: see the Routine tab</v>
      </c>
      <c r="AN7" s="0" t="str">
        <v>No row is ready today: see the Routine tab</v>
      </c>
      <c r="AO7" s="0" t="str">
        <v>No row is ready today: see the Routine tab</v>
      </c>
      <c r="AP7" s="0" t="str">
        <v>No row is ready today: see the Routine tab</v>
      </c>
      <c r="AQ7" s="0" t="str">
        <v>No row is ready today: see the Routine tab</v>
      </c>
      <c r="AR7" s="0" t="str">
        <v>No row is ready today: see the Routine tab</v>
      </c>
      <c r="AS7" s="0" t="str">
        <v>No row is ready today: see the Routine tab</v>
      </c>
    </row>
    <row r="8" customFormat="false" ht="15" hidden="false" customHeight="false" outlineLevel="0" collapsed="false">
      <c r="A8" s="0" t="str">
        <v>No row is ready today: see the Routine tab</v>
      </c>
      <c r="B8" s="0" t="str">
        <v>No row is ready today: see the Routine tab</v>
      </c>
      <c r="C8" s="0" t="str">
        <v>No row is ready today: see the Routine tab</v>
      </c>
      <c r="D8" s="0" t="str">
        <v>No row is ready today: see the Routine tab</v>
      </c>
      <c r="E8" s="0" t="str">
        <v>No row is ready today: see the Routine tab</v>
      </c>
      <c r="F8" s="0" t="str">
        <v>No row is ready today: see the Routine tab</v>
      </c>
      <c r="G8" s="0" t="str">
        <v>No row is ready today: see the Routine tab</v>
      </c>
      <c r="H8" s="0" t="str">
        <v>No row is ready today: see the Routine tab</v>
      </c>
      <c r="I8" s="0" t="str">
        <v>No row is ready today: see the Routine tab</v>
      </c>
      <c r="J8" s="0" t="str">
        <v>No row is ready today: see the Routine tab</v>
      </c>
      <c r="K8" s="0" t="str">
        <v>No row is ready today: see the Routine tab</v>
      </c>
      <c r="L8" s="0" t="str">
        <v>No row is ready today: see the Routine tab</v>
      </c>
      <c r="M8" s="0" t="str">
        <v>No row is ready today: see the Routine tab</v>
      </c>
      <c r="N8" s="0" t="str">
        <v>No row is ready today: see the Routine tab</v>
      </c>
      <c r="O8" s="0" t="str">
        <v>No row is ready today: see the Routine tab</v>
      </c>
      <c r="P8" s="0" t="str">
        <v>No row is ready today: see the Routine tab</v>
      </c>
      <c r="Q8" s="0" t="str">
        <v>No row is ready today: see the Routine tab</v>
      </c>
      <c r="R8" s="0" t="str">
        <v>No row is ready today: see the Routine tab</v>
      </c>
      <c r="S8" s="0" t="str">
        <v>No row is ready today: see the Routine tab</v>
      </c>
      <c r="T8" s="0" t="str">
        <v>No row is ready today: see the Routine tab</v>
      </c>
      <c r="U8" s="0" t="str">
        <v>No row is ready today: see the Routine tab</v>
      </c>
      <c r="V8" s="0" t="str">
        <v>No row is ready today: see the Routine tab</v>
      </c>
      <c r="W8" s="0" t="str">
        <v>No row is ready today: see the Routine tab</v>
      </c>
      <c r="X8" s="0" t="str">
        <v>No row is ready today: see the Routine tab</v>
      </c>
      <c r="Y8" s="0" t="str">
        <v>No row is ready today: see the Routine tab</v>
      </c>
      <c r="Z8" s="0" t="str">
        <v>No row is ready today: see the Routine tab</v>
      </c>
      <c r="AA8" s="0" t="str">
        <v>No row is ready today: see the Routine tab</v>
      </c>
      <c r="AB8" s="0" t="str">
        <v>No row is ready today: see the Routine tab</v>
      </c>
      <c r="AC8" s="0" t="str">
        <v>No row is ready today: see the Routine tab</v>
      </c>
      <c r="AD8" s="0" t="str">
        <v>No row is ready today: see the Routine tab</v>
      </c>
      <c r="AE8" s="0" t="str">
        <v>No row is ready today: see the Routine tab</v>
      </c>
      <c r="AF8" s="0" t="str">
        <v>No row is ready today: see the Routine tab</v>
      </c>
      <c r="AG8" s="0" t="str">
        <v>No row is ready today: see the Routine tab</v>
      </c>
      <c r="AH8" s="0" t="str">
        <v>No row is ready today: see the Routine tab</v>
      </c>
      <c r="AI8" s="0" t="str">
        <v>No row is ready today: see the Routine tab</v>
      </c>
      <c r="AJ8" s="0" t="str">
        <v>No row is ready today: see the Routine tab</v>
      </c>
      <c r="AK8" s="0" t="str">
        <v>No row is ready today: see the Routine tab</v>
      </c>
      <c r="AL8" s="0" t="str">
        <v>No row is ready today: see the Routine tab</v>
      </c>
      <c r="AM8" s="0" t="str">
        <v>No row is ready today: see the Routine tab</v>
      </c>
      <c r="AN8" s="0" t="str">
        <v>No row is ready today: see the Routine tab</v>
      </c>
      <c r="AO8" s="0" t="str">
        <v>No row is ready today: see the Routine tab</v>
      </c>
      <c r="AP8" s="0" t="str">
        <v>No row is ready today: see the Routine tab</v>
      </c>
      <c r="AQ8" s="0" t="str">
        <v>No row is ready today: see the Routine tab</v>
      </c>
      <c r="AR8" s="0" t="str">
        <v>No row is ready today: see the Routine tab</v>
      </c>
      <c r="AS8" s="0" t="str">
        <v>No row is ready today: see the Routine tab</v>
      </c>
    </row>
    <row r="9" customFormat="false" ht="15" hidden="false" customHeight="false" outlineLevel="0" collapsed="false">
      <c r="A9" s="0" t="str">
        <v>No row is ready today: see the Routine tab</v>
      </c>
      <c r="B9" s="0" t="str">
        <v>No row is ready today: see the Routine tab</v>
      </c>
      <c r="C9" s="0" t="str">
        <v>No row is ready today: see the Routine tab</v>
      </c>
      <c r="D9" s="0" t="str">
        <v>No row is ready today: see the Routine tab</v>
      </c>
      <c r="E9" s="0" t="str">
        <v>No row is ready today: see the Routine tab</v>
      </c>
      <c r="F9" s="0" t="str">
        <v>No row is ready today: see the Routine tab</v>
      </c>
      <c r="G9" s="0" t="str">
        <v>No row is ready today: see the Routine tab</v>
      </c>
      <c r="H9" s="0" t="str">
        <v>No row is ready today: see the Routine tab</v>
      </c>
      <c r="I9" s="0" t="str">
        <v>No row is ready today: see the Routine tab</v>
      </c>
      <c r="J9" s="0" t="str">
        <v>No row is ready today: see the Routine tab</v>
      </c>
      <c r="K9" s="0" t="str">
        <v>No row is ready today: see the Routine tab</v>
      </c>
      <c r="L9" s="0" t="str">
        <v>No row is ready today: see the Routine tab</v>
      </c>
      <c r="M9" s="0" t="str">
        <v>No row is ready today: see the Routine tab</v>
      </c>
      <c r="N9" s="0" t="str">
        <v>No row is ready today: see the Routine tab</v>
      </c>
      <c r="O9" s="0" t="str">
        <v>No row is ready today: see the Routine tab</v>
      </c>
      <c r="P9" s="0" t="str">
        <v>No row is ready today: see the Routine tab</v>
      </c>
      <c r="Q9" s="0" t="str">
        <v>No row is ready today: see the Routine tab</v>
      </c>
      <c r="R9" s="0" t="str">
        <v>No row is ready today: see the Routine tab</v>
      </c>
      <c r="S9" s="0" t="str">
        <v>No row is ready today: see the Routine tab</v>
      </c>
      <c r="T9" s="0" t="str">
        <v>No row is ready today: see the Routine tab</v>
      </c>
      <c r="U9" s="0" t="str">
        <v>No row is ready today: see the Routine tab</v>
      </c>
      <c r="V9" s="0" t="str">
        <v>No row is ready today: see the Routine tab</v>
      </c>
      <c r="W9" s="0" t="str">
        <v>No row is ready today: see the Routine tab</v>
      </c>
      <c r="X9" s="0" t="str">
        <v>No row is ready today: see the Routine tab</v>
      </c>
      <c r="Y9" s="0" t="str">
        <v>No row is ready today: see the Routine tab</v>
      </c>
      <c r="Z9" s="0" t="str">
        <v>No row is ready today: see the Routine tab</v>
      </c>
      <c r="AA9" s="0" t="str">
        <v>No row is ready today: see the Routine tab</v>
      </c>
      <c r="AB9" s="0" t="str">
        <v>No row is ready today: see the Routine tab</v>
      </c>
      <c r="AC9" s="0" t="str">
        <v>No row is ready today: see the Routine tab</v>
      </c>
      <c r="AD9" s="0" t="str">
        <v>No row is ready today: see the Routine tab</v>
      </c>
      <c r="AE9" s="0" t="str">
        <v>No row is ready today: see the Routine tab</v>
      </c>
      <c r="AF9" s="0" t="str">
        <v>No row is ready today: see the Routine tab</v>
      </c>
      <c r="AG9" s="0" t="str">
        <v>No row is ready today: see the Routine tab</v>
      </c>
      <c r="AH9" s="0" t="str">
        <v>No row is ready today: see the Routine tab</v>
      </c>
      <c r="AI9" s="0" t="str">
        <v>No row is ready today: see the Routine tab</v>
      </c>
      <c r="AJ9" s="0" t="str">
        <v>No row is ready today: see the Routine tab</v>
      </c>
      <c r="AK9" s="0" t="str">
        <v>No row is ready today: see the Routine tab</v>
      </c>
      <c r="AL9" s="0" t="str">
        <v>No row is ready today: see the Routine tab</v>
      </c>
      <c r="AM9" s="0" t="str">
        <v>No row is ready today: see the Routine tab</v>
      </c>
      <c r="AN9" s="0" t="str">
        <v>No row is ready today: see the Routine tab</v>
      </c>
      <c r="AO9" s="0" t="str">
        <v>No row is ready today: see the Routine tab</v>
      </c>
      <c r="AP9" s="0" t="str">
        <v>No row is ready today: see the Routine tab</v>
      </c>
      <c r="AQ9" s="0" t="str">
        <v>No row is ready today: see the Routine tab</v>
      </c>
      <c r="AR9" s="0" t="str">
        <v>No row is ready today: see the Routine tab</v>
      </c>
      <c r="AS9" s="0" t="str">
        <v>No row is ready today: see the Routine tab</v>
      </c>
    </row>
    <row r="10" customFormat="false" ht="15" hidden="false" customHeight="false" outlineLevel="0" collapsed="false">
      <c r="A10" s="0" t="str">
        <v>No row is ready today: see the Routine tab</v>
      </c>
      <c r="B10" s="0" t="str">
        <v>No row is ready today: see the Routine tab</v>
      </c>
      <c r="C10" s="0" t="str">
        <v>No row is ready today: see the Routine tab</v>
      </c>
      <c r="D10" s="0" t="str">
        <v>No row is ready today: see the Routine tab</v>
      </c>
      <c r="E10" s="0" t="str">
        <v>No row is ready today: see the Routine tab</v>
      </c>
      <c r="F10" s="0" t="str">
        <v>No row is ready today: see the Routine tab</v>
      </c>
      <c r="G10" s="0" t="str">
        <v>No row is ready today: see the Routine tab</v>
      </c>
      <c r="H10" s="0" t="str">
        <v>No row is ready today: see the Routine tab</v>
      </c>
      <c r="I10" s="0" t="str">
        <v>No row is ready today: see the Routine tab</v>
      </c>
      <c r="J10" s="0" t="str">
        <v>No row is ready today: see the Routine tab</v>
      </c>
      <c r="K10" s="0" t="str">
        <v>No row is ready today: see the Routine tab</v>
      </c>
      <c r="L10" s="0" t="str">
        <v>No row is ready today: see the Routine tab</v>
      </c>
      <c r="M10" s="0" t="str">
        <v>No row is ready today: see the Routine tab</v>
      </c>
      <c r="N10" s="0" t="str">
        <v>No row is ready today: see the Routine tab</v>
      </c>
      <c r="O10" s="0" t="str">
        <v>No row is ready today: see the Routine tab</v>
      </c>
      <c r="P10" s="0" t="str">
        <v>No row is ready today: see the Routine tab</v>
      </c>
      <c r="Q10" s="0" t="str">
        <v>No row is ready today: see the Routine tab</v>
      </c>
      <c r="R10" s="0" t="str">
        <v>No row is ready today: see the Routine tab</v>
      </c>
      <c r="S10" s="0" t="str">
        <v>No row is ready today: see the Routine tab</v>
      </c>
      <c r="T10" s="0" t="str">
        <v>No row is ready today: see the Routine tab</v>
      </c>
      <c r="U10" s="0" t="str">
        <v>No row is ready today: see the Routine tab</v>
      </c>
      <c r="V10" s="0" t="str">
        <v>No row is ready today: see the Routine tab</v>
      </c>
      <c r="W10" s="0" t="str">
        <v>No row is ready today: see the Routine tab</v>
      </c>
      <c r="X10" s="0" t="str">
        <v>No row is ready today: see the Routine tab</v>
      </c>
      <c r="Y10" s="0" t="str">
        <v>No row is ready today: see the Routine tab</v>
      </c>
      <c r="Z10" s="0" t="str">
        <v>No row is ready today: see the Routine tab</v>
      </c>
      <c r="AA10" s="0" t="str">
        <v>No row is ready today: see the Routine tab</v>
      </c>
      <c r="AB10" s="0" t="str">
        <v>No row is ready today: see the Routine tab</v>
      </c>
      <c r="AC10" s="0" t="str">
        <v>No row is ready today: see the Routine tab</v>
      </c>
      <c r="AD10" s="0" t="str">
        <v>No row is ready today: see the Routine tab</v>
      </c>
      <c r="AE10" s="0" t="str">
        <v>No row is ready today: see the Routine tab</v>
      </c>
      <c r="AF10" s="0" t="str">
        <v>No row is ready today: see the Routine tab</v>
      </c>
      <c r="AG10" s="0" t="str">
        <v>No row is ready today: see the Routine tab</v>
      </c>
      <c r="AH10" s="0" t="str">
        <v>No row is ready today: see the Routine tab</v>
      </c>
      <c r="AI10" s="0" t="str">
        <v>No row is ready today: see the Routine tab</v>
      </c>
      <c r="AJ10" s="0" t="str">
        <v>No row is ready today: see the Routine tab</v>
      </c>
      <c r="AK10" s="0" t="str">
        <v>No row is ready today: see the Routine tab</v>
      </c>
      <c r="AL10" s="0" t="str">
        <v>No row is ready today: see the Routine tab</v>
      </c>
      <c r="AM10" s="0" t="str">
        <v>No row is ready today: see the Routine tab</v>
      </c>
      <c r="AN10" s="0" t="str">
        <v>No row is ready today: see the Routine tab</v>
      </c>
      <c r="AO10" s="0" t="str">
        <v>No row is ready today: see the Routine tab</v>
      </c>
      <c r="AP10" s="0" t="str">
        <v>No row is ready today: see the Routine tab</v>
      </c>
      <c r="AQ10" s="0" t="str">
        <v>No row is ready today: see the Routine tab</v>
      </c>
      <c r="AR10" s="0" t="str">
        <v>No row is ready today: see the Routine tab</v>
      </c>
      <c r="AS10" s="0" t="str">
        <v>No row is ready today: see the Routine tab</v>
      </c>
    </row>
    <row r="11" customFormat="false" ht="15" hidden="false" customHeight="false" outlineLevel="0" collapsed="false">
      <c r="A11" s="0" t="str">
        <v>No row is ready today: see the Routine tab</v>
      </c>
      <c r="B11" s="0" t="str">
        <v>No row is ready today: see the Routine tab</v>
      </c>
      <c r="C11" s="0" t="str">
        <v>No row is ready today: see the Routine tab</v>
      </c>
      <c r="D11" s="0" t="str">
        <v>No row is ready today: see the Routine tab</v>
      </c>
      <c r="E11" s="0" t="str">
        <v>No row is ready today: see the Routine tab</v>
      </c>
      <c r="F11" s="0" t="str">
        <v>No row is ready today: see the Routine tab</v>
      </c>
      <c r="G11" s="0" t="str">
        <v>No row is ready today: see the Routine tab</v>
      </c>
      <c r="H11" s="0" t="str">
        <v>No row is ready today: see the Routine tab</v>
      </c>
      <c r="I11" s="0" t="str">
        <v>No row is ready today: see the Routine tab</v>
      </c>
      <c r="J11" s="0" t="str">
        <v>No row is ready today: see the Routine tab</v>
      </c>
      <c r="K11" s="0" t="str">
        <v>No row is ready today: see the Routine tab</v>
      </c>
      <c r="L11" s="0" t="str">
        <v>No row is ready today: see the Routine tab</v>
      </c>
      <c r="M11" s="0" t="str">
        <v>No row is ready today: see the Routine tab</v>
      </c>
      <c r="N11" s="0" t="str">
        <v>No row is ready today: see the Routine tab</v>
      </c>
      <c r="O11" s="0" t="str">
        <v>No row is ready today: see the Routine tab</v>
      </c>
      <c r="P11" s="0" t="str">
        <v>No row is ready today: see the Routine tab</v>
      </c>
      <c r="Q11" s="0" t="str">
        <v>No row is ready today: see the Routine tab</v>
      </c>
      <c r="R11" s="0" t="str">
        <v>No row is ready today: see the Routine tab</v>
      </c>
      <c r="S11" s="0" t="str">
        <v>No row is ready today: see the Routine tab</v>
      </c>
      <c r="T11" s="0" t="str">
        <v>No row is ready today: see the Routine tab</v>
      </c>
      <c r="U11" s="0" t="str">
        <v>No row is ready today: see the Routine tab</v>
      </c>
      <c r="V11" s="0" t="str">
        <v>No row is ready today: see the Routine tab</v>
      </c>
      <c r="W11" s="0" t="str">
        <v>No row is ready today: see the Routine tab</v>
      </c>
      <c r="X11" s="0" t="str">
        <v>No row is ready today: see the Routine tab</v>
      </c>
      <c r="Y11" s="0" t="str">
        <v>No row is ready today: see the Routine tab</v>
      </c>
      <c r="Z11" s="0" t="str">
        <v>No row is ready today: see the Routine tab</v>
      </c>
      <c r="AA11" s="0" t="str">
        <v>No row is ready today: see the Routine tab</v>
      </c>
      <c r="AB11" s="0" t="str">
        <v>No row is ready today: see the Routine tab</v>
      </c>
      <c r="AC11" s="0" t="str">
        <v>No row is ready today: see the Routine tab</v>
      </c>
      <c r="AD11" s="0" t="str">
        <v>No row is ready today: see the Routine tab</v>
      </c>
      <c r="AE11" s="0" t="str">
        <v>No row is ready today: see the Routine tab</v>
      </c>
      <c r="AF11" s="0" t="str">
        <v>No row is ready today: see the Routine tab</v>
      </c>
      <c r="AG11" s="0" t="str">
        <v>No row is ready today: see the Routine tab</v>
      </c>
      <c r="AH11" s="0" t="str">
        <v>No row is ready today: see the Routine tab</v>
      </c>
      <c r="AI11" s="0" t="str">
        <v>No row is ready today: see the Routine tab</v>
      </c>
      <c r="AJ11" s="0" t="str">
        <v>No row is ready today: see the Routine tab</v>
      </c>
      <c r="AK11" s="0" t="str">
        <v>No row is ready today: see the Routine tab</v>
      </c>
      <c r="AL11" s="0" t="str">
        <v>No row is ready today: see the Routine tab</v>
      </c>
      <c r="AM11" s="0" t="str">
        <v>No row is ready today: see the Routine tab</v>
      </c>
      <c r="AN11" s="0" t="str">
        <v>No row is ready today: see the Routine tab</v>
      </c>
      <c r="AO11" s="0" t="str">
        <v>No row is ready today: see the Routine tab</v>
      </c>
      <c r="AP11" s="0" t="str">
        <v>No row is ready today: see the Routine tab</v>
      </c>
      <c r="AQ11" s="0" t="str">
        <v>No row is ready today: see the Routine tab</v>
      </c>
      <c r="AR11" s="0" t="str">
        <v>No row is ready today: see the Routine tab</v>
      </c>
      <c r="AS11" s="0" t="str">
        <v>No row is ready today: see the Routine tab</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10" min="3" style="0" width="16"/>
    <col collapsed="false" customWidth="true" hidden="false" outlineLevel="0" max="11" min="11" style="0" width="50"/>
    <col collapsed="false" customWidth="true" hidden="false" outlineLevel="0" max="27" min="12" style="0" width="16"/>
    <col collapsed="false" customWidth="true" hidden="false" outlineLevel="0" max="28" min="28" style="0" width="60"/>
    <col collapsed="false" customWidth="true" hidden="false" outlineLevel="0" max="43" min="29" style="0" width="16"/>
  </cols>
  <sheetData>
    <row r="1" customFormat="false" ht="15" hidden="false" customHeight="false" outlineLevel="0" collapsed="false">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4526</v>
      </c>
      <c r="AB1" s="7" t="s">
        <v>27</v>
      </c>
      <c r="AC1" s="7" t="s">
        <v>28</v>
      </c>
      <c r="AD1" s="7" t="s">
        <v>29</v>
      </c>
      <c r="AE1" s="7" t="s">
        <v>30</v>
      </c>
      <c r="AF1" s="7" t="s">
        <v>31</v>
      </c>
      <c r="AG1" s="7" t="s">
        <v>32</v>
      </c>
      <c r="AH1" s="7" t="s">
        <v>4527</v>
      </c>
      <c r="AI1" s="7" t="s">
        <v>4528</v>
      </c>
      <c r="AJ1" s="7" t="s">
        <v>63</v>
      </c>
      <c r="AK1" s="7" t="s">
        <v>4529</v>
      </c>
      <c r="AL1" s="7" t="s">
        <v>4530</v>
      </c>
      <c r="AM1" s="7" t="s">
        <v>4531</v>
      </c>
      <c r="AN1" s="7" t="s">
        <v>41</v>
      </c>
      <c r="AO1" s="7" t="s">
        <v>42</v>
      </c>
      <c r="AP1" s="7" t="s">
        <v>43</v>
      </c>
      <c r="AQ1" s="7" t="s">
        <v>44</v>
      </c>
    </row>
    <row r="2" customFormat="false" ht="15" hidden="false" customHeight="false" outlineLevel="0" collapsed="false">
      <c r="A2" s="0" t="str">
        <f aca="false" t="array" ref="A2:AQ11">IFERROR(_xlfn._xlws.sort(_xlfn._xlws.filter(Brands!$A$2:$AQ$1000,Brands!$EC$2:$EC$1000="Y"),25,TRUE()),"No row is ready today: see the Routine tab")</f>
        <v>No row is ready today: see the Routine tab</v>
      </c>
      <c r="B2" s="0" t="str">
        <v>No row is ready today: see the Routine tab</v>
      </c>
      <c r="C2" s="0" t="str">
        <v>No row is ready today: see the Routine tab</v>
      </c>
      <c r="D2" s="0" t="str">
        <v>No row is ready today: see the Routine tab</v>
      </c>
      <c r="E2" s="0" t="str">
        <v>No row is ready today: see the Routine tab</v>
      </c>
      <c r="F2" s="0" t="str">
        <v>No row is ready today: see the Routine tab</v>
      </c>
      <c r="G2" s="0" t="str">
        <v>No row is ready today: see the Routine tab</v>
      </c>
      <c r="H2" s="0" t="str">
        <v>No row is ready today: see the Routine tab</v>
      </c>
      <c r="I2" s="0" t="str">
        <v>No row is ready today: see the Routine tab</v>
      </c>
      <c r="J2" s="0" t="str">
        <v>No row is ready today: see the Routine tab</v>
      </c>
      <c r="K2" s="0" t="str">
        <v>No row is ready today: see the Routine tab</v>
      </c>
      <c r="L2" s="0" t="str">
        <v>No row is ready today: see the Routine tab</v>
      </c>
      <c r="M2" s="0" t="str">
        <v>No row is ready today: see the Routine tab</v>
      </c>
      <c r="N2" s="0" t="str">
        <v>No row is ready today: see the Routine tab</v>
      </c>
      <c r="O2" s="0" t="str">
        <v>No row is ready today: see the Routine tab</v>
      </c>
      <c r="P2" s="0" t="str">
        <v>No row is ready today: see the Routine tab</v>
      </c>
      <c r="Q2" s="0" t="str">
        <v>No row is ready today: see the Routine tab</v>
      </c>
      <c r="R2" s="0" t="str">
        <v>No row is ready today: see the Routine tab</v>
      </c>
      <c r="S2" s="0" t="str">
        <v>No row is ready today: see the Routine tab</v>
      </c>
      <c r="T2" s="0" t="str">
        <v>No row is ready today: see the Routine tab</v>
      </c>
      <c r="U2" s="0" t="str">
        <v>No row is ready today: see the Routine tab</v>
      </c>
      <c r="V2" s="0" t="str">
        <v>No row is ready today: see the Routine tab</v>
      </c>
      <c r="W2" s="0" t="str">
        <v>No row is ready today: see the Routine tab</v>
      </c>
      <c r="X2" s="0" t="str">
        <v>No row is ready today: see the Routine tab</v>
      </c>
      <c r="Y2" s="0" t="str">
        <v>No row is ready today: see the Routine tab</v>
      </c>
      <c r="Z2" s="0" t="str">
        <v>No row is ready today: see the Routine tab</v>
      </c>
      <c r="AA2" s="0" t="str">
        <v>No row is ready today: see the Routine tab</v>
      </c>
      <c r="AB2" s="0" t="str">
        <v>No row is ready today: see the Routine tab</v>
      </c>
      <c r="AC2" s="0" t="str">
        <v>No row is ready today: see the Routine tab</v>
      </c>
      <c r="AD2" s="0" t="str">
        <v>No row is ready today: see the Routine tab</v>
      </c>
      <c r="AE2" s="0" t="str">
        <v>No row is ready today: see the Routine tab</v>
      </c>
      <c r="AF2" s="0" t="str">
        <v>No row is ready today: see the Routine tab</v>
      </c>
      <c r="AG2" s="0" t="str">
        <v>No row is ready today: see the Routine tab</v>
      </c>
      <c r="AH2" s="0" t="str">
        <v>No row is ready today: see the Routine tab</v>
      </c>
      <c r="AI2" s="0" t="str">
        <v>No row is ready today: see the Routine tab</v>
      </c>
      <c r="AJ2" s="0" t="str">
        <v>No row is ready today: see the Routine tab</v>
      </c>
      <c r="AK2" s="0" t="str">
        <v>No row is ready today: see the Routine tab</v>
      </c>
      <c r="AL2" s="0" t="str">
        <v>No row is ready today: see the Routine tab</v>
      </c>
      <c r="AM2" s="0" t="str">
        <v>No row is ready today: see the Routine tab</v>
      </c>
      <c r="AN2" s="0" t="str">
        <v>No row is ready today: see the Routine tab</v>
      </c>
      <c r="AO2" s="0" t="str">
        <v>No row is ready today: see the Routine tab</v>
      </c>
      <c r="AP2" s="0" t="str">
        <v>No row is ready today: see the Routine tab</v>
      </c>
      <c r="AQ2" s="0" t="str">
        <v>No row is ready today: see the Routine tab</v>
      </c>
    </row>
    <row r="3" customFormat="false" ht="15" hidden="false" customHeight="false" outlineLevel="0" collapsed="false">
      <c r="A3" s="0" t="str">
        <v>No row is ready today: see the Routine tab</v>
      </c>
      <c r="B3" s="0" t="str">
        <v>No row is ready today: see the Routine tab</v>
      </c>
      <c r="C3" s="0" t="str">
        <v>No row is ready today: see the Routine tab</v>
      </c>
      <c r="D3" s="0" t="str">
        <v>No row is ready today: see the Routine tab</v>
      </c>
      <c r="E3" s="0" t="str">
        <v>No row is ready today: see the Routine tab</v>
      </c>
      <c r="F3" s="0" t="str">
        <v>No row is ready today: see the Routine tab</v>
      </c>
      <c r="G3" s="0" t="str">
        <v>No row is ready today: see the Routine tab</v>
      </c>
      <c r="H3" s="0" t="str">
        <v>No row is ready today: see the Routine tab</v>
      </c>
      <c r="I3" s="0" t="str">
        <v>No row is ready today: see the Routine tab</v>
      </c>
      <c r="J3" s="0" t="str">
        <v>No row is ready today: see the Routine tab</v>
      </c>
      <c r="K3" s="0" t="str">
        <v>No row is ready today: see the Routine tab</v>
      </c>
      <c r="L3" s="0" t="str">
        <v>No row is ready today: see the Routine tab</v>
      </c>
      <c r="M3" s="0" t="str">
        <v>No row is ready today: see the Routine tab</v>
      </c>
      <c r="N3" s="0" t="str">
        <v>No row is ready today: see the Routine tab</v>
      </c>
      <c r="O3" s="0" t="str">
        <v>No row is ready today: see the Routine tab</v>
      </c>
      <c r="P3" s="0" t="str">
        <v>No row is ready today: see the Routine tab</v>
      </c>
      <c r="Q3" s="0" t="str">
        <v>No row is ready today: see the Routine tab</v>
      </c>
      <c r="R3" s="0" t="str">
        <v>No row is ready today: see the Routine tab</v>
      </c>
      <c r="S3" s="0" t="str">
        <v>No row is ready today: see the Routine tab</v>
      </c>
      <c r="T3" s="0" t="str">
        <v>No row is ready today: see the Routine tab</v>
      </c>
      <c r="U3" s="0" t="str">
        <v>No row is ready today: see the Routine tab</v>
      </c>
      <c r="V3" s="0" t="str">
        <v>No row is ready today: see the Routine tab</v>
      </c>
      <c r="W3" s="0" t="str">
        <v>No row is ready today: see the Routine tab</v>
      </c>
      <c r="X3" s="0" t="str">
        <v>No row is ready today: see the Routine tab</v>
      </c>
      <c r="Y3" s="0" t="str">
        <v>No row is ready today: see the Routine tab</v>
      </c>
      <c r="Z3" s="0" t="str">
        <v>No row is ready today: see the Routine tab</v>
      </c>
      <c r="AA3" s="0" t="str">
        <v>No row is ready today: see the Routine tab</v>
      </c>
      <c r="AB3" s="0" t="str">
        <v>No row is ready today: see the Routine tab</v>
      </c>
      <c r="AC3" s="0" t="str">
        <v>No row is ready today: see the Routine tab</v>
      </c>
      <c r="AD3" s="0" t="str">
        <v>No row is ready today: see the Routine tab</v>
      </c>
      <c r="AE3" s="0" t="str">
        <v>No row is ready today: see the Routine tab</v>
      </c>
      <c r="AF3" s="0" t="str">
        <v>No row is ready today: see the Routine tab</v>
      </c>
      <c r="AG3" s="0" t="str">
        <v>No row is ready today: see the Routine tab</v>
      </c>
      <c r="AH3" s="0" t="str">
        <v>No row is ready today: see the Routine tab</v>
      </c>
      <c r="AI3" s="0" t="str">
        <v>No row is ready today: see the Routine tab</v>
      </c>
      <c r="AJ3" s="0" t="str">
        <v>No row is ready today: see the Routine tab</v>
      </c>
      <c r="AK3" s="0" t="str">
        <v>No row is ready today: see the Routine tab</v>
      </c>
      <c r="AL3" s="0" t="str">
        <v>No row is ready today: see the Routine tab</v>
      </c>
      <c r="AM3" s="0" t="str">
        <v>No row is ready today: see the Routine tab</v>
      </c>
      <c r="AN3" s="0" t="str">
        <v>No row is ready today: see the Routine tab</v>
      </c>
      <c r="AO3" s="0" t="str">
        <v>No row is ready today: see the Routine tab</v>
      </c>
      <c r="AP3" s="0" t="str">
        <v>No row is ready today: see the Routine tab</v>
      </c>
      <c r="AQ3" s="0" t="str">
        <v>No row is ready today: see the Routine tab</v>
      </c>
    </row>
    <row r="4" customFormat="false" ht="15" hidden="false" customHeight="false" outlineLevel="0" collapsed="false">
      <c r="A4" s="0" t="str">
        <v>No row is ready today: see the Routine tab</v>
      </c>
      <c r="B4" s="0" t="str">
        <v>No row is ready today: see the Routine tab</v>
      </c>
      <c r="C4" s="0" t="str">
        <v>No row is ready today: see the Routine tab</v>
      </c>
      <c r="D4" s="0" t="str">
        <v>No row is ready today: see the Routine tab</v>
      </c>
      <c r="E4" s="0" t="str">
        <v>No row is ready today: see the Routine tab</v>
      </c>
      <c r="F4" s="0" t="str">
        <v>No row is ready today: see the Routine tab</v>
      </c>
      <c r="G4" s="0" t="str">
        <v>No row is ready today: see the Routine tab</v>
      </c>
      <c r="H4" s="0" t="str">
        <v>No row is ready today: see the Routine tab</v>
      </c>
      <c r="I4" s="0" t="str">
        <v>No row is ready today: see the Routine tab</v>
      </c>
      <c r="J4" s="0" t="str">
        <v>No row is ready today: see the Routine tab</v>
      </c>
      <c r="K4" s="0" t="str">
        <v>No row is ready today: see the Routine tab</v>
      </c>
      <c r="L4" s="0" t="str">
        <v>No row is ready today: see the Routine tab</v>
      </c>
      <c r="M4" s="0" t="str">
        <v>No row is ready today: see the Routine tab</v>
      </c>
      <c r="N4" s="0" t="str">
        <v>No row is ready today: see the Routine tab</v>
      </c>
      <c r="O4" s="0" t="str">
        <v>No row is ready today: see the Routine tab</v>
      </c>
      <c r="P4" s="0" t="str">
        <v>No row is ready today: see the Routine tab</v>
      </c>
      <c r="Q4" s="0" t="str">
        <v>No row is ready today: see the Routine tab</v>
      </c>
      <c r="R4" s="0" t="str">
        <v>No row is ready today: see the Routine tab</v>
      </c>
      <c r="S4" s="0" t="str">
        <v>No row is ready today: see the Routine tab</v>
      </c>
      <c r="T4" s="0" t="str">
        <v>No row is ready today: see the Routine tab</v>
      </c>
      <c r="U4" s="0" t="str">
        <v>No row is ready today: see the Routine tab</v>
      </c>
      <c r="V4" s="0" t="str">
        <v>No row is ready today: see the Routine tab</v>
      </c>
      <c r="W4" s="0" t="str">
        <v>No row is ready today: see the Routine tab</v>
      </c>
      <c r="X4" s="0" t="str">
        <v>No row is ready today: see the Routine tab</v>
      </c>
      <c r="Y4" s="0" t="str">
        <v>No row is ready today: see the Routine tab</v>
      </c>
      <c r="Z4" s="0" t="str">
        <v>No row is ready today: see the Routine tab</v>
      </c>
      <c r="AA4" s="0" t="str">
        <v>No row is ready today: see the Routine tab</v>
      </c>
      <c r="AB4" s="0" t="str">
        <v>No row is ready today: see the Routine tab</v>
      </c>
      <c r="AC4" s="0" t="str">
        <v>No row is ready today: see the Routine tab</v>
      </c>
      <c r="AD4" s="0" t="str">
        <v>No row is ready today: see the Routine tab</v>
      </c>
      <c r="AE4" s="0" t="str">
        <v>No row is ready today: see the Routine tab</v>
      </c>
      <c r="AF4" s="0" t="str">
        <v>No row is ready today: see the Routine tab</v>
      </c>
      <c r="AG4" s="0" t="str">
        <v>No row is ready today: see the Routine tab</v>
      </c>
      <c r="AH4" s="0" t="str">
        <v>No row is ready today: see the Routine tab</v>
      </c>
      <c r="AI4" s="0" t="str">
        <v>No row is ready today: see the Routine tab</v>
      </c>
      <c r="AJ4" s="0" t="str">
        <v>No row is ready today: see the Routine tab</v>
      </c>
      <c r="AK4" s="0" t="str">
        <v>No row is ready today: see the Routine tab</v>
      </c>
      <c r="AL4" s="0" t="str">
        <v>No row is ready today: see the Routine tab</v>
      </c>
      <c r="AM4" s="0" t="str">
        <v>No row is ready today: see the Routine tab</v>
      </c>
      <c r="AN4" s="0" t="str">
        <v>No row is ready today: see the Routine tab</v>
      </c>
      <c r="AO4" s="0" t="str">
        <v>No row is ready today: see the Routine tab</v>
      </c>
      <c r="AP4" s="0" t="str">
        <v>No row is ready today: see the Routine tab</v>
      </c>
      <c r="AQ4" s="0" t="str">
        <v>No row is ready today: see the Routine tab</v>
      </c>
    </row>
    <row r="5" customFormat="false" ht="15" hidden="false" customHeight="false" outlineLevel="0" collapsed="false">
      <c r="A5" s="0" t="str">
        <v>No row is ready today: see the Routine tab</v>
      </c>
      <c r="B5" s="0" t="str">
        <v>No row is ready today: see the Routine tab</v>
      </c>
      <c r="C5" s="0" t="str">
        <v>No row is ready today: see the Routine tab</v>
      </c>
      <c r="D5" s="0" t="str">
        <v>No row is ready today: see the Routine tab</v>
      </c>
      <c r="E5" s="0" t="str">
        <v>No row is ready today: see the Routine tab</v>
      </c>
      <c r="F5" s="0" t="str">
        <v>No row is ready today: see the Routine tab</v>
      </c>
      <c r="G5" s="0" t="str">
        <v>No row is ready today: see the Routine tab</v>
      </c>
      <c r="H5" s="0" t="str">
        <v>No row is ready today: see the Routine tab</v>
      </c>
      <c r="I5" s="0" t="str">
        <v>No row is ready today: see the Routine tab</v>
      </c>
      <c r="J5" s="0" t="str">
        <v>No row is ready today: see the Routine tab</v>
      </c>
      <c r="K5" s="0" t="str">
        <v>No row is ready today: see the Routine tab</v>
      </c>
      <c r="L5" s="0" t="str">
        <v>No row is ready today: see the Routine tab</v>
      </c>
      <c r="M5" s="0" t="str">
        <v>No row is ready today: see the Routine tab</v>
      </c>
      <c r="N5" s="0" t="str">
        <v>No row is ready today: see the Routine tab</v>
      </c>
      <c r="O5" s="0" t="str">
        <v>No row is ready today: see the Routine tab</v>
      </c>
      <c r="P5" s="0" t="str">
        <v>No row is ready today: see the Routine tab</v>
      </c>
      <c r="Q5" s="0" t="str">
        <v>No row is ready today: see the Routine tab</v>
      </c>
      <c r="R5" s="0" t="str">
        <v>No row is ready today: see the Routine tab</v>
      </c>
      <c r="S5" s="0" t="str">
        <v>No row is ready today: see the Routine tab</v>
      </c>
      <c r="T5" s="0" t="str">
        <v>No row is ready today: see the Routine tab</v>
      </c>
      <c r="U5" s="0" t="str">
        <v>No row is ready today: see the Routine tab</v>
      </c>
      <c r="V5" s="0" t="str">
        <v>No row is ready today: see the Routine tab</v>
      </c>
      <c r="W5" s="0" t="str">
        <v>No row is ready today: see the Routine tab</v>
      </c>
      <c r="X5" s="0" t="str">
        <v>No row is ready today: see the Routine tab</v>
      </c>
      <c r="Y5" s="0" t="str">
        <v>No row is ready today: see the Routine tab</v>
      </c>
      <c r="Z5" s="0" t="str">
        <v>No row is ready today: see the Routine tab</v>
      </c>
      <c r="AA5" s="0" t="str">
        <v>No row is ready today: see the Routine tab</v>
      </c>
      <c r="AB5" s="0" t="str">
        <v>No row is ready today: see the Routine tab</v>
      </c>
      <c r="AC5" s="0" t="str">
        <v>No row is ready today: see the Routine tab</v>
      </c>
      <c r="AD5" s="0" t="str">
        <v>No row is ready today: see the Routine tab</v>
      </c>
      <c r="AE5" s="0" t="str">
        <v>No row is ready today: see the Routine tab</v>
      </c>
      <c r="AF5" s="0" t="str">
        <v>No row is ready today: see the Routine tab</v>
      </c>
      <c r="AG5" s="0" t="str">
        <v>No row is ready today: see the Routine tab</v>
      </c>
      <c r="AH5" s="0" t="str">
        <v>No row is ready today: see the Routine tab</v>
      </c>
      <c r="AI5" s="0" t="str">
        <v>No row is ready today: see the Routine tab</v>
      </c>
      <c r="AJ5" s="0" t="str">
        <v>No row is ready today: see the Routine tab</v>
      </c>
      <c r="AK5" s="0" t="str">
        <v>No row is ready today: see the Routine tab</v>
      </c>
      <c r="AL5" s="0" t="str">
        <v>No row is ready today: see the Routine tab</v>
      </c>
      <c r="AM5" s="0" t="str">
        <v>No row is ready today: see the Routine tab</v>
      </c>
      <c r="AN5" s="0" t="str">
        <v>No row is ready today: see the Routine tab</v>
      </c>
      <c r="AO5" s="0" t="str">
        <v>No row is ready today: see the Routine tab</v>
      </c>
      <c r="AP5" s="0" t="str">
        <v>No row is ready today: see the Routine tab</v>
      </c>
      <c r="AQ5" s="0" t="str">
        <v>No row is ready today: see the Routine tab</v>
      </c>
    </row>
    <row r="6" customFormat="false" ht="15" hidden="false" customHeight="false" outlineLevel="0" collapsed="false">
      <c r="A6" s="0" t="str">
        <v>No row is ready today: see the Routine tab</v>
      </c>
      <c r="B6" s="0" t="str">
        <v>No row is ready today: see the Routine tab</v>
      </c>
      <c r="C6" s="0" t="str">
        <v>No row is ready today: see the Routine tab</v>
      </c>
      <c r="D6" s="0" t="str">
        <v>No row is ready today: see the Routine tab</v>
      </c>
      <c r="E6" s="0" t="str">
        <v>No row is ready today: see the Routine tab</v>
      </c>
      <c r="F6" s="0" t="str">
        <v>No row is ready today: see the Routine tab</v>
      </c>
      <c r="G6" s="0" t="str">
        <v>No row is ready today: see the Routine tab</v>
      </c>
      <c r="H6" s="0" t="str">
        <v>No row is ready today: see the Routine tab</v>
      </c>
      <c r="I6" s="0" t="str">
        <v>No row is ready today: see the Routine tab</v>
      </c>
      <c r="J6" s="0" t="str">
        <v>No row is ready today: see the Routine tab</v>
      </c>
      <c r="K6" s="0" t="str">
        <v>No row is ready today: see the Routine tab</v>
      </c>
      <c r="L6" s="0" t="str">
        <v>No row is ready today: see the Routine tab</v>
      </c>
      <c r="M6" s="0" t="str">
        <v>No row is ready today: see the Routine tab</v>
      </c>
      <c r="N6" s="0" t="str">
        <v>No row is ready today: see the Routine tab</v>
      </c>
      <c r="O6" s="0" t="str">
        <v>No row is ready today: see the Routine tab</v>
      </c>
      <c r="P6" s="0" t="str">
        <v>No row is ready today: see the Routine tab</v>
      </c>
      <c r="Q6" s="0" t="str">
        <v>No row is ready today: see the Routine tab</v>
      </c>
      <c r="R6" s="0" t="str">
        <v>No row is ready today: see the Routine tab</v>
      </c>
      <c r="S6" s="0" t="str">
        <v>No row is ready today: see the Routine tab</v>
      </c>
      <c r="T6" s="0" t="str">
        <v>No row is ready today: see the Routine tab</v>
      </c>
      <c r="U6" s="0" t="str">
        <v>No row is ready today: see the Routine tab</v>
      </c>
      <c r="V6" s="0" t="str">
        <v>No row is ready today: see the Routine tab</v>
      </c>
      <c r="W6" s="0" t="str">
        <v>No row is ready today: see the Routine tab</v>
      </c>
      <c r="X6" s="0" t="str">
        <v>No row is ready today: see the Routine tab</v>
      </c>
      <c r="Y6" s="0" t="str">
        <v>No row is ready today: see the Routine tab</v>
      </c>
      <c r="Z6" s="0" t="str">
        <v>No row is ready today: see the Routine tab</v>
      </c>
      <c r="AA6" s="0" t="str">
        <v>No row is ready today: see the Routine tab</v>
      </c>
      <c r="AB6" s="0" t="str">
        <v>No row is ready today: see the Routine tab</v>
      </c>
      <c r="AC6" s="0" t="str">
        <v>No row is ready today: see the Routine tab</v>
      </c>
      <c r="AD6" s="0" t="str">
        <v>No row is ready today: see the Routine tab</v>
      </c>
      <c r="AE6" s="0" t="str">
        <v>No row is ready today: see the Routine tab</v>
      </c>
      <c r="AF6" s="0" t="str">
        <v>No row is ready today: see the Routine tab</v>
      </c>
      <c r="AG6" s="0" t="str">
        <v>No row is ready today: see the Routine tab</v>
      </c>
      <c r="AH6" s="0" t="str">
        <v>No row is ready today: see the Routine tab</v>
      </c>
      <c r="AI6" s="0" t="str">
        <v>No row is ready today: see the Routine tab</v>
      </c>
      <c r="AJ6" s="0" t="str">
        <v>No row is ready today: see the Routine tab</v>
      </c>
      <c r="AK6" s="0" t="str">
        <v>No row is ready today: see the Routine tab</v>
      </c>
      <c r="AL6" s="0" t="str">
        <v>No row is ready today: see the Routine tab</v>
      </c>
      <c r="AM6" s="0" t="str">
        <v>No row is ready today: see the Routine tab</v>
      </c>
      <c r="AN6" s="0" t="str">
        <v>No row is ready today: see the Routine tab</v>
      </c>
      <c r="AO6" s="0" t="str">
        <v>No row is ready today: see the Routine tab</v>
      </c>
      <c r="AP6" s="0" t="str">
        <v>No row is ready today: see the Routine tab</v>
      </c>
      <c r="AQ6" s="0" t="str">
        <v>No row is ready today: see the Routine tab</v>
      </c>
    </row>
    <row r="7" customFormat="false" ht="15" hidden="false" customHeight="false" outlineLevel="0" collapsed="false">
      <c r="A7" s="0" t="str">
        <v>No row is ready today: see the Routine tab</v>
      </c>
      <c r="B7" s="0" t="str">
        <v>No row is ready today: see the Routine tab</v>
      </c>
      <c r="C7" s="0" t="str">
        <v>No row is ready today: see the Routine tab</v>
      </c>
      <c r="D7" s="0" t="str">
        <v>No row is ready today: see the Routine tab</v>
      </c>
      <c r="E7" s="0" t="str">
        <v>No row is ready today: see the Routine tab</v>
      </c>
      <c r="F7" s="0" t="str">
        <v>No row is ready today: see the Routine tab</v>
      </c>
      <c r="G7" s="0" t="str">
        <v>No row is ready today: see the Routine tab</v>
      </c>
      <c r="H7" s="0" t="str">
        <v>No row is ready today: see the Routine tab</v>
      </c>
      <c r="I7" s="0" t="str">
        <v>No row is ready today: see the Routine tab</v>
      </c>
      <c r="J7" s="0" t="str">
        <v>No row is ready today: see the Routine tab</v>
      </c>
      <c r="K7" s="0" t="str">
        <v>No row is ready today: see the Routine tab</v>
      </c>
      <c r="L7" s="0" t="str">
        <v>No row is ready today: see the Routine tab</v>
      </c>
      <c r="M7" s="0" t="str">
        <v>No row is ready today: see the Routine tab</v>
      </c>
      <c r="N7" s="0" t="str">
        <v>No row is ready today: see the Routine tab</v>
      </c>
      <c r="O7" s="0" t="str">
        <v>No row is ready today: see the Routine tab</v>
      </c>
      <c r="P7" s="0" t="str">
        <v>No row is ready today: see the Routine tab</v>
      </c>
      <c r="Q7" s="0" t="str">
        <v>No row is ready today: see the Routine tab</v>
      </c>
      <c r="R7" s="0" t="str">
        <v>No row is ready today: see the Routine tab</v>
      </c>
      <c r="S7" s="0" t="str">
        <v>No row is ready today: see the Routine tab</v>
      </c>
      <c r="T7" s="0" t="str">
        <v>No row is ready today: see the Routine tab</v>
      </c>
      <c r="U7" s="0" t="str">
        <v>No row is ready today: see the Routine tab</v>
      </c>
      <c r="V7" s="0" t="str">
        <v>No row is ready today: see the Routine tab</v>
      </c>
      <c r="W7" s="0" t="str">
        <v>No row is ready today: see the Routine tab</v>
      </c>
      <c r="X7" s="0" t="str">
        <v>No row is ready today: see the Routine tab</v>
      </c>
      <c r="Y7" s="0" t="str">
        <v>No row is ready today: see the Routine tab</v>
      </c>
      <c r="Z7" s="0" t="str">
        <v>No row is ready today: see the Routine tab</v>
      </c>
      <c r="AA7" s="0" t="str">
        <v>No row is ready today: see the Routine tab</v>
      </c>
      <c r="AB7" s="0" t="str">
        <v>No row is ready today: see the Routine tab</v>
      </c>
      <c r="AC7" s="0" t="str">
        <v>No row is ready today: see the Routine tab</v>
      </c>
      <c r="AD7" s="0" t="str">
        <v>No row is ready today: see the Routine tab</v>
      </c>
      <c r="AE7" s="0" t="str">
        <v>No row is ready today: see the Routine tab</v>
      </c>
      <c r="AF7" s="0" t="str">
        <v>No row is ready today: see the Routine tab</v>
      </c>
      <c r="AG7" s="0" t="str">
        <v>No row is ready today: see the Routine tab</v>
      </c>
      <c r="AH7" s="0" t="str">
        <v>No row is ready today: see the Routine tab</v>
      </c>
      <c r="AI7" s="0" t="str">
        <v>No row is ready today: see the Routine tab</v>
      </c>
      <c r="AJ7" s="0" t="str">
        <v>No row is ready today: see the Routine tab</v>
      </c>
      <c r="AK7" s="0" t="str">
        <v>No row is ready today: see the Routine tab</v>
      </c>
      <c r="AL7" s="0" t="str">
        <v>No row is ready today: see the Routine tab</v>
      </c>
      <c r="AM7" s="0" t="str">
        <v>No row is ready today: see the Routine tab</v>
      </c>
      <c r="AN7" s="0" t="str">
        <v>No row is ready today: see the Routine tab</v>
      </c>
      <c r="AO7" s="0" t="str">
        <v>No row is ready today: see the Routine tab</v>
      </c>
      <c r="AP7" s="0" t="str">
        <v>No row is ready today: see the Routine tab</v>
      </c>
      <c r="AQ7" s="0" t="str">
        <v>No row is ready today: see the Routine tab</v>
      </c>
    </row>
    <row r="8" customFormat="false" ht="15" hidden="false" customHeight="false" outlineLevel="0" collapsed="false">
      <c r="A8" s="0" t="str">
        <v>No row is ready today: see the Routine tab</v>
      </c>
      <c r="B8" s="0" t="str">
        <v>No row is ready today: see the Routine tab</v>
      </c>
      <c r="C8" s="0" t="str">
        <v>No row is ready today: see the Routine tab</v>
      </c>
      <c r="D8" s="0" t="str">
        <v>No row is ready today: see the Routine tab</v>
      </c>
      <c r="E8" s="0" t="str">
        <v>No row is ready today: see the Routine tab</v>
      </c>
      <c r="F8" s="0" t="str">
        <v>No row is ready today: see the Routine tab</v>
      </c>
      <c r="G8" s="0" t="str">
        <v>No row is ready today: see the Routine tab</v>
      </c>
      <c r="H8" s="0" t="str">
        <v>No row is ready today: see the Routine tab</v>
      </c>
      <c r="I8" s="0" t="str">
        <v>No row is ready today: see the Routine tab</v>
      </c>
      <c r="J8" s="0" t="str">
        <v>No row is ready today: see the Routine tab</v>
      </c>
      <c r="K8" s="0" t="str">
        <v>No row is ready today: see the Routine tab</v>
      </c>
      <c r="L8" s="0" t="str">
        <v>No row is ready today: see the Routine tab</v>
      </c>
      <c r="M8" s="0" t="str">
        <v>No row is ready today: see the Routine tab</v>
      </c>
      <c r="N8" s="0" t="str">
        <v>No row is ready today: see the Routine tab</v>
      </c>
      <c r="O8" s="0" t="str">
        <v>No row is ready today: see the Routine tab</v>
      </c>
      <c r="P8" s="0" t="str">
        <v>No row is ready today: see the Routine tab</v>
      </c>
      <c r="Q8" s="0" t="str">
        <v>No row is ready today: see the Routine tab</v>
      </c>
      <c r="R8" s="0" t="str">
        <v>No row is ready today: see the Routine tab</v>
      </c>
      <c r="S8" s="0" t="str">
        <v>No row is ready today: see the Routine tab</v>
      </c>
      <c r="T8" s="0" t="str">
        <v>No row is ready today: see the Routine tab</v>
      </c>
      <c r="U8" s="0" t="str">
        <v>No row is ready today: see the Routine tab</v>
      </c>
      <c r="V8" s="0" t="str">
        <v>No row is ready today: see the Routine tab</v>
      </c>
      <c r="W8" s="0" t="str">
        <v>No row is ready today: see the Routine tab</v>
      </c>
      <c r="X8" s="0" t="str">
        <v>No row is ready today: see the Routine tab</v>
      </c>
      <c r="Y8" s="0" t="str">
        <v>No row is ready today: see the Routine tab</v>
      </c>
      <c r="Z8" s="0" t="str">
        <v>No row is ready today: see the Routine tab</v>
      </c>
      <c r="AA8" s="0" t="str">
        <v>No row is ready today: see the Routine tab</v>
      </c>
      <c r="AB8" s="0" t="str">
        <v>No row is ready today: see the Routine tab</v>
      </c>
      <c r="AC8" s="0" t="str">
        <v>No row is ready today: see the Routine tab</v>
      </c>
      <c r="AD8" s="0" t="str">
        <v>No row is ready today: see the Routine tab</v>
      </c>
      <c r="AE8" s="0" t="str">
        <v>No row is ready today: see the Routine tab</v>
      </c>
      <c r="AF8" s="0" t="str">
        <v>No row is ready today: see the Routine tab</v>
      </c>
      <c r="AG8" s="0" t="str">
        <v>No row is ready today: see the Routine tab</v>
      </c>
      <c r="AH8" s="0" t="str">
        <v>No row is ready today: see the Routine tab</v>
      </c>
      <c r="AI8" s="0" t="str">
        <v>No row is ready today: see the Routine tab</v>
      </c>
      <c r="AJ8" s="0" t="str">
        <v>No row is ready today: see the Routine tab</v>
      </c>
      <c r="AK8" s="0" t="str">
        <v>No row is ready today: see the Routine tab</v>
      </c>
      <c r="AL8" s="0" t="str">
        <v>No row is ready today: see the Routine tab</v>
      </c>
      <c r="AM8" s="0" t="str">
        <v>No row is ready today: see the Routine tab</v>
      </c>
      <c r="AN8" s="0" t="str">
        <v>No row is ready today: see the Routine tab</v>
      </c>
      <c r="AO8" s="0" t="str">
        <v>No row is ready today: see the Routine tab</v>
      </c>
      <c r="AP8" s="0" t="str">
        <v>No row is ready today: see the Routine tab</v>
      </c>
      <c r="AQ8" s="0" t="str">
        <v>No row is ready today: see the Routine tab</v>
      </c>
    </row>
    <row r="9" customFormat="false" ht="15" hidden="false" customHeight="false" outlineLevel="0" collapsed="false">
      <c r="A9" s="0" t="str">
        <v>No row is ready today: see the Routine tab</v>
      </c>
      <c r="B9" s="0" t="str">
        <v>No row is ready today: see the Routine tab</v>
      </c>
      <c r="C9" s="0" t="str">
        <v>No row is ready today: see the Routine tab</v>
      </c>
      <c r="D9" s="0" t="str">
        <v>No row is ready today: see the Routine tab</v>
      </c>
      <c r="E9" s="0" t="str">
        <v>No row is ready today: see the Routine tab</v>
      </c>
      <c r="F9" s="0" t="str">
        <v>No row is ready today: see the Routine tab</v>
      </c>
      <c r="G9" s="0" t="str">
        <v>No row is ready today: see the Routine tab</v>
      </c>
      <c r="H9" s="0" t="str">
        <v>No row is ready today: see the Routine tab</v>
      </c>
      <c r="I9" s="0" t="str">
        <v>No row is ready today: see the Routine tab</v>
      </c>
      <c r="J9" s="0" t="str">
        <v>No row is ready today: see the Routine tab</v>
      </c>
      <c r="K9" s="0" t="str">
        <v>No row is ready today: see the Routine tab</v>
      </c>
      <c r="L9" s="0" t="str">
        <v>No row is ready today: see the Routine tab</v>
      </c>
      <c r="M9" s="0" t="str">
        <v>No row is ready today: see the Routine tab</v>
      </c>
      <c r="N9" s="0" t="str">
        <v>No row is ready today: see the Routine tab</v>
      </c>
      <c r="O9" s="0" t="str">
        <v>No row is ready today: see the Routine tab</v>
      </c>
      <c r="P9" s="0" t="str">
        <v>No row is ready today: see the Routine tab</v>
      </c>
      <c r="Q9" s="0" t="str">
        <v>No row is ready today: see the Routine tab</v>
      </c>
      <c r="R9" s="0" t="str">
        <v>No row is ready today: see the Routine tab</v>
      </c>
      <c r="S9" s="0" t="str">
        <v>No row is ready today: see the Routine tab</v>
      </c>
      <c r="T9" s="0" t="str">
        <v>No row is ready today: see the Routine tab</v>
      </c>
      <c r="U9" s="0" t="str">
        <v>No row is ready today: see the Routine tab</v>
      </c>
      <c r="V9" s="0" t="str">
        <v>No row is ready today: see the Routine tab</v>
      </c>
      <c r="W9" s="0" t="str">
        <v>No row is ready today: see the Routine tab</v>
      </c>
      <c r="X9" s="0" t="str">
        <v>No row is ready today: see the Routine tab</v>
      </c>
      <c r="Y9" s="0" t="str">
        <v>No row is ready today: see the Routine tab</v>
      </c>
      <c r="Z9" s="0" t="str">
        <v>No row is ready today: see the Routine tab</v>
      </c>
      <c r="AA9" s="0" t="str">
        <v>No row is ready today: see the Routine tab</v>
      </c>
      <c r="AB9" s="0" t="str">
        <v>No row is ready today: see the Routine tab</v>
      </c>
      <c r="AC9" s="0" t="str">
        <v>No row is ready today: see the Routine tab</v>
      </c>
      <c r="AD9" s="0" t="str">
        <v>No row is ready today: see the Routine tab</v>
      </c>
      <c r="AE9" s="0" t="str">
        <v>No row is ready today: see the Routine tab</v>
      </c>
      <c r="AF9" s="0" t="str">
        <v>No row is ready today: see the Routine tab</v>
      </c>
      <c r="AG9" s="0" t="str">
        <v>No row is ready today: see the Routine tab</v>
      </c>
      <c r="AH9" s="0" t="str">
        <v>No row is ready today: see the Routine tab</v>
      </c>
      <c r="AI9" s="0" t="str">
        <v>No row is ready today: see the Routine tab</v>
      </c>
      <c r="AJ9" s="0" t="str">
        <v>No row is ready today: see the Routine tab</v>
      </c>
      <c r="AK9" s="0" t="str">
        <v>No row is ready today: see the Routine tab</v>
      </c>
      <c r="AL9" s="0" t="str">
        <v>No row is ready today: see the Routine tab</v>
      </c>
      <c r="AM9" s="0" t="str">
        <v>No row is ready today: see the Routine tab</v>
      </c>
      <c r="AN9" s="0" t="str">
        <v>No row is ready today: see the Routine tab</v>
      </c>
      <c r="AO9" s="0" t="str">
        <v>No row is ready today: see the Routine tab</v>
      </c>
      <c r="AP9" s="0" t="str">
        <v>No row is ready today: see the Routine tab</v>
      </c>
      <c r="AQ9" s="0" t="str">
        <v>No row is ready today: see the Routine tab</v>
      </c>
    </row>
    <row r="10" customFormat="false" ht="15" hidden="false" customHeight="false" outlineLevel="0" collapsed="false">
      <c r="A10" s="0" t="str">
        <v>No row is ready today: see the Routine tab</v>
      </c>
      <c r="B10" s="0" t="str">
        <v>No row is ready today: see the Routine tab</v>
      </c>
      <c r="C10" s="0" t="str">
        <v>No row is ready today: see the Routine tab</v>
      </c>
      <c r="D10" s="0" t="str">
        <v>No row is ready today: see the Routine tab</v>
      </c>
      <c r="E10" s="0" t="str">
        <v>No row is ready today: see the Routine tab</v>
      </c>
      <c r="F10" s="0" t="str">
        <v>No row is ready today: see the Routine tab</v>
      </c>
      <c r="G10" s="0" t="str">
        <v>No row is ready today: see the Routine tab</v>
      </c>
      <c r="H10" s="0" t="str">
        <v>No row is ready today: see the Routine tab</v>
      </c>
      <c r="I10" s="0" t="str">
        <v>No row is ready today: see the Routine tab</v>
      </c>
      <c r="J10" s="0" t="str">
        <v>No row is ready today: see the Routine tab</v>
      </c>
      <c r="K10" s="0" t="str">
        <v>No row is ready today: see the Routine tab</v>
      </c>
      <c r="L10" s="0" t="str">
        <v>No row is ready today: see the Routine tab</v>
      </c>
      <c r="M10" s="0" t="str">
        <v>No row is ready today: see the Routine tab</v>
      </c>
      <c r="N10" s="0" t="str">
        <v>No row is ready today: see the Routine tab</v>
      </c>
      <c r="O10" s="0" t="str">
        <v>No row is ready today: see the Routine tab</v>
      </c>
      <c r="P10" s="0" t="str">
        <v>No row is ready today: see the Routine tab</v>
      </c>
      <c r="Q10" s="0" t="str">
        <v>No row is ready today: see the Routine tab</v>
      </c>
      <c r="R10" s="0" t="str">
        <v>No row is ready today: see the Routine tab</v>
      </c>
      <c r="S10" s="0" t="str">
        <v>No row is ready today: see the Routine tab</v>
      </c>
      <c r="T10" s="0" t="str">
        <v>No row is ready today: see the Routine tab</v>
      </c>
      <c r="U10" s="0" t="str">
        <v>No row is ready today: see the Routine tab</v>
      </c>
      <c r="V10" s="0" t="str">
        <v>No row is ready today: see the Routine tab</v>
      </c>
      <c r="W10" s="0" t="str">
        <v>No row is ready today: see the Routine tab</v>
      </c>
      <c r="X10" s="0" t="str">
        <v>No row is ready today: see the Routine tab</v>
      </c>
      <c r="Y10" s="0" t="str">
        <v>No row is ready today: see the Routine tab</v>
      </c>
      <c r="Z10" s="0" t="str">
        <v>No row is ready today: see the Routine tab</v>
      </c>
      <c r="AA10" s="0" t="str">
        <v>No row is ready today: see the Routine tab</v>
      </c>
      <c r="AB10" s="0" t="str">
        <v>No row is ready today: see the Routine tab</v>
      </c>
      <c r="AC10" s="0" t="str">
        <v>No row is ready today: see the Routine tab</v>
      </c>
      <c r="AD10" s="0" t="str">
        <v>No row is ready today: see the Routine tab</v>
      </c>
      <c r="AE10" s="0" t="str">
        <v>No row is ready today: see the Routine tab</v>
      </c>
      <c r="AF10" s="0" t="str">
        <v>No row is ready today: see the Routine tab</v>
      </c>
      <c r="AG10" s="0" t="str">
        <v>No row is ready today: see the Routine tab</v>
      </c>
      <c r="AH10" s="0" t="str">
        <v>No row is ready today: see the Routine tab</v>
      </c>
      <c r="AI10" s="0" t="str">
        <v>No row is ready today: see the Routine tab</v>
      </c>
      <c r="AJ10" s="0" t="str">
        <v>No row is ready today: see the Routine tab</v>
      </c>
      <c r="AK10" s="0" t="str">
        <v>No row is ready today: see the Routine tab</v>
      </c>
      <c r="AL10" s="0" t="str">
        <v>No row is ready today: see the Routine tab</v>
      </c>
      <c r="AM10" s="0" t="str">
        <v>No row is ready today: see the Routine tab</v>
      </c>
      <c r="AN10" s="0" t="str">
        <v>No row is ready today: see the Routine tab</v>
      </c>
      <c r="AO10" s="0" t="str">
        <v>No row is ready today: see the Routine tab</v>
      </c>
      <c r="AP10" s="0" t="str">
        <v>No row is ready today: see the Routine tab</v>
      </c>
      <c r="AQ10" s="0" t="str">
        <v>No row is ready today: see the Routine tab</v>
      </c>
    </row>
    <row r="11" customFormat="false" ht="15" hidden="false" customHeight="false" outlineLevel="0" collapsed="false">
      <c r="A11" s="0" t="str">
        <v>No row is ready today: see the Routine tab</v>
      </c>
      <c r="B11" s="0" t="str">
        <v>No row is ready today: see the Routine tab</v>
      </c>
      <c r="C11" s="0" t="str">
        <v>No row is ready today: see the Routine tab</v>
      </c>
      <c r="D11" s="0" t="str">
        <v>No row is ready today: see the Routine tab</v>
      </c>
      <c r="E11" s="0" t="str">
        <v>No row is ready today: see the Routine tab</v>
      </c>
      <c r="F11" s="0" t="str">
        <v>No row is ready today: see the Routine tab</v>
      </c>
      <c r="G11" s="0" t="str">
        <v>No row is ready today: see the Routine tab</v>
      </c>
      <c r="H11" s="0" t="str">
        <v>No row is ready today: see the Routine tab</v>
      </c>
      <c r="I11" s="0" t="str">
        <v>No row is ready today: see the Routine tab</v>
      </c>
      <c r="J11" s="0" t="str">
        <v>No row is ready today: see the Routine tab</v>
      </c>
      <c r="K11" s="0" t="str">
        <v>No row is ready today: see the Routine tab</v>
      </c>
      <c r="L11" s="0" t="str">
        <v>No row is ready today: see the Routine tab</v>
      </c>
      <c r="M11" s="0" t="str">
        <v>No row is ready today: see the Routine tab</v>
      </c>
      <c r="N11" s="0" t="str">
        <v>No row is ready today: see the Routine tab</v>
      </c>
      <c r="O11" s="0" t="str">
        <v>No row is ready today: see the Routine tab</v>
      </c>
      <c r="P11" s="0" t="str">
        <v>No row is ready today: see the Routine tab</v>
      </c>
      <c r="Q11" s="0" t="str">
        <v>No row is ready today: see the Routine tab</v>
      </c>
      <c r="R11" s="0" t="str">
        <v>No row is ready today: see the Routine tab</v>
      </c>
      <c r="S11" s="0" t="str">
        <v>No row is ready today: see the Routine tab</v>
      </c>
      <c r="T11" s="0" t="str">
        <v>No row is ready today: see the Routine tab</v>
      </c>
      <c r="U11" s="0" t="str">
        <v>No row is ready today: see the Routine tab</v>
      </c>
      <c r="V11" s="0" t="str">
        <v>No row is ready today: see the Routine tab</v>
      </c>
      <c r="W11" s="0" t="str">
        <v>No row is ready today: see the Routine tab</v>
      </c>
      <c r="X11" s="0" t="str">
        <v>No row is ready today: see the Routine tab</v>
      </c>
      <c r="Y11" s="0" t="str">
        <v>No row is ready today: see the Routine tab</v>
      </c>
      <c r="Z11" s="0" t="str">
        <v>No row is ready today: see the Routine tab</v>
      </c>
      <c r="AA11" s="0" t="str">
        <v>No row is ready today: see the Routine tab</v>
      </c>
      <c r="AB11" s="0" t="str">
        <v>No row is ready today: see the Routine tab</v>
      </c>
      <c r="AC11" s="0" t="str">
        <v>No row is ready today: see the Routine tab</v>
      </c>
      <c r="AD11" s="0" t="str">
        <v>No row is ready today: see the Routine tab</v>
      </c>
      <c r="AE11" s="0" t="str">
        <v>No row is ready today: see the Routine tab</v>
      </c>
      <c r="AF11" s="0" t="str">
        <v>No row is ready today: see the Routine tab</v>
      </c>
      <c r="AG11" s="0" t="str">
        <v>No row is ready today: see the Routine tab</v>
      </c>
      <c r="AH11" s="0" t="str">
        <v>No row is ready today: see the Routine tab</v>
      </c>
      <c r="AI11" s="0" t="str">
        <v>No row is ready today: see the Routine tab</v>
      </c>
      <c r="AJ11" s="0" t="str">
        <v>No row is ready today: see the Routine tab</v>
      </c>
      <c r="AK11" s="0" t="str">
        <v>No row is ready today: see the Routine tab</v>
      </c>
      <c r="AL11" s="0" t="str">
        <v>No row is ready today: see the Routine tab</v>
      </c>
      <c r="AM11" s="0" t="str">
        <v>No row is ready today: see the Routine tab</v>
      </c>
      <c r="AN11" s="0" t="str">
        <v>No row is ready today: see the Routine tab</v>
      </c>
      <c r="AO11" s="0" t="str">
        <v>No row is ready today: see the Routine tab</v>
      </c>
      <c r="AP11" s="0" t="str">
        <v>No row is ready today: see the Routine tab</v>
      </c>
      <c r="AQ11" s="0" t="str">
        <v>No row is ready today: see the Routine tab</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9"/>
    <col collapsed="false" customWidth="true" hidden="false" outlineLevel="0" max="3" min="3" style="0" width="22"/>
    <col collapsed="false" customWidth="true" hidden="false" outlineLevel="0" max="4" min="4" style="0" width="12"/>
    <col collapsed="false" customWidth="true" hidden="false" outlineLevel="0" max="5" min="5" style="0" width="40"/>
    <col collapsed="false" customWidth="true" hidden="false" outlineLevel="0" max="6" min="6" style="0" width="100"/>
  </cols>
  <sheetData>
    <row r="1" customFormat="false" ht="15" hidden="false" customHeight="false" outlineLevel="0" collapsed="false">
      <c r="A1" s="7" t="s">
        <v>10881</v>
      </c>
      <c r="B1" s="7" t="s">
        <v>10882</v>
      </c>
      <c r="C1" s="7" t="s">
        <v>10883</v>
      </c>
      <c r="D1" s="7" t="s">
        <v>10884</v>
      </c>
      <c r="E1" s="8" t="s">
        <v>10885</v>
      </c>
      <c r="F1" s="8" t="s">
        <v>10886</v>
      </c>
    </row>
    <row r="2" customFormat="false" ht="28.35" hidden="false" customHeight="false" outlineLevel="0" collapsed="false">
      <c r="A2" s="0" t="s">
        <v>0</v>
      </c>
      <c r="B2" s="0" t="s">
        <v>10887</v>
      </c>
      <c r="C2" s="0" t="s">
        <v>10888</v>
      </c>
      <c r="D2" s="0" t="s">
        <v>10889</v>
      </c>
      <c r="E2" s="9" t="s">
        <v>10890</v>
      </c>
      <c r="F2" s="9" t="s">
        <v>10891</v>
      </c>
    </row>
    <row r="3" customFormat="false" ht="15" hidden="false" customHeight="false" outlineLevel="0" collapsed="false">
      <c r="A3" s="0" t="s">
        <v>1</v>
      </c>
      <c r="B3" s="0" t="s">
        <v>10887</v>
      </c>
      <c r="C3" s="0" t="s">
        <v>10888</v>
      </c>
      <c r="D3" s="0" t="s">
        <v>10889</v>
      </c>
      <c r="E3" s="9" t="s">
        <v>10892</v>
      </c>
      <c r="F3" s="9" t="s">
        <v>10893</v>
      </c>
    </row>
    <row r="4" customFormat="false" ht="28.35" hidden="false" customHeight="false" outlineLevel="0" collapsed="false">
      <c r="A4" s="0" t="s">
        <v>2</v>
      </c>
      <c r="B4" s="0" t="s">
        <v>10887</v>
      </c>
      <c r="C4" s="0" t="s">
        <v>10888</v>
      </c>
      <c r="D4" s="0" t="s">
        <v>10889</v>
      </c>
      <c r="E4" s="9" t="s">
        <v>10894</v>
      </c>
      <c r="F4" s="9" t="s">
        <v>10895</v>
      </c>
    </row>
    <row r="5" customFormat="false" ht="15" hidden="false" customHeight="false" outlineLevel="0" collapsed="false">
      <c r="A5" s="0" t="s">
        <v>3</v>
      </c>
      <c r="B5" s="0" t="s">
        <v>10887</v>
      </c>
      <c r="C5" s="0" t="s">
        <v>10888</v>
      </c>
      <c r="D5" s="0" t="s">
        <v>10889</v>
      </c>
      <c r="E5" s="9" t="s">
        <v>10896</v>
      </c>
      <c r="F5" s="9" t="s">
        <v>10897</v>
      </c>
    </row>
    <row r="6" customFormat="false" ht="15" hidden="false" customHeight="false" outlineLevel="0" collapsed="false">
      <c r="A6" s="0" t="s">
        <v>4</v>
      </c>
      <c r="B6" s="0" t="s">
        <v>10887</v>
      </c>
      <c r="C6" s="0" t="s">
        <v>10888</v>
      </c>
      <c r="D6" s="0" t="s">
        <v>10889</v>
      </c>
      <c r="E6" s="9" t="s">
        <v>10894</v>
      </c>
      <c r="F6" s="9" t="s">
        <v>10898</v>
      </c>
    </row>
    <row r="7" customFormat="false" ht="28.35" hidden="false" customHeight="false" outlineLevel="0" collapsed="false">
      <c r="A7" s="0" t="s">
        <v>5</v>
      </c>
      <c r="B7" s="0" t="s">
        <v>10887</v>
      </c>
      <c r="C7" s="0" t="s">
        <v>10888</v>
      </c>
      <c r="D7" s="0" t="s">
        <v>4588</v>
      </c>
      <c r="E7" s="9" t="s">
        <v>10899</v>
      </c>
      <c r="F7" s="9" t="s">
        <v>10900</v>
      </c>
    </row>
    <row r="8" customFormat="false" ht="28.35" hidden="false" customHeight="false" outlineLevel="0" collapsed="false">
      <c r="A8" s="0" t="s">
        <v>6</v>
      </c>
      <c r="B8" s="0" t="s">
        <v>10887</v>
      </c>
      <c r="C8" s="0" t="s">
        <v>10888</v>
      </c>
      <c r="D8" s="0" t="s">
        <v>4588</v>
      </c>
      <c r="E8" s="9" t="s">
        <v>10901</v>
      </c>
      <c r="F8" s="9" t="s">
        <v>10902</v>
      </c>
    </row>
    <row r="9" customFormat="false" ht="28.35" hidden="false" customHeight="false" outlineLevel="0" collapsed="false">
      <c r="A9" s="0" t="s">
        <v>7</v>
      </c>
      <c r="B9" s="0" t="s">
        <v>10887</v>
      </c>
      <c r="C9" s="0" t="s">
        <v>10888</v>
      </c>
      <c r="D9" s="0" t="s">
        <v>4588</v>
      </c>
      <c r="E9" s="9" t="s">
        <v>10903</v>
      </c>
      <c r="F9" s="9" t="s">
        <v>10904</v>
      </c>
    </row>
    <row r="10" customFormat="false" ht="41.75" hidden="false" customHeight="false" outlineLevel="0" collapsed="false">
      <c r="A10" s="0" t="s">
        <v>8</v>
      </c>
      <c r="B10" s="0" t="s">
        <v>10887</v>
      </c>
      <c r="C10" s="0" t="s">
        <v>10888</v>
      </c>
      <c r="D10" s="0" t="s">
        <v>10889</v>
      </c>
      <c r="E10" s="9" t="s">
        <v>10905</v>
      </c>
      <c r="F10" s="9" t="s">
        <v>10906</v>
      </c>
    </row>
    <row r="11" customFormat="false" ht="28.35" hidden="false" customHeight="false" outlineLevel="0" collapsed="false">
      <c r="A11" s="0" t="s">
        <v>9</v>
      </c>
      <c r="B11" s="0" t="s">
        <v>10887</v>
      </c>
      <c r="C11" s="0" t="s">
        <v>10888</v>
      </c>
      <c r="D11" s="0" t="s">
        <v>10907</v>
      </c>
      <c r="E11" s="9" t="s">
        <v>10908</v>
      </c>
      <c r="F11" s="9" t="s">
        <v>10909</v>
      </c>
    </row>
    <row r="12" customFormat="false" ht="15" hidden="false" customHeight="false" outlineLevel="0" collapsed="false">
      <c r="A12" s="0" t="s">
        <v>10</v>
      </c>
      <c r="B12" s="0" t="s">
        <v>10887</v>
      </c>
      <c r="C12" s="0" t="s">
        <v>10888</v>
      </c>
      <c r="D12" s="0" t="s">
        <v>10889</v>
      </c>
      <c r="E12" s="9" t="s">
        <v>10910</v>
      </c>
      <c r="F12" s="9" t="s">
        <v>10911</v>
      </c>
    </row>
    <row r="13" customFormat="false" ht="28.35" hidden="false" customHeight="false" outlineLevel="0" collapsed="false">
      <c r="A13" s="0" t="s">
        <v>11</v>
      </c>
      <c r="B13" s="0" t="s">
        <v>10887</v>
      </c>
      <c r="C13" s="0" t="s">
        <v>10888</v>
      </c>
      <c r="D13" s="0" t="s">
        <v>10889</v>
      </c>
      <c r="E13" s="9" t="s">
        <v>10912</v>
      </c>
      <c r="F13" s="9" t="s">
        <v>10913</v>
      </c>
    </row>
    <row r="14" customFormat="false" ht="28.35" hidden="false" customHeight="false" outlineLevel="0" collapsed="false">
      <c r="A14" s="0" t="s">
        <v>12</v>
      </c>
      <c r="B14" s="0" t="s">
        <v>10887</v>
      </c>
      <c r="C14" s="0" t="s">
        <v>10888</v>
      </c>
      <c r="D14" s="0" t="s">
        <v>10889</v>
      </c>
      <c r="E14" s="9" t="s">
        <v>10914</v>
      </c>
      <c r="F14" s="9" t="s">
        <v>10915</v>
      </c>
    </row>
    <row r="15" customFormat="false" ht="28.35" hidden="false" customHeight="false" outlineLevel="0" collapsed="false">
      <c r="A15" s="0" t="s">
        <v>13</v>
      </c>
      <c r="B15" s="0" t="s">
        <v>10887</v>
      </c>
      <c r="C15" s="0" t="s">
        <v>10888</v>
      </c>
      <c r="D15" s="0" t="s">
        <v>10889</v>
      </c>
      <c r="E15" s="9" t="s">
        <v>10916</v>
      </c>
      <c r="F15" s="9" t="s">
        <v>10917</v>
      </c>
    </row>
    <row r="16" customFormat="false" ht="28.35" hidden="false" customHeight="false" outlineLevel="0" collapsed="false">
      <c r="A16" s="0" t="s">
        <v>14</v>
      </c>
      <c r="B16" s="0" t="s">
        <v>10887</v>
      </c>
      <c r="C16" s="0" t="s">
        <v>10888</v>
      </c>
      <c r="D16" s="0" t="s">
        <v>10889</v>
      </c>
      <c r="E16" s="9" t="s">
        <v>10894</v>
      </c>
      <c r="F16" s="9" t="s">
        <v>10918</v>
      </c>
    </row>
    <row r="17" customFormat="false" ht="15" hidden="false" customHeight="false" outlineLevel="0" collapsed="false">
      <c r="A17" s="0" t="s">
        <v>15</v>
      </c>
      <c r="B17" s="0" t="s">
        <v>10887</v>
      </c>
      <c r="C17" s="0" t="s">
        <v>10888</v>
      </c>
      <c r="D17" s="0" t="s">
        <v>10889</v>
      </c>
      <c r="E17" s="9" t="s">
        <v>10899</v>
      </c>
      <c r="F17" s="9" t="s">
        <v>10919</v>
      </c>
    </row>
    <row r="18" customFormat="false" ht="15" hidden="false" customHeight="false" outlineLevel="0" collapsed="false">
      <c r="A18" s="0" t="s">
        <v>16</v>
      </c>
      <c r="B18" s="0" t="s">
        <v>10887</v>
      </c>
      <c r="C18" s="0" t="s">
        <v>10888</v>
      </c>
      <c r="D18" s="0" t="s">
        <v>10889</v>
      </c>
      <c r="E18" s="9" t="s">
        <v>10920</v>
      </c>
      <c r="F18" s="9" t="s">
        <v>10921</v>
      </c>
    </row>
    <row r="19" customFormat="false" ht="28.35" hidden="false" customHeight="false" outlineLevel="0" collapsed="false">
      <c r="A19" s="0" t="s">
        <v>17</v>
      </c>
      <c r="B19" s="0" t="s">
        <v>10887</v>
      </c>
      <c r="C19" s="0" t="s">
        <v>10888</v>
      </c>
      <c r="D19" s="0" t="s">
        <v>4588</v>
      </c>
      <c r="E19" s="8" t="s">
        <v>10922</v>
      </c>
      <c r="F19" s="9" t="s">
        <v>10923</v>
      </c>
    </row>
    <row r="20" customFormat="false" ht="28.35" hidden="false" customHeight="false" outlineLevel="0" collapsed="false">
      <c r="A20" s="0" t="s">
        <v>18</v>
      </c>
      <c r="B20" s="0" t="s">
        <v>10887</v>
      </c>
      <c r="C20" s="0" t="s">
        <v>10888</v>
      </c>
      <c r="D20" s="0" t="s">
        <v>10889</v>
      </c>
      <c r="E20" s="9" t="s">
        <v>10924</v>
      </c>
      <c r="F20" s="9" t="s">
        <v>10925</v>
      </c>
    </row>
    <row r="21" customFormat="false" ht="28.35" hidden="false" customHeight="false" outlineLevel="0" collapsed="false">
      <c r="A21" s="0" t="s">
        <v>19</v>
      </c>
      <c r="B21" s="0" t="s">
        <v>10887</v>
      </c>
      <c r="C21" s="0" t="s">
        <v>10888</v>
      </c>
      <c r="D21" s="0" t="s">
        <v>10926</v>
      </c>
      <c r="E21" s="8" t="s">
        <v>10922</v>
      </c>
      <c r="F21" s="9" t="s">
        <v>10927</v>
      </c>
    </row>
    <row r="22" customFormat="false" ht="55.2" hidden="false" customHeight="false" outlineLevel="0" collapsed="false">
      <c r="A22" s="0" t="s">
        <v>20</v>
      </c>
      <c r="B22" s="0" t="s">
        <v>10887</v>
      </c>
      <c r="C22" s="0" t="s">
        <v>10888</v>
      </c>
      <c r="D22" s="0" t="s">
        <v>10926</v>
      </c>
      <c r="E22" s="9" t="s">
        <v>10928</v>
      </c>
      <c r="F22" s="9" t="s">
        <v>10929</v>
      </c>
    </row>
    <row r="23" customFormat="false" ht="15" hidden="false" customHeight="false" outlineLevel="0" collapsed="false">
      <c r="A23" s="0" t="s">
        <v>21</v>
      </c>
      <c r="B23" s="0" t="s">
        <v>10887</v>
      </c>
      <c r="C23" s="0" t="s">
        <v>10888</v>
      </c>
      <c r="D23" s="0" t="s">
        <v>10889</v>
      </c>
      <c r="E23" s="8" t="s">
        <v>10930</v>
      </c>
      <c r="F23" s="9" t="s">
        <v>10931</v>
      </c>
    </row>
    <row r="24" customFormat="false" ht="15" hidden="false" customHeight="false" outlineLevel="0" collapsed="false">
      <c r="A24" s="0" t="s">
        <v>22</v>
      </c>
      <c r="B24" s="0" t="s">
        <v>10887</v>
      </c>
      <c r="C24" s="0" t="s">
        <v>10888</v>
      </c>
      <c r="D24" s="0" t="s">
        <v>10889</v>
      </c>
      <c r="E24" s="8" t="s">
        <v>10932</v>
      </c>
      <c r="F24" s="9" t="s">
        <v>10933</v>
      </c>
    </row>
    <row r="25" customFormat="false" ht="15" hidden="false" customHeight="false" outlineLevel="0" collapsed="false">
      <c r="A25" s="0" t="s">
        <v>23</v>
      </c>
      <c r="B25" s="0" t="s">
        <v>10887</v>
      </c>
      <c r="C25" s="0" t="s">
        <v>10934</v>
      </c>
      <c r="D25" s="0" t="s">
        <v>10889</v>
      </c>
      <c r="E25" s="9" t="s">
        <v>10935</v>
      </c>
      <c r="F25" s="9" t="s">
        <v>10936</v>
      </c>
    </row>
    <row r="26" customFormat="false" ht="28.35" hidden="false" customHeight="false" outlineLevel="0" collapsed="false">
      <c r="A26" s="0" t="s">
        <v>24</v>
      </c>
      <c r="B26" s="0" t="s">
        <v>10887</v>
      </c>
      <c r="C26" s="0" t="s">
        <v>10934</v>
      </c>
      <c r="D26" s="0" t="s">
        <v>10907</v>
      </c>
      <c r="E26" s="9" t="s">
        <v>10937</v>
      </c>
      <c r="F26" s="9" t="s">
        <v>10938</v>
      </c>
    </row>
    <row r="27" customFormat="false" ht="15" hidden="false" customHeight="false" outlineLevel="0" collapsed="false">
      <c r="A27" s="0" t="s">
        <v>25</v>
      </c>
      <c r="B27" s="0" t="s">
        <v>10887</v>
      </c>
      <c r="C27" s="0" t="s">
        <v>10934</v>
      </c>
      <c r="D27" s="0" t="s">
        <v>10889</v>
      </c>
      <c r="E27" s="9" t="s">
        <v>10939</v>
      </c>
      <c r="F27" s="9" t="s">
        <v>10940</v>
      </c>
    </row>
    <row r="28" customFormat="false" ht="28.35" hidden="false" customHeight="false" outlineLevel="0" collapsed="false">
      <c r="A28" s="0" t="s">
        <v>26</v>
      </c>
      <c r="B28" s="0" t="s">
        <v>10941</v>
      </c>
      <c r="C28" s="0" t="s">
        <v>10934</v>
      </c>
      <c r="D28" s="0" t="s">
        <v>10889</v>
      </c>
      <c r="E28" s="8" t="s">
        <v>10922</v>
      </c>
      <c r="F28" s="9" t="s">
        <v>10942</v>
      </c>
    </row>
    <row r="29" customFormat="false" ht="28.35" hidden="false" customHeight="false" outlineLevel="0" collapsed="false">
      <c r="A29" s="0" t="s">
        <v>4526</v>
      </c>
      <c r="B29" s="0" t="s">
        <v>10943</v>
      </c>
      <c r="C29" s="0" t="s">
        <v>10934</v>
      </c>
      <c r="D29" s="0" t="s">
        <v>10889</v>
      </c>
      <c r="E29" s="8" t="s">
        <v>10922</v>
      </c>
      <c r="F29" s="9" t="s">
        <v>10944</v>
      </c>
    </row>
    <row r="30" customFormat="false" ht="28.35" hidden="false" customHeight="false" outlineLevel="0" collapsed="false">
      <c r="A30" s="0" t="s">
        <v>27</v>
      </c>
      <c r="B30" s="0" t="s">
        <v>10887</v>
      </c>
      <c r="C30" s="0" t="s">
        <v>10934</v>
      </c>
      <c r="D30" s="0" t="s">
        <v>10889</v>
      </c>
      <c r="E30" s="9" t="s">
        <v>10892</v>
      </c>
      <c r="F30" s="9" t="s">
        <v>10945</v>
      </c>
    </row>
    <row r="31" customFormat="false" ht="28.35" hidden="false" customHeight="false" outlineLevel="0" collapsed="false">
      <c r="A31" s="0" t="s">
        <v>28</v>
      </c>
      <c r="B31" s="0" t="s">
        <v>10887</v>
      </c>
      <c r="C31" s="0" t="s">
        <v>10934</v>
      </c>
      <c r="D31" s="0" t="s">
        <v>10889</v>
      </c>
      <c r="E31" s="9" t="s">
        <v>10892</v>
      </c>
      <c r="F31" s="9" t="s">
        <v>10946</v>
      </c>
    </row>
    <row r="32" customFormat="false" ht="28.35" hidden="false" customHeight="false" outlineLevel="0" collapsed="false">
      <c r="A32" s="0" t="s">
        <v>29</v>
      </c>
      <c r="B32" s="0" t="s">
        <v>10887</v>
      </c>
      <c r="C32" s="0" t="s">
        <v>10934</v>
      </c>
      <c r="D32" s="0" t="s">
        <v>10889</v>
      </c>
      <c r="E32" s="9" t="s">
        <v>10947</v>
      </c>
      <c r="F32" s="9" t="s">
        <v>10948</v>
      </c>
    </row>
    <row r="33" customFormat="false" ht="55.2" hidden="false" customHeight="false" outlineLevel="0" collapsed="false">
      <c r="A33" s="0" t="s">
        <v>30</v>
      </c>
      <c r="B33" s="0" t="s">
        <v>10887</v>
      </c>
      <c r="C33" s="0" t="s">
        <v>10934</v>
      </c>
      <c r="D33" s="0" t="s">
        <v>10889</v>
      </c>
      <c r="E33" s="9" t="s">
        <v>10949</v>
      </c>
      <c r="F33" s="9" t="s">
        <v>10950</v>
      </c>
    </row>
    <row r="34" customFormat="false" ht="15" hidden="false" customHeight="false" outlineLevel="0" collapsed="false">
      <c r="A34" s="0" t="s">
        <v>31</v>
      </c>
      <c r="B34" s="0" t="s">
        <v>10887</v>
      </c>
      <c r="C34" s="0" t="s">
        <v>10934</v>
      </c>
      <c r="D34" s="0" t="s">
        <v>10889</v>
      </c>
      <c r="E34" s="9" t="s">
        <v>10899</v>
      </c>
      <c r="F34" s="9" t="s">
        <v>10951</v>
      </c>
    </row>
    <row r="35" customFormat="false" ht="15" hidden="false" customHeight="false" outlineLevel="0" collapsed="false">
      <c r="A35" s="0" t="s">
        <v>32</v>
      </c>
      <c r="B35" s="0" t="s">
        <v>10887</v>
      </c>
      <c r="C35" s="0" t="s">
        <v>10934</v>
      </c>
      <c r="D35" s="0" t="s">
        <v>10889</v>
      </c>
      <c r="E35" s="8" t="s">
        <v>10932</v>
      </c>
      <c r="F35" s="9" t="s">
        <v>10952</v>
      </c>
    </row>
    <row r="36" customFormat="false" ht="55.2" hidden="false" customHeight="false" outlineLevel="0" collapsed="false">
      <c r="A36" s="0" t="s">
        <v>33</v>
      </c>
      <c r="B36" s="0" t="s">
        <v>10941</v>
      </c>
      <c r="C36" s="0" t="s">
        <v>10934</v>
      </c>
      <c r="D36" s="0" t="s">
        <v>4588</v>
      </c>
      <c r="E36" s="9" t="s">
        <v>10953</v>
      </c>
      <c r="F36" s="9" t="s">
        <v>10954</v>
      </c>
    </row>
    <row r="37" customFormat="false" ht="15" hidden="false" customHeight="false" outlineLevel="0" collapsed="false">
      <c r="A37" s="0" t="s">
        <v>34</v>
      </c>
      <c r="B37" s="0" t="s">
        <v>10941</v>
      </c>
      <c r="C37" s="0" t="s">
        <v>10934</v>
      </c>
      <c r="D37" s="0" t="s">
        <v>10889</v>
      </c>
      <c r="E37" s="9" t="s">
        <v>10892</v>
      </c>
      <c r="F37" s="9" t="s">
        <v>10955</v>
      </c>
    </row>
    <row r="38" customFormat="false" ht="15" hidden="false" customHeight="false" outlineLevel="0" collapsed="false">
      <c r="A38" s="0" t="s">
        <v>35</v>
      </c>
      <c r="B38" s="0" t="s">
        <v>10941</v>
      </c>
      <c r="C38" s="0" t="s">
        <v>10934</v>
      </c>
      <c r="D38" s="0" t="s">
        <v>10889</v>
      </c>
      <c r="E38" s="9" t="s">
        <v>10956</v>
      </c>
      <c r="F38" s="9" t="s">
        <v>10957</v>
      </c>
    </row>
    <row r="39" customFormat="false" ht="55.2" hidden="false" customHeight="false" outlineLevel="0" collapsed="false">
      <c r="A39" s="0" t="s">
        <v>36</v>
      </c>
      <c r="B39" s="0" t="s">
        <v>10941</v>
      </c>
      <c r="C39" s="0" t="s">
        <v>10934</v>
      </c>
      <c r="D39" s="0" t="s">
        <v>10889</v>
      </c>
      <c r="E39" s="9" t="s">
        <v>10958</v>
      </c>
      <c r="F39" s="9" t="s">
        <v>10959</v>
      </c>
    </row>
    <row r="40" customFormat="false" ht="15" hidden="false" customHeight="false" outlineLevel="0" collapsed="false">
      <c r="A40" s="0" t="s">
        <v>37</v>
      </c>
      <c r="B40" s="0" t="s">
        <v>10941</v>
      </c>
      <c r="C40" s="0" t="s">
        <v>10934</v>
      </c>
      <c r="D40" s="0" t="s">
        <v>10889</v>
      </c>
      <c r="E40" s="9" t="s">
        <v>10960</v>
      </c>
      <c r="F40" s="9" t="s">
        <v>10961</v>
      </c>
    </row>
    <row r="41" customFormat="false" ht="15" hidden="false" customHeight="false" outlineLevel="0" collapsed="false">
      <c r="A41" s="0" t="s">
        <v>38</v>
      </c>
      <c r="B41" s="0" t="s">
        <v>10941</v>
      </c>
      <c r="C41" s="0" t="s">
        <v>10934</v>
      </c>
      <c r="D41" s="0" t="s">
        <v>10889</v>
      </c>
      <c r="E41" s="9" t="s">
        <v>10960</v>
      </c>
      <c r="F41" s="9" t="s">
        <v>10962</v>
      </c>
    </row>
    <row r="42" customFormat="false" ht="28.35" hidden="false" customHeight="false" outlineLevel="0" collapsed="false">
      <c r="A42" s="0" t="s">
        <v>39</v>
      </c>
      <c r="B42" s="0" t="s">
        <v>10941</v>
      </c>
      <c r="C42" s="0" t="s">
        <v>10934</v>
      </c>
      <c r="D42" s="0" t="s">
        <v>10889</v>
      </c>
      <c r="E42" s="9" t="s">
        <v>10963</v>
      </c>
      <c r="F42" s="9" t="s">
        <v>10964</v>
      </c>
    </row>
    <row r="43" customFormat="false" ht="41.75" hidden="false" customHeight="false" outlineLevel="0" collapsed="false">
      <c r="A43" s="0" t="s">
        <v>40</v>
      </c>
      <c r="B43" s="0" t="s">
        <v>10941</v>
      </c>
      <c r="C43" s="0" t="s">
        <v>10934</v>
      </c>
      <c r="D43" s="0" t="s">
        <v>10889</v>
      </c>
      <c r="E43" s="9" t="s">
        <v>10965</v>
      </c>
      <c r="F43" s="9" t="s">
        <v>10966</v>
      </c>
    </row>
    <row r="44" customFormat="false" ht="28.35" hidden="false" customHeight="false" outlineLevel="0" collapsed="false">
      <c r="A44" s="0" t="s">
        <v>41</v>
      </c>
      <c r="B44" s="0" t="s">
        <v>10887</v>
      </c>
      <c r="C44" s="0" t="s">
        <v>10934</v>
      </c>
      <c r="D44" s="0" t="s">
        <v>10889</v>
      </c>
      <c r="E44" s="9" t="s">
        <v>10967</v>
      </c>
      <c r="F44" s="9" t="s">
        <v>10968</v>
      </c>
    </row>
    <row r="45" customFormat="false" ht="28.35" hidden="false" customHeight="false" outlineLevel="0" collapsed="false">
      <c r="A45" s="0" t="s">
        <v>42</v>
      </c>
      <c r="B45" s="0" t="s">
        <v>10887</v>
      </c>
      <c r="C45" s="0" t="s">
        <v>10934</v>
      </c>
      <c r="D45" s="0" t="s">
        <v>4588</v>
      </c>
      <c r="E45" s="8" t="s">
        <v>10922</v>
      </c>
      <c r="F45" s="9" t="s">
        <v>10969</v>
      </c>
    </row>
    <row r="46" customFormat="false" ht="15" hidden="false" customHeight="false" outlineLevel="0" collapsed="false">
      <c r="A46" s="0" t="s">
        <v>43</v>
      </c>
      <c r="B46" s="0" t="s">
        <v>10887</v>
      </c>
      <c r="C46" s="0" t="s">
        <v>10934</v>
      </c>
      <c r="D46" s="0" t="s">
        <v>10889</v>
      </c>
      <c r="E46" s="9" t="s">
        <v>10892</v>
      </c>
      <c r="F46" s="9" t="s">
        <v>10970</v>
      </c>
    </row>
    <row r="47" customFormat="false" ht="28.35" hidden="false" customHeight="false" outlineLevel="0" collapsed="false">
      <c r="A47" s="0" t="s">
        <v>44</v>
      </c>
      <c r="B47" s="0" t="s">
        <v>10887</v>
      </c>
      <c r="C47" s="0" t="s">
        <v>10934</v>
      </c>
      <c r="D47" s="0" t="s">
        <v>10926</v>
      </c>
      <c r="E47" s="9" t="s">
        <v>10971</v>
      </c>
      <c r="F47" s="9" t="s">
        <v>10972</v>
      </c>
    </row>
    <row r="48" customFormat="false" ht="15" hidden="false" customHeight="false" outlineLevel="0" collapsed="false">
      <c r="A48" s="0" t="s">
        <v>4527</v>
      </c>
      <c r="B48" s="0" t="s">
        <v>10943</v>
      </c>
      <c r="C48" s="0" t="s">
        <v>10934</v>
      </c>
      <c r="D48" s="0" t="s">
        <v>10889</v>
      </c>
      <c r="E48" s="9" t="s">
        <v>10892</v>
      </c>
      <c r="F48" s="9" t="s">
        <v>10973</v>
      </c>
    </row>
    <row r="49" customFormat="false" ht="15" hidden="false" customHeight="false" outlineLevel="0" collapsed="false">
      <c r="A49" s="0" t="s">
        <v>4528</v>
      </c>
      <c r="B49" s="0" t="s">
        <v>10943</v>
      </c>
      <c r="C49" s="0" t="s">
        <v>10934</v>
      </c>
      <c r="D49" s="0" t="s">
        <v>10889</v>
      </c>
      <c r="E49" s="9" t="s">
        <v>10974</v>
      </c>
      <c r="F49" s="9" t="s">
        <v>10975</v>
      </c>
    </row>
    <row r="50" customFormat="false" ht="15" hidden="false" customHeight="false" outlineLevel="0" collapsed="false">
      <c r="A50" s="0" t="s">
        <v>63</v>
      </c>
      <c r="B50" s="0" t="s">
        <v>10887</v>
      </c>
      <c r="C50" s="0" t="s">
        <v>10934</v>
      </c>
      <c r="D50" s="0" t="s">
        <v>10889</v>
      </c>
      <c r="E50" s="9" t="s">
        <v>10892</v>
      </c>
      <c r="F50" s="9" t="s">
        <v>10976</v>
      </c>
    </row>
    <row r="51" customFormat="false" ht="15" hidden="false" customHeight="false" outlineLevel="0" collapsed="false">
      <c r="A51" s="0" t="s">
        <v>4529</v>
      </c>
      <c r="B51" s="0" t="s">
        <v>10943</v>
      </c>
      <c r="C51" s="0" t="s">
        <v>10934</v>
      </c>
      <c r="D51" s="0" t="s">
        <v>10889</v>
      </c>
      <c r="E51" s="9" t="s">
        <v>10899</v>
      </c>
      <c r="F51" s="9" t="s">
        <v>10977</v>
      </c>
    </row>
    <row r="52" customFormat="false" ht="15" hidden="false" customHeight="false" outlineLevel="0" collapsed="false">
      <c r="A52" s="0" t="s">
        <v>4571</v>
      </c>
      <c r="B52" s="0" t="s">
        <v>10943</v>
      </c>
      <c r="C52" s="0" t="s">
        <v>10978</v>
      </c>
      <c r="D52" s="0" t="s">
        <v>10889</v>
      </c>
      <c r="E52" s="9" t="s">
        <v>10894</v>
      </c>
      <c r="F52" s="9" t="s">
        <v>10979</v>
      </c>
    </row>
    <row r="53" customFormat="false" ht="15" hidden="false" customHeight="false" outlineLevel="0" collapsed="false">
      <c r="A53" s="0" t="s">
        <v>4530</v>
      </c>
      <c r="B53" s="0" t="s">
        <v>10943</v>
      </c>
      <c r="C53" s="0" t="s">
        <v>10934</v>
      </c>
      <c r="D53" s="0" t="s">
        <v>10889</v>
      </c>
      <c r="E53" s="8" t="s">
        <v>10922</v>
      </c>
      <c r="F53" s="9" t="s">
        <v>10980</v>
      </c>
    </row>
    <row r="54" customFormat="false" ht="15" hidden="false" customHeight="false" outlineLevel="0" collapsed="false">
      <c r="A54" s="0" t="s">
        <v>4531</v>
      </c>
      <c r="B54" s="0" t="s">
        <v>10943</v>
      </c>
      <c r="C54" s="0" t="s">
        <v>10934</v>
      </c>
      <c r="D54" s="0" t="s">
        <v>10889</v>
      </c>
      <c r="E54" s="9" t="s">
        <v>10892</v>
      </c>
      <c r="F54" s="9" t="s">
        <v>10981</v>
      </c>
    </row>
    <row r="55" customFormat="false" ht="28.35" hidden="false" customHeight="false" outlineLevel="0" collapsed="false">
      <c r="A55" s="0" t="s">
        <v>45</v>
      </c>
      <c r="B55" s="0" t="s">
        <v>10887</v>
      </c>
      <c r="C55" s="0" t="s">
        <v>10982</v>
      </c>
      <c r="D55" s="0" t="s">
        <v>10907</v>
      </c>
      <c r="E55" s="8" t="s">
        <v>10922</v>
      </c>
      <c r="F55" s="9" t="s">
        <v>10983</v>
      </c>
    </row>
    <row r="56" customFormat="false" ht="15" hidden="false" customHeight="false" outlineLevel="0" collapsed="false">
      <c r="A56" s="0" t="s">
        <v>46</v>
      </c>
      <c r="B56" s="0" t="s">
        <v>10887</v>
      </c>
      <c r="C56" s="0" t="s">
        <v>10982</v>
      </c>
      <c r="D56" s="0" t="s">
        <v>10907</v>
      </c>
      <c r="E56" s="9" t="s">
        <v>10892</v>
      </c>
      <c r="F56" s="9" t="s">
        <v>10984</v>
      </c>
    </row>
    <row r="57" customFormat="false" ht="28.35" hidden="false" customHeight="false" outlineLevel="0" collapsed="false">
      <c r="A57" s="0" t="s">
        <v>47</v>
      </c>
      <c r="B57" s="0" t="s">
        <v>10887</v>
      </c>
      <c r="C57" s="0" t="s">
        <v>10982</v>
      </c>
      <c r="D57" s="0" t="s">
        <v>4588</v>
      </c>
      <c r="E57" s="9" t="s">
        <v>10985</v>
      </c>
      <c r="F57" s="9" t="s">
        <v>10986</v>
      </c>
    </row>
    <row r="58" customFormat="false" ht="15" hidden="false" customHeight="false" outlineLevel="0" collapsed="false">
      <c r="A58" s="0" t="s">
        <v>48</v>
      </c>
      <c r="B58" s="0" t="s">
        <v>10941</v>
      </c>
      <c r="C58" s="0" t="s">
        <v>10982</v>
      </c>
      <c r="D58" s="0" t="s">
        <v>10889</v>
      </c>
      <c r="E58" s="8" t="s">
        <v>10922</v>
      </c>
      <c r="F58" s="9" t="s">
        <v>10987</v>
      </c>
    </row>
    <row r="59" customFormat="false" ht="15" hidden="false" customHeight="false" outlineLevel="0" collapsed="false">
      <c r="A59" s="0" t="s">
        <v>49</v>
      </c>
      <c r="B59" s="0" t="s">
        <v>10887</v>
      </c>
      <c r="C59" s="0" t="s">
        <v>10988</v>
      </c>
      <c r="D59" s="0" t="s">
        <v>10889</v>
      </c>
      <c r="E59" s="9" t="s">
        <v>10989</v>
      </c>
      <c r="F59" s="9" t="s">
        <v>10990</v>
      </c>
    </row>
    <row r="60" customFormat="false" ht="15" hidden="false" customHeight="false" outlineLevel="0" collapsed="false">
      <c r="A60" s="0" t="s">
        <v>50</v>
      </c>
      <c r="B60" s="0" t="s">
        <v>10887</v>
      </c>
      <c r="C60" s="0" t="s">
        <v>10988</v>
      </c>
      <c r="D60" s="0" t="s">
        <v>10889</v>
      </c>
      <c r="E60" s="9" t="s">
        <v>10892</v>
      </c>
      <c r="F60" s="9" t="s">
        <v>10991</v>
      </c>
    </row>
    <row r="61" customFormat="false" ht="28.35" hidden="false" customHeight="false" outlineLevel="0" collapsed="false">
      <c r="A61" s="0" t="s">
        <v>4532</v>
      </c>
      <c r="B61" s="0" t="s">
        <v>10943</v>
      </c>
      <c r="C61" s="0" t="s">
        <v>10988</v>
      </c>
      <c r="D61" s="0" t="s">
        <v>10889</v>
      </c>
      <c r="E61" s="9" t="s">
        <v>10992</v>
      </c>
      <c r="F61" s="9" t="s">
        <v>10993</v>
      </c>
    </row>
    <row r="62" customFormat="false" ht="15" hidden="false" customHeight="false" outlineLevel="0" collapsed="false">
      <c r="A62" s="0" t="s">
        <v>97</v>
      </c>
      <c r="B62" s="0" t="s">
        <v>10887</v>
      </c>
      <c r="C62" s="0" t="s">
        <v>10988</v>
      </c>
      <c r="D62" s="0" t="s">
        <v>10889</v>
      </c>
      <c r="E62" s="9" t="s">
        <v>10994</v>
      </c>
      <c r="F62" s="9" t="s">
        <v>10995</v>
      </c>
    </row>
    <row r="63" customFormat="false" ht="28.35" hidden="false" customHeight="false" outlineLevel="0" collapsed="false">
      <c r="A63" s="0" t="s">
        <v>98</v>
      </c>
      <c r="B63" s="0" t="s">
        <v>10941</v>
      </c>
      <c r="C63" s="0" t="s">
        <v>10988</v>
      </c>
      <c r="D63" s="0" t="s">
        <v>10889</v>
      </c>
      <c r="E63" s="9" t="s">
        <v>10996</v>
      </c>
      <c r="F63" s="9" t="s">
        <v>10997</v>
      </c>
    </row>
    <row r="64" customFormat="false" ht="28.35" hidden="false" customHeight="false" outlineLevel="0" collapsed="false">
      <c r="A64" s="0" t="s">
        <v>99</v>
      </c>
      <c r="B64" s="0" t="s">
        <v>10941</v>
      </c>
      <c r="C64" s="0" t="s">
        <v>10988</v>
      </c>
      <c r="D64" s="0" t="s">
        <v>10889</v>
      </c>
      <c r="E64" s="9" t="s">
        <v>10998</v>
      </c>
      <c r="F64" s="9" t="s">
        <v>10999</v>
      </c>
    </row>
    <row r="65" customFormat="false" ht="28.35" hidden="false" customHeight="false" outlineLevel="0" collapsed="false">
      <c r="A65" s="0" t="s">
        <v>100</v>
      </c>
      <c r="B65" s="0" t="s">
        <v>10941</v>
      </c>
      <c r="C65" s="0" t="s">
        <v>10988</v>
      </c>
      <c r="D65" s="0" t="s">
        <v>10889</v>
      </c>
      <c r="E65" s="9" t="s">
        <v>11000</v>
      </c>
      <c r="F65" s="9" t="s">
        <v>11001</v>
      </c>
    </row>
    <row r="66" customFormat="false" ht="28.35" hidden="false" customHeight="false" outlineLevel="0" collapsed="false">
      <c r="A66" s="0" t="s">
        <v>101</v>
      </c>
      <c r="B66" s="0" t="s">
        <v>10941</v>
      </c>
      <c r="C66" s="0" t="s">
        <v>10988</v>
      </c>
      <c r="D66" s="0" t="s">
        <v>10889</v>
      </c>
      <c r="E66" s="9" t="s">
        <v>11002</v>
      </c>
      <c r="F66" s="9" t="s">
        <v>11003</v>
      </c>
    </row>
    <row r="67" customFormat="false" ht="15" hidden="false" customHeight="false" outlineLevel="0" collapsed="false">
      <c r="A67" s="0" t="s">
        <v>102</v>
      </c>
      <c r="B67" s="0" t="s">
        <v>10941</v>
      </c>
      <c r="C67" s="0" t="s">
        <v>10988</v>
      </c>
      <c r="D67" s="0" t="s">
        <v>10907</v>
      </c>
      <c r="E67" s="9" t="s">
        <v>11004</v>
      </c>
      <c r="F67" s="9" t="s">
        <v>11005</v>
      </c>
    </row>
    <row r="68" customFormat="false" ht="15" hidden="false" customHeight="false" outlineLevel="0" collapsed="false">
      <c r="A68" s="0" t="s">
        <v>103</v>
      </c>
      <c r="B68" s="0" t="s">
        <v>10887</v>
      </c>
      <c r="C68" s="0" t="s">
        <v>10988</v>
      </c>
      <c r="D68" s="0" t="s">
        <v>10907</v>
      </c>
      <c r="E68" s="9" t="s">
        <v>11006</v>
      </c>
      <c r="F68" s="9" t="s">
        <v>11007</v>
      </c>
    </row>
    <row r="69" customFormat="false" ht="28.35" hidden="false" customHeight="false" outlineLevel="0" collapsed="false">
      <c r="A69" s="0" t="s">
        <v>4559</v>
      </c>
      <c r="B69" s="0" t="s">
        <v>10943</v>
      </c>
      <c r="C69" s="0" t="s">
        <v>10988</v>
      </c>
      <c r="D69" s="0" t="s">
        <v>10889</v>
      </c>
      <c r="E69" s="9" t="s">
        <v>11008</v>
      </c>
      <c r="F69" s="9" t="s">
        <v>11009</v>
      </c>
    </row>
    <row r="70" customFormat="false" ht="28.35" hidden="false" customHeight="false" outlineLevel="0" collapsed="false">
      <c r="A70" s="0" t="s">
        <v>4560</v>
      </c>
      <c r="B70" s="0" t="s">
        <v>10943</v>
      </c>
      <c r="C70" s="0" t="s">
        <v>10988</v>
      </c>
      <c r="D70" s="0" t="s">
        <v>10889</v>
      </c>
      <c r="E70" s="9" t="s">
        <v>11010</v>
      </c>
      <c r="F70" s="9" t="s">
        <v>11011</v>
      </c>
    </row>
    <row r="71" customFormat="false" ht="15" hidden="false" customHeight="false" outlineLevel="0" collapsed="false">
      <c r="A71" s="0" t="s">
        <v>4561</v>
      </c>
      <c r="B71" s="0" t="s">
        <v>10943</v>
      </c>
      <c r="C71" s="0" t="s">
        <v>10988</v>
      </c>
      <c r="D71" s="0" t="s">
        <v>10889</v>
      </c>
      <c r="E71" s="9" t="s">
        <v>11002</v>
      </c>
      <c r="F71" s="9" t="s">
        <v>11012</v>
      </c>
    </row>
    <row r="72" customFormat="false" ht="15" hidden="false" customHeight="false" outlineLevel="0" collapsed="false">
      <c r="A72" s="0" t="s">
        <v>4562</v>
      </c>
      <c r="B72" s="0" t="s">
        <v>10943</v>
      </c>
      <c r="C72" s="0" t="s">
        <v>10988</v>
      </c>
      <c r="D72" s="0" t="s">
        <v>10889</v>
      </c>
      <c r="E72" s="9" t="s">
        <v>11013</v>
      </c>
      <c r="F72" s="9" t="s">
        <v>11014</v>
      </c>
    </row>
    <row r="73" customFormat="false" ht="15" hidden="false" customHeight="false" outlineLevel="0" collapsed="false">
      <c r="A73" s="0" t="s">
        <v>4563</v>
      </c>
      <c r="B73" s="0" t="s">
        <v>10943</v>
      </c>
      <c r="C73" s="0" t="s">
        <v>10988</v>
      </c>
      <c r="D73" s="0" t="s">
        <v>10889</v>
      </c>
      <c r="E73" s="9" t="s">
        <v>11013</v>
      </c>
      <c r="F73" s="9" t="s">
        <v>11015</v>
      </c>
    </row>
    <row r="74" customFormat="false" ht="28.35" hidden="false" customHeight="false" outlineLevel="0" collapsed="false">
      <c r="A74" s="0" t="s">
        <v>4564</v>
      </c>
      <c r="B74" s="0" t="s">
        <v>10943</v>
      </c>
      <c r="C74" s="0" t="s">
        <v>10988</v>
      </c>
      <c r="D74" s="0" t="s">
        <v>10889</v>
      </c>
      <c r="E74" s="9" t="s">
        <v>11013</v>
      </c>
      <c r="F74" s="9" t="s">
        <v>11016</v>
      </c>
    </row>
    <row r="75" customFormat="false" ht="41.75" hidden="false" customHeight="false" outlineLevel="0" collapsed="false">
      <c r="A75" s="0" t="s">
        <v>4565</v>
      </c>
      <c r="B75" s="0" t="s">
        <v>10943</v>
      </c>
      <c r="C75" s="0" t="s">
        <v>10988</v>
      </c>
      <c r="D75" s="0" t="s">
        <v>10889</v>
      </c>
      <c r="E75" s="9" t="s">
        <v>11017</v>
      </c>
      <c r="F75" s="9" t="s">
        <v>11018</v>
      </c>
    </row>
    <row r="76" customFormat="false" ht="55.2" hidden="false" customHeight="false" outlineLevel="0" collapsed="false">
      <c r="A76" s="0" t="s">
        <v>4533</v>
      </c>
      <c r="B76" s="0" t="s">
        <v>10943</v>
      </c>
      <c r="C76" s="0" t="s">
        <v>10988</v>
      </c>
      <c r="D76" s="0" t="s">
        <v>10889</v>
      </c>
      <c r="E76" s="9" t="s">
        <v>11019</v>
      </c>
      <c r="F76" s="9" t="s">
        <v>11020</v>
      </c>
    </row>
    <row r="77" customFormat="false" ht="15" hidden="false" customHeight="false" outlineLevel="0" collapsed="false">
      <c r="A77" s="0" t="s">
        <v>62</v>
      </c>
      <c r="B77" s="0" t="s">
        <v>10941</v>
      </c>
      <c r="C77" s="0" t="s">
        <v>10988</v>
      </c>
      <c r="D77" s="0" t="s">
        <v>10889</v>
      </c>
      <c r="E77" s="9" t="s">
        <v>11021</v>
      </c>
      <c r="F77" s="9" t="s">
        <v>11022</v>
      </c>
    </row>
    <row r="78" customFormat="false" ht="15" hidden="false" customHeight="false" outlineLevel="0" collapsed="false">
      <c r="A78" s="0" t="s">
        <v>92</v>
      </c>
      <c r="B78" s="0" t="s">
        <v>10941</v>
      </c>
      <c r="C78" s="0" t="s">
        <v>10988</v>
      </c>
      <c r="D78" s="0" t="s">
        <v>10889</v>
      </c>
      <c r="E78" s="9" t="s">
        <v>10960</v>
      </c>
      <c r="F78" s="9" t="s">
        <v>11023</v>
      </c>
    </row>
    <row r="79" customFormat="false" ht="28.35" hidden="false" customHeight="false" outlineLevel="0" collapsed="false">
      <c r="A79" s="0" t="s">
        <v>93</v>
      </c>
      <c r="B79" s="0" t="s">
        <v>10941</v>
      </c>
      <c r="C79" s="0" t="s">
        <v>10988</v>
      </c>
      <c r="D79" s="0" t="s">
        <v>10889</v>
      </c>
      <c r="E79" s="9" t="s">
        <v>10892</v>
      </c>
      <c r="F79" s="9" t="s">
        <v>11024</v>
      </c>
    </row>
    <row r="80" customFormat="false" ht="15" hidden="false" customHeight="false" outlineLevel="0" collapsed="false">
      <c r="A80" s="0" t="s">
        <v>94</v>
      </c>
      <c r="B80" s="0" t="s">
        <v>10941</v>
      </c>
      <c r="C80" s="0" t="s">
        <v>10988</v>
      </c>
      <c r="D80" s="0" t="s">
        <v>10889</v>
      </c>
      <c r="E80" s="9" t="s">
        <v>10892</v>
      </c>
      <c r="F80" s="9" t="s">
        <v>11025</v>
      </c>
    </row>
    <row r="81" customFormat="false" ht="15" hidden="false" customHeight="false" outlineLevel="0" collapsed="false">
      <c r="A81" s="0" t="s">
        <v>95</v>
      </c>
      <c r="B81" s="0" t="s">
        <v>10941</v>
      </c>
      <c r="C81" s="0" t="s">
        <v>10988</v>
      </c>
      <c r="D81" s="0" t="s">
        <v>10889</v>
      </c>
      <c r="E81" s="9" t="s">
        <v>10892</v>
      </c>
      <c r="F81" s="9" t="s">
        <v>11026</v>
      </c>
    </row>
    <row r="82" customFormat="false" ht="15" hidden="false" customHeight="false" outlineLevel="0" collapsed="false">
      <c r="A82" s="0" t="s">
        <v>96</v>
      </c>
      <c r="B82" s="0" t="s">
        <v>10941</v>
      </c>
      <c r="C82" s="0" t="s">
        <v>10988</v>
      </c>
      <c r="D82" s="0" t="s">
        <v>10889</v>
      </c>
      <c r="E82" s="9" t="s">
        <v>11027</v>
      </c>
      <c r="F82" s="9" t="s">
        <v>11028</v>
      </c>
    </row>
    <row r="83" customFormat="false" ht="15" hidden="false" customHeight="false" outlineLevel="0" collapsed="false">
      <c r="A83" s="0" t="s">
        <v>116</v>
      </c>
      <c r="B83" s="0" t="s">
        <v>10887</v>
      </c>
      <c r="C83" s="0" t="s">
        <v>11029</v>
      </c>
      <c r="D83" s="0" t="s">
        <v>10889</v>
      </c>
      <c r="E83" s="9" t="s">
        <v>10892</v>
      </c>
      <c r="F83" s="9" t="s">
        <v>11030</v>
      </c>
    </row>
    <row r="84" customFormat="false" ht="28.35" hidden="false" customHeight="false" outlineLevel="0" collapsed="false">
      <c r="A84" s="0" t="s">
        <v>117</v>
      </c>
      <c r="B84" s="0" t="s">
        <v>10887</v>
      </c>
      <c r="C84" s="0" t="s">
        <v>11029</v>
      </c>
      <c r="D84" s="0" t="s">
        <v>10889</v>
      </c>
      <c r="E84" s="9" t="s">
        <v>11031</v>
      </c>
      <c r="F84" s="9" t="s">
        <v>11032</v>
      </c>
    </row>
    <row r="85" customFormat="false" ht="15" hidden="false" customHeight="false" outlineLevel="0" collapsed="false">
      <c r="A85" s="0" t="s">
        <v>118</v>
      </c>
      <c r="B85" s="0" t="s">
        <v>10887</v>
      </c>
      <c r="C85" s="0" t="s">
        <v>11029</v>
      </c>
      <c r="D85" s="0" t="s">
        <v>10889</v>
      </c>
      <c r="E85" s="9" t="s">
        <v>10892</v>
      </c>
      <c r="F85" s="9" t="s">
        <v>11033</v>
      </c>
    </row>
    <row r="86" customFormat="false" ht="28.35" hidden="false" customHeight="false" outlineLevel="0" collapsed="false">
      <c r="A86" s="0" t="s">
        <v>128</v>
      </c>
      <c r="B86" s="0" t="s">
        <v>10941</v>
      </c>
      <c r="C86" s="0" t="s">
        <v>11029</v>
      </c>
      <c r="D86" s="0" t="s">
        <v>10889</v>
      </c>
      <c r="E86" s="9" t="s">
        <v>11034</v>
      </c>
      <c r="F86" s="9" t="s">
        <v>11035</v>
      </c>
    </row>
    <row r="87" customFormat="false" ht="15" hidden="false" customHeight="false" outlineLevel="0" collapsed="false">
      <c r="A87" s="0" t="s">
        <v>119</v>
      </c>
      <c r="B87" s="0" t="s">
        <v>10887</v>
      </c>
      <c r="C87" s="0" t="s">
        <v>11029</v>
      </c>
      <c r="D87" s="0" t="s">
        <v>10889</v>
      </c>
      <c r="E87" s="9" t="s">
        <v>10892</v>
      </c>
      <c r="F87" s="9" t="s">
        <v>11036</v>
      </c>
    </row>
    <row r="88" customFormat="false" ht="28.35" hidden="false" customHeight="false" outlineLevel="0" collapsed="false">
      <c r="A88" s="0" t="s">
        <v>127</v>
      </c>
      <c r="B88" s="0" t="s">
        <v>10887</v>
      </c>
      <c r="C88" s="0" t="s">
        <v>11029</v>
      </c>
      <c r="D88" s="0" t="s">
        <v>10889</v>
      </c>
      <c r="E88" s="9" t="s">
        <v>11037</v>
      </c>
      <c r="F88" s="9" t="s">
        <v>11038</v>
      </c>
    </row>
    <row r="89" customFormat="false" ht="15" hidden="false" customHeight="false" outlineLevel="0" collapsed="false">
      <c r="A89" s="0" t="s">
        <v>104</v>
      </c>
      <c r="B89" s="0" t="s">
        <v>10887</v>
      </c>
      <c r="C89" s="0" t="s">
        <v>11029</v>
      </c>
      <c r="D89" s="0" t="s">
        <v>10889</v>
      </c>
      <c r="E89" s="9" t="s">
        <v>10894</v>
      </c>
      <c r="F89" s="9" t="s">
        <v>11039</v>
      </c>
    </row>
    <row r="90" customFormat="false" ht="15" hidden="false" customHeight="false" outlineLevel="0" collapsed="false">
      <c r="A90" s="0" t="s">
        <v>105</v>
      </c>
      <c r="B90" s="0" t="s">
        <v>10887</v>
      </c>
      <c r="C90" s="0" t="s">
        <v>11029</v>
      </c>
      <c r="D90" s="0" t="s">
        <v>10889</v>
      </c>
      <c r="E90" s="9" t="s">
        <v>11040</v>
      </c>
      <c r="F90" s="9" t="s">
        <v>11041</v>
      </c>
    </row>
    <row r="91" customFormat="false" ht="15" hidden="false" customHeight="false" outlineLevel="0" collapsed="false">
      <c r="A91" s="0" t="s">
        <v>106</v>
      </c>
      <c r="B91" s="0" t="s">
        <v>10887</v>
      </c>
      <c r="C91" s="0" t="s">
        <v>11029</v>
      </c>
      <c r="D91" s="0" t="s">
        <v>10889</v>
      </c>
      <c r="E91" s="9" t="s">
        <v>10894</v>
      </c>
      <c r="F91" s="9" t="s">
        <v>11042</v>
      </c>
    </row>
    <row r="92" customFormat="false" ht="15" hidden="false" customHeight="false" outlineLevel="0" collapsed="false">
      <c r="A92" s="0" t="s">
        <v>107</v>
      </c>
      <c r="B92" s="0" t="s">
        <v>10887</v>
      </c>
      <c r="C92" s="0" t="s">
        <v>11029</v>
      </c>
      <c r="D92" s="0" t="s">
        <v>4588</v>
      </c>
      <c r="E92" s="9" t="s">
        <v>10899</v>
      </c>
      <c r="F92" s="9" t="s">
        <v>11043</v>
      </c>
    </row>
    <row r="93" customFormat="false" ht="15" hidden="false" customHeight="false" outlineLevel="0" collapsed="false">
      <c r="A93" s="0" t="s">
        <v>108</v>
      </c>
      <c r="B93" s="0" t="s">
        <v>10887</v>
      </c>
      <c r="C93" s="0" t="s">
        <v>11029</v>
      </c>
      <c r="D93" s="0" t="s">
        <v>4588</v>
      </c>
      <c r="E93" s="9" t="s">
        <v>10901</v>
      </c>
      <c r="F93" s="9" t="s">
        <v>11044</v>
      </c>
    </row>
    <row r="94" customFormat="false" ht="15" hidden="false" customHeight="false" outlineLevel="0" collapsed="false">
      <c r="A94" s="0" t="s">
        <v>109</v>
      </c>
      <c r="B94" s="0" t="s">
        <v>10887</v>
      </c>
      <c r="C94" s="0" t="s">
        <v>11029</v>
      </c>
      <c r="D94" s="0" t="s">
        <v>4588</v>
      </c>
      <c r="E94" s="9" t="s">
        <v>10903</v>
      </c>
      <c r="F94" s="9" t="s">
        <v>11045</v>
      </c>
    </row>
    <row r="95" customFormat="false" ht="15" hidden="false" customHeight="false" outlineLevel="0" collapsed="false">
      <c r="A95" s="0" t="s">
        <v>120</v>
      </c>
      <c r="B95" s="0" t="s">
        <v>10887</v>
      </c>
      <c r="C95" s="0" t="s">
        <v>11029</v>
      </c>
      <c r="D95" s="0" t="s">
        <v>10889</v>
      </c>
      <c r="E95" s="9" t="s">
        <v>10892</v>
      </c>
      <c r="F95" s="9" t="s">
        <v>11046</v>
      </c>
    </row>
    <row r="96" customFormat="false" ht="15" hidden="false" customHeight="false" outlineLevel="0" collapsed="false">
      <c r="A96" s="0" t="s">
        <v>121</v>
      </c>
      <c r="B96" s="0" t="s">
        <v>10887</v>
      </c>
      <c r="C96" s="0" t="s">
        <v>11029</v>
      </c>
      <c r="D96" s="0" t="s">
        <v>10889</v>
      </c>
      <c r="E96" s="9" t="s">
        <v>10892</v>
      </c>
      <c r="F96" s="9" t="s">
        <v>11047</v>
      </c>
    </row>
    <row r="97" customFormat="false" ht="28.35" hidden="false" customHeight="false" outlineLevel="0" collapsed="false">
      <c r="A97" s="0" t="s">
        <v>122</v>
      </c>
      <c r="B97" s="0" t="s">
        <v>10887</v>
      </c>
      <c r="C97" s="0" t="s">
        <v>11029</v>
      </c>
      <c r="D97" s="0" t="s">
        <v>10889</v>
      </c>
      <c r="E97" s="9" t="s">
        <v>10947</v>
      </c>
      <c r="F97" s="9" t="s">
        <v>11048</v>
      </c>
    </row>
    <row r="98" customFormat="false" ht="15" hidden="false" customHeight="false" outlineLevel="0" collapsed="false">
      <c r="A98" s="0" t="s">
        <v>123</v>
      </c>
      <c r="B98" s="0" t="s">
        <v>10887</v>
      </c>
      <c r="C98" s="0" t="s">
        <v>11029</v>
      </c>
      <c r="D98" s="0" t="s">
        <v>10889</v>
      </c>
      <c r="E98" s="9" t="s">
        <v>11049</v>
      </c>
      <c r="F98" s="9" t="s">
        <v>11050</v>
      </c>
    </row>
    <row r="99" customFormat="false" ht="15" hidden="false" customHeight="false" outlineLevel="0" collapsed="false">
      <c r="A99" s="0" t="s">
        <v>124</v>
      </c>
      <c r="B99" s="0" t="s">
        <v>10887</v>
      </c>
      <c r="C99" s="0" t="s">
        <v>11029</v>
      </c>
      <c r="D99" s="0" t="s">
        <v>10889</v>
      </c>
      <c r="E99" s="9" t="s">
        <v>10899</v>
      </c>
      <c r="F99" s="9" t="s">
        <v>11051</v>
      </c>
    </row>
    <row r="100" customFormat="false" ht="15" hidden="false" customHeight="false" outlineLevel="0" collapsed="false">
      <c r="A100" s="0" t="s">
        <v>125</v>
      </c>
      <c r="B100" s="0" t="s">
        <v>10887</v>
      </c>
      <c r="C100" s="0" t="s">
        <v>11029</v>
      </c>
      <c r="D100" s="0" t="s">
        <v>10889</v>
      </c>
      <c r="E100" s="9" t="s">
        <v>11052</v>
      </c>
      <c r="F100" s="9" t="s">
        <v>11053</v>
      </c>
    </row>
    <row r="101" customFormat="false" ht="15" hidden="false" customHeight="false" outlineLevel="0" collapsed="false">
      <c r="A101" s="0" t="s">
        <v>126</v>
      </c>
      <c r="B101" s="0" t="s">
        <v>10887</v>
      </c>
      <c r="C101" s="0" t="s">
        <v>11029</v>
      </c>
      <c r="D101" s="0" t="s">
        <v>10889</v>
      </c>
      <c r="E101" s="9" t="s">
        <v>10892</v>
      </c>
      <c r="F101" s="9" t="s">
        <v>11054</v>
      </c>
    </row>
    <row r="102" customFormat="false" ht="15" hidden="false" customHeight="false" outlineLevel="0" collapsed="false">
      <c r="A102" s="0" t="s">
        <v>4558</v>
      </c>
      <c r="B102" s="0" t="s">
        <v>10943</v>
      </c>
      <c r="C102" s="0" t="s">
        <v>11029</v>
      </c>
      <c r="D102" s="0" t="s">
        <v>10889</v>
      </c>
      <c r="E102" s="9" t="s">
        <v>10892</v>
      </c>
      <c r="F102" s="9" t="s">
        <v>11055</v>
      </c>
    </row>
    <row r="103" customFormat="false" ht="15" hidden="false" customHeight="false" outlineLevel="0" collapsed="false">
      <c r="A103" s="0" t="s">
        <v>129</v>
      </c>
      <c r="B103" s="0" t="s">
        <v>10887</v>
      </c>
      <c r="C103" s="0" t="s">
        <v>11029</v>
      </c>
      <c r="D103" s="0" t="s">
        <v>10889</v>
      </c>
      <c r="E103" s="9" t="s">
        <v>10892</v>
      </c>
      <c r="F103" s="9" t="s">
        <v>11056</v>
      </c>
    </row>
    <row r="104" customFormat="false" ht="15" hidden="false" customHeight="false" outlineLevel="0" collapsed="false">
      <c r="A104" s="0" t="s">
        <v>51</v>
      </c>
      <c r="B104" s="0" t="s">
        <v>10941</v>
      </c>
      <c r="C104" s="0" t="s">
        <v>11057</v>
      </c>
      <c r="D104" s="0" t="s">
        <v>10889</v>
      </c>
      <c r="E104" s="9" t="s">
        <v>11058</v>
      </c>
      <c r="F104" s="9" t="s">
        <v>11059</v>
      </c>
    </row>
    <row r="105" customFormat="false" ht="15" hidden="false" customHeight="false" outlineLevel="0" collapsed="false">
      <c r="A105" s="0" t="s">
        <v>52</v>
      </c>
      <c r="B105" s="0" t="s">
        <v>10941</v>
      </c>
      <c r="C105" s="0" t="s">
        <v>11057</v>
      </c>
      <c r="D105" s="0" t="s">
        <v>10889</v>
      </c>
      <c r="E105" s="9" t="s">
        <v>11060</v>
      </c>
      <c r="F105" s="9" t="s">
        <v>11061</v>
      </c>
    </row>
    <row r="106" customFormat="false" ht="15" hidden="false" customHeight="false" outlineLevel="0" collapsed="false">
      <c r="A106" s="0" t="s">
        <v>53</v>
      </c>
      <c r="B106" s="0" t="s">
        <v>10887</v>
      </c>
      <c r="C106" s="0" t="s">
        <v>11057</v>
      </c>
      <c r="D106" s="0" t="s">
        <v>10889</v>
      </c>
      <c r="E106" s="9" t="s">
        <v>11062</v>
      </c>
      <c r="F106" s="9" t="s">
        <v>11063</v>
      </c>
    </row>
    <row r="107" customFormat="false" ht="15" hidden="false" customHeight="false" outlineLevel="0" collapsed="false">
      <c r="A107" s="0" t="s">
        <v>54</v>
      </c>
      <c r="B107" s="0" t="s">
        <v>10941</v>
      </c>
      <c r="C107" s="0" t="s">
        <v>11057</v>
      </c>
      <c r="D107" s="0" t="s">
        <v>10889</v>
      </c>
      <c r="E107" s="9" t="s">
        <v>10892</v>
      </c>
      <c r="F107" s="9" t="s">
        <v>11064</v>
      </c>
    </row>
    <row r="108" customFormat="false" ht="15" hidden="false" customHeight="false" outlineLevel="0" collapsed="false">
      <c r="A108" s="0" t="s">
        <v>55</v>
      </c>
      <c r="B108" s="0" t="s">
        <v>10941</v>
      </c>
      <c r="C108" s="0" t="s">
        <v>11057</v>
      </c>
      <c r="D108" s="0" t="s">
        <v>10889</v>
      </c>
      <c r="E108" s="9" t="s">
        <v>11065</v>
      </c>
      <c r="F108" s="9" t="s">
        <v>11066</v>
      </c>
    </row>
    <row r="109" customFormat="false" ht="15" hidden="false" customHeight="false" outlineLevel="0" collapsed="false">
      <c r="A109" s="0" t="s">
        <v>56</v>
      </c>
      <c r="B109" s="0" t="s">
        <v>10941</v>
      </c>
      <c r="C109" s="0" t="s">
        <v>11057</v>
      </c>
      <c r="D109" s="0" t="s">
        <v>10889</v>
      </c>
      <c r="E109" s="9" t="s">
        <v>11067</v>
      </c>
      <c r="F109" s="9" t="s">
        <v>11068</v>
      </c>
    </row>
    <row r="110" customFormat="false" ht="41.75" hidden="false" customHeight="false" outlineLevel="0" collapsed="false">
      <c r="A110" s="0" t="s">
        <v>57</v>
      </c>
      <c r="B110" s="0" t="s">
        <v>10941</v>
      </c>
      <c r="C110" s="0" t="s">
        <v>11057</v>
      </c>
      <c r="D110" s="0" t="s">
        <v>10889</v>
      </c>
      <c r="E110" s="9" t="s">
        <v>11069</v>
      </c>
      <c r="F110" s="9" t="s">
        <v>11070</v>
      </c>
    </row>
    <row r="111" customFormat="false" ht="15" hidden="false" customHeight="false" outlineLevel="0" collapsed="false">
      <c r="A111" s="0" t="s">
        <v>58</v>
      </c>
      <c r="B111" s="0" t="s">
        <v>10941</v>
      </c>
      <c r="C111" s="0" t="s">
        <v>11057</v>
      </c>
      <c r="D111" s="0" t="s">
        <v>10889</v>
      </c>
      <c r="E111" s="9" t="s">
        <v>11071</v>
      </c>
      <c r="F111" s="9" t="s">
        <v>11072</v>
      </c>
    </row>
    <row r="112" customFormat="false" ht="55.2" hidden="false" customHeight="false" outlineLevel="0" collapsed="false">
      <c r="A112" s="0" t="s">
        <v>59</v>
      </c>
      <c r="B112" s="0" t="s">
        <v>10941</v>
      </c>
      <c r="C112" s="0" t="s">
        <v>11057</v>
      </c>
      <c r="D112" s="0" t="s">
        <v>10889</v>
      </c>
      <c r="E112" s="9" t="s">
        <v>11073</v>
      </c>
      <c r="F112" s="9" t="s">
        <v>11074</v>
      </c>
    </row>
    <row r="113" customFormat="false" ht="15" hidden="false" customHeight="false" outlineLevel="0" collapsed="false">
      <c r="A113" s="0" t="s">
        <v>60</v>
      </c>
      <c r="B113" s="0" t="s">
        <v>10941</v>
      </c>
      <c r="C113" s="0" t="s">
        <v>11057</v>
      </c>
      <c r="D113" s="0" t="s">
        <v>10889</v>
      </c>
      <c r="E113" s="8" t="s">
        <v>10930</v>
      </c>
      <c r="F113" s="9" t="s">
        <v>11075</v>
      </c>
    </row>
    <row r="114" customFormat="false" ht="28.35" hidden="false" customHeight="false" outlineLevel="0" collapsed="false">
      <c r="A114" s="0" t="s">
        <v>61</v>
      </c>
      <c r="B114" s="0" t="s">
        <v>10941</v>
      </c>
      <c r="C114" s="0" t="s">
        <v>11057</v>
      </c>
      <c r="D114" s="0" t="s">
        <v>10889</v>
      </c>
      <c r="E114" s="8" t="s">
        <v>10930</v>
      </c>
      <c r="F114" s="9" t="s">
        <v>11076</v>
      </c>
    </row>
    <row r="115" customFormat="false" ht="28.35" hidden="false" customHeight="false" outlineLevel="0" collapsed="false">
      <c r="A115" s="0" t="s">
        <v>64</v>
      </c>
      <c r="B115" s="0" t="s">
        <v>10941</v>
      </c>
      <c r="C115" s="0" t="s">
        <v>11057</v>
      </c>
      <c r="D115" s="0" t="s">
        <v>10889</v>
      </c>
      <c r="E115" s="9" t="s">
        <v>10924</v>
      </c>
      <c r="F115" s="9" t="s">
        <v>11077</v>
      </c>
    </row>
    <row r="116" customFormat="false" ht="41.75" hidden="false" customHeight="false" outlineLevel="0" collapsed="false">
      <c r="A116" s="0" t="s">
        <v>65</v>
      </c>
      <c r="B116" s="0" t="s">
        <v>10941</v>
      </c>
      <c r="C116" s="0" t="s">
        <v>11057</v>
      </c>
      <c r="D116" s="0" t="s">
        <v>10889</v>
      </c>
      <c r="E116" s="9" t="s">
        <v>10956</v>
      </c>
      <c r="F116" s="9" t="s">
        <v>11078</v>
      </c>
    </row>
    <row r="117" customFormat="false" ht="15" hidden="false" customHeight="false" outlineLevel="0" collapsed="false">
      <c r="A117" s="0" t="s">
        <v>66</v>
      </c>
      <c r="B117" s="0" t="s">
        <v>10941</v>
      </c>
      <c r="C117" s="0" t="s">
        <v>11057</v>
      </c>
      <c r="D117" s="0" t="s">
        <v>10889</v>
      </c>
      <c r="E117" s="9" t="s">
        <v>11062</v>
      </c>
      <c r="F117" s="9" t="s">
        <v>11079</v>
      </c>
    </row>
    <row r="118" customFormat="false" ht="15" hidden="false" customHeight="false" outlineLevel="0" collapsed="false">
      <c r="A118" s="0" t="s">
        <v>67</v>
      </c>
      <c r="B118" s="0" t="s">
        <v>10941</v>
      </c>
      <c r="C118" s="0" t="s">
        <v>11057</v>
      </c>
      <c r="D118" s="0" t="s">
        <v>10889</v>
      </c>
      <c r="E118" s="9" t="s">
        <v>11080</v>
      </c>
      <c r="F118" s="9" t="s">
        <v>11081</v>
      </c>
    </row>
    <row r="119" customFormat="false" ht="41.75" hidden="false" customHeight="false" outlineLevel="0" collapsed="false">
      <c r="A119" s="0" t="s">
        <v>68</v>
      </c>
      <c r="B119" s="0" t="s">
        <v>10941</v>
      </c>
      <c r="C119" s="0" t="s">
        <v>11057</v>
      </c>
      <c r="D119" s="0" t="s">
        <v>10889</v>
      </c>
      <c r="E119" s="9" t="s">
        <v>11082</v>
      </c>
      <c r="F119" s="9" t="s">
        <v>11083</v>
      </c>
    </row>
    <row r="120" customFormat="false" ht="15" hidden="false" customHeight="false" outlineLevel="0" collapsed="false">
      <c r="A120" s="0" t="s">
        <v>69</v>
      </c>
      <c r="B120" s="0" t="s">
        <v>10941</v>
      </c>
      <c r="C120" s="0" t="s">
        <v>11057</v>
      </c>
      <c r="D120" s="0" t="s">
        <v>10889</v>
      </c>
      <c r="E120" s="9" t="s">
        <v>11082</v>
      </c>
      <c r="F120" s="9" t="s">
        <v>11084</v>
      </c>
    </row>
    <row r="121" customFormat="false" ht="15" hidden="false" customHeight="false" outlineLevel="0" collapsed="false">
      <c r="A121" s="0" t="s">
        <v>70</v>
      </c>
      <c r="B121" s="0" t="s">
        <v>10941</v>
      </c>
      <c r="C121" s="0" t="s">
        <v>11057</v>
      </c>
      <c r="D121" s="0" t="s">
        <v>10889</v>
      </c>
      <c r="E121" s="8" t="s">
        <v>10922</v>
      </c>
      <c r="F121" s="9" t="s">
        <v>11085</v>
      </c>
    </row>
    <row r="122" customFormat="false" ht="28.35" hidden="false" customHeight="false" outlineLevel="0" collapsed="false">
      <c r="A122" s="0" t="s">
        <v>71</v>
      </c>
      <c r="B122" s="0" t="s">
        <v>10941</v>
      </c>
      <c r="C122" s="0" t="s">
        <v>11057</v>
      </c>
      <c r="D122" s="0" t="s">
        <v>10889</v>
      </c>
      <c r="E122" s="9" t="s">
        <v>10994</v>
      </c>
      <c r="F122" s="9" t="s">
        <v>11086</v>
      </c>
    </row>
    <row r="123" customFormat="false" ht="28.35" hidden="false" customHeight="false" outlineLevel="0" collapsed="false">
      <c r="A123" s="0" t="s">
        <v>72</v>
      </c>
      <c r="B123" s="0" t="s">
        <v>10941</v>
      </c>
      <c r="C123" s="0" t="s">
        <v>11057</v>
      </c>
      <c r="D123" s="0" t="s">
        <v>10889</v>
      </c>
      <c r="E123" s="9" t="s">
        <v>11087</v>
      </c>
      <c r="F123" s="9" t="s">
        <v>11088</v>
      </c>
    </row>
    <row r="124" customFormat="false" ht="15" hidden="false" customHeight="false" outlineLevel="0" collapsed="false">
      <c r="A124" s="0" t="s">
        <v>73</v>
      </c>
      <c r="B124" s="0" t="s">
        <v>10941</v>
      </c>
      <c r="C124" s="0" t="s">
        <v>11057</v>
      </c>
      <c r="D124" s="0" t="s">
        <v>10889</v>
      </c>
      <c r="E124" s="9" t="s">
        <v>10956</v>
      </c>
      <c r="F124" s="9" t="s">
        <v>11089</v>
      </c>
    </row>
    <row r="125" customFormat="false" ht="15" hidden="false" customHeight="false" outlineLevel="0" collapsed="false">
      <c r="A125" s="0" t="s">
        <v>74</v>
      </c>
      <c r="B125" s="0" t="s">
        <v>10941</v>
      </c>
      <c r="C125" s="0" t="s">
        <v>11057</v>
      </c>
      <c r="D125" s="0" t="s">
        <v>10889</v>
      </c>
      <c r="E125" s="8" t="s">
        <v>10930</v>
      </c>
      <c r="F125" s="9" t="s">
        <v>11090</v>
      </c>
    </row>
    <row r="126" customFormat="false" ht="15" hidden="false" customHeight="false" outlineLevel="0" collapsed="false">
      <c r="A126" s="0" t="s">
        <v>75</v>
      </c>
      <c r="B126" s="0" t="s">
        <v>10941</v>
      </c>
      <c r="C126" s="0" t="s">
        <v>11057</v>
      </c>
      <c r="D126" s="0" t="s">
        <v>10889</v>
      </c>
      <c r="E126" s="9" t="s">
        <v>11091</v>
      </c>
      <c r="F126" s="9" t="s">
        <v>11092</v>
      </c>
    </row>
    <row r="127" customFormat="false" ht="41.75" hidden="false" customHeight="false" outlineLevel="0" collapsed="false">
      <c r="A127" s="0" t="s">
        <v>76</v>
      </c>
      <c r="B127" s="0" t="s">
        <v>10941</v>
      </c>
      <c r="C127" s="0" t="s">
        <v>11057</v>
      </c>
      <c r="D127" s="0" t="s">
        <v>10889</v>
      </c>
      <c r="E127" s="9" t="s">
        <v>11093</v>
      </c>
      <c r="F127" s="9" t="s">
        <v>11094</v>
      </c>
    </row>
    <row r="128" customFormat="false" ht="28.35" hidden="false" customHeight="false" outlineLevel="0" collapsed="false">
      <c r="A128" s="0" t="s">
        <v>77</v>
      </c>
      <c r="B128" s="0" t="s">
        <v>10941</v>
      </c>
      <c r="C128" s="0" t="s">
        <v>11057</v>
      </c>
      <c r="D128" s="0" t="s">
        <v>10889</v>
      </c>
      <c r="E128" s="9" t="s">
        <v>10899</v>
      </c>
      <c r="F128" s="9" t="s">
        <v>11095</v>
      </c>
    </row>
    <row r="129" customFormat="false" ht="15" hidden="false" customHeight="false" outlineLevel="0" collapsed="false">
      <c r="A129" s="0" t="s">
        <v>78</v>
      </c>
      <c r="B129" s="0" t="s">
        <v>10941</v>
      </c>
      <c r="C129" s="0" t="s">
        <v>11057</v>
      </c>
      <c r="D129" s="0" t="s">
        <v>10889</v>
      </c>
      <c r="E129" s="9" t="s">
        <v>11052</v>
      </c>
      <c r="F129" s="9" t="s">
        <v>11096</v>
      </c>
    </row>
    <row r="130" customFormat="false" ht="15" hidden="false" customHeight="false" outlineLevel="0" collapsed="false">
      <c r="A130" s="0" t="s">
        <v>79</v>
      </c>
      <c r="B130" s="0" t="s">
        <v>10941</v>
      </c>
      <c r="C130" s="0" t="s">
        <v>11057</v>
      </c>
      <c r="D130" s="0" t="s">
        <v>10889</v>
      </c>
      <c r="E130" s="9" t="s">
        <v>10892</v>
      </c>
      <c r="F130" s="9" t="s">
        <v>11097</v>
      </c>
    </row>
    <row r="131" customFormat="false" ht="55.2" hidden="false" customHeight="false" outlineLevel="0" collapsed="false">
      <c r="A131" s="0" t="s">
        <v>80</v>
      </c>
      <c r="B131" s="0" t="s">
        <v>10941</v>
      </c>
      <c r="C131" s="0" t="s">
        <v>11057</v>
      </c>
      <c r="D131" s="0" t="s">
        <v>10889</v>
      </c>
      <c r="E131" s="9" t="s">
        <v>11098</v>
      </c>
      <c r="F131" s="9" t="s">
        <v>11099</v>
      </c>
    </row>
    <row r="132" customFormat="false" ht="28.35" hidden="false" customHeight="false" outlineLevel="0" collapsed="false">
      <c r="A132" s="0" t="s">
        <v>81</v>
      </c>
      <c r="B132" s="0" t="s">
        <v>10941</v>
      </c>
      <c r="C132" s="0" t="s">
        <v>11057</v>
      </c>
      <c r="D132" s="0" t="s">
        <v>10889</v>
      </c>
      <c r="E132" s="9" t="s">
        <v>11100</v>
      </c>
      <c r="F132" s="9" t="s">
        <v>11101</v>
      </c>
    </row>
    <row r="133" customFormat="false" ht="28.35" hidden="false" customHeight="false" outlineLevel="0" collapsed="false">
      <c r="A133" s="0" t="s">
        <v>82</v>
      </c>
      <c r="B133" s="0" t="s">
        <v>10941</v>
      </c>
      <c r="C133" s="0" t="s">
        <v>11057</v>
      </c>
      <c r="D133" s="0" t="s">
        <v>10889</v>
      </c>
      <c r="E133" s="8" t="s">
        <v>10922</v>
      </c>
      <c r="F133" s="9" t="s">
        <v>11102</v>
      </c>
    </row>
    <row r="134" customFormat="false" ht="28.35" hidden="false" customHeight="false" outlineLevel="0" collapsed="false">
      <c r="A134" s="0" t="s">
        <v>83</v>
      </c>
      <c r="B134" s="0" t="s">
        <v>10941</v>
      </c>
      <c r="C134" s="0" t="s">
        <v>11057</v>
      </c>
      <c r="D134" s="0" t="s">
        <v>10889</v>
      </c>
      <c r="E134" s="9" t="s">
        <v>11103</v>
      </c>
      <c r="F134" s="9" t="s">
        <v>11104</v>
      </c>
    </row>
    <row r="135" customFormat="false" ht="15" hidden="false" customHeight="false" outlineLevel="0" collapsed="false">
      <c r="A135" s="0" t="s">
        <v>84</v>
      </c>
      <c r="B135" s="0" t="s">
        <v>10941</v>
      </c>
      <c r="C135" s="0" t="s">
        <v>11057</v>
      </c>
      <c r="D135" s="0" t="s">
        <v>10889</v>
      </c>
      <c r="E135" s="9" t="s">
        <v>11105</v>
      </c>
      <c r="F135" s="9" t="s">
        <v>11106</v>
      </c>
    </row>
    <row r="136" customFormat="false" ht="28.35" hidden="false" customHeight="false" outlineLevel="0" collapsed="false">
      <c r="A136" s="0" t="s">
        <v>85</v>
      </c>
      <c r="B136" s="0" t="s">
        <v>10941</v>
      </c>
      <c r="C136" s="0" t="s">
        <v>11057</v>
      </c>
      <c r="D136" s="0" t="s">
        <v>10889</v>
      </c>
      <c r="E136" s="9" t="s">
        <v>11107</v>
      </c>
      <c r="F136" s="9" t="s">
        <v>11108</v>
      </c>
    </row>
    <row r="137" customFormat="false" ht="15" hidden="false" customHeight="false" outlineLevel="0" collapsed="false">
      <c r="A137" s="0" t="s">
        <v>86</v>
      </c>
      <c r="B137" s="0" t="s">
        <v>10941</v>
      </c>
      <c r="C137" s="0" t="s">
        <v>11057</v>
      </c>
      <c r="D137" s="0" t="s">
        <v>10889</v>
      </c>
      <c r="E137" s="9" t="s">
        <v>10899</v>
      </c>
      <c r="F137" s="9" t="s">
        <v>11109</v>
      </c>
    </row>
    <row r="138" customFormat="false" ht="28.35" hidden="false" customHeight="false" outlineLevel="0" collapsed="false">
      <c r="A138" s="0" t="s">
        <v>87</v>
      </c>
      <c r="B138" s="0" t="s">
        <v>10941</v>
      </c>
      <c r="C138" s="0" t="s">
        <v>11057</v>
      </c>
      <c r="D138" s="0" t="s">
        <v>10889</v>
      </c>
      <c r="E138" s="9" t="s">
        <v>11110</v>
      </c>
      <c r="F138" s="9" t="s">
        <v>11111</v>
      </c>
    </row>
    <row r="139" customFormat="false" ht="15" hidden="false" customHeight="false" outlineLevel="0" collapsed="false">
      <c r="A139" s="0" t="s">
        <v>88</v>
      </c>
      <c r="B139" s="0" t="s">
        <v>10941</v>
      </c>
      <c r="C139" s="0" t="s">
        <v>11057</v>
      </c>
      <c r="D139" s="0" t="s">
        <v>10889</v>
      </c>
      <c r="E139" s="8" t="s">
        <v>10922</v>
      </c>
      <c r="F139" s="9" t="s">
        <v>11112</v>
      </c>
    </row>
    <row r="140" customFormat="false" ht="15" hidden="false" customHeight="false" outlineLevel="0" collapsed="false">
      <c r="A140" s="0" t="s">
        <v>89</v>
      </c>
      <c r="B140" s="0" t="s">
        <v>10941</v>
      </c>
      <c r="C140" s="0" t="s">
        <v>11057</v>
      </c>
      <c r="D140" s="0" t="s">
        <v>10889</v>
      </c>
      <c r="E140" s="9" t="s">
        <v>10892</v>
      </c>
      <c r="F140" s="9" t="s">
        <v>11113</v>
      </c>
    </row>
    <row r="141" customFormat="false" ht="15" hidden="false" customHeight="false" outlineLevel="0" collapsed="false">
      <c r="A141" s="0" t="s">
        <v>90</v>
      </c>
      <c r="B141" s="0" t="s">
        <v>10941</v>
      </c>
      <c r="C141" s="0" t="s">
        <v>11057</v>
      </c>
      <c r="D141" s="0" t="s">
        <v>10889</v>
      </c>
      <c r="E141" s="8" t="s">
        <v>10930</v>
      </c>
      <c r="F141" s="9" t="s">
        <v>11114</v>
      </c>
    </row>
    <row r="142" customFormat="false" ht="15" hidden="false" customHeight="false" outlineLevel="0" collapsed="false">
      <c r="A142" s="0" t="s">
        <v>91</v>
      </c>
      <c r="B142" s="0" t="s">
        <v>10941</v>
      </c>
      <c r="C142" s="0" t="s">
        <v>11057</v>
      </c>
      <c r="D142" s="0" t="s">
        <v>10889</v>
      </c>
      <c r="E142" s="9" t="s">
        <v>11091</v>
      </c>
      <c r="F142" s="9" t="s">
        <v>11115</v>
      </c>
    </row>
    <row r="143" customFormat="false" ht="28.35" hidden="false" customHeight="false" outlineLevel="0" collapsed="false">
      <c r="A143" s="0" t="s">
        <v>110</v>
      </c>
      <c r="B143" s="0" t="s">
        <v>10941</v>
      </c>
      <c r="C143" s="0" t="s">
        <v>11057</v>
      </c>
      <c r="D143" s="0" t="s">
        <v>10889</v>
      </c>
      <c r="E143" s="9" t="s">
        <v>11116</v>
      </c>
      <c r="F143" s="9" t="s">
        <v>11117</v>
      </c>
    </row>
    <row r="144" customFormat="false" ht="28.35" hidden="false" customHeight="false" outlineLevel="0" collapsed="false">
      <c r="A144" s="0" t="s">
        <v>111</v>
      </c>
      <c r="B144" s="0" t="s">
        <v>10941</v>
      </c>
      <c r="C144" s="0" t="s">
        <v>11057</v>
      </c>
      <c r="D144" s="0" t="s">
        <v>10889</v>
      </c>
      <c r="E144" s="9" t="s">
        <v>10894</v>
      </c>
      <c r="F144" s="9" t="s">
        <v>11118</v>
      </c>
    </row>
    <row r="145" customFormat="false" ht="28.35" hidden="false" customHeight="false" outlineLevel="0" collapsed="false">
      <c r="A145" s="0" t="s">
        <v>112</v>
      </c>
      <c r="B145" s="0" t="s">
        <v>10941</v>
      </c>
      <c r="C145" s="0" t="s">
        <v>11057</v>
      </c>
      <c r="D145" s="0" t="s">
        <v>10889</v>
      </c>
      <c r="E145" s="9" t="s">
        <v>10985</v>
      </c>
      <c r="F145" s="9" t="s">
        <v>11119</v>
      </c>
    </row>
    <row r="146" customFormat="false" ht="15" hidden="false" customHeight="false" outlineLevel="0" collapsed="false">
      <c r="A146" s="0" t="s">
        <v>113</v>
      </c>
      <c r="B146" s="0" t="s">
        <v>10941</v>
      </c>
      <c r="C146" s="0" t="s">
        <v>11057</v>
      </c>
      <c r="D146" s="0" t="s">
        <v>10889</v>
      </c>
      <c r="E146" s="9" t="s">
        <v>11120</v>
      </c>
      <c r="F146" s="9" t="s">
        <v>11121</v>
      </c>
    </row>
    <row r="147" customFormat="false" ht="15" hidden="false" customHeight="false" outlineLevel="0" collapsed="false">
      <c r="A147" s="0" t="s">
        <v>114</v>
      </c>
      <c r="B147" s="0" t="s">
        <v>10941</v>
      </c>
      <c r="C147" s="0" t="s">
        <v>11057</v>
      </c>
      <c r="D147" s="0" t="s">
        <v>10889</v>
      </c>
      <c r="E147" s="9" t="s">
        <v>10892</v>
      </c>
      <c r="F147" s="9" t="s">
        <v>11122</v>
      </c>
    </row>
    <row r="148" customFormat="false" ht="15" hidden="false" customHeight="false" outlineLevel="0" collapsed="false">
      <c r="A148" s="0" t="s">
        <v>115</v>
      </c>
      <c r="B148" s="0" t="s">
        <v>10941</v>
      </c>
      <c r="C148" s="0" t="s">
        <v>11057</v>
      </c>
      <c r="D148" s="0" t="s">
        <v>10889</v>
      </c>
      <c r="E148" s="9" t="s">
        <v>10892</v>
      </c>
      <c r="F148" s="9" t="s">
        <v>11123</v>
      </c>
    </row>
    <row r="149" customFormat="false" ht="15" hidden="false" customHeight="false" outlineLevel="0" collapsed="false">
      <c r="A149" s="0" t="s">
        <v>4534</v>
      </c>
      <c r="B149" s="0" t="s">
        <v>10943</v>
      </c>
      <c r="C149" s="0" t="s">
        <v>10978</v>
      </c>
      <c r="D149" s="0" t="s">
        <v>10889</v>
      </c>
      <c r="E149" s="9" t="s">
        <v>11124</v>
      </c>
      <c r="F149" s="9" t="s">
        <v>11125</v>
      </c>
    </row>
    <row r="150" customFormat="false" ht="28.35" hidden="false" customHeight="false" outlineLevel="0" collapsed="false">
      <c r="A150" s="0" t="s">
        <v>4535</v>
      </c>
      <c r="B150" s="0" t="s">
        <v>10943</v>
      </c>
      <c r="C150" s="0" t="s">
        <v>10978</v>
      </c>
      <c r="D150" s="0" t="s">
        <v>10889</v>
      </c>
      <c r="E150" s="9" t="s">
        <v>11126</v>
      </c>
      <c r="F150" s="9" t="s">
        <v>11127</v>
      </c>
    </row>
    <row r="151" customFormat="false" ht="15" hidden="false" customHeight="false" outlineLevel="0" collapsed="false">
      <c r="A151" s="0" t="s">
        <v>4536</v>
      </c>
      <c r="B151" s="0" t="s">
        <v>10943</v>
      </c>
      <c r="C151" s="0" t="s">
        <v>10978</v>
      </c>
      <c r="D151" s="0" t="s">
        <v>10889</v>
      </c>
      <c r="E151" s="9" t="s">
        <v>10956</v>
      </c>
      <c r="F151" s="9" t="s">
        <v>11128</v>
      </c>
    </row>
    <row r="152" customFormat="false" ht="15" hidden="false" customHeight="false" outlineLevel="0" collapsed="false">
      <c r="A152" s="0" t="s">
        <v>4537</v>
      </c>
      <c r="B152" s="0" t="s">
        <v>10943</v>
      </c>
      <c r="C152" s="0" t="s">
        <v>10978</v>
      </c>
      <c r="D152" s="0" t="s">
        <v>10889</v>
      </c>
      <c r="E152" s="9" t="s">
        <v>10899</v>
      </c>
      <c r="F152" s="9" t="s">
        <v>11129</v>
      </c>
    </row>
    <row r="153" customFormat="false" ht="28.35" hidden="false" customHeight="false" outlineLevel="0" collapsed="false">
      <c r="A153" s="0" t="s">
        <v>4538</v>
      </c>
      <c r="B153" s="0" t="s">
        <v>10943</v>
      </c>
      <c r="C153" s="0" t="s">
        <v>10978</v>
      </c>
      <c r="D153" s="0" t="s">
        <v>10889</v>
      </c>
      <c r="E153" s="9" t="s">
        <v>11130</v>
      </c>
      <c r="F153" s="9" t="s">
        <v>11131</v>
      </c>
    </row>
    <row r="154" customFormat="false" ht="15" hidden="false" customHeight="false" outlineLevel="0" collapsed="false">
      <c r="A154" s="0" t="s">
        <v>4539</v>
      </c>
      <c r="B154" s="0" t="s">
        <v>10943</v>
      </c>
      <c r="C154" s="0" t="s">
        <v>10978</v>
      </c>
      <c r="D154" s="0" t="s">
        <v>10889</v>
      </c>
      <c r="E154" s="9" t="s">
        <v>10892</v>
      </c>
      <c r="F154" s="9" t="s">
        <v>11132</v>
      </c>
    </row>
    <row r="155" customFormat="false" ht="15" hidden="false" customHeight="false" outlineLevel="0" collapsed="false">
      <c r="A155" s="0" t="s">
        <v>4540</v>
      </c>
      <c r="B155" s="0" t="s">
        <v>10943</v>
      </c>
      <c r="C155" s="0" t="s">
        <v>10978</v>
      </c>
      <c r="D155" s="0" t="s">
        <v>10889</v>
      </c>
      <c r="E155" s="9" t="s">
        <v>11133</v>
      </c>
      <c r="F155" s="9" t="s">
        <v>11134</v>
      </c>
    </row>
    <row r="156" customFormat="false" ht="15" hidden="false" customHeight="false" outlineLevel="0" collapsed="false">
      <c r="A156" s="0" t="s">
        <v>4541</v>
      </c>
      <c r="B156" s="0" t="s">
        <v>10943</v>
      </c>
      <c r="C156" s="0" t="s">
        <v>10978</v>
      </c>
      <c r="D156" s="0" t="s">
        <v>10889</v>
      </c>
      <c r="E156" s="9" t="s">
        <v>10924</v>
      </c>
      <c r="F156" s="9" t="s">
        <v>11135</v>
      </c>
    </row>
    <row r="157" customFormat="false" ht="15" hidden="false" customHeight="false" outlineLevel="0" collapsed="false">
      <c r="A157" s="0" t="s">
        <v>4542</v>
      </c>
      <c r="B157" s="0" t="s">
        <v>10943</v>
      </c>
      <c r="C157" s="0" t="s">
        <v>10978</v>
      </c>
      <c r="D157" s="0" t="s">
        <v>10889</v>
      </c>
      <c r="E157" s="9" t="s">
        <v>11136</v>
      </c>
      <c r="F157" s="9" t="s">
        <v>11137</v>
      </c>
    </row>
    <row r="158" customFormat="false" ht="15" hidden="false" customHeight="false" outlineLevel="0" collapsed="false">
      <c r="A158" s="0" t="s">
        <v>4543</v>
      </c>
      <c r="B158" s="0" t="s">
        <v>10943</v>
      </c>
      <c r="C158" s="0" t="s">
        <v>10978</v>
      </c>
      <c r="D158" s="0" t="s">
        <v>10889</v>
      </c>
      <c r="E158" s="9" t="s">
        <v>10892</v>
      </c>
      <c r="F158" s="9" t="s">
        <v>11138</v>
      </c>
    </row>
    <row r="159" customFormat="false" ht="15" hidden="false" customHeight="false" outlineLevel="0" collapsed="false">
      <c r="A159" s="0" t="s">
        <v>4544</v>
      </c>
      <c r="B159" s="0" t="s">
        <v>10943</v>
      </c>
      <c r="C159" s="0" t="s">
        <v>10978</v>
      </c>
      <c r="D159" s="0" t="s">
        <v>10889</v>
      </c>
      <c r="E159" s="9" t="s">
        <v>10892</v>
      </c>
      <c r="F159" s="9" t="s">
        <v>11139</v>
      </c>
    </row>
    <row r="160" customFormat="false" ht="28.35" hidden="false" customHeight="false" outlineLevel="0" collapsed="false">
      <c r="A160" s="0" t="s">
        <v>4545</v>
      </c>
      <c r="B160" s="0" t="s">
        <v>10943</v>
      </c>
      <c r="C160" s="0" t="s">
        <v>10978</v>
      </c>
      <c r="D160" s="0" t="s">
        <v>10889</v>
      </c>
      <c r="E160" s="9" t="s">
        <v>10892</v>
      </c>
      <c r="F160" s="9" t="s">
        <v>11140</v>
      </c>
    </row>
    <row r="161" customFormat="false" ht="15" hidden="false" customHeight="false" outlineLevel="0" collapsed="false">
      <c r="A161" s="0" t="s">
        <v>4546</v>
      </c>
      <c r="B161" s="0" t="s">
        <v>10943</v>
      </c>
      <c r="C161" s="0" t="s">
        <v>10978</v>
      </c>
      <c r="D161" s="0" t="s">
        <v>10889</v>
      </c>
      <c r="E161" s="8" t="s">
        <v>10922</v>
      </c>
      <c r="F161" s="9" t="s">
        <v>11141</v>
      </c>
    </row>
    <row r="162" customFormat="false" ht="15" hidden="false" customHeight="false" outlineLevel="0" collapsed="false">
      <c r="A162" s="0" t="s">
        <v>4547</v>
      </c>
      <c r="B162" s="0" t="s">
        <v>10943</v>
      </c>
      <c r="C162" s="0" t="s">
        <v>10978</v>
      </c>
      <c r="D162" s="0" t="s">
        <v>10889</v>
      </c>
      <c r="E162" s="9" t="s">
        <v>10892</v>
      </c>
      <c r="F162" s="9" t="s">
        <v>11142</v>
      </c>
    </row>
    <row r="163" customFormat="false" ht="15" hidden="false" customHeight="false" outlineLevel="0" collapsed="false">
      <c r="A163" s="0" t="s">
        <v>4548</v>
      </c>
      <c r="B163" s="0" t="s">
        <v>10943</v>
      </c>
      <c r="C163" s="0" t="s">
        <v>10978</v>
      </c>
      <c r="D163" s="0" t="s">
        <v>10889</v>
      </c>
      <c r="E163" s="9" t="s">
        <v>11067</v>
      </c>
      <c r="F163" s="9" t="s">
        <v>11143</v>
      </c>
    </row>
    <row r="164" customFormat="false" ht="15" hidden="false" customHeight="false" outlineLevel="0" collapsed="false">
      <c r="A164" s="0" t="s">
        <v>4549</v>
      </c>
      <c r="B164" s="0" t="s">
        <v>10943</v>
      </c>
      <c r="C164" s="0" t="s">
        <v>10978</v>
      </c>
      <c r="D164" s="0" t="s">
        <v>10889</v>
      </c>
      <c r="E164" s="8" t="s">
        <v>10922</v>
      </c>
      <c r="F164" s="9" t="s">
        <v>11144</v>
      </c>
    </row>
    <row r="165" customFormat="false" ht="15" hidden="false" customHeight="false" outlineLevel="0" collapsed="false">
      <c r="A165" s="0" t="s">
        <v>4550</v>
      </c>
      <c r="B165" s="0" t="s">
        <v>10943</v>
      </c>
      <c r="C165" s="0" t="s">
        <v>10978</v>
      </c>
      <c r="D165" s="0" t="s">
        <v>10889</v>
      </c>
      <c r="E165" s="9" t="s">
        <v>10994</v>
      </c>
      <c r="F165" s="9" t="s">
        <v>11145</v>
      </c>
    </row>
    <row r="166" customFormat="false" ht="15" hidden="false" customHeight="false" outlineLevel="0" collapsed="false">
      <c r="A166" s="0" t="s">
        <v>4551</v>
      </c>
      <c r="B166" s="0" t="s">
        <v>10943</v>
      </c>
      <c r="C166" s="0" t="s">
        <v>10978</v>
      </c>
      <c r="D166" s="0" t="s">
        <v>10889</v>
      </c>
      <c r="E166" s="9" t="s">
        <v>11146</v>
      </c>
      <c r="F166" s="9" t="s">
        <v>11147</v>
      </c>
    </row>
    <row r="167" customFormat="false" ht="15" hidden="false" customHeight="false" outlineLevel="0" collapsed="false">
      <c r="A167" s="0" t="s">
        <v>4552</v>
      </c>
      <c r="B167" s="0" t="s">
        <v>10943</v>
      </c>
      <c r="C167" s="0" t="s">
        <v>10978</v>
      </c>
      <c r="D167" s="0" t="s">
        <v>10889</v>
      </c>
      <c r="E167" s="9" t="s">
        <v>11146</v>
      </c>
      <c r="F167" s="9" t="s">
        <v>11148</v>
      </c>
    </row>
    <row r="168" customFormat="false" ht="15" hidden="false" customHeight="false" outlineLevel="0" collapsed="false">
      <c r="A168" s="0" t="s">
        <v>4553</v>
      </c>
      <c r="B168" s="0" t="s">
        <v>10943</v>
      </c>
      <c r="C168" s="0" t="s">
        <v>10978</v>
      </c>
      <c r="D168" s="0" t="s">
        <v>10889</v>
      </c>
      <c r="E168" s="9" t="s">
        <v>10892</v>
      </c>
      <c r="F168" s="9" t="s">
        <v>11149</v>
      </c>
    </row>
    <row r="169" customFormat="false" ht="15" hidden="false" customHeight="false" outlineLevel="0" collapsed="false">
      <c r="A169" s="0" t="s">
        <v>4554</v>
      </c>
      <c r="B169" s="0" t="s">
        <v>10943</v>
      </c>
      <c r="C169" s="0" t="s">
        <v>10978</v>
      </c>
      <c r="D169" s="0" t="s">
        <v>10889</v>
      </c>
      <c r="E169" s="9" t="s">
        <v>11150</v>
      </c>
      <c r="F169" s="9" t="s">
        <v>11151</v>
      </c>
    </row>
    <row r="170" customFormat="false" ht="28.35" hidden="false" customHeight="false" outlineLevel="0" collapsed="false">
      <c r="A170" s="0" t="s">
        <v>4555</v>
      </c>
      <c r="B170" s="0" t="s">
        <v>10943</v>
      </c>
      <c r="C170" s="0" t="s">
        <v>10978</v>
      </c>
      <c r="D170" s="0" t="s">
        <v>10889</v>
      </c>
      <c r="E170" s="9" t="s">
        <v>11152</v>
      </c>
      <c r="F170" s="9" t="s">
        <v>11153</v>
      </c>
    </row>
    <row r="171" customFormat="false" ht="15" hidden="false" customHeight="false" outlineLevel="0" collapsed="false">
      <c r="A171" s="0" t="s">
        <v>4556</v>
      </c>
      <c r="B171" s="0" t="s">
        <v>10943</v>
      </c>
      <c r="C171" s="0" t="s">
        <v>10978</v>
      </c>
      <c r="D171" s="0" t="s">
        <v>10889</v>
      </c>
      <c r="E171" s="9" t="s">
        <v>10994</v>
      </c>
      <c r="F171" s="9" t="s">
        <v>11154</v>
      </c>
    </row>
    <row r="172" customFormat="false" ht="15" hidden="false" customHeight="false" outlineLevel="0" collapsed="false">
      <c r="A172" s="0" t="s">
        <v>4557</v>
      </c>
      <c r="B172" s="0" t="s">
        <v>10943</v>
      </c>
      <c r="C172" s="0" t="s">
        <v>10978</v>
      </c>
      <c r="D172" s="0" t="s">
        <v>10889</v>
      </c>
      <c r="E172" s="9" t="s">
        <v>10899</v>
      </c>
      <c r="F172" s="9" t="s">
        <v>11155</v>
      </c>
    </row>
    <row r="173" customFormat="false" ht="15" hidden="false" customHeight="false" outlineLevel="0" collapsed="false">
      <c r="A173" s="0" t="s">
        <v>4566</v>
      </c>
      <c r="B173" s="0" t="s">
        <v>10943</v>
      </c>
      <c r="C173" s="0" t="s">
        <v>10978</v>
      </c>
      <c r="D173" s="0" t="s">
        <v>10889</v>
      </c>
      <c r="E173" s="9" t="s">
        <v>10899</v>
      </c>
      <c r="F173" s="9" t="s">
        <v>11156</v>
      </c>
    </row>
    <row r="174" customFormat="false" ht="15" hidden="false" customHeight="false" outlineLevel="0" collapsed="false">
      <c r="A174" s="0" t="s">
        <v>4567</v>
      </c>
      <c r="B174" s="0" t="s">
        <v>10943</v>
      </c>
      <c r="C174" s="0" t="s">
        <v>10978</v>
      </c>
      <c r="D174" s="0" t="s">
        <v>10889</v>
      </c>
      <c r="E174" s="9" t="s">
        <v>11157</v>
      </c>
      <c r="F174" s="9" t="s">
        <v>11158</v>
      </c>
    </row>
    <row r="175" customFormat="false" ht="15" hidden="false" customHeight="false" outlineLevel="0" collapsed="false">
      <c r="A175" s="0" t="s">
        <v>4568</v>
      </c>
      <c r="B175" s="0" t="s">
        <v>10943</v>
      </c>
      <c r="C175" s="0" t="s">
        <v>10978</v>
      </c>
      <c r="D175" s="0" t="s">
        <v>10889</v>
      </c>
      <c r="E175" s="9" t="s">
        <v>11159</v>
      </c>
      <c r="F175" s="9" t="s">
        <v>11160</v>
      </c>
    </row>
    <row r="176" customFormat="false" ht="15" hidden="false" customHeight="false" outlineLevel="0" collapsed="false">
      <c r="A176" s="0" t="s">
        <v>4569</v>
      </c>
      <c r="B176" s="0" t="s">
        <v>10943</v>
      </c>
      <c r="C176" s="0" t="s">
        <v>10978</v>
      </c>
      <c r="D176" s="0" t="s">
        <v>10889</v>
      </c>
      <c r="E176" s="9" t="s">
        <v>10892</v>
      </c>
      <c r="F176" s="9" t="s">
        <v>11161</v>
      </c>
    </row>
    <row r="177" customFormat="false" ht="15" hidden="false" customHeight="false" outlineLevel="0" collapsed="false">
      <c r="A177" s="0" t="s">
        <v>4570</v>
      </c>
      <c r="B177" s="0" t="s">
        <v>10943</v>
      </c>
      <c r="C177" s="0" t="s">
        <v>10978</v>
      </c>
      <c r="D177" s="0" t="s">
        <v>10889</v>
      </c>
      <c r="E177" s="9" t="s">
        <v>10892</v>
      </c>
      <c r="F177" s="9" t="s">
        <v>11162</v>
      </c>
    </row>
    <row r="178" customFormat="false" ht="28.35" hidden="false" customHeight="false" outlineLevel="0" collapsed="false">
      <c r="A178" s="0" t="s">
        <v>130</v>
      </c>
      <c r="B178" s="0" t="s">
        <v>10887</v>
      </c>
      <c r="C178" s="0" t="s">
        <v>11163</v>
      </c>
      <c r="D178" s="0" t="s">
        <v>10926</v>
      </c>
      <c r="E178" s="9" t="s">
        <v>11164</v>
      </c>
      <c r="F178" s="9" t="s">
        <v>11165</v>
      </c>
    </row>
    <row r="179" customFormat="false" ht="15" hidden="false" customHeight="false" outlineLevel="0" collapsed="false">
      <c r="A179" s="0" t="s">
        <v>131</v>
      </c>
      <c r="B179" s="0" t="s">
        <v>10887</v>
      </c>
      <c r="C179" s="0" t="s">
        <v>11163</v>
      </c>
      <c r="D179" s="0" t="s">
        <v>10926</v>
      </c>
      <c r="E179" s="8" t="s">
        <v>10932</v>
      </c>
      <c r="F179" s="9" t="s">
        <v>11166</v>
      </c>
    </row>
    <row r="180" customFormat="false" ht="15" hidden="false" customHeight="false" outlineLevel="0" collapsed="false">
      <c r="A180" s="0" t="s">
        <v>132</v>
      </c>
      <c r="B180" s="0" t="s">
        <v>10887</v>
      </c>
      <c r="C180" s="0" t="s">
        <v>11163</v>
      </c>
      <c r="D180" s="0" t="s">
        <v>10926</v>
      </c>
      <c r="E180" s="8" t="s">
        <v>10932</v>
      </c>
      <c r="F180" s="9" t="s">
        <v>11167</v>
      </c>
    </row>
    <row r="181" customFormat="false" ht="15" hidden="false" customHeight="false" outlineLevel="0" collapsed="false">
      <c r="A181" s="0" t="s">
        <v>133</v>
      </c>
      <c r="B181" s="0" t="s">
        <v>10887</v>
      </c>
      <c r="C181" s="0" t="s">
        <v>11163</v>
      </c>
      <c r="D181" s="0" t="s">
        <v>10926</v>
      </c>
      <c r="E181" s="8" t="s">
        <v>10932</v>
      </c>
      <c r="F181" s="9" t="s">
        <v>11168</v>
      </c>
    </row>
    <row r="182" customFormat="false" ht="15" hidden="false" customHeight="false" outlineLevel="0" collapsed="false">
      <c r="A182" s="0" t="s">
        <v>134</v>
      </c>
      <c r="B182" s="0" t="s">
        <v>10887</v>
      </c>
      <c r="C182" s="0" t="s">
        <v>11163</v>
      </c>
      <c r="D182" s="0" t="s">
        <v>10926</v>
      </c>
      <c r="E182" s="8" t="s">
        <v>10932</v>
      </c>
      <c r="F182" s="9" t="s">
        <v>11169</v>
      </c>
    </row>
    <row r="183" customFormat="false" ht="15" hidden="false" customHeight="false" outlineLevel="0" collapsed="false">
      <c r="A183" s="0" t="s">
        <v>135</v>
      </c>
      <c r="B183" s="0" t="s">
        <v>10887</v>
      </c>
      <c r="C183" s="0" t="s">
        <v>11163</v>
      </c>
      <c r="D183" s="0" t="s">
        <v>10926</v>
      </c>
      <c r="E183" s="9" t="s">
        <v>11170</v>
      </c>
      <c r="F183" s="9" t="s">
        <v>11171</v>
      </c>
    </row>
    <row r="184" customFormat="false" ht="15" hidden="false" customHeight="false" outlineLevel="0" collapsed="false">
      <c r="A184" s="0" t="s">
        <v>136</v>
      </c>
      <c r="B184" s="0" t="s">
        <v>10887</v>
      </c>
      <c r="C184" s="0" t="s">
        <v>11163</v>
      </c>
      <c r="D184" s="0" t="s">
        <v>10926</v>
      </c>
      <c r="E184" s="8" t="s">
        <v>10932</v>
      </c>
      <c r="F184" s="9" t="s">
        <v>11172</v>
      </c>
    </row>
    <row r="185" customFormat="false" ht="15" hidden="false" customHeight="false" outlineLevel="0" collapsed="false">
      <c r="A185" s="0" t="s">
        <v>137</v>
      </c>
      <c r="B185" s="0" t="s">
        <v>10887</v>
      </c>
      <c r="C185" s="0" t="s">
        <v>11163</v>
      </c>
      <c r="D185" s="0" t="s">
        <v>10926</v>
      </c>
      <c r="E185" s="9" t="s">
        <v>11173</v>
      </c>
      <c r="F185" s="9" t="s">
        <v>11174</v>
      </c>
    </row>
    <row r="186" customFormat="false" ht="15" hidden="false" customHeight="false" outlineLevel="0" collapsed="false">
      <c r="A186" s="0" t="s">
        <v>138</v>
      </c>
      <c r="B186" s="0" t="s">
        <v>10887</v>
      </c>
      <c r="C186" s="0" t="s">
        <v>11163</v>
      </c>
      <c r="D186" s="0" t="s">
        <v>10926</v>
      </c>
      <c r="E186" s="8" t="s">
        <v>10922</v>
      </c>
      <c r="F186" s="9" t="s">
        <v>11175</v>
      </c>
    </row>
    <row r="187" customFormat="false" ht="15" hidden="false" customHeight="false" outlineLevel="0" collapsed="false">
      <c r="A187" s="0" t="s">
        <v>139</v>
      </c>
      <c r="B187" s="0" t="s">
        <v>10887</v>
      </c>
      <c r="C187" s="0" t="s">
        <v>11163</v>
      </c>
      <c r="D187" s="0" t="s">
        <v>10926</v>
      </c>
      <c r="E187" s="9" t="s">
        <v>11170</v>
      </c>
      <c r="F187" s="9" t="s">
        <v>11176</v>
      </c>
    </row>
    <row r="188" customFormat="false" ht="15" hidden="false" customHeight="false" outlineLevel="0" collapsed="false">
      <c r="A188" s="0" t="s">
        <v>140</v>
      </c>
      <c r="B188" s="0" t="s">
        <v>10887</v>
      </c>
      <c r="C188" s="0" t="s">
        <v>11163</v>
      </c>
      <c r="D188" s="0" t="s">
        <v>10926</v>
      </c>
      <c r="E188" s="8" t="s">
        <v>10932</v>
      </c>
      <c r="F188" s="9" t="s">
        <v>11177</v>
      </c>
    </row>
    <row r="189" customFormat="false" ht="15" hidden="false" customHeight="false" outlineLevel="0" collapsed="false">
      <c r="A189" s="0" t="s">
        <v>141</v>
      </c>
      <c r="B189" s="0" t="s">
        <v>10887</v>
      </c>
      <c r="C189" s="0" t="s">
        <v>11163</v>
      </c>
      <c r="D189" s="0" t="s">
        <v>10926</v>
      </c>
      <c r="E189" s="9" t="s">
        <v>0</v>
      </c>
      <c r="F189" s="9" t="s">
        <v>11178</v>
      </c>
    </row>
    <row r="190" customFormat="false" ht="15" hidden="false" customHeight="false" outlineLevel="0" collapsed="false">
      <c r="A190" s="0" t="s">
        <v>142</v>
      </c>
      <c r="B190" s="0" t="s">
        <v>10941</v>
      </c>
      <c r="C190" s="0" t="s">
        <v>11163</v>
      </c>
      <c r="D190" s="0" t="s">
        <v>10926</v>
      </c>
      <c r="E190" s="9" t="s">
        <v>10892</v>
      </c>
      <c r="F190" s="9" t="s">
        <v>11179</v>
      </c>
    </row>
    <row r="191" customFormat="false" ht="15" hidden="false" customHeight="false" outlineLevel="0" collapsed="false">
      <c r="A191" s="0" t="s">
        <v>143</v>
      </c>
      <c r="B191" s="0" t="s">
        <v>10887</v>
      </c>
      <c r="C191" s="0" t="s">
        <v>11163</v>
      </c>
      <c r="D191" s="0" t="s">
        <v>10926</v>
      </c>
      <c r="E191" s="9" t="s">
        <v>10910</v>
      </c>
      <c r="F191" s="9" t="s">
        <v>11180</v>
      </c>
    </row>
    <row r="192" customFormat="false" ht="15" hidden="false" customHeight="false" outlineLevel="0" collapsed="false">
      <c r="A192" s="0" t="s">
        <v>4572</v>
      </c>
      <c r="B192" s="0" t="s">
        <v>10943</v>
      </c>
      <c r="C192" s="0" t="s">
        <v>11163</v>
      </c>
      <c r="D192" s="0" t="s">
        <v>10926</v>
      </c>
      <c r="E192" s="9" t="s">
        <v>11181</v>
      </c>
      <c r="F192" s="9" t="s">
        <v>11182</v>
      </c>
    </row>
    <row r="193" customFormat="false" ht="15" hidden="false" customHeight="false" outlineLevel="0" collapsed="false">
      <c r="A193" s="0" t="s">
        <v>144</v>
      </c>
      <c r="B193" s="0" t="s">
        <v>10887</v>
      </c>
      <c r="C193" s="0" t="s">
        <v>11163</v>
      </c>
      <c r="D193" s="0" t="s">
        <v>10926</v>
      </c>
      <c r="E193" s="9" t="s">
        <v>11183</v>
      </c>
      <c r="F193" s="9" t="s">
        <v>11184</v>
      </c>
    </row>
    <row r="194" customFormat="false" ht="15" hidden="false" customHeight="false" outlineLevel="0" collapsed="false">
      <c r="A194" s="0" t="s">
        <v>145</v>
      </c>
      <c r="B194" s="0" t="s">
        <v>10887</v>
      </c>
      <c r="C194" s="0" t="s">
        <v>11163</v>
      </c>
      <c r="D194" s="0" t="s">
        <v>10926</v>
      </c>
      <c r="E194" s="9" t="s">
        <v>11185</v>
      </c>
      <c r="F194" s="9" t="s">
        <v>11186</v>
      </c>
    </row>
    <row r="195" customFormat="false" ht="15" hidden="false" customHeight="false" outlineLevel="0" collapsed="false">
      <c r="A195" s="0" t="s">
        <v>146</v>
      </c>
      <c r="B195" s="0" t="s">
        <v>10887</v>
      </c>
      <c r="C195" s="0" t="s">
        <v>11163</v>
      </c>
      <c r="D195" s="0" t="s">
        <v>10926</v>
      </c>
      <c r="E195" s="8" t="s">
        <v>10922</v>
      </c>
      <c r="F195" s="9" t="s">
        <v>11187</v>
      </c>
    </row>
    <row r="196" customFormat="false" ht="15" hidden="false" customHeight="false" outlineLevel="0" collapsed="false">
      <c r="A196" s="0" t="s">
        <v>4573</v>
      </c>
      <c r="B196" s="0" t="s">
        <v>10943</v>
      </c>
      <c r="C196" s="0" t="s">
        <v>11163</v>
      </c>
      <c r="D196" s="0" t="s">
        <v>10926</v>
      </c>
      <c r="E196" s="8" t="s">
        <v>10922</v>
      </c>
      <c r="F196" s="9" t="s">
        <v>11188</v>
      </c>
    </row>
    <row r="197" customFormat="false" ht="15" hidden="false" customHeight="false" outlineLevel="0" collapsed="false">
      <c r="A197" s="0" t="s">
        <v>147</v>
      </c>
      <c r="B197" s="0" t="s">
        <v>10887</v>
      </c>
      <c r="C197" s="0" t="s">
        <v>11189</v>
      </c>
      <c r="D197" s="0" t="s">
        <v>10907</v>
      </c>
      <c r="E197" s="8" t="s">
        <v>10922</v>
      </c>
      <c r="F197" s="9" t="s">
        <v>11190</v>
      </c>
    </row>
    <row r="198" customFormat="false" ht="15" hidden="false" customHeight="false" outlineLevel="0" collapsed="false">
      <c r="A198" s="0" t="s">
        <v>148</v>
      </c>
      <c r="B198" s="0" t="s">
        <v>10887</v>
      </c>
      <c r="C198" s="0" t="s">
        <v>11189</v>
      </c>
      <c r="D198" s="0" t="s">
        <v>10907</v>
      </c>
      <c r="E198" s="8" t="s">
        <v>10922</v>
      </c>
      <c r="F198" s="9" t="s">
        <v>11191</v>
      </c>
    </row>
    <row r="199" customFormat="false" ht="15" hidden="false" customHeight="false" outlineLevel="0" collapsed="false">
      <c r="A199" s="0" t="s">
        <v>149</v>
      </c>
      <c r="B199" s="0" t="s">
        <v>10887</v>
      </c>
      <c r="C199" s="0" t="s">
        <v>11189</v>
      </c>
      <c r="D199" s="0" t="s">
        <v>10907</v>
      </c>
      <c r="E199" s="8" t="s">
        <v>10922</v>
      </c>
      <c r="F199" s="9" t="s">
        <v>11192</v>
      </c>
    </row>
    <row r="200" customFormat="false" ht="15" hidden="false" customHeight="false" outlineLevel="0" collapsed="false">
      <c r="A200" s="0" t="s">
        <v>150</v>
      </c>
      <c r="B200" s="0" t="s">
        <v>10887</v>
      </c>
      <c r="C200" s="0" t="s">
        <v>11189</v>
      </c>
      <c r="D200" s="0" t="s">
        <v>10907</v>
      </c>
      <c r="E200" s="8" t="s">
        <v>10922</v>
      </c>
      <c r="F200" s="9" t="s">
        <v>11193</v>
      </c>
    </row>
    <row r="201" customFormat="false" ht="15" hidden="false" customHeight="false" outlineLevel="0" collapsed="false">
      <c r="A201" s="0" t="s">
        <v>151</v>
      </c>
      <c r="B201" s="0" t="s">
        <v>10887</v>
      </c>
      <c r="C201" s="0" t="s">
        <v>11189</v>
      </c>
      <c r="D201" s="0" t="s">
        <v>10907</v>
      </c>
      <c r="E201" s="8" t="s">
        <v>10922</v>
      </c>
      <c r="F201" s="9" t="s">
        <v>11194</v>
      </c>
    </row>
    <row r="202" customFormat="false" ht="15" hidden="false" customHeight="false" outlineLevel="0" collapsed="false">
      <c r="A202" s="0" t="s">
        <v>152</v>
      </c>
      <c r="B202" s="0" t="s">
        <v>10887</v>
      </c>
      <c r="C202" s="0" t="s">
        <v>11189</v>
      </c>
      <c r="D202" s="0" t="s">
        <v>10907</v>
      </c>
      <c r="E202" s="9" t="s">
        <v>10994</v>
      </c>
      <c r="F202" s="9" t="s">
        <v>11195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10"/>
    <col collapsed="false" customWidth="true" hidden="false" outlineLevel="0" max="4" min="4" style="0" width="140"/>
  </cols>
  <sheetData>
    <row r="1" customFormat="false" ht="15" hidden="false" customHeight="false" outlineLevel="0" collapsed="false">
      <c r="A1" s="7" t="s">
        <v>11196</v>
      </c>
      <c r="B1" s="7" t="s">
        <v>11197</v>
      </c>
      <c r="C1" s="7" t="s">
        <v>11198</v>
      </c>
      <c r="D1" s="8" t="s">
        <v>11199</v>
      </c>
    </row>
    <row r="2" customFormat="false" ht="15" hidden="false" customHeight="false" outlineLevel="0" collapsed="false">
      <c r="A2" s="0" t="s">
        <v>11200</v>
      </c>
      <c r="B2" s="7" t="s">
        <v>11201</v>
      </c>
      <c r="D2" s="9" t="s">
        <v>11202</v>
      </c>
    </row>
    <row r="3" customFormat="false" ht="15" hidden="false" customHeight="false" outlineLevel="0" collapsed="false">
      <c r="A3" s="0" t="s">
        <v>11200</v>
      </c>
      <c r="B3" s="0" t="s">
        <v>11203</v>
      </c>
      <c r="C3" s="0" t="s">
        <v>3704</v>
      </c>
      <c r="D3" s="9" t="s">
        <v>11204</v>
      </c>
    </row>
    <row r="4" customFormat="false" ht="15" hidden="false" customHeight="false" outlineLevel="0" collapsed="false">
      <c r="A4" s="0" t="s">
        <v>11200</v>
      </c>
      <c r="B4" s="0" t="s">
        <v>11203</v>
      </c>
      <c r="C4" s="0" t="s">
        <v>3704</v>
      </c>
      <c r="D4" s="9" t="s">
        <v>11205</v>
      </c>
    </row>
    <row r="5" customFormat="false" ht="15" hidden="false" customHeight="false" outlineLevel="0" collapsed="false">
      <c r="A5" s="0" t="s">
        <v>11200</v>
      </c>
      <c r="B5" s="0" t="s">
        <v>11203</v>
      </c>
      <c r="C5" s="0" t="s">
        <v>3704</v>
      </c>
      <c r="D5" s="9" t="s">
        <v>11206</v>
      </c>
    </row>
    <row r="6" customFormat="false" ht="15" hidden="false" customHeight="false" outlineLevel="0" collapsed="false">
      <c r="A6" s="0" t="s">
        <v>11200</v>
      </c>
      <c r="B6" s="0" t="s">
        <v>11203</v>
      </c>
      <c r="C6" s="0" t="s">
        <v>3704</v>
      </c>
      <c r="D6" s="9" t="s">
        <v>11207</v>
      </c>
    </row>
    <row r="7" customFormat="false" ht="15" hidden="false" customHeight="false" outlineLevel="0" collapsed="false">
      <c r="A7" s="0" t="s">
        <v>11200</v>
      </c>
      <c r="B7" s="7" t="s">
        <v>11208</v>
      </c>
      <c r="C7" s="6" t="s">
        <v>10908</v>
      </c>
      <c r="D7" s="9" t="s">
        <v>11209</v>
      </c>
    </row>
    <row r="8" customFormat="false" ht="15" hidden="false" customHeight="false" outlineLevel="0" collapsed="false">
      <c r="A8" s="0" t="s">
        <v>11200</v>
      </c>
      <c r="B8" s="0" t="s">
        <v>98</v>
      </c>
      <c r="C8" s="0" t="s">
        <v>10996</v>
      </c>
      <c r="D8" s="9" t="s">
        <v>11210</v>
      </c>
    </row>
    <row r="9" customFormat="false" ht="15" hidden="false" customHeight="false" outlineLevel="0" collapsed="false">
      <c r="A9" s="0" t="s">
        <v>11200</v>
      </c>
      <c r="B9" s="0" t="s">
        <v>99</v>
      </c>
      <c r="C9" s="0" t="s">
        <v>10998</v>
      </c>
      <c r="D9" s="9" t="s">
        <v>11211</v>
      </c>
    </row>
    <row r="10" customFormat="false" ht="15" hidden="false" customHeight="false" outlineLevel="0" collapsed="false">
      <c r="A10" s="0" t="s">
        <v>11200</v>
      </c>
      <c r="B10" s="0" t="s">
        <v>100</v>
      </c>
      <c r="C10" s="0" t="s">
        <v>11000</v>
      </c>
      <c r="D10" s="9" t="s">
        <v>11001</v>
      </c>
    </row>
    <row r="11" customFormat="false" ht="15" hidden="false" customHeight="false" outlineLevel="0" collapsed="false">
      <c r="A11" s="0" t="s">
        <v>11200</v>
      </c>
      <c r="B11" s="0" t="s">
        <v>101</v>
      </c>
      <c r="C11" s="0" t="s">
        <v>11002</v>
      </c>
      <c r="D11" s="9" t="s">
        <v>11212</v>
      </c>
    </row>
    <row r="12" customFormat="false" ht="15" hidden="false" customHeight="false" outlineLevel="0" collapsed="false">
      <c r="A12" s="0" t="s">
        <v>11200</v>
      </c>
      <c r="B12" s="0" t="s">
        <v>102</v>
      </c>
      <c r="C12" s="0" t="s">
        <v>11013</v>
      </c>
      <c r="D12" s="9" t="s">
        <v>11213</v>
      </c>
    </row>
    <row r="13" customFormat="false" ht="15" hidden="false" customHeight="false" outlineLevel="0" collapsed="false">
      <c r="A13" s="0" t="s">
        <v>11200</v>
      </c>
      <c r="B13" s="0" t="s">
        <v>103</v>
      </c>
      <c r="C13" s="0" t="s">
        <v>11214</v>
      </c>
      <c r="D13" s="9" t="s">
        <v>11215</v>
      </c>
    </row>
    <row r="14" customFormat="false" ht="15" hidden="false" customHeight="false" outlineLevel="0" collapsed="false">
      <c r="A14" s="0" t="s">
        <v>11200</v>
      </c>
      <c r="B14" s="0" t="s">
        <v>11216</v>
      </c>
      <c r="D14" s="9" t="s">
        <v>11217</v>
      </c>
    </row>
    <row r="15" customFormat="false" ht="41.75" hidden="false" customHeight="false" outlineLevel="0" collapsed="false">
      <c r="A15" s="0" t="s">
        <v>11200</v>
      </c>
      <c r="B15" s="0" t="s">
        <v>11218</v>
      </c>
      <c r="D15" s="9" t="s">
        <v>11219</v>
      </c>
    </row>
    <row r="16" customFormat="false" ht="15" hidden="false" customHeight="false" outlineLevel="0" collapsed="false">
      <c r="A16" s="0" t="s">
        <v>11220</v>
      </c>
      <c r="B16" s="7" t="s">
        <v>11201</v>
      </c>
      <c r="D16" s="9" t="s">
        <v>11221</v>
      </c>
    </row>
    <row r="17" customFormat="false" ht="15" hidden="false" customHeight="false" outlineLevel="0" collapsed="false">
      <c r="A17" s="0" t="s">
        <v>11220</v>
      </c>
      <c r="B17" s="0" t="s">
        <v>11203</v>
      </c>
      <c r="C17" s="0" t="s">
        <v>3704</v>
      </c>
      <c r="D17" s="9" t="s">
        <v>11222</v>
      </c>
    </row>
    <row r="18" customFormat="false" ht="15" hidden="false" customHeight="false" outlineLevel="0" collapsed="false">
      <c r="A18" s="0" t="s">
        <v>11220</v>
      </c>
      <c r="B18" s="0" t="s">
        <v>11203</v>
      </c>
      <c r="C18" s="0" t="s">
        <v>3704</v>
      </c>
      <c r="D18" s="9" t="s">
        <v>11223</v>
      </c>
    </row>
    <row r="19" customFormat="false" ht="15" hidden="false" customHeight="false" outlineLevel="0" collapsed="false">
      <c r="A19" s="0" t="s">
        <v>11220</v>
      </c>
      <c r="B19" s="0" t="s">
        <v>11203</v>
      </c>
      <c r="C19" s="0" t="s">
        <v>3704</v>
      </c>
      <c r="D19" s="9" t="s">
        <v>11224</v>
      </c>
    </row>
    <row r="20" customFormat="false" ht="15" hidden="false" customHeight="false" outlineLevel="0" collapsed="false">
      <c r="A20" s="0" t="s">
        <v>11220</v>
      </c>
      <c r="B20" s="0" t="s">
        <v>11203</v>
      </c>
      <c r="C20" s="0" t="s">
        <v>3704</v>
      </c>
      <c r="D20" s="9" t="s">
        <v>11225</v>
      </c>
    </row>
    <row r="21" customFormat="false" ht="15" hidden="false" customHeight="false" outlineLevel="0" collapsed="false">
      <c r="A21" s="0" t="s">
        <v>11220</v>
      </c>
      <c r="B21" s="7" t="s">
        <v>11208</v>
      </c>
      <c r="C21" s="6" t="s">
        <v>10908</v>
      </c>
      <c r="D21" s="9" t="s">
        <v>11226</v>
      </c>
    </row>
    <row r="22" customFormat="false" ht="15" hidden="false" customHeight="false" outlineLevel="0" collapsed="false">
      <c r="A22" s="0" t="s">
        <v>11220</v>
      </c>
      <c r="B22" s="0" t="s">
        <v>4559</v>
      </c>
      <c r="C22" s="0" t="s">
        <v>11008</v>
      </c>
      <c r="D22" s="9" t="s">
        <v>11227</v>
      </c>
    </row>
    <row r="23" customFormat="false" ht="15" hidden="false" customHeight="false" outlineLevel="0" collapsed="false">
      <c r="A23" s="0" t="s">
        <v>11220</v>
      </c>
      <c r="B23" s="0" t="s">
        <v>4560</v>
      </c>
      <c r="C23" s="0" t="s">
        <v>11010</v>
      </c>
      <c r="D23" s="9" t="s">
        <v>11228</v>
      </c>
    </row>
    <row r="24" customFormat="false" ht="15" hidden="false" customHeight="false" outlineLevel="0" collapsed="false">
      <c r="A24" s="0" t="s">
        <v>11220</v>
      </c>
      <c r="B24" s="0" t="s">
        <v>4561</v>
      </c>
      <c r="C24" s="0" t="s">
        <v>11002</v>
      </c>
      <c r="D24" s="9" t="s">
        <v>11229</v>
      </c>
    </row>
    <row r="25" customFormat="false" ht="15" hidden="false" customHeight="false" outlineLevel="0" collapsed="false">
      <c r="A25" s="0" t="s">
        <v>11220</v>
      </c>
      <c r="B25" s="0" t="s">
        <v>4562</v>
      </c>
      <c r="C25" s="0" t="s">
        <v>11013</v>
      </c>
      <c r="D25" s="9" t="s">
        <v>11230</v>
      </c>
    </row>
    <row r="26" customFormat="false" ht="15" hidden="false" customHeight="false" outlineLevel="0" collapsed="false">
      <c r="A26" s="0" t="s">
        <v>11220</v>
      </c>
      <c r="B26" s="0" t="s">
        <v>4563</v>
      </c>
      <c r="C26" s="0" t="s">
        <v>11013</v>
      </c>
      <c r="D26" s="9" t="s">
        <v>11015</v>
      </c>
    </row>
    <row r="27" customFormat="false" ht="15" hidden="false" customHeight="false" outlineLevel="0" collapsed="false">
      <c r="A27" s="0" t="s">
        <v>11220</v>
      </c>
      <c r="B27" s="0" t="s">
        <v>4564</v>
      </c>
      <c r="C27" s="0" t="s">
        <v>11013</v>
      </c>
      <c r="D27" s="9" t="s">
        <v>11231</v>
      </c>
    </row>
    <row r="28" customFormat="false" ht="15" hidden="false" customHeight="false" outlineLevel="0" collapsed="false">
      <c r="A28" s="0" t="s">
        <v>11220</v>
      </c>
      <c r="B28" s="0" t="s">
        <v>103</v>
      </c>
      <c r="C28" s="0" t="s">
        <v>11232</v>
      </c>
      <c r="D28" s="9" t="s">
        <v>11215</v>
      </c>
    </row>
    <row r="29" customFormat="false" ht="28.35" hidden="false" customHeight="false" outlineLevel="0" collapsed="false">
      <c r="A29" s="0" t="s">
        <v>11220</v>
      </c>
      <c r="B29" s="0" t="s">
        <v>4565</v>
      </c>
      <c r="C29" s="0" t="s">
        <v>11017</v>
      </c>
      <c r="D29" s="9" t="s">
        <v>11233</v>
      </c>
    </row>
    <row r="30" customFormat="false" ht="15" hidden="false" customHeight="false" outlineLevel="0" collapsed="false">
      <c r="A30" s="0" t="s">
        <v>11220</v>
      </c>
      <c r="B30" s="0" t="s">
        <v>11216</v>
      </c>
      <c r="D30" s="9" t="s">
        <v>11234</v>
      </c>
    </row>
    <row r="31" customFormat="false" ht="28.35" hidden="false" customHeight="false" outlineLevel="0" collapsed="false">
      <c r="A31" s="0" t="s">
        <v>11235</v>
      </c>
      <c r="B31" s="7" t="s">
        <v>11236</v>
      </c>
      <c r="D31" s="9" t="s">
        <v>11237</v>
      </c>
    </row>
    <row r="32" customFormat="false" ht="15" hidden="false" customHeight="false" outlineLevel="0" collapsed="false">
      <c r="A32" s="0" t="s">
        <v>11235</v>
      </c>
      <c r="B32" s="0" t="s">
        <v>45</v>
      </c>
      <c r="C32" s="7" t="s">
        <v>11238</v>
      </c>
      <c r="D32" s="9" t="s">
        <v>11239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0"/>
    <col collapsed="false" customWidth="true" hidden="false" outlineLevel="0" max="3" min="3" style="0" width="34"/>
    <col collapsed="false" customWidth="true" hidden="false" outlineLevel="0" max="4" min="4" style="0" width="120"/>
  </cols>
  <sheetData>
    <row r="1" customFormat="false" ht="15" hidden="false" customHeight="false" outlineLevel="0" collapsed="false">
      <c r="A1" s="7" t="s">
        <v>11240</v>
      </c>
      <c r="B1" s="7" t="s">
        <v>11241</v>
      </c>
      <c r="C1" s="7"/>
      <c r="D1" s="8" t="s">
        <v>11242</v>
      </c>
    </row>
    <row r="2" customFormat="false" ht="15" hidden="false" customHeight="false" outlineLevel="0" collapsed="false">
      <c r="A2" s="7" t="s">
        <v>11243</v>
      </c>
      <c r="B2" s="6" t="s">
        <v>11244</v>
      </c>
      <c r="D2" s="9"/>
    </row>
    <row r="3" customFormat="false" ht="15" hidden="false" customHeight="false" outlineLevel="0" collapsed="false">
      <c r="D3" s="9"/>
    </row>
    <row r="4" customFormat="false" ht="15" hidden="false" customHeight="false" outlineLevel="0" collapsed="false">
      <c r="A4" s="7" t="str">
        <f aca="false">"15-minute morning routine, "&amp;B1&amp;" outreach tables"</f>
        <v>15-minute morning routine, Desk Drop outreach tables</v>
      </c>
      <c r="D4" s="9"/>
    </row>
    <row r="5" customFormat="false" ht="15" hidden="false" customHeight="false" outlineLevel="0" collapsed="false">
      <c r="A5" s="7" t="s">
        <v>11245</v>
      </c>
      <c r="B5" s="7" t="s">
        <v>11246</v>
      </c>
      <c r="C5" s="7" t="s">
        <v>11247</v>
      </c>
      <c r="D5" s="8" t="s">
        <v>11248</v>
      </c>
    </row>
    <row r="6" customFormat="false" ht="41.75" hidden="false" customHeight="false" outlineLevel="0" collapsed="false">
      <c r="A6" s="0" t="s">
        <v>11249</v>
      </c>
      <c r="B6" s="0" t="s">
        <v>11250</v>
      </c>
      <c r="C6" s="0" t="s">
        <v>11251</v>
      </c>
      <c r="D6" s="9" t="s">
        <v>11252</v>
      </c>
    </row>
    <row r="7" customFormat="false" ht="28.35" hidden="false" customHeight="false" outlineLevel="0" collapsed="false">
      <c r="A7" s="0" t="s">
        <v>11253</v>
      </c>
      <c r="B7" s="0" t="s">
        <v>11254</v>
      </c>
      <c r="C7" s="0" t="s">
        <v>11255</v>
      </c>
      <c r="D7" s="9" t="s">
        <v>11256</v>
      </c>
    </row>
    <row r="8" customFormat="false" ht="15" hidden="false" customHeight="false" outlineLevel="0" collapsed="false">
      <c r="A8" s="0" t="s">
        <v>11257</v>
      </c>
      <c r="B8" s="0" t="s">
        <v>11258</v>
      </c>
      <c r="C8" s="0" t="s">
        <v>11259</v>
      </c>
      <c r="D8" s="9" t="s">
        <v>11260</v>
      </c>
    </row>
    <row r="9" customFormat="false" ht="41.75" hidden="false" customHeight="false" outlineLevel="0" collapsed="false">
      <c r="A9" s="0" t="s">
        <v>11261</v>
      </c>
      <c r="B9" s="0" t="s">
        <v>11262</v>
      </c>
      <c r="C9" s="0" t="s">
        <v>11263</v>
      </c>
      <c r="D9" s="9" t="s">
        <v>11264</v>
      </c>
    </row>
    <row r="10" customFormat="false" ht="41.75" hidden="false" customHeight="false" outlineLevel="0" collapsed="false">
      <c r="A10" s="0" t="s">
        <v>11265</v>
      </c>
      <c r="B10" s="0" t="s">
        <v>11266</v>
      </c>
      <c r="C10" s="0" t="s">
        <v>11267</v>
      </c>
      <c r="D10" s="9" t="s">
        <v>11268</v>
      </c>
    </row>
    <row r="11" customFormat="false" ht="28.35" hidden="false" customHeight="false" outlineLevel="0" collapsed="false">
      <c r="A11" s="0" t="s">
        <v>11269</v>
      </c>
      <c r="B11" s="0" t="s">
        <v>11270</v>
      </c>
      <c r="C11" s="0" t="s">
        <v>11271</v>
      </c>
      <c r="D11" s="9" t="s">
        <v>11272</v>
      </c>
    </row>
    <row r="12" customFormat="false" ht="15" hidden="false" customHeight="false" outlineLevel="0" collapsed="false">
      <c r="D12" s="9"/>
    </row>
    <row r="13" customFormat="false" ht="15" hidden="false" customHeight="false" outlineLevel="0" collapsed="false">
      <c r="A13" s="7" t="s">
        <v>11273</v>
      </c>
      <c r="D13" s="9"/>
    </row>
    <row r="14" customFormat="false" ht="41.75" hidden="false" customHeight="false" outlineLevel="0" collapsed="false">
      <c r="A14" s="0" t="s">
        <v>11274</v>
      </c>
      <c r="B14" s="0" t="s">
        <v>11275</v>
      </c>
      <c r="C14" s="0" t="s">
        <v>11276</v>
      </c>
      <c r="D14" s="9" t="s">
        <v>11277</v>
      </c>
    </row>
    <row r="15" customFormat="false" ht="15" hidden="false" customHeight="false" outlineLevel="0" collapsed="false">
      <c r="D15" s="9"/>
    </row>
    <row r="16" customFormat="false" ht="15" hidden="false" customHeight="false" outlineLevel="0" collapsed="false">
      <c r="A16" s="7" t="s">
        <v>11278</v>
      </c>
      <c r="D16" s="9"/>
    </row>
    <row r="17" customFormat="false" ht="28.35" hidden="false" customHeight="false" outlineLevel="0" collapsed="false">
      <c r="A17" s="0" t="s">
        <v>11279</v>
      </c>
      <c r="B17" s="0" t="s">
        <v>11280</v>
      </c>
      <c r="D17" s="9" t="s">
        <v>11281</v>
      </c>
    </row>
    <row r="18" customFormat="false" ht="15" hidden="false" customHeight="false" outlineLevel="0" collapsed="false">
      <c r="A18" s="0" t="s">
        <v>11282</v>
      </c>
      <c r="B18" s="0" t="s">
        <v>11283</v>
      </c>
      <c r="D18" s="9" t="s">
        <v>11284</v>
      </c>
    </row>
    <row r="19" customFormat="false" ht="15" hidden="false" customHeight="false" outlineLevel="0" collapsed="false">
      <c r="A19" s="0" t="s">
        <v>11285</v>
      </c>
      <c r="B19" s="0" t="s">
        <v>10907</v>
      </c>
      <c r="D19" s="9" t="s">
        <v>11286</v>
      </c>
    </row>
    <row r="20" customFormat="false" ht="15" hidden="false" customHeight="false" outlineLevel="0" collapsed="false">
      <c r="A20" s="0" t="s">
        <v>11287</v>
      </c>
      <c r="B20" s="0" t="s">
        <v>10889</v>
      </c>
      <c r="D20" s="9" t="s">
        <v>11288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2026-10-24T09:27:53Z</dcterms:created>
  <dc:creator>openpyxl</dc:creator>
  <dc:description/>
  <dc:language>en-US</dc:language>
  <cp:lastModifiedBy/>
  <dcterms:modified xsi:type="dcterms:W3CDTF">2026-10-24T09:28:00Z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